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bb9f57cecbc428c" /></Relationships>
</file>

<file path=xl/workbook.xml><?xml version="1.0" encoding="utf-8"?>
<x:workbook xmlns:x="http://schemas.openxmlformats.org/spreadsheetml/2006/main">
  <x:sheets>
    <x:sheet xmlns:r="http://schemas.openxmlformats.org/officeDocument/2006/relationships" name="Lesehilfe" sheetId="1" r:id="Rafe10b3b906a4eab"/>
    <x:sheet xmlns:r="http://schemas.openxmlformats.org/officeDocument/2006/relationships" name="Verfahrensmatrix" sheetId="2" r:id="Re213f33c1fae4f4e"/>
    <x:sheet xmlns:r="http://schemas.openxmlformats.org/officeDocument/2006/relationships" name="Geltungsräume" sheetId="3" r:id="R140bc74c88dd46f6"/>
    <x:sheet xmlns:r="http://schemas.openxmlformats.org/officeDocument/2006/relationships" name="Prüfpunkte" sheetId="4" r:id="R8dd5e18cf638494d"/>
    <x:sheet xmlns:r="http://schemas.openxmlformats.org/officeDocument/2006/relationships" name="Quellen" sheetId="5" r:id="R9b899bfc5b014740"/>
  </x:sheets>
</x:workbook>
</file>

<file path=xl/sharedStrings.xml><?xml version="1.0" encoding="utf-8"?>
<x:sst xmlns:x="http://schemas.openxmlformats.org/spreadsheetml/2006/main">
  <x:si>
    <x:t xml:space="preserve">STEIMER  |  Kalenderaktivierung AP22A</x:t>
  </x:si>
  <x:si>
    <x:t xml:space="preserve">Bereich</x:t>
  </x:si>
  <x:si>
    <x:t xml:space="preserve">Angabe 1</x:t>
  </x:si>
  <x:si>
    <x:t xml:space="preserve">Angabe 2</x:t>
  </x:si>
  <x:si>
    <x:t xml:space="preserve">Angabe 3</x:t>
  </x:si>
  <x:si>
    <x:t xml:space="preserve">Angabe 4</x:t>
  </x:si>
  <x:si>
    <x:t xml:space="preserve">Erläuterung</x:t>
  </x:si>
  <x:si>
    <x:t xml:space="preserve">STEIMER  |  Verfahren und Feiertagsräume</x:t>
  </x:si>
  <x:si>
    <x:t xml:space="preserve">Zuordnung-ID</x:t>
  </x:si>
  <x:si>
    <x:t xml:space="preserve">Kanton / Bund</x:t>
  </x:si>
  <x:si>
    <x:t xml:space="preserve">Verfahren</x:t>
  </x:si>
  <x:si>
    <x:t xml:space="preserve">Geltungsbereich-ID</x:t>
  </x:si>
  <x:si>
    <x:t xml:space="preserve">Massgebender Ort</x:t>
  </x:si>
  <x:si>
    <x:t xml:space="preserve">Kategorie</x:t>
  </x:si>
  <x:si>
    <x:t xml:space="preserve">Quellen-IDs</x:t>
  </x:si>
  <x:si>
    <x:t xml:space="preserve">Fundstellen</x:t>
  </x:si>
  <x:si>
    <x:t xml:space="preserve">Zeitliche Grenze</x:t>
  </x:si>
  <x:si>
    <x:t xml:space="preserve">Prüfevidenz</x:t>
  </x:si>
  <x:si>
    <x:t xml:space="preserve">Bemerkung David</x:t>
  </x:si>
  <x:si>
    <x:t xml:space="preserve">STEIMER  |  49 bestehende Geltungsräume</x:t>
  </x:si>
  <x:si>
    <x:t xml:space="preserve">Inventar aus dem unveränderten Katalog. Historische Abgrenzungstexte sind keine neue Verfahrensfreigabe. Neue SO-Liste nur im Matrixentwurf.</x:t>
  </x:si>
  <x:si>
    <x:t xml:space="preserve">Bereich-ID</x:t>
  </x:si>
  <x:si>
    <x:t xml:space="preserve">Deutsch</x:t>
  </x:si>
  <x:si>
    <x:t xml:space="preserve">Français</x:t>
  </x:si>
  <x:si>
    <x:t xml:space="preserve">Italiano</x:t>
  </x:si>
  <x:si>
    <x:t xml:space="preserve">Rumantsch Grischun</x:t>
  </x:si>
  <x:si>
    <x:t xml:space="preserve">Raumtyp</x:t>
  </x:si>
  <x:si>
    <x:t xml:space="preserve">Bestehende Abgrenzung</x:t>
  </x:si>
  <x:si>
    <x:t xml:space="preserve">Räumliche Zuordnungen</x:t>
  </x:si>
  <x:si>
    <x:t xml:space="preserve">Quellen-ID</x:t>
  </x:si>
  <x:si>
    <x:t xml:space="preserve">Fundstelle</x:t>
  </x:si>
  <x:si>
    <x:t xml:space="preserve">Erfasste Gültigkeit</x:t>
  </x:si>
  <x:si>
    <x:t xml:space="preserve">Regelkategorien</x:t>
  </x:si>
  <x:si>
    <x:t xml:space="preserve">Regeln im Bestand</x:t>
  </x:si>
  <x:si>
    <x:t xml:space="preserve">CH-ALL</x:t>
  </x:si>
  <x:si>
    <x:t xml:space="preserve">Bundesgebiet</x:t>
  </x:si>
  <x:si>
    <x:t xml:space="preserve">Territoire de la Confédération</x:t>
  </x:si>
  <x:si>
    <x:t xml:space="preserve">Territorio della Confederazione</x:t>
  </x:si>
  <x:si>
    <x:t xml:space="preserve">Territori da la Confederaziun</x:t>
  </x:si>
  <x:si>
    <x:t xml:space="preserve">Bund</x:t>
  </x:si>
  <x:si>
    <x:t xml:space="preserve">National</x:t>
  </x:si>
  <x:si>
    <x:t xml:space="preserve">SRC-BUNDESFEIERTAG-19940701</x:t>
  </x:si>
  <x:si>
    <x:t xml:space="preserve">Art. 1</x:t>
  </x:si>
  <x:si>
    <x:t xml:space="preserve">1994-07-01 bis offen</x:t>
  </x:si>
  <x:si>
    <x:t xml:space="preserve">Öffentlicher Feiertag</x:t>
  </x:si>
  <x:si>
    <x:t xml:space="preserve">BE-ALL</x:t>
  </x:si>
  <x:si>
    <x:t xml:space="preserve">Kanton Bern</x:t>
  </x:si>
  <x:si>
    <x:t xml:space="preserve">Canton de Berne</x:t>
  </x:si>
  <x:si>
    <x:t xml:space="preserve">Cantone di Berna</x:t>
  </x:si>
  <x:si>
    <x:t xml:space="preserve">Chantun Berna</x:t>
  </x:si>
  <x:si>
    <x:t xml:space="preserve">Bern</x:t>
  </x:si>
  <x:si>
    <x:t xml:space="preserve">Kanton</x:t>
  </x:si>
  <x:si>
    <x:t xml:space="preserve">Gesamtes Kantonsgebiet</x:t>
  </x:si>
  <x:si>
    <x:t xml:space="preserve">SRC-FRG-BE-20210401</x:t>
  </x:si>
  <x:si>
    <x:t xml:space="preserve">Art. 2 Abs. 1</x:t>
  </x:si>
  <x:si>
    <x:t xml:space="preserve">2026-01-01 bis offen</x:t>
  </x:si>
  <x:si>
    <x:t xml:space="preserve">AG-ARG-BADEN</x:t>
  </x:si>
  <x:si>
    <x:t xml:space="preserve">Bezirk Baden ohne Bergdietikon</x:t>
  </x:si>
  <x:si>
    <x:t xml:space="preserve">District de Baden sans Bergdietikon</x:t>
  </x:si>
  <x:si>
    <x:t xml:space="preserve">Distretto di Baden senza Bergdietikon</x:t>
  </x:si>
  <x:si>
    <x:t xml:space="preserve">District da Baden senza Bergdietikon</x:t>
  </x:si>
  <x:si>
    <x:t xml:space="preserve">Aargau</x:t>
  </x:si>
  <x:si>
    <x:t xml:space="preserve">Bezirksausnahme</x:t>
  </x:si>
  <x:si>
    <x:t xml:space="preserve">Nur § 6 Abs. 1 Bst. b Ziff. 2 EG ArR. Kein allgemeiner Fristenkalender.</x:t>
  </x:si>
  <x:si>
    <x:t xml:space="preserve">Bezirk Baden
Ausnahme: Gemeinde Bergdietikon</x:t>
  </x:si>
  <x:si>
    <x:t xml:space="preserve">SRC-AG-EGARR-20250901</x:t>
  </x:si>
  <x:si>
    <x:t xml:space="preserve">§ 6 Abs. 1 Bst. b Ziff. 2</x:t>
  </x:si>
  <x:si>
    <x:t xml:space="preserve">Arbeitsrechtlicher Feiertag</x:t>
  </x:si>
  <x:si>
    <x:t xml:space="preserve">AG-ARG-BERGDIETIKON</x:t>
  </x:si>
  <x:si>
    <x:t xml:space="preserve">Gemeinde Bergdietikon</x:t>
  </x:si>
  <x:si>
    <x:t xml:space="preserve">Commune de Bergdietikon</x:t>
  </x:si>
  <x:si>
    <x:t xml:space="preserve">Comune di Bergdietikon</x:t>
  </x:si>
  <x:si>
    <x:t xml:space="preserve">Vischnanca da Bergdietikon</x:t>
  </x:si>
  <x:si>
    <x:t xml:space="preserve">Gemeinde</x:t>
  </x:si>
  <x:si>
    <x:t xml:space="preserve">Nur § 6 Abs. 1 Bst. b Ziff. 1 EG ArR. Kantonale Rechtsgrundlage.</x:t>
  </x:si>
  <x:si>
    <x:t xml:space="preserve">§ 6 Abs. 1 Bst. b Ziff. 1</x:t>
  </x:si>
  <x:si>
    <x:t xml:space="preserve">AG-ZPO-ALL</x:t>
  </x:si>
  <x:si>
    <x:t xml:space="preserve">Aargau, prozessuale Zuordnung</x:t>
  </x:si>
  <x:si>
    <x:t xml:space="preserve">Argovie, rattachement procédural</x:t>
  </x:si>
  <x:si>
    <x:t xml:space="preserve">Argovia, attribuzione procedurale</x:t>
  </x:si>
  <x:si>
    <x:t xml:space="preserve">Argovia, attribuziun procedurala</x:t>
  </x:si>
  <x:si>
    <x:t xml:space="preserve">§ 21 EG ZPO getrennt vom Arbeitsrecht. Anwendungszuordnung offen.</x:t>
  </x:si>
  <x:si>
    <x:t xml:space="preserve">SRC-AG-EGZPO</x:t>
  </x:si>
  <x:si>
    <x:t xml:space="preserve">§ 21</x:t>
  </x:si>
  <x:si>
    <x:t xml:space="preserve">Prozessual gleichgestellter Tag</x:t>
  </x:si>
  <x:si>
    <x:t xml:space="preserve">AG-ARG-AARAU-BRUGG-KULM-LENZBURG-ZOFINGEN</x:t>
  </x:si>
  <x:si>
    <x:t xml:space="preserve">Bezirke Aarau, Brugg, Kulm, Lenzburg und Zofingen</x:t>
  </x:si>
  <x:si>
    <x:t xml:space="preserve">Districts d’Aarau, de Brugg, de Kulm, de Lenzburg et de Zofingen</x:t>
  </x:si>
  <x:si>
    <x:t xml:space="preserve">Distretti di Aarau, Brugg, Kulm, Lenzburg e Zofingen</x:t>
  </x:si>
  <x:si>
    <x:t xml:space="preserve">Districts dad Aarau, Brugg, Kulm, Lenzburg e Zofingen</x:t>
  </x:si>
  <x:si>
    <x:t xml:space="preserve">Gebietsgruppe</x:t>
  </x:si>
  <x:si>
    <x:t xml:space="preserve">§ 6 Abs. 1 Bst. a EG ArR. Nur arbeitsrechtlicher Feiertagsgeltungsbereich, kein allgemeiner Fristenkalender.</x:t>
  </x:si>
  <x:si>
    <x:t xml:space="preserve">Bezirk Aarau
Bezirk Brugg
Bezirk Kulm
Bezirk Lenzburg
Bezirk Zofingen</x:t>
  </x:si>
  <x:si>
    <x:t xml:space="preserve">§ 6 Abs. 1 Bst. a</x:t>
  </x:si>
  <x:si>
    <x:t xml:space="preserve">AG-ARG-BREMGARTEN</x:t>
  </x:si>
  <x:si>
    <x:t xml:space="preserve">Bezirk Bremgarten</x:t>
  </x:si>
  <x:si>
    <x:t xml:space="preserve">District de Bremgarten</x:t>
  </x:si>
  <x:si>
    <x:t xml:space="preserve">Distretto di Bremgarten</x:t>
  </x:si>
  <x:si>
    <x:t xml:space="preserve">District da Bremgarten</x:t>
  </x:si>
  <x:si>
    <x:t xml:space="preserve">Bezirk</x:t>
  </x:si>
  <x:si>
    <x:t xml:space="preserve">§ 6 Abs. 1 Bst. c EG ArR. Nur arbeitsrechtlicher Feiertagsgeltungsbereich, kein allgemeiner Fristenkalender.</x:t>
  </x:si>
  <x:si>
    <x:t xml:space="preserve">§ 6 Abs. 1 Bst. c</x:t>
  </x:si>
  <x:si>
    <x:t xml:space="preserve">AG-ARG-LAUFENBURG-MURI</x:t>
  </x:si>
  <x:si>
    <x:t xml:space="preserve">Bezirke Laufenburg und Muri</x:t>
  </x:si>
  <x:si>
    <x:t xml:space="preserve">Districts de Laufenburg et de Muri</x:t>
  </x:si>
  <x:si>
    <x:t xml:space="preserve">Distretti di Laufenburg e Muri</x:t>
  </x:si>
  <x:si>
    <x:t xml:space="preserve">Districts da Laufenburg e Muri</x:t>
  </x:si>
  <x:si>
    <x:t xml:space="preserve">§ 6 Abs. 1 Bst. d EG ArR. Nur arbeitsrechtlicher Feiertagsgeltungsbereich, kein allgemeiner Fristenkalender.</x:t>
  </x:si>
  <x:si>
    <x:t xml:space="preserve">Bezirk Laufenburg
Bezirk Muri</x:t>
  </x:si>
  <x:si>
    <x:t xml:space="preserve">§ 6 Abs. 1 Bst. d</x:t>
  </x:si>
  <x:si>
    <x:t xml:space="preserve">AG-ARG-RHEINFELDEN-E1</x:t>
  </x:si>
  <x:si>
    <x:t xml:space="preserve">Gemeinden Hellikon, Mumpf, Obermumpf, Schupfart, Stein und Wegenstetten</x:t>
  </x:si>
  <x:si>
    <x:t xml:space="preserve">Communes de Hellikon, Mumpf, Obermumpf, Schupfart, Stein et Wegenstetten</x:t>
  </x:si>
  <x:si>
    <x:t xml:space="preserve">Comuni di Hellikon, Mumpf, Obermumpf, Schupfart, Stein e Wegenstetten</x:t>
  </x:si>
  <x:si>
    <x:t xml:space="preserve">Vischnancas da Hellikon, Mumpf, Obermumpf, Schupfart, Stein e Wegenstetten</x:t>
  </x:si>
  <x:si>
    <x:t xml:space="preserve">§ 6 Abs. 1 Bst. e Ziff. 1 EG ArR. Nur arbeitsrechtlicher Feiertagsgeltungsbereich, kein allgemeiner Fristenkalender.</x:t>
  </x:si>
  <x:si>
    <x:t xml:space="preserve">Gemeinde Hellikon
Gemeinde Mumpf
Gemeinde Obermumpf
Gemeinde Schupfart
Gemeinde Stein
Gemeinde Wegenstetten</x:t>
  </x:si>
  <x:si>
    <x:t xml:space="preserve">§ 6 Abs. 1 Bst. e Ziff. 1</x:t>
  </x:si>
  <x:si>
    <x:t xml:space="preserve">AG-ARG-RHEINFELDEN-E2</x:t>
  </x:si>
  <x:si>
    <x:t xml:space="preserve">Gemeinden Kaiseraugst, Magden, Möhlin, Olsberg, Rheinfelden, Wallbach, Zeiningen und Zuzgen</x:t>
  </x:si>
  <x:si>
    <x:t xml:space="preserve">Communes de Kaiseraugst, Magden, Möhlin, Olsberg, Rheinfelden, Wallbach, Zeiningen et Zuzgen</x:t>
  </x:si>
  <x:si>
    <x:t xml:space="preserve">Comuni di Kaiseraugst, Magden, Möhlin, Olsberg, Rheinfelden, Wallbach, Zeiningen e Zuzgen</x:t>
  </x:si>
  <x:si>
    <x:t xml:space="preserve">Vischnancas da Kaiseraugst, Magden, Möhlin, Olsberg, Rheinfelden, Wallbach, Zeiningen e Zuzgen</x:t>
  </x:si>
  <x:si>
    <x:t xml:space="preserve">§ 6 Abs. 1 Bst. e Ziff. 2 EG ArR. Nur arbeitsrechtlicher Feiertagsgeltungsbereich, kein allgemeiner Fristenkalender.</x:t>
  </x:si>
  <x:si>
    <x:t xml:space="preserve">Gemeinde Kaiseraugst
Gemeinde Magden
Gemeinde Möhlin
Gemeinde Olsberg
Gemeinde Rheinfelden
Gemeinde Wallbach
Gemeinde Zeiningen
Gemeinde Zuzgen</x:t>
  </x:si>
  <x:si>
    <x:t xml:space="preserve">§ 6 Abs. 1 Bst. e Ziff. 2</x:t>
  </x:si>
  <x:si>
    <x:t xml:space="preserve">AG-ARG-ZURZACH</x:t>
  </x:si>
  <x:si>
    <x:t xml:space="preserve">Bezirk Zurzach</x:t>
  </x:si>
  <x:si>
    <x:t xml:space="preserve">District de Zurzach</x:t>
  </x:si>
  <x:si>
    <x:t xml:space="preserve">Distretto di Zurzach</x:t>
  </x:si>
  <x:si>
    <x:t xml:space="preserve">District da Zurzach</x:t>
  </x:si>
  <x:si>
    <x:t xml:space="preserve">§ 6 Abs. 1 Bst. f EG ArR. Nur arbeitsrechtlicher Feiertagsgeltungsbereich, kein allgemeiner Fristenkalender.</x:t>
  </x:si>
  <x:si>
    <x:t xml:space="preserve">§ 6 Abs. 1 Bst. f</x:t>
  </x:si>
  <x:si>
    <x:t xml:space="preserve">TI-OFFICIAL-ALL</x:t>
  </x:si>
  <x:si>
    <x:t xml:space="preserve">Tessin, offizielle Feiertage</x:t>
  </x:si>
  <x:si>
    <x:t xml:space="preserve">Canton du Tessin</x:t>
  </x:si>
  <x:si>
    <x:t xml:space="preserve">Cantone Ticino</x:t>
  </x:si>
  <x:si>
    <x:t xml:space="preserve">Chantun Tessin</x:t>
  </x:si>
  <x:si>
    <x:t xml:space="preserve">Tessin</x:t>
  </x:si>
  <x:si>
    <x:t xml:space="preserve">Alle 15 Tage nach Art. 1 RL 843.200. Keine Einschränkung auf neun arbeitsrechtlich sonntagsgleiche Feiertage.</x:t>
  </x:si>
  <x:si>
    <x:t xml:space="preserve">SRC-TI-FEIERTAGE-843200</x:t>
  </x:si>
  <x:si>
    <x:t xml:space="preserve">GR-PUBLIC-ALL</x:t>
  </x:si>
  <x:si>
    <x:t xml:space="preserve">Graubünden, kantonale Grundliste</x:t>
  </x:si>
  <x:si>
    <x:t xml:space="preserve">Canton des Grisons</x:t>
  </x:si>
  <x:si>
    <x:t xml:space="preserve">Cantone dei Grigioni</x:t>
  </x:si>
  <x:si>
    <x:t xml:space="preserve">Chantun Grischun</x:t>
  </x:si>
  <x:si>
    <x:t xml:space="preserve">Graubünden</x:t>
  </x:si>
  <x:si>
    <x:t xml:space="preserve">Art. 2 Ruhetagsgesetz plus separat angewendete Bundesregel. Keine kommunalen Beschlüsse. VRG-Annahme und örtliche Wirkung ausschliesslich im Verfahrensbezug.</x:t>
  </x:si>
  <x:si>
    <x:t xml:space="preserve">SRC-GR-RUHETAGE-520100-20160101</x:t>
  </x:si>
  <x:si>
    <x:t xml:space="preserve">Art. 2</x:t>
  </x:si>
  <x:si>
    <x:t xml:space="preserve">VS-PUBLIC-ALL</x:t>
  </x:si>
  <x:si>
    <x:t xml:space="preserve">Wallis, namentliche allgemeine Feiertagsgrundliste</x:t>
  </x:si>
  <x:si>
    <x:t xml:space="preserve">Valais, liste de base des jours fériés nommés</x:t>
  </x:si>
  <x:si>
    <x:t xml:space="preserve">Vallese, elenco di base dei giorni festivi generali indicati</x:t>
  </x:si>
  <x:si>
    <x:t xml:space="preserve">Vallais, glista da basa dals firads generals numnads</x:t>
  </x:si>
  <x:si>
    <x:t xml:space="preserve">Wallis</x:t>
  </x:si>
  <x:si>
    <x:t xml:space="preserve">Acht namentliche Reglementstage plus Bundesfeier. Keine vollständige Erhebung zusätzlicher diözesaner Festtage. Prozessergänzungen in eigenem Geltungsbereich.</x:t>
  </x:si>
  <x:si>
    <x:t xml:space="preserve">SRC-VS-RUHEREG-822200-19661202</x:t>
  </x:si>
  <x:si>
    <x:t xml:space="preserve">VS-LOJ-ADDITIONAL</x:t>
  </x:si>
  <x:si>
    <x:t xml:space="preserve">Wallis, vier Prozessergänzungen nach Art. 37 RPflG</x:t>
  </x:si>
  <x:si>
    <x:t xml:space="preserve">Valais, quatre jours supplémentaires selon l’art. 37 LOJ</x:t>
  </x:si>
  <x:si>
    <x:t xml:space="preserve">Vallese, quattro giorni supplementari secondo l’art. 37 RPflG</x:t>
  </x:si>
  <x:si>
    <x:t xml:space="preserve">Vallais, quatter dis supplementars tenor l’art. 37 RPflG</x:t>
  </x:si>
  <x:si>
    <x:t xml:space="preserve">Nur Art. 37 Abs. 1 Bst. c. Kein alleinstehender vollständiger Prozesskalender. Bst. a und b verweisen auf Bundesrecht und Ruhegesetz samt Reglement.</x:t>
  </x:si>
  <x:si>
    <x:t xml:space="preserve">SRC-VS-RPFLG-1731-20240101</x:t>
  </x:si>
  <x:si>
    <x:t xml:space="preserve">Art. 37 Abs. 1</x:t>
  </x:si>
  <x:si>
    <x:t xml:space="preserve">GE-OFFICIAL-ALL</x:t>
  </x:si>
  <x:si>
    <x:t xml:space="preserve">Genf, gesetzliche Feiertage nach Art. 1 Abs. 1 LJF</x:t>
  </x:si>
  <x:si>
    <x:t xml:space="preserve">Genève, jours fériés selon l’art. 1 al. 1 LJF</x:t>
  </x:si>
  <x:si>
    <x:t xml:space="preserve">Ginevra, giorni festivi secondo l’art. 1 cpv. 1 LJF</x:t>
  </x:si>
  <x:si>
    <x:t xml:space="preserve">Genevra, firads tenor l’art. 1 al. 1 LJF</x:t>
  </x:si>
  <x:si>
    <x:t xml:space="preserve">Genf</x:t>
  </x:si>
  <x:si>
    <x:t xml:space="preserve">Neun Tage nach Art. 1 Abs. 1. Keine zusätzlichen Folgetage nach Abs. 2, keine Übernahme von Personalurlaub oder Schliesszeiten.</x:t>
  </x:si>
  <x:si>
    <x:t xml:space="preserve">SRC-GE-LJF-J145-19910101</x:t>
  </x:si>
  <x:si>
    <x:t xml:space="preserve">Art. 1 Abs. 1</x:t>
  </x:si>
  <x:si>
    <x:t xml:space="preserve">FR-BAMG-CATHOLIC</x:t>
  </x:si>
  <x:si>
    <x:t xml:space="preserve">Freiburg, katholisches BAMG-Gebiet</x:t>
  </x:si>
  <x:si>
    <x:t xml:space="preserve">Fribourg, territoire catholique LEMT</x:t>
  </x:si>
  <x:si>
    <x:t xml:space="preserve">Friburgo, territorio cattolico LEMT</x:t>
  </x:si>
  <x:si>
    <x:t xml:space="preserve">Friburg, territori catolic BAMG</x:t>
  </x:si>
  <x:si>
    <x:t xml:space="preserve">Freiburg</x:t>
  </x:si>
  <x:si>
    <x:t xml:space="preserve">Arbeitsrechtliche Gebietsliste: Kanton abzüglich der konkret erfassten zehn Gemeinden und zwei Orte. Geschäftssitz/Zweigniederlassung nach Art. 49 Abs. 5, keine persönliche Konfessionswahl. Acht kantonale Tage plus offene Bundesanwendung.</x:t>
  </x:si>
  <x:si>
    <x:t xml:space="preserve">Freiburg
Wünnewil-Flamatt
Ausnahme: Courgevaux
Ausnahme: Fräschels
Ausnahme: Greng
Ausnahme: Kerzers
Ausnahme: Meyriez
Ausnahme: Muntelier
Ausnahme: Murten
Ausnahme: Ried bei Kerzers
Ausnahme: Ulmiz
Ausnahme: Mont-Vully
Ausnahme: Flamatt
Ausnahme: Sensebrügg</x:t>
  </x:si>
  <x:si>
    <x:t xml:space="preserve">SRC-FR-BAMG-866111-V8126</x:t>
  </x:si>
  <x:si>
    <x:t xml:space="preserve">Art. 49 Abs. 2, Abs. 3 Bst. a, Abs. 4 und 5</x:t>
  </x:si>
  <x:si>
    <x:t xml:space="preserve">Arbeitsrechtlicher Feiertag / Öffentlicher Feiertag</x:t>
  </x:si>
  <x:si>
    <x:t xml:space="preserve">FR-BAMG-REFORMED</x:t>
  </x:si>
  <x:si>
    <x:t xml:space="preserve">Freiburg, reformiertes BAMG-Gebiet</x:t>
  </x:si>
  <x:si>
    <x:t xml:space="preserve">Fribourg, territoire réformé LEMT</x:t>
  </x:si>
  <x:si>
    <x:t xml:space="preserve">Friburgo, territorio riformato LEMT</x:t>
  </x:si>
  <x:si>
    <x:t xml:space="preserve">Friburg, territori refurmà BAMG</x:t>
  </x:si>
  <x:si>
    <x:t xml:space="preserve">Arbeitsrechtliche Gebietsliste: zehn bezeichnete Gemeinden sowie Flamatt und Sensebrügg, nicht ganz Wünnewil-Flamatt. Acht kantonale Tage plus offene Bundesanwendung. Keine Übertragung auf JG.</x:t>
  </x:si>
  <x:si>
    <x:t xml:space="preserve">Courgevaux
Fräschels
Greng
Kerzers
Meyriez
Muntelier
Murten
Ried bei Kerzers
Ulmiz
Mont-Vully
Flamatt
Sensebrügg</x:t>
  </x:si>
  <x:si>
    <x:t xml:space="preserve">Art. 49 Abs. 2, Abs. 3 Bst. b, Abs. 4 und 5</x:t>
  </x:si>
  <x:si>
    <x:t xml:space="preserve">FR-JG-ALL</x:t>
  </x:si>
  <x:si>
    <x:t xml:space="preserve">Freiburg, kantonsweite JG-Fristenliste</x:t>
  </x:si>
  <x:si>
    <x:t xml:space="preserve">Fribourg, liste cantonale des délais LJ</x:t>
  </x:si>
  <x:si>
    <x:t xml:space="preserve">Friburgo, elenco cantonale dei termini LJ</x:t>
  </x:si>
  <x:si>
    <x:t xml:space="preserve">Friburg, glista chantunala da termins JG</x:t>
  </x:si>
  <x:si>
    <x:t xml:space="preserve">15 eigene Tage nach Art. 121 Abs. 2, unabhängig von den BAMG-Regionalgruppen. Stundenfristen-Ausnahme Abs. 3 und Verfahrensanknüpfung gesondert. 1. August bereits enthalten.</x:t>
  </x:si>
  <x:si>
    <x:t xml:space="preserve">SRC-FR-JG-1301-V7926</x:t>
  </x:si>
  <x:si>
    <x:t xml:space="preserve">Art. 121 Abs. 1–3</x:t>
  </x:si>
  <x:si>
    <x:t xml:space="preserve">SO-RTG-EXCEPT-BUCHEGGBERG</x:t>
  </x:si>
  <x:si>
    <x:t xml:space="preserve">Solothurn, RTG ohne Bezirk Bucheggberg</x:t>
  </x:si>
  <x:si>
    <x:t xml:space="preserve">Soleure, RTG hors district de Bucheggberg</x:t>
  </x:si>
  <x:si>
    <x:t xml:space="preserve">Soletta, RTG escluso distretto di Bucheggberg</x:t>
  </x:si>
  <x:si>
    <x:t xml:space="preserve">Soloturn, RTG senza district da Bucheggberg</x:t>
  </x:si>
  <x:si>
    <x:t xml:space="preserve">Solothurn</x:t>
  </x:si>
  <x:si>
    <x:t xml:space="preserve">Elf benannte kantonale RTG-Tage plus offene Bundesanwendung. 1. Mai ausschliesslich ab 12.00 Uhr. Kantonsgebiet abzüglich Bezirk Bucheggberg. Kommunales Recht ausgeschlossen, Fristwirkung offen.</x:t>
  </x:si>
  <x:si>
    <x:t xml:space="preserve">Solothurn
Ausnahme: Bezirk Bucheggberg</x:t>
  </x:si>
  <x:si>
    <x:t xml:space="preserve">SRC-SO-RTG-51241-V4319</x:t>
  </x:si>
  <x:si>
    <x:t xml:space="preserve">§ 2 Abs. 1 Bst. b und c</x:t>
  </x:si>
  <x:si>
    <x:t xml:space="preserve">SO-RTG-BUCHEGGBERG</x:t>
  </x:si>
  <x:si>
    <x:t xml:space="preserve">Solothurn, RTG Bezirk Bucheggberg</x:t>
  </x:si>
  <x:si>
    <x:t xml:space="preserve">Soleure, RTG district de Bucheggberg</x:t>
  </x:si>
  <x:si>
    <x:t xml:space="preserve">Soletta, RTG distretto di Bucheggberg</x:t>
  </x:si>
  <x:si>
    <x:t xml:space="preserve">Soloturn, RTG district da Bucheggberg</x:t>
  </x:si>
  <x:si>
    <x:t xml:space="preserve">Acht benannte kantonale RTG-Tage plus offene Bundesanwendung. Fronleichnam, Maria Himmelfahrt und Allerheiligen nicht in dieser RTG-Liste. Kein pauschaler Ausschluss möglicher verfahrensrechtlicher Gleichstellungen. 1. Mai ab 12.00 Uhr.</x:t>
  </x:si>
  <x:si>
    <x:t xml:space="preserve">Bezirk Bucheggberg</x:t>
  </x:si>
  <x:si>
    <x:t xml:space="preserve">ZH-RLG-ALL</x:t>
  </x:si>
  <x:si>
    <x:t xml:space="preserve">Zürich, RLG-Ruhetage</x:t>
  </x:si>
  <x:si>
    <x:t xml:space="preserve">Zurich, profil des jours de repos</x:t>
  </x:si>
  <x:si>
    <x:t xml:space="preserve">Zurigo, profilo dei giorni di riposo</x:t>
  </x:si>
  <x:si>
    <x:t xml:space="preserve">Turitg, profil dals dis da paus</x:t>
  </x:si>
  <x:si>
    <x:t xml:space="preserve">Zürich</x:t>
  </x:si>
  <x:si>
    <x:t xml:space="preserve">Neun namentliche Nichtsonntagstage und drei eigens benannte hohe Sonntage. Berchtoldstag, Sechseläuten und Knabenschiessen nicht in dieser RLG-Liste.</x:t>
  </x:si>
  <x:si>
    <x:t xml:space="preserve">SRC-ZH-RLG-8224-N045</x:t>
  </x:si>
  <x:si>
    <x:t xml:space="preserve">§ 1 Abs. 1 und 2</x:t>
  </x:si>
  <x:si>
    <x:t xml:space="preserve">ZH-GOG-ALL</x:t>
  </x:si>
  <x:si>
    <x:t xml:space="preserve">Zürich, GOG-Fristenliste</x:t>
  </x:si>
  <x:si>
    <x:t xml:space="preserve">Zurich, profil procédural</x:t>
  </x:si>
  <x:si>
    <x:t xml:space="preserve">Zurigo, profilo procedurale</x:t>
  </x:si>
  <x:si>
    <x:t xml:space="preserve">Turitg, profil procedural</x:t>
  </x:si>
  <x:si>
    <x:t xml:space="preserve">Eigenständige Liste von zehn Tagen nach § 122 GOG einschliesslich Berchtoldstag. Keine allgemeine Arbeitsfeiertagsliste und keine pauschale Zuordnung aller Verfahren.</x:t>
  </x:si>
  <x:si>
    <x:t xml:space="preserve">SRC-ZH-GOG-2111-N131</x:t>
  </x:si>
  <x:si>
    <x:t xml:space="preserve">§ 122</x:t>
  </x:si>
  <x:si>
    <x:t xml:space="preserve">SH-RTG-ALL</x:t>
  </x:si>
  <x:si>
    <x:t xml:space="preserve">Schaffhausen, RTG-Ruhetage</x:t>
  </x:si>
  <x:si>
    <x:t xml:space="preserve">Schaffhouse, profil des jours de repos</x:t>
  </x:si>
  <x:si>
    <x:t xml:space="preserve">Sciaffusa, profilo dei giorni di riposo</x:t>
  </x:si>
  <x:si>
    <x:t xml:space="preserve">Schaffusa, profil dals dis da paus</x:t>
  </x:si>
  <x:si>
    <x:t xml:space="preserve">Schaffhausen</x:t>
  </x:si>
  <x:si>
    <x:t xml:space="preserve">Neun namentliche Nichtsonntagstage und drei eigens benannte hohe Sonntage. Berchtoldstag nur im gesonderten ZPO-Ergänzungsprofil.</x:t>
  </x:si>
  <x:si>
    <x:t xml:space="preserve">SRC-SH-RTG-900200-V1886</x:t>
  </x:si>
  <x:si>
    <x:t xml:space="preserve">Art. 1 Abs. 1 und Art. 2</x:t>
  </x:si>
  <x:si>
    <x:t xml:space="preserve">SH-ZPO-ADDITIONAL</x:t>
  </x:si>
  <x:si>
    <x:t xml:space="preserve">Schaffhausen, ZPO-Ergänzung Berchtoldstag</x:t>
  </x:si>
  <x:si>
    <x:t xml:space="preserve">Schaffhouse, profil procédural</x:t>
  </x:si>
  <x:si>
    <x:t xml:space="preserve">Sciaffusa, profilo procedurale</x:t>
  </x:si>
  <x:si>
    <x:t xml:space="preserve">Schaffusa, profil procedural</x:t>
  </x:si>
  <x:si>
    <x:t xml:space="preserve">Nur Ergänzung zum passenden Grundprofil, keine vollständige Feiertagsliste. ZPO-Rechtsprechung, keine automatische Wirkung auf StPO, BGG, ATSG oder Verwaltungsrecht.</x:t>
  </x:si>
  <x:si>
    <x:t xml:space="preserve">SRC-SH-OGE-4020181K-20180824</x:t>
  </x:si>
  <x:si>
    <x:t xml:space="preserve">OGE 40/2018/1/K, E. 2.1.1–2.1.4</x:t>
  </x:si>
  <x:si>
    <x:t xml:space="preserve">TG-RTG-ALL</x:t>
  </x:si>
  <x:si>
    <x:t xml:space="preserve">Thurgau, RTG-Ruhetage ab 2026</x:t>
  </x:si>
  <x:si>
    <x:t xml:space="preserve">Thurgovie, profil des jours de repos</x:t>
  </x:si>
  <x:si>
    <x:t xml:space="preserve">Turgovia, profilo dei giorni di riposo</x:t>
  </x:si>
  <x:si>
    <x:t xml:space="preserve">Turgovia, profil dals dis da paus</x:t>
  </x:si>
  <x:si>
    <x:t xml:space="preserve">Thurgau</x:t>
  </x:si>
  <x:si>
    <x:t xml:space="preserve">Neues RTG vom 05.02.2025, Stand 01.01.2026. Zehn namentliche Nichtsonntagstage und drei eigens benannte hohe Sonntage. Nicht auf die aufgehobene RTG-Fassung abstellen.</x:t>
  </x:si>
  <x:si>
    <x:t xml:space="preserve">SRC-TG-RTG-8229-V2949</x:t>
  </x:si>
  <x:si>
    <x:t xml:space="preserve">§ 1 und § 2</x:t>
  </x:si>
  <x:si>
    <x:t xml:space="preserve">SG-RLG-ALL</x:t>
  </x:si>
  <x:si>
    <x:t xml:space="preserve">St. Gallen, RLG-Ruhetage</x:t>
  </x:si>
  <x:si>
    <x:t xml:space="preserve">Saint-Gall, profil des jours de repos</x:t>
  </x:si>
  <x:si>
    <x:t xml:space="preserve">San Gallo, profilo dei giorni di riposo</x:t>
  </x:si>
  <x:si>
    <x:t xml:space="preserve">Son Gagl, profil dals dis da paus</x:t>
  </x:si>
  <x:si>
    <x:t xml:space="preserve">St. Gallen</x:t>
  </x:si>
  <x:si>
    <x:t xml:space="preserve">Neun namentliche Nichtsonntagstage und drei eigens benannte hohe Sonntage. Kein 1. Mai, kein Fronleichnam. Berchtoldstag als gesonderte ZPO-Ergänzung.</x:t>
  </x:si>
  <x:si>
    <x:t xml:space="preserve">SRC-SG-RLG-5521-V228</x:t>
  </x:si>
  <x:si>
    <x:t xml:space="preserve">Art. 2 und Art. 3</x:t>
  </x:si>
  <x:si>
    <x:t xml:space="preserve">SG-ZPO-ADDITIONAL</x:t>
  </x:si>
  <x:si>
    <x:t xml:space="preserve">St. Gallen, ZPO-Ergänzung Berchtoldstag</x:t>
  </x:si>
  <x:si>
    <x:t xml:space="preserve">Saint-Gall, profil procédural</x:t>
  </x:si>
  <x:si>
    <x:t xml:space="preserve">San Gallo, profilo procedurale</x:t>
  </x:si>
  <x:si>
    <x:t xml:space="preserve">Son Gagl, profil procedural</x:t>
  </x:si>
  <x:si>
    <x:t xml:space="preserve">Nur Ergänzung zum passenden Grundprofil, keine vollständige Feiertagsliste. Entscheid 29.03.2012, nicht Datum des vorinstanzlichen Entscheids 24.11.2011.</x:t>
  </x:si>
  <x:si>
    <x:t xml:space="preserve">SRC-SG-KGER-FS20121-20120329</x:t>
  </x:si>
  <x:si>
    <x:t xml:space="preserve">FS.2012.1, Erwägungen zur Fristwahrung</x:t>
  </x:si>
  <x:si>
    <x:t xml:space="preserve">AR-ARG-ALL</x:t>
  </x:si>
  <x:si>
    <x:t xml:space="preserve">Appenzell Ausserrhoden, Arbeitsfeiertage mit bedingtem Stephanstag</x:t>
  </x:si>
  <x:si>
    <x:t xml:space="preserve">Appenzell Rhodes-Extérieures, profil des jours de repos</x:t>
  </x:si>
  <x:si>
    <x:t xml:space="preserve">Appenzello Esterno, profilo dei giorni di riposo</x:t>
  </x:si>
  <x:si>
    <x:t xml:space="preserve">Appenzell Dadora, profil dals dis da paus</x:t>
  </x:si>
  <x:si>
    <x:t xml:space="preserve">Appenzell Ausserrhoden</x:t>
  </x:si>
  <x:si>
    <x:t xml:space="preserve">Stephanstag nach Art. 7 Abs. 1 Arbeitsverordnung: 26. Dezember ausser Dienstag oder Samstag. Fachlich bestätigt am 22.09.2026, als bedingte Regel ergänzt. Keine pauschale Freigabe einer Fristwirkung.</x:t>
  </x:si>
  <x:si>
    <x:t xml:space="preserve">SRC-AR-ARGV-82211-V1058</x:t>
  </x:si>
  <x:si>
    <x:t xml:space="preserve">Art. 7</x:t>
  </x:si>
  <x:si>
    <x:t xml:space="preserve">AI-RTG-ALL</x:t>
  </x:si>
  <x:si>
    <x:t xml:space="preserve">Appenzell Innerrhoden, kantonsweite RTG-Tage mit bedingtem Stephanstag</x:t>
  </x:si>
  <x:si>
    <x:t xml:space="preserve">Appenzell Rhodes-Intérieures, profil des jours de repos</x:t>
  </x:si>
  <x:si>
    <x:t xml:space="preserve">Appenzello Interno, profilo dei giorni di riposo</x:t>
  </x:si>
  <x:si>
    <x:t xml:space="preserve">Appenzell Dadens, profil dals dis da paus</x:t>
  </x:si>
  <x:si>
    <x:t xml:space="preserve">Appenzell Innerrhoden</x:t>
  </x:si>
  <x:si>
    <x:t xml:space="preserve">Stephanstag nach Art. 2 Abs. 1 Bst. b RTG: 26. Dezember ausser Dienstag oder Samstag. David Steimer entscheidet am 22.09.2026 zugunsten der Norm. Die abweichende amtliche Liste für 26.12.2026 bleibt als Quellenabweichung dokumentiert, nicht als amtlich korrigiert.</x:t>
  </x:si>
  <x:si>
    <x:t xml:space="preserve">SRC-AI-RTG-822200-V1327</x:t>
  </x:si>
  <x:si>
    <x:t xml:space="preserve">Art. 2 Abs. 1 Bst. b und c sowie Art. 3</x:t>
  </x:si>
  <x:si>
    <x:t xml:space="preserve">AI-RTG-INNER-ADDITIONAL</x:t>
  </x:si>
  <x:si>
    <x:t xml:space="preserve">Appenzell Innerrhoden, St. Mauritius im inneren Landesteil</x:t>
  </x:si>
  <x:si>
    <x:t xml:space="preserve">Appenzell Rhodes-Intérieures, complément Saint-Maurice, partie intérieure</x:t>
  </x:si>
  <x:si>
    <x:t xml:space="preserve">Appenzello Interno, complemento San Maurizio, parte interna</x:t>
  </x:si>
  <x:si>
    <x:t xml:space="preserve">Appenzell Dadens, cumplettaziun Son Murezi, part interna</x:t>
  </x:si>
  <x:si>
    <x:t xml:space="preserve">Nur regionale Ergänzung am 22. September. Innerer Landesteil mit Appenzell, Schwende-Rüte, Schlatt-Haslen und Gonten. Kein Einbezug von Oberegg. Grundlage ist kantonales Recht, kein eigenständiges kommunales Fest.</x:t>
  </x:si>
  <x:si>
    <x:t xml:space="preserve">Appenzell
Schwende-Rüte
Schlatt-Haslen
Gonten</x:t>
  </x:si>
  <x:si>
    <x:t xml:space="preserve">Art. 2 Abs. 1 Bst. c</x:t>
  </x:si>
  <x:si>
    <x:t xml:space="preserve">LU-RLG-ALL</x:t>
  </x:si>
  <x:si>
    <x:t xml:space="preserve">Luzern, kantonsweite Ruhetagsliste</x:t>
  </x:si>
  <x:si>
    <x:t xml:space="preserve">Lucerne, jours de repos cantonaux</x:t>
  </x:si>
  <x:si>
    <x:t xml:space="preserve">Lucerna, giorni di riposo cantonali</x:t>
  </x:si>
  <x:si>
    <x:t xml:space="preserve">Lucerna, dis da ruaus chantunals</x:t>
  </x:si>
  <x:si>
    <x:t xml:space="preserve">Luzern</x:t>
  </x:si>
  <x:si>
    <x:t xml:space="preserve">Zehn kantonsweite Tage in § 1a Abs. 1 Bst. b, davon 1. August als offene Bundesanwendung. Drei weitere ausdrücklich benannte Sonntage in § 2. Kommunale Patronstage und Josefstag nach Bst. c ausgeschlossen.</x:t>
  </x:si>
  <x:si>
    <x:t xml:space="preserve">SRC-LU-RLG-855-20200501</x:t>
  </x:si>
  <x:si>
    <x:t xml:space="preserve">§ 1a Abs. 1 Bst. b und Abs. 2 / § 2</x:t>
  </x:si>
  <x:si>
    <x:t xml:space="preserve">LU-JUSG-ART76</x:t>
  </x:si>
  <x:si>
    <x:t xml:space="preserve">Luzern, JusG, eigene Liste für ZPO/StPO</x:t>
  </x:si>
  <x:si>
    <x:t xml:space="preserve">Lucerne, liste des délais JusG</x:t>
  </x:si>
  <x:si>
    <x:t xml:space="preserve">Lucerna, elenco dei termini JusG</x:t>
  </x:si>
  <x:si>
    <x:t xml:space="preserve">Lucerna, glista da termins JusG</x:t>
  </x:si>
  <x:si>
    <x:t xml:space="preserve">13 eigene gesetzlich anerkannte Feiertage für Art. 142 Abs. 3 ZPO und Art. 90 Abs. 2 StPO. Nicht aus der arbeitsrechtlichen Liste abgeleitet. Gesetzliche Ortsanknüpfung und Spezialrecht bleiben zu prüfen.</x:t>
  </x:si>
  <x:si>
    <x:t xml:space="preserve">SRC-LU-JUSG-260-20260101</x:t>
  </x:si>
  <x:si>
    <x:t xml:space="preserve">§ 76</x:t>
  </x:si>
  <x:si>
    <x:t xml:space="preserve">LU-VRG-ADDITIONAL</x:t>
  </x:si>
  <x:si>
    <x:t xml:space="preserve">Luzern, VRG, drei zusätzliche Fristentage</x:t>
  </x:si>
  <x:si>
    <x:t xml:space="preserve">Lucerne, trois jours supplémentaires VRG</x:t>
  </x:si>
  <x:si>
    <x:t xml:space="preserve">Lucerna, tre giorni supplementari VRG</x:t>
  </x:si>
  <x:si>
    <x:t xml:space="preserve">Lucerna, trais dis supplementars VRG</x:t>
  </x:si>
  <x:si>
    <x:t xml:space="preserve">Nur die drei Zusatztage. Keine vollständige VRG-Liste. Öffentliche Ruhetage aus LU-RLG-ALL separat anzuknüpfen, Patroziniumsfest und Josefstag ausdrücklich ausgenommen. Rückwärtsfristen nach Abs. 2 separat.</x:t>
  </x:si>
  <x:si>
    <x:t xml:space="preserve">SRC-LU-VRG-40-20210901</x:t>
  </x:si>
  <x:si>
    <x:t xml:space="preserve">§ 34 Abs. 1 Satz 2</x:t>
  </x:si>
  <x:si>
    <x:t xml:space="preserve">UR-LSG-ALL</x:t>
  </x:si>
  <x:si>
    <x:t xml:space="preserve">Uri, kantonsweite Ruhetagsliste</x:t>
  </x:si>
  <x:si>
    <x:t xml:space="preserve">Uri, jours de repos cantonaux</x:t>
  </x:si>
  <x:si>
    <x:t xml:space="preserve">Uri, giorni di riposo cantonali</x:t>
  </x:si>
  <x:si>
    <x:t xml:space="preserve">Uri, dis da ruaus chantunals</x:t>
  </x:si>
  <x:si>
    <x:t xml:space="preserve">Uri</x:t>
  </x:si>
  <x:si>
    <x:t xml:space="preserve">14 namentliche kantonsweite Ruhetage. Gemeindefeiertage nach Bst. c nicht erhoben. ArG-Teilmenge aus Art. 6 KAV getrennt. Kein zusätzlicher benannter Sonntag im LSG.</x:t>
  </x:si>
  <x:si>
    <x:t xml:space="preserve">SRC-UR-LSG-701421-20030101</x:t>
  </x:si>
  <x:si>
    <x:t xml:space="preserve">Art. 9 Abs. 1 Bst. b</x:t>
  </x:si>
  <x:si>
    <x:t xml:space="preserve">SZ-RTG-ALL</x:t>
  </x:si>
  <x:si>
    <x:t xml:space="preserve">Schwyz, kantonsweite Ruhetagsliste</x:t>
  </x:si>
  <x:si>
    <x:t xml:space="preserve">Schwytz, jours de repos cantonaux</x:t>
  </x:si>
  <x:si>
    <x:t xml:space="preserve">Svitto, giorni di riposo cantonali</x:t>
  </x:si>
  <x:si>
    <x:t xml:space="preserve">Sviz, dis da ruaus chantunals</x:t>
  </x:si>
  <x:si>
    <x:t xml:space="preserve">Schwyz</x:t>
  </x:si>
  <x:si>
    <x:t xml:space="preserve">Elf Feiertage und sechs hohe Feiertage, insgesamt 17 benannte Tage. Gemeindefeiertage nach Ziff. 4 nicht erhoben. ArG-Teilmenge nach Abs. 2 ausdrücklich enger.</x:t>
  </x:si>
  <x:si>
    <x:t xml:space="preserve">SRC-SZ-RTG-545110-20180701</x:t>
  </x:si>
  <x:si>
    <x:t xml:space="preserve">§ 2 Abs. 1 Ziff. 2 und 3</x:t>
  </x:si>
  <x:si>
    <x:t xml:space="preserve">OW-RTG-ALL</x:t>
  </x:si>
  <x:si>
    <x:t xml:space="preserve">Obwalden, kantonsweite Ruhetagsliste</x:t>
  </x:si>
  <x:si>
    <x:t xml:space="preserve">Obwald, jours de repos cantonaux</x:t>
  </x:si>
  <x:si>
    <x:t xml:space="preserve">Obvaldo, giorni di riposo cantonali</x:t>
  </x:si>
  <x:si>
    <x:t xml:space="preserve">Sursilvania, dis da ruaus chantunals</x:t>
  </x:si>
  <x:si>
    <x:t xml:space="preserve">Obwalden</x:t>
  </x:si>
  <x:si>
    <x:t xml:space="preserve">Acht Feiertage und fünf hohe Feiertage. Bruderklausenfest 25. September ist kantonaler Ruhetag, nicht nur Personalfreitag. Kommunaler Lokalfeiertag nach Abs. 2 nicht erhoben. ArG-Teilmenge nach Abs. 3 enger.</x:t>
  </x:si>
  <x:si>
    <x:t xml:space="preserve">SRC-OW-RTG-9752-20090801</x:t>
  </x:si>
  <x:si>
    <x:t xml:space="preserve">Art. 2 Abs. 1 Bst. b und c</x:t>
  </x:si>
  <x:si>
    <x:t xml:space="preserve">NW-RTG-ALL</x:t>
  </x:si>
  <x:si>
    <x:t xml:space="preserve">Nidwalden, kantonsweite Ruhetagsliste</x:t>
  </x:si>
  <x:si>
    <x:t xml:space="preserve">Nidwald, jours de repos cantonaux</x:t>
  </x:si>
  <x:si>
    <x:t xml:space="preserve">Nidvaldo, giorni di riposo cantonali</x:t>
  </x:si>
  <x:si>
    <x:t xml:space="preserve">Sutsilvania, dis da ruaus chantunals</x:t>
  </x:si>
  <x:si>
    <x:t xml:space="preserve">Nidwalden</x:t>
  </x:si>
  <x:si>
    <x:t xml:space="preserve">Acht Feiertage und fünf hohe Feiertage. Josefstag ist Ruhetag, jedoch nicht in ArG-Teilmenge Abs. 2. Kommunale zusätzliche Feiertage und blosse Personal-Schliesstage sind nicht enthalten.</x:t>
  </x:si>
  <x:si>
    <x:t xml:space="preserve">SRC-NW-RTG-9211-20160101</x:t>
  </x:si>
  <x:si>
    <x:t xml:space="preserve">Art. 2 Abs. 1 Ziff. 2 und 3</x:t>
  </x:si>
  <x:si>
    <x:t xml:space="preserve">ZG-RLG-ALL</x:t>
  </x:si>
  <x:si>
    <x:t xml:space="preserve">Zug, kantonsweite Ruhetagsliste</x:t>
  </x:si>
  <x:si>
    <x:t xml:space="preserve">Zoug, jours de repos cantonaux</x:t>
  </x:si>
  <x:si>
    <x:t xml:space="preserve">Zugo, giorni di riposo cantonali</x:t>
  </x:si>
  <x:si>
    <x:t xml:space="preserve">Zug, dis da ruaus chantunals</x:t>
  </x:si>
  <x:si>
    <x:t xml:space="preserve">Zug</x:t>
  </x:si>
  <x:si>
    <x:t xml:space="preserve">Neun explizite Feiertage aus § 1 plus die drei im Ladenöffnungsrecht § 5 Abs. 2 benannten Sonntage Ostern, Pfingsten, Bettag. Keine eigenständige gesetzliche Kategorie hohe Feiertage behauptet. VRG-Liste separat.</x:t>
  </x:si>
  <x:si>
    <x:t xml:space="preserve">SRC-ZG-RLG-94231-20250822</x:t>
  </x:si>
  <x:si>
    <x:t xml:space="preserve">§ 1 Abs. 1 Bst. b / § 5 Abs. 2</x:t>
  </x:si>
  <x:si>
    <x:t xml:space="preserve">ZG-VRG-ART10</x:t>
  </x:si>
  <x:si>
    <x:t xml:space="preserve">Zug, VRG, eigene Fristenliste</x:t>
  </x:si>
  <x:si>
    <x:t xml:space="preserve">Zoug, liste des délais VRG</x:t>
  </x:si>
  <x:si>
    <x:t xml:space="preserve">Zugo, elenco dei termini VRG</x:t>
  </x:si>
  <x:si>
    <x:t xml:space="preserve">Zug, glista da termins VRG</x:t>
  </x:si>
  <x:si>
    <x:t xml:space="preserve">16 eigenständig aufgezählte Tage. Einschliesslich Berchtoldstag, Oster- und Pfingstmontag sowie Stephanstag. Diese Liste ist nicht auf das allgemeine Ruhe-/Arbeitsrecht zu übertragen. Bundesrecht bleibt vorbehalten.</x:t>
  </x:si>
  <x:si>
    <x:t xml:space="preserve">SRC-ZG-VRG-1621-20251017</x:t>
  </x:si>
  <x:si>
    <x:t xml:space="preserve">§ 10 Abs. 3 und 4</x:t>
  </x:si>
  <x:si>
    <x:t xml:space="preserve">GL-RTG-ALL</x:t>
  </x:si>
  <x:si>
    <x:t xml:space="preserve">Glarus, kantonsweite Ruhetagsliste</x:t>
  </x:si>
  <x:si>
    <x:t xml:space="preserve">Glaris, jours de repos cantonaux</x:t>
  </x:si>
  <x:si>
    <x:t xml:space="preserve">Glarona, giorni di riposo cantonali</x:t>
  </x:si>
  <x:si>
    <x:t xml:space="preserve">Glaruna, dis da ruaus chantunals</x:t>
  </x:si>
  <x:si>
    <x:t xml:space="preserve">Glarus</x:t>
  </x:si>
  <x:si>
    <x:t xml:space="preserve">Näfelser Fahrt: erster Donnerstag im April, bei Gründonnerstag sieben Tage später. Amtliche Regierungsratsmitteilung 06.01.2026 und Fachbestätigung 22.09.2026. 2026: 09.04.2026. Keine jährlichen Scheinfixdaten.</x:t>
  </x:si>
  <x:si>
    <x:t xml:space="preserve">SRC-GL-RTG-IXB211-20190701</x:t>
  </x:si>
  <x:si>
    <x:t xml:space="preserve">Art. 2 Abs. 1 Bst. b und c, ohne offenen Datumsfall Fahrtsfest</x:t>
  </x:si>
  <x:si>
    <x:t xml:space="preserve">BS-RLG-ALL</x:t>
  </x:si>
  <x:si>
    <x:t xml:space="preserve">Basel-Stadt, namentliche RLG-Ruhetage</x:t>
  </x:si>
  <x:si>
    <x:t xml:space="preserve">Bâle-Ville, jours de repos nommés RLG</x:t>
  </x:si>
  <x:si>
    <x:t xml:space="preserve">Basilea Città, giorni di riposo nominati RLG</x:t>
  </x:si>
  <x:si>
    <x:t xml:space="preserve">Basilea-Citad, dis da ruaus numnads RLG</x:t>
  </x:si>
  <x:si>
    <x:t xml:space="preserve">Basel-Stadt</x:t>
  </x:si>
  <x:si>
    <x:t xml:space="preserve">Zwölf Tage einschliesslich drei benannter Sonntage. Keine Fasnacht, kein 2. Januar. Verfahrensanknüpfung offen.</x:t>
  </x:si>
  <x:si>
    <x:t xml:space="preserve">SRC-BS-RLG-811100-20200701</x:t>
  </x:si>
  <x:si>
    <x:t xml:space="preserve">§ 2 Abs. 1 Bst. a und b</x:t>
  </x:si>
  <x:si>
    <x:t xml:space="preserve">BL-RTG-ALL</x:t>
  </x:si>
  <x:si>
    <x:t xml:space="preserve">Basel-Landschaft, namentliche RTG-Ruhetage</x:t>
  </x:si>
  <x:si>
    <x:t xml:space="preserve">Bâle-Campagne, jours de repos nommés RTG</x:t>
  </x:si>
  <x:si>
    <x:t xml:space="preserve">Basilea Campagna, giorni di riposo nominati RTG</x:t>
  </x:si>
  <x:si>
    <x:t xml:space="preserve">Basilea-Champagna, dis da ruaus numnads RTG</x:t>
  </x:si>
  <x:si>
    <x:t xml:space="preserve">Basel-Landschaft</x:t>
  </x:si>
  <x:si>
    <x:t xml:space="preserve">Zwölf kantonale Tage, keine selbständigen kommunalen Feiertage nach § 3. 1. Mai ganztägig, keine Personalhalbtage.</x:t>
  </x:si>
  <x:si>
    <x:t xml:space="preserve">SRC-BL-RTG-547-20191201</x:t>
  </x:si>
  <x:si>
    <x:t xml:space="preserve">VD-LEMP-ALL</x:t>
  </x:si>
  <x:si>
    <x:t xml:space="preserve">Waadt, arbeitsrechtliche LEmp-Liste</x:t>
  </x:si>
  <x:si>
    <x:t xml:space="preserve">Vaud, jours assimilés au dimanche LEmp</x:t>
  </x:si>
  <x:si>
    <x:t xml:space="preserve">Vaud, giorni equiparati alla domenica LEmp</x:t>
  </x:si>
  <x:si>
    <x:t xml:space="preserve">Vad, dis equiparads a dumengias LEmp</x:t>
  </x:si>
  <x:si>
    <x:t xml:space="preserve">Waadt</x:t>
  </x:si>
  <x:si>
    <x:t xml:space="preserve">Neun sonntagsgleiche Tage. Keine unbedingte Aufnahme des verschiebbaren zusätzlichen Personaltags am 26. Dezember. Keine pauschale Fristenfreigabe.</x:t>
  </x:si>
  <x:si>
    <x:t xml:space="preserve">SRC-VD-LEMP-82211-20120401</x:t>
  </x:si>
  <x:si>
    <x:t xml:space="preserve">Art. 47 Abs. 1</x:t>
  </x:si>
  <x:si>
    <x:t xml:space="preserve">NE-LDJF-BASE</x:t>
  </x:si>
  <x:si>
    <x:t xml:space="preserve">Neuenburg, allgemeine Grundliste mit bedingten Ersatzfeiertagen</x:t>
  </x:si>
  <x:si>
    <x:t xml:space="preserve">Neuchâtel, liste générale avec jours de remplacement conditionnels</x:t>
  </x:si>
  <x:si>
    <x:t xml:space="preserve">Neuchâtel, elenco generale con giorni sostitutivi condizionati</x:t>
  </x:si>
  <x:si>
    <x:t xml:space="preserve">Neuchâtel, glista generala cun dis cumpensatorics cundiziunads</x:t>
  </x:si>
  <x:si>
    <x:t xml:space="preserve">Neuenburg</x:t>
  </x:si>
  <x:si>
    <x:t xml:space="preserve">Allgemeine Ersatzfeiertage: 2. Januar bzw. 26. Dezember nur am Montag nach Sonntags-Neujahr bzw. Sonntags-Weihnachten. Fachlich bestätigt am 22.09.2026. Feste LPA-Verwaltungsergänzungen bleiben davon unabhängig.</x:t>
  </x:si>
  <x:si>
    <x:t xml:space="preserve">SRC-NE-LDJF-94102-20100101</x:t>
  </x:si>
  <x:si>
    <x:t xml:space="preserve">Art. 3 Abs. 1</x:t>
  </x:si>
  <x:si>
    <x:t xml:space="preserve">NE-LANDERON-ADDITIONAL</x:t>
  </x:si>
  <x:si>
    <x:t xml:space="preserve">Neuenburg, Fronleichnam in Le Landeron</x:t>
  </x:si>
  <x:si>
    <x:t xml:space="preserve">Neuchâtel, Fête-Dieu au Landeron</x:t>
  </x:si>
  <x:si>
    <x:t xml:space="preserve">Neuchâtel, Corpus Domini a Le Landeron</x:t>
  </x:si>
  <x:si>
    <x:t xml:space="preserve">Neuchâtel, Sontgilcrest a Le Landeron</x:t>
  </x:si>
  <x:si>
    <x:t xml:space="preserve">Nur Gemeinde Le Landeron, unmittelbar kantonal festgelegt. Ein zusätzlicher Tag zur Grundliste. Le Cerneux-Péquignot nicht aus nichtamtlichen Kalendern übernommen.</x:t>
  </x:si>
  <x:si>
    <x:t xml:space="preserve">Le Landeron</x:t>
  </x:si>
  <x:si>
    <x:t xml:space="preserve">SRC-NE-ADJF-941020-20250527</x:t>
  </x:si>
  <x:si>
    <x:t xml:space="preserve">NE-LPA-ADDITIONAL</x:t>
  </x:si>
  <x:si>
    <x:t xml:space="preserve">Neuenburg, acht feste LPA-Verwaltungsergänzungen</x:t>
  </x:si>
  <x:si>
    <x:t xml:space="preserve">Neuchâtel, huit jours supplémentaires fixes LPA</x:t>
  </x:si>
  <x:si>
    <x:t xml:space="preserve">Neuchâtel, otto giorni supplementari fissi LPA</x:t>
  </x:si>
  <x:si>
    <x:t xml:space="preserve">Neuchâtel, otg dis supplementars fixs LPA</x:t>
  </x:si>
  <x:si>
    <x:t xml:space="preserve">Vorbehalt: gesondert festgelegte zusätzliche regionale Feiertage nach LDJF Art. 3 Abs. 2 sowie zusätzliche Verwaltungsschliesstage nach RDF Art. 11 Abs. 2 / LPA Art. 33 Abs. 3 werden nicht automatisch erzeugt. Konkrete Fristenwirkung separat prüfen. Le Landeron und die acht festen LPA-Ergänzungen bleiben erfasst.</x:t>
  </x:si>
  <x:si>
    <x:t xml:space="preserve">SRC-NE-LPA-152130-20260101</x:t>
  </x:si>
  <x:si>
    <x:t xml:space="preserve">Art. 33 Abs. 3</x:t>
  </x:si>
  <x:si>
    <x:t xml:space="preserve">JU-LJF-OFFICIAL</x:t>
  </x:si>
  <x:si>
    <x:t xml:space="preserve">Jura, allgemeine Feiertage nach Art. 3</x:t>
  </x:si>
  <x:si>
    <x:t xml:space="preserve">Jura, jours fériés officiels selon l’art. 3</x:t>
  </x:si>
  <x:si>
    <x:t xml:space="preserve">Giura, giorni festivi ufficiali secondo l’art. 3</x:t>
  </x:si>
  <x:si>
    <x:t xml:space="preserve">Giura, firads uffizials tenor l’art. 3</x:t>
  </x:si>
  <x:si>
    <x:t xml:space="preserve">Jura</x:t>
  </x:si>
  <x:si>
    <x:t xml:space="preserve">15 genannte Tage einschliesslich Ostern und Pfingsten. 23. Juni, 2. Januar, Mariä Himmelfahrt und Allerheiligen sind nicht Teil der engeren Art.-4-Liste.</x:t>
  </x:si>
  <x:si>
    <x:t xml:space="preserve">SRC-JU-LJF-5551-20230101</x:t>
  </x:si>
  <x:si>
    <x:t xml:space="preserve">Art. 3 Bst. b</x:t>
  </x:si>
  <x:si>
    <x:t xml:space="preserve">JU-LJF-LABOUR</x:t>
  </x:si>
  <x:si>
    <x:t xml:space="preserve">Jura, arbeitsrechtliche Liste nach Art. 4</x:t>
  </x:si>
  <x:si>
    <x:t xml:space="preserve">Jura, jours assimilés au dimanche selon l’art. 4</x:t>
  </x:si>
  <x:si>
    <x:t xml:space="preserve">Giura, giorni equiparati alla domenica secondo l’art. 4</x:t>
  </x:si>
  <x:si>
    <x:t xml:space="preserve">Giura, dis equiparads a dumengias tenor l’art. 4</x:t>
  </x:si>
  <x:si>
    <x:t xml:space="preserve">Neun sonntagsgleiche Tage. Eigenständige Kategorie, keine Übernahme sämtlicher Art.-3-Tage als arbeitsrechtliche Feiertage.</x:t>
  </x:si>
  <x:si>
    <x:t xml:space="preserve">Art. 4</x:t>
  </x:si>
  <x:si>
    <x:t xml:space="preserve">STEIMER  |  Referenzfälle und offene Entscheidungen</x:t>
  </x:si>
  <x:si>
    <x:t xml:space="preserve">Fall-ID</x:t>
  </x:si>
  <x:si>
    <x:t xml:space="preserve">Konstellation</x:t>
  </x:si>
  <x:si>
    <x:t xml:space="preserve">Datum / Gegenstand</x:t>
  </x:si>
  <x:si>
    <x:t xml:space="preserve">Erwartete Wirkung oder Grenze</x:t>
  </x:si>
  <x:si>
    <x:t xml:space="preserve">Fachlicher Stand</x:t>
  </x:si>
  <x:si>
    <x:t xml:space="preserve">Nächster Nachweis</x:t>
  </x:si>
  <x:si>
    <x:t xml:space="preserve">STEIMER  |  Quellen und Prüftiefe</x:t>
  </x:si>
  <x:si>
    <x:t xml:space="preserve">Gemeinwesen</x:t>
  </x:si>
  <x:si>
    <x:t xml:space="preserve">Titel</x:t>
  </x:si>
  <x:si>
    <x:t xml:space="preserve">URL</x:t>
  </x:si>
  <x:si>
    <x:t xml:space="preserve">Fassung / Entscheid</x:t>
  </x:si>
  <x:si>
    <x:t xml:space="preserve">Abruf laut Bestand</x:t>
  </x:si>
  <x:si>
    <x:t xml:space="preserve">Prüftiefe AP22A</x:t>
  </x:si>
  <x:si>
    <x:t xml:space="preserve">Inhalt und Grenzen</x:t>
  </x:si>
</x:sst>
</file>

<file path=xl/styles.xml><?xml version="1.0" encoding="utf-8"?>
<x:styleSheet xmlns:x="http://schemas.openxmlformats.org/spreadsheetml/2006/main">
  <x:fonts count="9">
    <x:font>
      <x:sz val="11"/>
      <x:name val="Carlito"/>
    </x:font>
    <x:font>
      <x:sz val="10"/>
      <x:color rgb="FF172126"/>
      <x:name val="Arial"/>
    </x:font>
    <x:font>
      <x:b/>
      <x:sz val="17"/>
      <x:color rgb="FFFFFFFF"/>
      <x:name val="Arial"/>
    </x:font>
    <x:font>
      <x:sz val="10"/>
      <x:color rgb="FF566168"/>
      <x:name val="Arial"/>
    </x:font>
    <x:font>
      <x:b/>
      <x:sz val="10"/>
      <x:color rgb="FFFFFFFF"/>
      <x:name val="Arial"/>
    </x:font>
    <x:font>
      <x:b/>
      <x:sz val="11"/>
      <x:color rgb="FF122C40"/>
      <x:name val="Arial"/>
    </x:font>
    <x:font>
      <x:sz val="10"/>
      <x:color rgb="FF1A5C8E"/>
      <x:name val="Arial"/>
    </x:font>
    <x:font>
      <x:sz val="11"/>
      <x:name val="Carlito"/>
    </x:font>
    <x:font>
      <x:b/>
      <x:sz val="10"/>
      <x:color rgb="FF172126"/>
      <x:name val="Arial"/>
    </x:font>
  </x:fonts>
  <x:fills count="14">
    <x:fill>
      <x:patternFill patternType="none"/>
    </x:fill>
    <x:fill>
      <x:patternFill patternType="gray125"/>
    </x:fill>
    <x:fill>
      <x:patternFill patternType="solid">
        <x:fgColor rgb="FF122C40"/>
      </x:patternFill>
    </x:fill>
    <x:fill>
      <x:patternFill patternType="solid">
        <x:fgColor rgb="FFE7EEEE"/>
      </x:patternFill>
    </x:fill>
    <x:fill>
      <x:patternFill patternType="solid">
        <x:fgColor rgb="FF2F6F73"/>
      </x:patternFill>
    </x:fill>
    <x:fill>
      <x:patternFill patternType="solid">
        <x:fgColor rgb="FFFFFFFF"/>
      </x:patternFill>
    </x:fill>
    <x:fill>
      <x:patternFill patternType="solid">
        <x:fgColor rgb="FFFFF1CB"/>
      </x:patternFill>
    </x:fill>
    <x:fill>
      <x:patternFill patternType="solid">
        <x:fgColor rgb="FFFCE3DE"/>
      </x:patternFill>
    </x:fill>
    <x:fill>
      <x:patternFill patternType="solid">
        <x:fgColor rgb="FFFFFFFF"/>
      </x:patternFill>
    </x:fill>
    <x:fill>
      <x:patternFill patternType="solid">
        <x:fgColor rgb="FFE7EEEE"/>
      </x:patternFill>
    </x:fill>
    <x:fill>
      <x:patternFill patternType="solid">
        <x:fgColor rgb="FFFFF1CB"/>
      </x:patternFill>
    </x:fill>
    <x:fill>
      <x:patternFill patternType="solid">
        <x:fgColor rgb="FFFCE3DE"/>
      </x:patternFill>
    </x:fill>
    <x:fill>
      <x:patternFill patternType="solid">
        <x:fgColor rgb="FF2F6F73"/>
      </x:patternFill>
    </x:fill>
    <x:fill>
      <x:patternFill patternType="solid">
        <x:fgColor rgb="FFE7EEEE"/>
      </x:patternFill>
    </x:fill>
  </x:fills>
  <x:borders count="1">
    <x:border/>
  </x:borders>
  <x:cellStyleXfs count="2">
    <x:xf numFmtId="0" fontId="0" fillId="0" borderId="0"/>
    <x:xf numFmtId="0" fontId="7" fillId="0" borderId="0"/>
  </x:cellStyleXfs>
  <x:cellXfs count="32">
    <x:xf numFmtId="0" fontId="0" fillId="0" borderId="0" xfId="0"/>
    <x:xf numFmtId="0" fontId="1" fillId="0" borderId="0" xfId="1" applyFont="1" applyAlignment="1">
      <x:alignment vertical="top" wrapText="1"/>
    </x:xf>
    <x:xf numFmtId="0" fontId="1" fillId="3" borderId="0" xfId="1" applyFont="1" applyFill="1" applyAlignment="1">
      <x:alignment vertical="top" wrapText="1"/>
    </x:xf>
    <x:xf numFmtId="0" fontId="4" fillId="4" borderId="0" xfId="1" applyFont="1" applyFill="1" applyAlignment="1">
      <x:alignment vertical="top" wrapText="1"/>
    </x:xf>
    <x:xf numFmtId="0" fontId="4" fillId="4" borderId="0" xfId="1" applyFont="1" applyFill="1" applyAlignment="1">
      <x:alignment vertical="center" wrapText="1"/>
    </x:xf>
    <x:xf numFmtId="0" fontId="1" fillId="5" borderId="0" xfId="1" applyFont="1" applyFill="1" applyAlignment="1">
      <x:alignment vertical="top" wrapText="1"/>
    </x:xf>
    <x:xf numFmtId="0" fontId="5" fillId="5" borderId="0" xfId="1" applyFont="1" applyFill="1" applyAlignment="1">
      <x:alignment vertical="top" wrapText="1"/>
    </x:xf>
    <x:xf numFmtId="0" fontId="1" fillId="6" borderId="0" xfId="1" applyFont="1" applyFill="1" applyAlignment="1">
      <x:alignment vertical="top" wrapText="1"/>
    </x:xf>
    <x:xf numFmtId="0" fontId="1" fillId="7" borderId="0" xfId="1" applyFont="1" applyFill="1" applyAlignment="1">
      <x:alignment vertical="top" wrapText="1"/>
    </x:xf>
    <x:xf numFmtId="0" fontId="6" fillId="5" borderId="0" xfId="1" applyFont="1" applyFill="1" applyAlignment="1">
      <x:alignment vertical="top" wrapText="1"/>
    </x:xf>
    <x:xf numFmtId="0" fontId="6" fillId="3" borderId="0" xfId="1" applyFont="1" applyFill="1" applyAlignment="1">
      <x:alignment vertical="top" wrapText="1"/>
    </x:xf>
    <x:xf numFmtId="0" fontId="2" fillId="2" borderId="0" xfId="1" applyFont="1" applyFill="1" applyAlignment="1">
      <x:alignment vertical="center" wrapText="1"/>
    </x:xf>
    <x:xf numFmtId="0" fontId="3" fillId="3" borderId="0" xfId="1" applyFont="1" applyFill="1" applyAlignment="1">
      <x:alignment vertical="center" wrapText="1"/>
    </x:xf>
    <x:xf numFmtId="0" fontId="1"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1" fillId="10"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5"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8" fillId="9" borderId="0"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xf numFmtId="0" fontId="6" fillId="8"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1" fillId="13" borderId="0" xfId="0" applyNumberFormat="1" applyFont="1" applyFill="1" applyBorder="1" applyAlignment="1">
      <x:alignment vertical="top" wrapText="1"/>
    </x:xf>
  </x:cellXfs>
  <x:cellStyles count="2">
    <x:cellStyle name="Normal" xfId="1"/>
    <x:cellStyle name="Standard" xfId="0"/>
  </x:cellStyles>
</x:styleSheet>
</file>

<file path=xl/_rels/workbook.xml.rels>&#65279;<?xml version="1.0" encoding="utf-8"?><Relationships xmlns="http://schemas.openxmlformats.org/package/2006/relationships"><Relationship Type="http://schemas.openxmlformats.org/officeDocument/2006/relationships/styles" Target="/xl/styles.xml" Id="R23bde8d789564282" /><Relationship Type="http://schemas.openxmlformats.org/officeDocument/2006/relationships/theme" Target="/xl/theme/theme1.xml" Id="Rb9550f7067034a89" /><Relationship Type="http://schemas.openxmlformats.org/officeDocument/2006/relationships/sharedStrings" Target="/xl/sharedStrings.xml" Id="Re685006676d04698" /><Relationship Type="http://schemas.openxmlformats.org/officeDocument/2006/relationships/worksheet" Target="/xl/worksheets/sheet1.xml" Id="Rafe10b3b906a4eab" /><Relationship Type="http://schemas.openxmlformats.org/officeDocument/2006/relationships/worksheet" Target="/xl/worksheets/sheet2.xml" Id="Re213f33c1fae4f4e" /><Relationship Type="http://schemas.openxmlformats.org/officeDocument/2006/relationships/worksheet" Target="/xl/worksheets/sheet3.xml" Id="R140bc74c88dd46f6" /><Relationship Type="http://schemas.openxmlformats.org/officeDocument/2006/relationships/worksheet" Target="/xl/worksheets/sheet4.xml" Id="R8dd5e18cf638494d" /><Relationship Type="http://schemas.openxmlformats.org/officeDocument/2006/relationships/worksheet" Target="/xl/worksheets/sheet5.xml" Id="R9b899bfc5b014740" /></Relationships>
</file>

<file path=xl/tables/table1.xml><?xml version="1.0" encoding="utf-8"?>
<x:table xmlns:x="http://schemas.openxmlformats.org/spreadsheetml/2006/main" id="1" name="AP22_Lesehilfe" displayName="AP22_Lesehilfe" ref="A6:F21" totalsRowShown="0">
  <x:autoFilter ref="A6:F21"/>
  <x:tableColumns count="6">
    <x:tableColumn id="1" name="Bereich"/>
    <x:tableColumn id="2" name="Angabe 1"/>
    <x:tableColumn id="3" name="Angabe 2"/>
    <x:tableColumn id="4" name="Angabe 3"/>
    <x:tableColumn id="5" name="Angabe 4"/>
    <x:tableColumn id="6" name="Erläuterung"/>
  </x:tableColumns>
  <x:tableStyleInfo name="TableStyleMedium2" showFirstColumn="0" showLastColumn="0" showRowStripes="1" showColumnStripes="0"/>
</x:table>
</file>

<file path=xl/tables/table2.xml><?xml version="1.0" encoding="utf-8"?>
<x:table xmlns:x="http://schemas.openxmlformats.org/spreadsheetml/2006/main" id="2" name="AP22_Verfahrensmatrix" displayName="AP22_Verfahrensmatrix" ref="A6:O204" totalsRowShown="0">
  <x:autoFilter ref="A6:O204"/>
  <x:tableColumns count="15">
    <x:tableColumn id="1" name="Zuordnung-ID"/>
    <x:tableColumn id="2" name="Kanton / Bund"/>
    <x:tableColumn id="3" name="Verfahren"/>
    <x:tableColumn id="4" name="Geltungsbereich-ID"/>
    <x:tableColumn id="5" name="Prüfstatus"/>
    <x:tableColumn id="6" name="Vorgeschlagene Verwendung"/>
    <x:tableColumn id="7" name="Massgebender Ort"/>
    <x:tableColumn id="8" name="Kategorie"/>
    <x:tableColumn id="9" name="Begründung und offene Frage"/>
    <x:tableColumn id="10" name="Quellen-IDs"/>
    <x:tableColumn id="11" name="Fundstellen"/>
    <x:tableColumn id="12" name="Zeitliche Grenze"/>
    <x:tableColumn id="13" name="Prüfevidenz"/>
    <x:tableColumn id="14" name="Neue Produktfreigabe"/>
    <x:tableColumn id="15" name="Bemerkung David"/>
  </x:tableColumns>
  <x:tableStyleInfo name="TableStyleMedium2" showFirstColumn="0" showLastColumn="0" showRowStripes="1" showColumnStripes="0"/>
</x:table>
</file>

<file path=xl/tables/table3.xml><?xml version="1.0" encoding="utf-8"?>
<x:table xmlns:x="http://schemas.openxmlformats.org/spreadsheetml/2006/main" id="3" name="AP22_Geltungsraeume" displayName="AP22_Geltungsraeume" ref="A6:O55" totalsRowShown="0">
  <x:autoFilter ref="A6:O55"/>
  <x:tableColumns count="15">
    <x:tableColumn id="1" name="Bereich-ID"/>
    <x:tableColumn id="2" name="Deutsch"/>
    <x:tableColumn id="3" name="Français"/>
    <x:tableColumn id="4" name="Italiano"/>
    <x:tableColumn id="5" name="Rumantsch Grischun"/>
    <x:tableColumn id="6" name="Kanton / Bund"/>
    <x:tableColumn id="7" name="Raumtyp"/>
    <x:tableColumn id="8" name="Bestehende Abgrenzung"/>
    <x:tableColumn id="9" name="Räumliche Zuordnungen"/>
    <x:tableColumn id="10" name="Quellen-ID"/>
    <x:tableColumn id="11" name="Fundstelle"/>
    <x:tableColumn id="12" name="Erfasste Gültigkeit"/>
    <x:tableColumn id="13" name="Regelkategorien"/>
    <x:tableColumn id="14" name="Regeln im Bestand"/>
    <x:tableColumn id="15" name="Bemerkung David"/>
  </x:tableColumns>
  <x:tableStyleInfo name="TableStyleMedium2" showFirstColumn="0" showLastColumn="0" showRowStripes="1" showColumnStripes="0"/>
</x:table>
</file>

<file path=xl/tables/table4.xml><?xml version="1.0" encoding="utf-8"?>
<x:table xmlns:x="http://schemas.openxmlformats.org/spreadsheetml/2006/main" id="4" name="AP22_Pruefpunkte" displayName="AP22_Pruefpunkte" ref="A6:I28" headerRowCount="1" totalsRowCount="0" totalsRowShown="0">
  <x:autoFilter ref="A6:I28"/>
  <x:tableColumns count="9">
    <x:tableColumn id="1" name="Fall-ID"/>
    <x:tableColumn id="2" name="Verfahren"/>
    <x:tableColumn id="3" name="Konstellation"/>
    <x:tableColumn id="4" name="Datum / Gegenstand"/>
    <x:tableColumn id="5" name="Erwartete Wirkung oder Grenze"/>
    <x:tableColumn id="6" name="Quellen-IDs"/>
    <x:tableColumn id="7" name="Fachlicher Stand"/>
    <x:tableColumn id="8" name="Nächster Nachweis"/>
    <x:tableColumn id="9" name="Bemerkung David"/>
  </x:tableColumns>
  <x:tableStyleInfo name="TableStyleMedium2" showFirstColumn="0" showLastColumn="0" showRowStripes="1" showColumnStripes="0"/>
</x:table>
</file>

<file path=xl/tables/table5.xml><?xml version="1.0" encoding="utf-8"?>
<x:table xmlns:x="http://schemas.openxmlformats.org/spreadsheetml/2006/main" id="5" name="AP22_Quellen" displayName="AP22_Quellen" ref="A6:J163" headerRowCount="1" totalsRowCount="0" totalsRowShown="0">
  <x:autoFilter ref="A6:J163"/>
  <x:tableColumns count="10">
    <x:tableColumn id="1" name="Quellen-ID"/>
    <x:tableColumn id="2" name="Gemeinwesen"/>
    <x:tableColumn id="3" name="Titel"/>
    <x:tableColumn id="4" name="Fundstelle"/>
    <x:tableColumn id="5" name="URL"/>
    <x:tableColumn id="6" name="Fassung / Entscheid"/>
    <x:tableColumn id="7" name="Abruf laut Bestand"/>
    <x:tableColumn id="8" name="Prüftiefe AP22A"/>
    <x:tableColumn id="9" name="Inhalt und Grenzen"/>
    <x:tableColumn id="10" name="Bemerkung Dav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22c541cb7c647ec" /></Relationships>
</file>

<file path=xl/worksheets/_rels/sheet2.xml.rels>&#65279;<?xml version="1.0" encoding="utf-8"?><Relationships xmlns="http://schemas.openxmlformats.org/package/2006/relationships"><Relationship Type="http://schemas.openxmlformats.org/officeDocument/2006/relationships/table" Target="/xl/tables/table2.xml" Id="R98d8acdd27014eca" /></Relationships>
</file>

<file path=xl/worksheets/_rels/sheet3.xml.rels>&#65279;<?xml version="1.0" encoding="utf-8"?><Relationships xmlns="http://schemas.openxmlformats.org/package/2006/relationships"><Relationship Type="http://schemas.openxmlformats.org/officeDocument/2006/relationships/table" Target="/xl/tables/table3.xml" Id="Rde2720565dc342cc" /></Relationships>
</file>

<file path=xl/worksheets/_rels/sheet4.xml.rels>&#65279;<?xml version="1.0" encoding="utf-8"?><Relationships xmlns="http://schemas.openxmlformats.org/package/2006/relationships"><Relationship Type="http://schemas.openxmlformats.org/officeDocument/2006/relationships/table" Target="/xl/tables/table4.xml" Id="Rbad6bee09cf74813" /></Relationships>
</file>

<file path=xl/worksheets/_rels/sheet5.xml.rels><?xml version='1.0' encoding='utf-8'?>
<ns0:Relationships xmlns:ns0="http://schemas.openxmlformats.org/package/2006/relationships"><ns0:Relationship Type="http://schemas.openxmlformats.org/officeDocument/2006/relationships/table" Target="/xl/tables/table5.xml" Id="R1c0f34dc60c54c2c" /><ns0:Relationship Id="rIdAP22CloseSource7" Type="http://schemas.openxmlformats.org/officeDocument/2006/relationships/hyperlink" Target="https://www.fedlex.admin.ch/eli/cc/1994/1340_1340_1340/de" TargetMode="External" /><ns0:Relationship Id="rIdAP22CloseSource8" Type="http://schemas.openxmlformats.org/officeDocument/2006/relationships/hyperlink" Target="https://www.belex.sites.be.ch/app/de/texts_of_law/555.1" TargetMode="External" /><ns0:Relationship Id="rIdAP22CloseSource9" Type="http://schemas.openxmlformats.org/officeDocument/2006/relationships/hyperlink" Target="https://gesetzessammlungen.ag.ch/app/de/texts_of_law/961.200" TargetMode="External" /><ns0:Relationship Id="rIdAP22CloseSource10" Type="http://schemas.openxmlformats.org/officeDocument/2006/relationships/hyperlink" Target="https://gesetzessammlungen.ag.ch/app/de/texts_of_law/221.200" TargetMode="External" /><ns0:Relationship Id="rIdAP22CloseSource11" Type="http://schemas.openxmlformats.org/officeDocument/2006/relationships/hyperlink" Target="https://www.bj.admin.ch/dam/de/sd-web/4Ad6GMn8rA0i/hinweise-kant-feiertage.pdf" TargetMode="External" /><ns0:Relationship Id="rIdAP22CloseSource12" Type="http://schemas.openxmlformats.org/officeDocument/2006/relationships/hyperlink" Target="https://www.ag.ch/media/kanton-aargau/dvi/dokumente/awa/awa/arbeitnehmerschutz-im-betrieb/feiertage.pdf" TargetMode="External" /><ns0:Relationship Id="rIdAP22CloseSource13" Type="http://schemas.openxmlformats.org/officeDocument/2006/relationships/hyperlink" Target="https://www3.ti.ch/CAN/RLeggi/public/index.php/raccolta-leggi/legge/num/568" TargetMode="External" /><ns0:Relationship Id="rIdAP22CloseSource14" Type="http://schemas.openxmlformats.org/officeDocument/2006/relationships/hyperlink" Target="https://m3.ti.ch/CAN/RLeggi/public/index.php/raccolta-leggi/legge/num/569" TargetMode="External" /><ns0:Relationship Id="rIdAP22CloseSource15" Type="http://schemas.openxmlformats.org/officeDocument/2006/relationships/hyperlink" Target="https://www3.ti.ch/CAN/RLeggi/public/index.php/raccolta-leggi/legge/num/151" TargetMode="External" /><ns0:Relationship Id="rIdAP22CloseSource16" Type="http://schemas.openxmlformats.org/officeDocument/2006/relationships/hyperlink" Target="https://www.gr-lex.gr.ch/api/de/versions/2604/pdf_file" TargetMode="External" /><ns0:Relationship Id="rIdAP22CloseSource17" Type="http://schemas.openxmlformats.org/officeDocument/2006/relationships/hyperlink" Target="https://www.gr-lex.gr.ch/api/de/versions/3521/pdf_file" TargetMode="External" /><ns0:Relationship Id="rIdAP22CloseSource18" Type="http://schemas.openxmlformats.org/officeDocument/2006/relationships/hyperlink" Target="https://www.gr-lex.gr.ch/app/it/texts_of_law/520.100/versions/2604" TargetMode="External" /><ns0:Relationship Id="rIdAP22CloseSource19" Type="http://schemas.openxmlformats.org/officeDocument/2006/relationships/hyperlink" Target="https://www.gr-lex.gr.ch/api/rm/versions/2604/pdf_file" TargetMode="External" /><ns0:Relationship Id="rIdAP22CloseSource20" Type="http://schemas.openxmlformats.org/officeDocument/2006/relationships/hyperlink" Target="https://www.gr-lex.gr.ch/api/rm/versions/3521/pdf_file" TargetMode="External" /><ns0:Relationship Id="rIdAP22CloseSource21" Type="http://schemas.openxmlformats.org/officeDocument/2006/relationships/hyperlink" Target="https://www4.ti.ch/dfe/de/uil/legge-lavoro/giorni-festivi-in-ticino-1" TargetMode="External" /><ns0:Relationship Id="rIdAP22CloseSource22" Type="http://schemas.openxmlformats.org/officeDocument/2006/relationships/hyperlink" Target="https://www.parlament.ch/agenda/Pages/agenda-1-august-2026.aspx?lang=1047" TargetMode="External" /><ns0:Relationship Id="rIdAP22CloseSource23" Type="http://schemas.openxmlformats.org/officeDocument/2006/relationships/hyperlink" Target="https://www4.ti.ch/generale/foederalismus11/rumantsch/foederalismus/preschentaziun" TargetMode="External" /><ns0:Relationship Id="rIdAP22CloseSource24" Type="http://schemas.openxmlformats.org/officeDocument/2006/relationships/hyperlink" Target="https://lex.vs.ch/api/de/versions/2105/pdf_file" TargetMode="External" /><ns0:Relationship Id="rIdAP22CloseSource25" Type="http://schemas.openxmlformats.org/officeDocument/2006/relationships/hyperlink" Target="https://lex.vs.ch/api/fr/versions/2108/pdf_file" TargetMode="External" /><ns0:Relationship Id="rIdAP22CloseSource26" Type="http://schemas.openxmlformats.org/officeDocument/2006/relationships/hyperlink" Target="https://lex.vs.ch/api/de/versions/2103/pdf_file" TargetMode="External" /><ns0:Relationship Id="rIdAP22CloseSource27" Type="http://schemas.openxmlformats.org/officeDocument/2006/relationships/hyperlink" Target="https://lex.vs.ch/api/fr/versions/3260/pdf_file" TargetMode="External" /><ns0:Relationship Id="rIdAP22CloseSource28" Type="http://schemas.openxmlformats.org/officeDocument/2006/relationships/hyperlink" Target="https://lex.vs.ch/data/172.4/fr" TargetMode="External" /><ns0:Relationship Id="rIdAP22CloseSource29" Type="http://schemas.openxmlformats.org/officeDocument/2006/relationships/hyperlink" Target="https://silgeneve.ch/legis/data/rsg_j1_45.htm" TargetMode="External" /><ns0:Relationship Id="rIdAP22CloseSource30" Type="http://schemas.openxmlformats.org/officeDocument/2006/relationships/hyperlink" Target="https://www.ge.ch/vacances-scolaires-jours-feries/jours-feries-officiels" TargetMode="External" /><ns0:Relationship Id="rIdAP22CloseSource31" Type="http://schemas.openxmlformats.org/officeDocument/2006/relationships/hyperlink" Target="https://search.bger.ch/ext/eurospider/live/it/php/aza/http/index.php?highlight_docid=aza%3A%2F%2F06-09-2023-7B_32-2023&amp;lang=it&amp;type=show_document&amp;zoom=NO" TargetMode="External" /><ns0:Relationship Id="rIdAP22CloseSource32" Type="http://schemas.openxmlformats.org/officeDocument/2006/relationships/hyperlink" Target="https://www.swisstopo.admin.ch/it/scambio-di-geodati-tra-le-autorita" TargetMode="External" /><ns0:Relationship Id="rIdAP22CloseSource33" Type="http://schemas.openxmlformats.org/officeDocument/2006/relationships/hyperlink" Target="https://www.gr.ch/RM/chantun/175-Jahre/Seiten/Epochen-in-Karten.aspx" TargetMode="External" /><ns0:Relationship Id="rIdAP22CloseSource34" Type="http://schemas.openxmlformats.org/officeDocument/2006/relationships/hyperlink" Target="https://bdlf.fr.ch/api/de/versions/8126/pdf_file" TargetMode="External" /><ns0:Relationship Id="rIdAP22CloseSource35" Type="http://schemas.openxmlformats.org/officeDocument/2006/relationships/hyperlink" Target="https://bdlf.fr.ch/api/fr/versions/8126/pdf_file" TargetMode="External" /><ns0:Relationship Id="rIdAP22CloseSource36" Type="http://schemas.openxmlformats.org/officeDocument/2006/relationships/hyperlink" Target="https://bdlf.fr.ch/api/de/versions/7926/pdf_file" TargetMode="External" /><ns0:Relationship Id="rIdAP22CloseSource37" Type="http://schemas.openxmlformats.org/officeDocument/2006/relationships/hyperlink" Target="https://bdlf.fr.ch/api/fr/versions/7926/pdf_file" TargetMode="External" /><ns0:Relationship Id="rIdAP22CloseSource38" Type="http://schemas.openxmlformats.org/officeDocument/2006/relationships/hyperlink" Target="https://www.fr.ch/de/arbeit-und-unternehmen/arbeitnehmer/feiertage" TargetMode="External" /><ns0:Relationship Id="rIdAP22CloseSource39" Type="http://schemas.openxmlformats.org/officeDocument/2006/relationships/hyperlink" Target="https://bgs.so.ch/api/de/versions/4319/pdf_file" TargetMode="External" /><ns0:Relationship Id="rIdAP22CloseSource40" Type="http://schemas.openxmlformats.org/officeDocument/2006/relationships/hyperlink" Target="https://so.ch/allgemeine-informationen/gesetzliche-feiertage/" TargetMode="External" /><ns0:Relationship Id="rIdAP22CloseSource41" Type="http://schemas.openxmlformats.org/officeDocument/2006/relationships/hyperlink" Target="https://so.ch/fileadmin/internet/administrator/dokumente/Gesetzliche_Feiertage.pdf" TargetMode="External" /><ns0:Relationship Id="rIdAP22CloseSource42" Type="http://schemas.openxmlformats.org/officeDocument/2006/relationships/hyperlink" Target="https://www.estv.admin.ch/it/imposta-alla-fonte-link-amministrazioni-cantonale" TargetMode="External" /><ns0:Relationship Id="rIdAP22CloseSource43" Type="http://schemas.openxmlformats.org/officeDocument/2006/relationships/hyperlink" Target="https://www.bk.admin.ch/dam/bk/de/dokumente/komm-ue/Buku2025/BUKU_2025_RM.pdf.download.pdf/BUKU_2025_RM.pdf" TargetMode="External" /><ns0:Relationship Id="rIdAP22CloseSource44" Type="http://schemas.openxmlformats.org/officeDocument/2006/relationships/hyperlink" Target="https://www.notes.zh.ch/appl/zhlex_r.nsf/WebView/663A7F8F1929F218C1256EB7002E6A05/%24File/822.4_26.6.00_45.pdf" TargetMode="External" /><ns0:Relationship Id="rIdAP22CloseSource45" Type="http://schemas.openxmlformats.org/officeDocument/2006/relationships/hyperlink" Target="https://www.notes.zh.ch/appl/zhlex_r.nsf/WebView/43B3BDA36DB02CBDC1258D4C004EC591/%24File/211.1_10.5.10_131.pdf" TargetMode="External" /><ns0:Relationship Id="rIdAP22CloseSource46" Type="http://schemas.openxmlformats.org/officeDocument/2006/relationships/hyperlink" Target="https://www.zh.ch/de/wirtschaft-arbeit/arbeitsbedingungen/arbeitsssicherheit-gesundheitsschutz/arbeits-ruhezeiten/feiertage.html" TargetMode="External" /><ns0:Relationship Id="rIdAP22CloseSource47" Type="http://schemas.openxmlformats.org/officeDocument/2006/relationships/hyperlink" Target="https://rechtsbuch.sh.ch/api/de/versions/1886/pdf_file" TargetMode="External" /><ns0:Relationship Id="rIdAP22CloseSource48" Type="http://schemas.openxmlformats.org/officeDocument/2006/relationships/hyperlink" Target="https://sh.ch/CMS/get/file/771a1a2e-4ef2-47bb-9b04-f4afc5aed3ea" TargetMode="External" /><ns0:Relationship Id="rIdAP22CloseSource49" Type="http://schemas.openxmlformats.org/officeDocument/2006/relationships/hyperlink" Target="https://www.rechtsbuch.tg.ch/api/de/versions/2949/pdf_file" TargetMode="External" /><ns0:Relationship Id="rIdAP22CloseSource50" Type="http://schemas.openxmlformats.org/officeDocument/2006/relationships/hyperlink" Target="https://www.gesetzessammlung.sg.ch/api/de/versions/228/pdf_file" TargetMode="External" /><ns0:Relationship Id="rIdAP22CloseSource51" Type="http://schemas.openxmlformats.org/officeDocument/2006/relationships/hyperlink" Target="https://publikationen.sg.ch/rechtsprechung-gerichte-detail/6031/" TargetMode="External" /><ns0:Relationship Id="rIdAP22CloseSource52" Type="http://schemas.openxmlformats.org/officeDocument/2006/relationships/hyperlink" Target="https://ar.clex.ch/api/de/versions/1058/pdf_file" TargetMode="External" /><ns0:Relationship Id="rIdAP22CloseSource53" Type="http://schemas.openxmlformats.org/officeDocument/2006/relationships/hyperlink" Target="https://ai.clex.ch/api/de/versions/1327/pdf_file" TargetMode="External" /><ns0:Relationship Id="rIdAP22CloseSource54" Type="http://schemas.openxmlformats.org/officeDocument/2006/relationships/hyperlink" Target="https://ai.ch/themen/wirtschaft-und-arbeit/feiertage-ruhetage" TargetMode="External" /><ns0:Relationship Id="rIdAP22CloseSource55" Type="http://schemas.openxmlformats.org/officeDocument/2006/relationships/hyperlink" Target="https://ai.ch/themen/wirtschaft-und-arbeit/feiertage-ruhetage/feiertage" TargetMode="External" /><ns0:Relationship Id="rIdAP22CloseSource56" Type="http://schemas.openxmlformats.org/officeDocument/2006/relationships/hyperlink" Target="https://ai.ch/land-und-leute/innerrhoden-in-zahlen" TargetMode="External" /><ns0:Relationship Id="rIdAP22CloseSource57" Type="http://schemas.openxmlformats.org/officeDocument/2006/relationships/hyperlink" Target="https://ai.ch/themen/wirtschaft-und-arbeit/feiertage-ruhetage/dokumente/20150929-stk-bericht-feiertage.pdf" TargetMode="External" /><ns0:Relationship Id="rIdAP22CloseSource58" Type="http://schemas.openxmlformats.org/officeDocument/2006/relationships/hyperlink" Target="https://srl.lu.ch/data/855/de" TargetMode="External" /><ns0:Relationship Id="rIdAP22CloseSource59" Type="http://schemas.openxmlformats.org/officeDocument/2006/relationships/hyperlink" Target="https://srl.lu.ch/data/40/de" TargetMode="External" /><ns0:Relationship Id="rIdAP22CloseSource60" Type="http://schemas.openxmlformats.org/officeDocument/2006/relationships/hyperlink" Target="https://srl.lu.ch/data/260/de" TargetMode="External" /><ns0:Relationship Id="rIdAP22CloseSource61" Type="http://schemas.openxmlformats.org/officeDocument/2006/relationships/hyperlink" Target="https://rechtsbuch.ur.ch/api/de/versions/963/pdf_file" TargetMode="External" /><ns0:Relationship Id="rIdAP22CloseSource62" Type="http://schemas.openxmlformats.org/officeDocument/2006/relationships/hyperlink" Target="https://rechtsbuch.ur.ch/data/20.1111/de" TargetMode="External" /><ns0:Relationship Id="rIdAP22CloseSource63" Type="http://schemas.openxmlformats.org/officeDocument/2006/relationships/hyperlink" Target="https://www.ur.ch/publikationen/6581" TargetMode="External" /><ns0:Relationship Id="rIdAP22CloseSource64" Type="http://schemas.openxmlformats.org/officeDocument/2006/relationships/hyperlink" Target="https://www.sz.ch/public/upload/assets/28055/545_110.pdf" TargetMode="External" /><ns0:Relationship Id="rIdAP22CloseSource65" Type="http://schemas.openxmlformats.org/officeDocument/2006/relationships/hyperlink" Target="https://www.sz.ch/public/upload/assets/36693/Feiertagsregelung_Kanton_Schwyz.pdf?fp=6" TargetMode="External" /><ns0:Relationship Id="rIdAP22CloseSource66" Type="http://schemas.openxmlformats.org/officeDocument/2006/relationships/hyperlink" Target="https://gdb.ow.ch/api/de/versions/103/pdf_file" TargetMode="External" /><ns0:Relationship Id="rIdAP22CloseSource67" Type="http://schemas.openxmlformats.org/officeDocument/2006/relationships/hyperlink" Target="https://gesetze.nw.ch/app/de/texts_of_law/921.1" TargetMode="External" /><ns0:Relationship Id="rIdAP22CloseSource68" Type="http://schemas.openxmlformats.org/officeDocument/2006/relationships/hyperlink" Target="https://bgs.zg.ch/app/de/texts_of_law/942.31" TargetMode="External" /><ns0:Relationship Id="rIdAP22CloseSource69" Type="http://schemas.openxmlformats.org/officeDocument/2006/relationships/hyperlink" Target="https://bgs.zg.ch/app/de/texts_of_law/162.1/versions/2740" TargetMode="External" /><ns0:Relationship Id="rIdAP22CloseSource70" Type="http://schemas.openxmlformats.org/officeDocument/2006/relationships/hyperlink" Target="https://zg.ch/dam/jcr:d241f3f6-4c0c-4bb2-9096-b53dd371501c/Feiertage_2026_2027_Kt-ZG_Daten.pdf" TargetMode="External" /><ns0:Relationship Id="rIdAP22CloseSource71" Type="http://schemas.openxmlformats.org/officeDocument/2006/relationships/hyperlink" Target="https://gesetze.gl.ch/api/de/versions/2110/pdf_file" TargetMode="External" /><ns0:Relationship Id="rIdAP22CloseSource72" Type="http://schemas.openxmlformats.org/officeDocument/2006/relationships/hyperlink" Target="https://gesetze.gl.ch/data/I-A.3.1/de" TargetMode="External" /><ns0:Relationship Id="rIdAP22CloseSource73" Type="http://schemas.openxmlformats.org/officeDocument/2006/relationships/hyperlink" Target="https://www.gl.ch/public-newsroom.html/31/newsroomnews/14237/title/n%C3%A4felser-fahrt" TargetMode="External" /><ns0:Relationship Id="rIdAP22CloseSource74" Type="http://schemas.openxmlformats.org/officeDocument/2006/relationships/hyperlink" Target="https://www.gesetzessammlung.bs.ch/frontend/versions/4927/download_pdf_file?locale=de" TargetMode="External" /><ns0:Relationship Id="rIdAP22CloseSource75" Type="http://schemas.openxmlformats.org/officeDocument/2006/relationships/hyperlink" Target="https://www.bs.ch/themen/arbeit-und-steuern/feiertage-im-kanton-basel-stadt" TargetMode="External" /><ns0:Relationship Id="rIdAP22CloseSource76" Type="http://schemas.openxmlformats.org/officeDocument/2006/relationships/hyperlink" Target="https://bl.clex.ch/api/versions/2507/pdf_file_with_annexes" TargetMode="External" /><ns0:Relationship Id="rIdAP22CloseSource77" Type="http://schemas.openxmlformats.org/officeDocument/2006/relationships/hyperlink" Target="https://bl-api.webcloud7.ch/politik-und-behorden/direktionen/finanz-und-kirchendirektion/personalamt/arbeitszeiten/dateien_arbeitszeiten/2026_ubersicht-feiertage-arbeitsfreie-tage-kompensationstage-und-netto-sollarbeitszeit.pdf/%40%40download/file/2026_U%CC%88bersicht%20Feiertage%20arbeitsfreie%20Tage%20Kompensationstage%20und%20Netto-Sollarbeitszeit.pdf" TargetMode="External" /><ns0:Relationship Id="rIdAP22CloseSource78" Type="http://schemas.openxmlformats.org/officeDocument/2006/relationships/hyperlink" Target="https://prestations.vd.ch/pub/blv-publication/actes/consolide/822.11?id=c3ef83f5-e736-490d-90a7-1753b31d5ef3" TargetMode="External" /><ns0:Relationship Id="rIdAP22CloseSource79" Type="http://schemas.openxmlformats.org/officeDocument/2006/relationships/hyperlink" Target="https://www.vd.ch/fileadmin/user_upload/themes/economie_emploi/emploi/fichiers_pdf/FAQ-droit_du_travail-DGEM.pdf" TargetMode="External" /><ns0:Relationship Id="rIdAP22CloseSource80" Type="http://schemas.openxmlformats.org/officeDocument/2006/relationships/hyperlink" Target="https://www.vd.ch/formation/jours-feries-et-vacances-scolaires/jours-feries-et-vacances-scolaires-2026" TargetMode="External" /><ns0:Relationship Id="rIdAP22CloseSource81" Type="http://schemas.openxmlformats.org/officeDocument/2006/relationships/hyperlink" Target="https://www.vd.ch/formation/jours-feries-et-vacances-scolaires/jours-feries-et-vacances-scolaires-2027" TargetMode="External" /><ns0:Relationship Id="rIdAP22CloseSource82" Type="http://schemas.openxmlformats.org/officeDocument/2006/relationships/hyperlink" Target="https://www.vd.ch/formation/jours-feries-et-vacances-scolaires/jours-feries-et-vacances-scolaires-2028" TargetMode="External" /><ns0:Relationship Id="rIdAP22CloseSource83" Type="http://schemas.openxmlformats.org/officeDocument/2006/relationships/hyperlink" Target="https://rsn.ne.ch/DATA/program/books/rsne/pdf/941.02.pdf" TargetMode="External" /><ns0:Relationship Id="rIdAP22CloseSource84" Type="http://schemas.openxmlformats.org/officeDocument/2006/relationships/hyperlink" Target="https://rsn.ne.ch/DATA/program/books/rsne/pdf/941.020.pdf" TargetMode="External" /><ns0:Relationship Id="rIdAP22CloseSource85" Type="http://schemas.openxmlformats.org/officeDocument/2006/relationships/hyperlink" Target="https://rsn.ne.ch/DATA/program/books/rsne/pdf/152.130.pdf" TargetMode="External" /><ns0:Relationship Id="rIdAP22CloseSource86" Type="http://schemas.openxmlformats.org/officeDocument/2006/relationships/hyperlink" Target="https://rsn.ne.ch/DATA/program/books/rsne/pdf/152.512.pdf" TargetMode="External" /><ns0:Relationship Id="rIdAP22CloseSource87" Type="http://schemas.openxmlformats.org/officeDocument/2006/relationships/hyperlink" Target="https://www.ne.ch/sites/default/files/migration/autorites/DDTE/SCAT/Documents/06_07_Documents_communs/PConstr_CirculaireComputationDelais.pdf" TargetMode="External" /><ns0:Relationship Id="rIdAP22CloseSource88" Type="http://schemas.openxmlformats.org/officeDocument/2006/relationships/hyperlink" Target="https://www.ne.ch/themes/economie-et-emploi/jours-feries-officiels" TargetMode="External" /><ns0:Relationship Id="rIdAP22CloseSource89" Type="http://schemas.openxmlformats.org/officeDocument/2006/relationships/hyperlink" Target="https://rsju.jura.ch/Htdocs/Files/v/38948.pdf" TargetMode="External" /><ns0:Relationship Id="rIdAP22CloseSource90" Type="http://schemas.openxmlformats.org/officeDocument/2006/relationships/hyperlink" Target="https://www.jura.ch/Htdocs/Files/v/7818f8eb129d227f2892b240cfbf77d3597c47169f83a6d57891c45fbd7b66df.pdf/2026-2027.pdf?download=1" TargetMode="External" /><ns0:Relationship Id="rIdAP22CloseSource91" Type="http://schemas.openxmlformats.org/officeDocument/2006/relationships/hyperlink" Target="https://www.fedlex.admin.ch/eli/cc/2010/267/de#art_90" TargetMode="External" /><ns0:Relationship Id="rIdAP22CloseSource92" Type="http://schemas.openxmlformats.org/officeDocument/2006/relationships/hyperlink" Target="https://www.fedlex.admin.ch/eli/cc/2010/262/de#art_142" TargetMode="External" /><ns0:Relationship Id="rIdAP22CloseSource93" Type="http://schemas.openxmlformats.org/officeDocument/2006/relationships/hyperlink" Target="https://www.fedlex.admin.ch/eli/cc/2006/218/de#art_45" TargetMode="External" /><ns0:Relationship Id="rIdAP22CloseSource94" Type="http://schemas.openxmlformats.org/officeDocument/2006/relationships/hyperlink" Target="https://www.fedlex.admin.ch/eli/cc/1969/737_757_755/de#art_20" TargetMode="External" /><ns0:Relationship Id="rIdAP22CloseSource95" Type="http://schemas.openxmlformats.org/officeDocument/2006/relationships/hyperlink" Target="https://www.fedlex.admin.ch/eli/cc/1983/500_500_500/de#art_5" TargetMode="External" /><ns0:Relationship Id="rIdAP22CloseSource96" Type="http://schemas.openxmlformats.org/officeDocument/2006/relationships/hyperlink" Target="https://www.bger.ch/ext/eurospider/live/de/php/aza/http/index.php?highlight_docid=aza%3A%2F%2F05-09-2024-4A_434-2023&amp;lang=de&amp;type=show_document&amp;zoom=" TargetMode="External" /><ns0:Relationship Id="rIdAP22CloseSource97" Type="http://schemas.openxmlformats.org/officeDocument/2006/relationships/hyperlink" Target="https://search.bger.ch/ext/eurospider/live/fr/php/aza/http/index.php?highlight_docid=aza%3A%2F%2F01-07-2025-7B_561-2025&amp;lang=fr&amp;type=show_document&amp;zoom=NO" TargetMode="External" /><ns0:Relationship Id="rIdAP22CloseSource98" Type="http://schemas.openxmlformats.org/officeDocument/2006/relationships/hyperlink" Target="https://entscheidsuche.ch/docs/CH_BGE/CH_BGE_004_BGE-124-II-527_1998-06-11.html" TargetMode="External" /><ns0:Relationship Id="rIdAP22CloseSource99" Type="http://schemas.openxmlformats.org/officeDocument/2006/relationships/hyperlink" Target="https://www.bger.ch/ext/eurospider/live/de/php/aza/http/index.php?highlight_docid=aza%3A%2F%2Faza%3A%2F%2F20-12-2018-9C_396-2018&amp;lang=de&amp;type=show_document&amp;zoom=NO" TargetMode="External" /><ns0:Relationship Id="rIdAP22CloseSource100" Type="http://schemas.openxmlformats.org/officeDocument/2006/relationships/hyperlink" Target="https://search.bger.ch/ext/eurospider/live/de/php/aza/http/index.php?highlight_docid=aza%3A%2F%2F03-01-2024-4A_538-2023&amp;lang=de&amp;type=show_document" TargetMode="External" /><ns0:Relationship Id="rIdAP22CloseSource101" Type="http://schemas.openxmlformats.org/officeDocument/2006/relationships/hyperlink" Target="https://search.bger.ch/ext/eurospider/live/de/php/aza/http/index.php?azaclir=clir&amp;highlight_docid=atf%3A%2F%2F115-IV-266%3Ade&amp;lang=de&amp;type=show_document" TargetMode="External" /><ns0:Relationship Id="rIdAP22CloseSource102" Type="http://schemas.openxmlformats.org/officeDocument/2006/relationships/hyperlink" Target="https://gesetzessammlungen.ag.ch/api/de/versions/3615/pdf_file" TargetMode="External" /><ns0:Relationship Id="rIdAP22CloseSource103" Type="http://schemas.openxmlformats.org/officeDocument/2006/relationships/hyperlink" Target="https://www.lexfind.ch/fe/de/tol/1582" TargetMode="External" /><ns0:Relationship Id="rIdAP22CloseSource104" Type="http://schemas.openxmlformats.org/officeDocument/2006/relationships/hyperlink" Target="https://bdlf.fr.ch/api/de/versions/7926/pdf_file" TargetMode="External" /><ns0:Relationship Id="rIdAP22CloseSource105" Type="http://schemas.openxmlformats.org/officeDocument/2006/relationships/hyperlink" Target="https://entscheidsuche.ch/docs/FR_Gerichte/FR_TC_001_101-2012-89_2012-04-25.pdf" TargetMode="External" /><ns0:Relationship Id="rIdAP22CloseSource106" Type="http://schemas.openxmlformats.org/officeDocument/2006/relationships/hyperlink" Target="https://bgs.so.ch/app/de/texts_of_law/321.3" TargetMode="External" /><ns0:Relationship Id="rIdAP22CloseSource107" Type="http://schemas.openxmlformats.org/officeDocument/2006/relationships/hyperlink" Target="https://bgs.so.ch/api/de/versions/5488/pdf_file" TargetMode="External" /><ns0:Relationship Id="rIdAP22CloseSource108" Type="http://schemas.openxmlformats.org/officeDocument/2006/relationships/hyperlink" Target="https://bgs.so.ch/api/de/change_documents/file_dictionaries/1025/pdf_file" TargetMode="External" /><ns0:Relationship Id="rIdAP22CloseSource109" Type="http://schemas.openxmlformats.org/officeDocument/2006/relationships/hyperlink" Target="https://bgs.so.ch/api/de/versions/4366/pdf_file" TargetMode="External" /><ns0:Relationship Id="rIdAP22CloseSource110" Type="http://schemas.openxmlformats.org/officeDocument/2006/relationships/hyperlink" Target="https://www.gr-lex.gr.ch/api/de/versions/2604/pdf_file" TargetMode="External" /><ns0:Relationship Id="rIdAP22CloseSource111" Type="http://schemas.openxmlformats.org/officeDocument/2006/relationships/hyperlink" Target="https://rsn.ne.ch/DATA/program/books/rsne/pdf/152.130.pdf" TargetMode="External" /><ns0:Relationship Id="rIdAP22CloseSource112" Type="http://schemas.openxmlformats.org/officeDocument/2006/relationships/hyperlink" Target="https://rsn.ne.ch/DATA/program/books/rsne/pdf/941.02.pdf" TargetMode="External" /><ns0:Relationship Id="rIdAP22CloseSource113" Type="http://schemas.openxmlformats.org/officeDocument/2006/relationships/hyperlink" Target="https://rsn.ne.ch/DATA/program/books/rsne/pdf/941.020.pdf" TargetMode="External" /><ns0:Relationship Id="rIdAP22CloseSource114" Type="http://schemas.openxmlformats.org/officeDocument/2006/relationships/hyperlink" Target="https://rsn.ne.ch/DATA/program/books/rsne/pdf/152.512.pdf" TargetMode="External" /><ns0:Relationship Id="rIdAP22CloseSource115" Type="http://schemas.openxmlformats.org/officeDocument/2006/relationships/hyperlink" Target="https://gesetzessammlungen.ag.ch/api/de/versions/3617/pdf_file" TargetMode="External" /><ns0:Relationship Id="rIdAP22CloseSource116" Type="http://schemas.openxmlformats.org/officeDocument/2006/relationships/hyperlink" Target="https://gesetzessammlungen.ag.ch/api/de/versions/3615/pdf_file" TargetMode="External" /><ns0:Relationship Id="rIdAP22CloseSource117" Type="http://schemas.openxmlformats.org/officeDocument/2006/relationships/hyperlink" Target="https://gesetzessammlungen.ag.ch/api/de/versions/3449/pdf_file" TargetMode="External" /><ns0:Relationship Id="rIdAP22CloseSource118" Type="http://schemas.openxmlformats.org/officeDocument/2006/relationships/hyperlink" Target="https://www.bger.ch/ext/eurospider/live/de/php/aza/http/index.php?highlight_docid=aza%3A%2F%2F13-02-2026-2E_8-2024&amp;lang=de&amp;type=show_document&amp;zoom=" TargetMode="External" /><ns0:Relationship Id="rIdAP22CloseSource119" Type="http://schemas.openxmlformats.org/officeDocument/2006/relationships/hyperlink" Target="https://bdlf.fr.ch/api/de/versions/7926/pdf_file" TargetMode="External" /><ns0:Relationship Id="rIdAP22CloseSource120" Type="http://schemas.openxmlformats.org/officeDocument/2006/relationships/hyperlink" Target="https://entscheidsuche.ch/docs/CH_BGE/CH_BGE_004_BGE-124-II-527_1998-06-11.html" TargetMode="External" /><ns0:Relationship Id="rIdAP22CloseSource121" Type="http://schemas.openxmlformats.org/officeDocument/2006/relationships/hyperlink" Target="https://bgs.so.ch/api/de/versions/5523/pdf_file" TargetMode="External" /><ns0:Relationship Id="rIdAP22CloseSource122" Type="http://schemas.openxmlformats.org/officeDocument/2006/relationships/hyperlink" Target="https://bgs.so.ch/api/de/versions/5488/pdf_file" TargetMode="External" /><ns0:Relationship Id="rIdAP22CloseSource123" Type="http://schemas.openxmlformats.org/officeDocument/2006/relationships/hyperlink" Target="https://bgs.so.ch/app/de/texts_of_law/321.3" TargetMode="External" /><ns0:Relationship Id="rIdAP22CloseSource124" Type="http://schemas.openxmlformats.org/officeDocument/2006/relationships/hyperlink" Target="https://rsn.ne.ch/DATA/program/books/rsne/pdf/152.130.pdf" TargetMode="External" /><ns0:Relationship Id="rIdAP22CloseSource125" Type="http://schemas.openxmlformats.org/officeDocument/2006/relationships/hyperlink" Target="https://rsn.ne.ch/DATA/program/books/rsne/pdf/251.1.pdf" TargetMode="External" /><ns0:Relationship Id="rIdAP22CloseSource126" Type="http://schemas.openxmlformats.org/officeDocument/2006/relationships/hyperlink" Target="https://rsn.ne.ch/DATA/program/books/rsne/pdf/322.0.pdf" TargetMode="External" /><ns0:Relationship Id="rIdAP22CloseSource127" Type="http://schemas.openxmlformats.org/officeDocument/2006/relationships/hyperlink" Target="https://rsn.ne.ch/DATA/program/books/rsne/htm/152.512.htm" TargetMode="External" /><ns0:Relationship Id="rIdAP22CloseSource128" Type="http://schemas.openxmlformats.org/officeDocument/2006/relationships/hyperlink" Target="https://www.bger.ch/ext/eurospider/live/de/php/aza/http/index.php?highlight_docid=aza%3A%2F%2F20-12-2018-9C_396-2018&amp;lang=de&amp;type=show_document&amp;zoom=NO" TargetMode="External" /><ns0:Relationship Id="rIdAP22CloseSource129" Type="http://schemas.openxmlformats.org/officeDocument/2006/relationships/hyperlink" Target="https://www.fedlex.admin.ch/eli/cc/1983/500_500_500/de#art_5" TargetMode="External" /><ns0:Relationship Id="rIdAP22CloseSource130" Type="http://schemas.openxmlformats.org/officeDocument/2006/relationships/hyperlink" Target="https://rsn.ne.ch/DATA/program/books/rsne/pdf/941.020.pdf" TargetMode="External" /><ns0:Relationship Id="rIdAP22CloseSource131" Type="http://schemas.openxmlformats.org/officeDocument/2006/relationships/hyperlink" Target="https://sh.ch/CMS/get/file/771a1a2e-4ef2-47bb-9b04-f4afc5aed3ea" TargetMode="External" /><ns0:Relationship Id="rIdAP22CloseSource132" Type="http://schemas.openxmlformats.org/officeDocument/2006/relationships/hyperlink" Target="https://publikationen.sg.ch/rechtsprechung-gerichte-detail/6031/" TargetMode="External" /><ns0:Relationship Id="rIdAP22CloseSource133" Type="http://schemas.openxmlformats.org/officeDocument/2006/relationships/hyperlink" Target="https://publikationen.sg.ch/rechtsprechung-gerichte-detail/11795/" TargetMode="External" /><ns0:Relationship Id="rIdAP22CloseSource134" Type="http://schemas.openxmlformats.org/officeDocument/2006/relationships/hyperlink" Target="https://ar.clex.ch/api/de/versions/1058/pdf_file" TargetMode="External" /><ns0:Relationship Id="rIdAP22CloseSource135" Type="http://schemas.openxmlformats.org/officeDocument/2006/relationships/hyperlink" Target="https://www.lexfind.ch/tolv/107233/fr" TargetMode="External" /><ns0:Relationship Id="rIdAP22CloseSource136" Type="http://schemas.openxmlformats.org/officeDocument/2006/relationships/hyperlink" Target="https://www.notes.zh.ch/appl/zhlex_r.nsf/WebView/43B3BDA36DB02CBDC1258D4C004EC591/%24File/211.1_10.5.10_131.pdf" TargetMode="External" /><ns0:Relationship Id="rIdAP22CloseSource137" Type="http://schemas.openxmlformats.org/officeDocument/2006/relationships/hyperlink" Target="https://srl.lu.ch/data/260/de" TargetMode="External" /><ns0:Relationship Id="rIdAP22CloseSource138" Type="http://schemas.openxmlformats.org/officeDocument/2006/relationships/hyperlink" Target="https://srl.lu.ch/data/40/de" TargetMode="External" /><ns0:Relationship Id="rIdAP22CloseSource139" Type="http://schemas.openxmlformats.org/officeDocument/2006/relationships/hyperlink" Target="https://bgs.zg.ch/api/de/versions/2740/pdf_file" TargetMode="External" /><ns0:Relationship Id="rIdAP22CloseSource140" Type="http://schemas.openxmlformats.org/officeDocument/2006/relationships/hyperlink" Target="https://bgs.zg.ch/data/161.1/de" TargetMode="External" /><ns0:Relationship Id="rIdAP22CloseSource141" Type="http://schemas.openxmlformats.org/officeDocument/2006/relationships/hyperlink" Target="https://lex.vs.ch/api/fr/versions/3260/pdf_file" TargetMode="External" /><ns0:Relationship Id="rIdAP22CloseSource142" Type="http://schemas.openxmlformats.org/officeDocument/2006/relationships/hyperlink" Target="https://www.bger.ch/ext/eurospider/live/de/php/aza/http/index.php?highlight_docid=aza://13-02-2026-2E_8-2024&amp;lang=de&amp;type=show_document" TargetMode="External" /><ns0:Relationship Id="rIdAP22CloseSource143" Type="http://schemas.openxmlformats.org/officeDocument/2006/relationships/hyperlink" Target="http://relevancy.bger.ch/cgi-bin/JumpCGI?id=10.12.2013_6B_730/2013" TargetMode="External" /><ns0:Relationship Id="rIdAP22CloseSource144" Type="http://schemas.openxmlformats.org/officeDocument/2006/relationships/hyperlink" Target="http://relevancy.bger.ch/cgi-bin/JumpCGI?id=30.06.2014_1B_209/2014" TargetMode="External" /><ns0:Relationship Id="rIdAP22CloseSource145" Type="http://schemas.openxmlformats.org/officeDocument/2006/relationships/hyperlink" Target="https://www.fedlex.admin.ch/eli/cc/2010/267/de" TargetMode="External" /><ns0:Relationship Id="rIdAP22CloseSource146" Type="http://schemas.openxmlformats.org/officeDocument/2006/relationships/hyperlink" Target="https://www.fedlex.admin.ch/eli/cc/2010/262/de" TargetMode="External" /><ns0:Relationship Id="rIdAP22CloseSource147" Type="http://schemas.openxmlformats.org/officeDocument/2006/relationships/hyperlink" Target="https://www.fedlex.admin.ch/eli/cc/2006/218/de" TargetMode="External" /><ns0:Relationship Id="rIdAP22CloseSource148" Type="http://schemas.openxmlformats.org/officeDocument/2006/relationships/hyperlink" Target="https://www.fedlex.admin.ch/eli/cc/1969/737_757_755/de" TargetMode="External" /><ns0:Relationship Id="rIdAP22CloseSource149" Type="http://schemas.openxmlformats.org/officeDocument/2006/relationships/hyperlink" Target="https://www.fedlex.admin.ch/filestore/fedlex.data.admin.ch/eli/cc/1969/737_757_755/20270101/de/html/fedlex-data-admin-ch-eli-cc-1969-737_757_755-20270101-de-html.html" TargetMode="External" /><ns0:Relationship Id="rIdAP22CloseSource150" Type="http://schemas.openxmlformats.org/officeDocument/2006/relationships/hyperlink" Target="https://www.fedlex.admin.ch/eli/cc/1983/500_500_500/de" TargetMode="External" /><ns0:Relationship Id="rIdAP22CloseSource151" Type="http://schemas.openxmlformats.org/officeDocument/2006/relationships/hyperlink" Target="https://www.fedlex.admin.ch/eli/fga/2008/1395/de" TargetMode="External" /><ns0:Relationship Id="rIdAP22CloseSource152" Type="http://schemas.openxmlformats.org/officeDocument/2006/relationships/hyperlink" Target="https://www.fedlex.admin.ch/eli/fga/2025/565/de" TargetMode="External" /><ns0:Relationship Id="rIdAP22CloseSource153" Type="http://schemas.openxmlformats.org/officeDocument/2006/relationships/hyperlink" Target="https://www.bger.ch/ext/eurospider/live/de/php/aza/http/index.php?highlight_docid=aza%3A%2F%2F05-09-2024-4A_434-2023&amp;lang=de&amp;type=show_document&amp;zoom=" TargetMode="External" /><ns0:Relationship Id="rIdAP22CloseSource154" Type="http://schemas.openxmlformats.org/officeDocument/2006/relationships/hyperlink" Target="https://search.bger.ch/ext/eurospider/live/fr/php/aza/http/index.php?highlight_docid=aza%3A%2F%2F01-07-2025-7B_561-2025&amp;lang=fr&amp;type=show_document&amp;zoom=NO" TargetMode="External" /><ns0:Relationship Id="rIdAP22CloseSource155" Type="http://schemas.openxmlformats.org/officeDocument/2006/relationships/hyperlink" Target="https://entscheidsuche.ch/docs/CH_BSTG/CH_BSTG_001_BB-2020-164_2020-12-09.pdf" TargetMode="External" /><ns0:Relationship Id="rIdAP22CloseSource156" Type="http://schemas.openxmlformats.org/officeDocument/2006/relationships/hyperlink" Target="https://entscheidsuche.ch/docs/CH_BVGer/CH_BVGE_001_D-7710-2009_2010-03-04.pdf" TargetMode="External" /><ns0:Relationship Id="rIdAP22CloseSource157" Type="http://schemas.openxmlformats.org/officeDocument/2006/relationships/hyperlink" Target="https://entscheidsuche.ch/docs/CH_BVGer/CH_BVGE_001_D-6953-2010_2011-04-14.pdf" TargetMode="External" /><ns0:Relationship Id="rIdAP22CloseSource158" Type="http://schemas.openxmlformats.org/officeDocument/2006/relationships/hyperlink" Target="https://entscheidsuche.ch/docs/CH_BVGer/CH_BVGE_001_F-10031-2025_2026-01-09.pdf" TargetMode="External" /><ns0:Relationship Id="rIdAP22CloseSource159" Type="http://schemas.openxmlformats.org/officeDocument/2006/relationships/hyperlink" Target="https://entscheidsuche.ch/docs/CH_BGE/CH_BGE_004_BGE-124-II-527_1998-06-11.html" TargetMode="External" /><ns0:Relationship Id="rIdAP22CloseSource160" Type="http://schemas.openxmlformats.org/officeDocument/2006/relationships/hyperlink" Target="https://www.bger.ch/ext/eurospider/live/de/php/aza/http/index.php?highlight_docid=aza%3A%2F%2F20-12-2018-9C_396-2018&amp;lang=de&amp;type=show_document" TargetMode="External" /><ns0:Relationship Id="rIdAP22CloseSource161" Type="http://schemas.openxmlformats.org/officeDocument/2006/relationships/hyperlink" Target="https://www.bger.ch/ext/eurospider/live/de/php/aza/http/index.php?highlight_docid=aza%3A%2F%2F13-02-2026-2E_8-2024&amp;lang=de&amp;type=show_document&amp;zoom=" TargetMode="External" /><ns0:Relationship Id="rIdAP22CloseSource162" Type="http://schemas.openxmlformats.org/officeDocument/2006/relationships/hyperlink" Target="https://search.bger.ch/ext/eurospider/live/de/php/aza/http/index.php?highlight_docid=atf%3A%2F%2F115-IV-266%3Ade&amp;lang=de&amp;type=show_document" TargetMode="External" /><ns0:Relationship Id="rIdAP22CloseSource163" Type="http://schemas.openxmlformats.org/officeDocument/2006/relationships/hyperlink" Target="https://entscheidsuche.ch/docs/CH_BGer/CH_BGer_007_7B-32-2023_2023-09-06.html" TargetMode="External" /></ns0:Relationships>
</file>

<file path=xl/worksheets/sheet1.xml><?xml version="1.0" encoding="utf-8"?>
<x:worksheet xmlns:x="http://schemas.openxmlformats.org/spreadsheetml/2006/main">
  <x:sheetViews>
    <x:sheetView showGridLines="0" workbookViewId="0">
      <x:pane xSplit="1" ySplit="6" topLeftCell="B7" activePane="bottomRight" state="frozen"/>
    </x:sheetView>
  </x:sheetViews>
  <x:sheetFormatPr baseColWidth="10" defaultColWidth="8.83203125" defaultRowHeight="14"/>
  <x:cols>
    <x:col min="1" max="1" width="20" customWidth="1"/>
    <x:col min="2" max="3" width="33" customWidth="1"/>
    <x:col min="4" max="4" width="38" customWidth="1"/>
    <x:col min="5" max="5" width="43" customWidth="1"/>
    <x:col min="6" max="6" width="68" customWidth="1"/>
  </x:cols>
  <x:sheetData>
    <x:row r="1" ht="24" customHeight="1">
      <x:c r="A1" s="11" t="s">
        <x:v>0</x:v>
      </x:c>
      <x:c r="B1" s="11"/>
      <x:c r="C1" s="11"/>
      <x:c r="D1" s="11"/>
      <x:c r="E1" s="11"/>
      <x:c r="F1" s="11"/>
    </x:row>
    <x:row r="2" ht="24" customHeight="1">
      <x:c r="A2" s="11"/>
      <x:c r="B2" s="11"/>
      <x:c r="C2" s="11"/>
      <x:c r="D2" s="11"/>
      <x:c r="E2" s="11"/>
      <x:c r="F2" s="11"/>
    </x:row>
    <x:row r="3" ht="24" customHeight="1">
      <x:c r="A3" s="12" t="str">
        <x:v>Stand 08.10.2026 · V1.0 Abschlussfassung · Vier ergebnisabhängige Grenzen beschlossen · Keine technische Aktivierung</x:v>
      </x:c>
      <x:c r="B3" s="12"/>
      <x:c r="C3" s="12"/>
      <x:c r="D3" s="12"/>
      <x:c r="E3" s="12"/>
      <x:c r="F3" s="12"/>
    </x:row>
    <x:row r="4" ht="24" customHeight="1">
      <x:c r="A4" s="12"/>
      <x:c r="B4" s="12"/>
      <x:c r="C4" s="12"/>
      <x:c r="D4" s="12"/>
      <x:c r="E4" s="12"/>
      <x:c r="F4" s="12"/>
    </x:row>
    <x:row r="5" ht="10" customHeight="1">
      <x:c r="A5" s="1"/>
      <x:c r="B5" s="1"/>
      <x:c r="C5" s="1"/>
      <x:c r="D5" s="1"/>
      <x:c r="E5" s="1"/>
      <x:c r="F5" s="1"/>
    </x:row>
    <x:row r="6" ht="38" customHeight="1">
      <x:c r="A6" s="4" t="s">
        <x:v>1</x:v>
      </x:c>
      <x:c r="B6" s="4" t="s">
        <x:v>2</x:v>
      </x:c>
      <x:c r="C6" s="4" t="s">
        <x:v>3</x:v>
      </x:c>
      <x:c r="D6" s="4" t="s">
        <x:v>4</x:v>
      </x:c>
      <x:c r="E6" s="4" t="s">
        <x:v>5</x:v>
      </x:c>
      <x:c r="F6" s="4" t="s">
        <x:v>6</x:v>
      </x:c>
    </x:row>
    <x:row r="7" ht="48" customHeight="1">
      <x:c r="A7" s="18" t="str">
        <x:v>Überblick</x:v>
      </x:c>
      <x:c r="B7" s="18" t="str">
        <x:v>27 Gemeinwesen</x:v>
      </x:c>
      <x:c r="C7" s="18" t="str">
        <x:v>49 bestehende Räume</x:v>
      </x:c>
      <x:c r="D7" s="18" t="str">
        <x:v>4 Bundesprofile</x:v>
      </x:c>
      <x:c r="E7" s="18" t="str">
        <x:v>198 Zuordnungszeilen</x:v>
      </x:c>
      <x:c r="F7" s="18" t="str">
        <x:v>Abschlussfassung V1.0. AP22A am 08.10.2026 abgeschlossen.</x:v>
      </x:c>
    </x:row>
    <x:row r="8" ht="48" customHeight="1">
      <x:c r="A8" s="22" t="str">
        <x:v>Verfahren</x:v>
      </x:c>
      <x:c r="B8" s="22" t="str">
        <x:v>Massgebender Ort</x:v>
      </x:c>
      <x:c r="C8" s="22" t="str">
        <x:v>Wirkung</x:v>
      </x:c>
      <x:c r="D8" s="22" t="str">
        <x:v>Norm / Quelle</x:v>
      </x:c>
      <x:c r="E8" s="22" t="str">
        <x:v>Friststillstand</x:v>
      </x:c>
      <x:c r="F8" s="22" t="str">
        <x:v>Abgrenzung</x:v>
      </x:c>
    </x:row>
    <x:row r="9" ht="114" customHeight="1">
      <x:c r="A9" s="13" t="str">
        <x:v>StPO</x:v>
      </x:c>
      <x:c r="B9" s="13" t="str">
        <x:v>Rechtlich massgebender Partei- / Vertretungsort</x:v>
      </x:c>
      <x:c r="C9" s="13" t="str">
        <x:v>Fristende</x:v>
      </x:c>
      <x:c r="D9" s="13" t="str">
        <x:v>Art. 90 Abs. 2 StPO
AP22CLOSE-BUND-STPO</x:v>
      </x:c>
      <x:c r="E9" s="13" t="str">
        <x:v>Keine Gerichtsferien, Art. 89 Abs. 2.</x:v>
      </x:c>
      <x:c r="F9" s="13" t="str">
        <x:v>Ohne Vertretung Parteiort. Bei eindeutig bestimmter professioneller Zustellvertretung deren Ort. Keine freie Vereinigung. Ungeklärte Vertretung oder Mandatswechsel gesondert klären.
Tagesfristen und bisher modellierte Zustellungs-/Verfahrensarten. Kein zusätzlicher Sozial- oder kantonaler Verwaltungsbereich.</x:v>
      </x:c>
    </x:row>
    <x:row r="10" ht="86" customHeight="1">
      <x:c r="A10" s="14" t="str">
        <x:v>ZPO</x:v>
      </x:c>
      <x:c r="B10" s="14" t="str">
        <x:v>Gerichtsort</x:v>
      </x:c>
      <x:c r="C10" s="14" t="str">
        <x:v>Fristende und Art. 142 Abs. 1bis</x:v>
      </x:c>
      <x:c r="D10" s="14" t="str">
        <x:v>Art. 142 Abs. 3 ZPO
AP22CLOSE-BUND-ZPO</x:v>
      </x:c>
      <x:c r="E10" s="14" t="str">
        <x:v>Art. 145. Schlichtung und summarisches Verfahren grundsätzlich ausgenommen. Spezialrecht gesondert.</x:v>
      </x:c>
      <x:c r="F10" s="14" t="str">
        <x:v>Ort des zuständigen Gerichts, kein zusätzlicher Partei- oder Vertretungskalender.
Tagesfristen und bisher modellierte Zustellungs-/Verfahrensarten. Kein zusätzlicher Sozial- oder kantonaler Verwaltungsbereich.</x:v>
      </x:c>
    </x:row>
    <x:row r="11" ht="114" customHeight="1">
      <x:c r="A11" s="13" t="str">
        <x:v>BGG</x:v>
      </x:c>
      <x:c r="B11" s="13" t="str">
        <x:v>Rechtlich massgebender Partei- / Vertretungsort</x:v>
      </x:c>
      <x:c r="C11" s="13" t="str">
        <x:v>Fristende</x:v>
      </x:c>
      <x:c r="D11" s="13" t="str">
        <x:v>Art. 45 Abs. 2 BGG
AP22CLOSE-BUND-BGG</x:v>
      </x:c>
      <x:c r="E11" s="13" t="str">
        <x:v>Art. 46. Ausnahmen einschliesslich politischer Rechte, Beschaffung und weiterer Abs.-2-Verfahren.</x:v>
      </x:c>
      <x:c r="F11" s="13" t="str">
        <x:v>Ohne Vertretung Parteiort. Bei eindeutig bestimmter professioneller Zustellvertretung deren Ort. Keine freie Vereinigung. Ungeklärte Vertretung oder Mandatswechsel gesondert klären.
Tagesfristen und bisher modellierte Zustellungs-/Verfahrensarten. Kein zusätzlicher Sozial- oder kantonaler Verwaltungsbereich.</x:v>
      </x:c>
    </x:row>
    <x:row r="12" ht="114" customHeight="1">
      <x:c r="A12" s="14" t="str">
        <x:v>VwVG</x:v>
      </x:c>
      <x:c r="B12" s="14" t="str">
        <x:v>Rechtlich massgebender Partei- / Vertretungsort</x:v>
      </x:c>
      <x:c r="C12" s="14" t="str">
        <x:v>Fristende</x:v>
      </x:c>
      <x:c r="D12" s="14" t="str">
        <x:v>Art. 20 Abs. 3 VwVG
AP22CLOSE-BUND-VWVG</x:v>
      </x:c>
      <x:c r="E12" s="14" t="str">
        <x:v>Art. 22a. Vorsorgliche Massnahmen und öffentliche Beschaffungen ausgenommen.</x:v>
      </x:c>
      <x:c r="F12" s="14" t="str">
        <x:v>Ohne Vertretung Parteiort. Bei eindeutig bestimmter professioneller Zustellvertretung deren Ort. Keine freie Vereinigung. Ungeklärte Vertretung oder Mandatswechsel gesondert klären.
Art. 20 und 22a der amtlichen Fassung 2027 geprüft, inhaltlich unverändert. Nichtprofessionelle Mehrortfälle bleiben gesondert.</x:v>
      </x:c>
    </x:row>
    <x:row r="13" ht="48" customHeight="1">
      <x:c r="A13" s="13" t="str">
        <x:v>Leseschlüssel</x:v>
      </x:c>
      <x:c r="B13" s="13" t="str">
        <x:v>Bestand unverändert</x:v>
      </x:c>
      <x:c r="C13" s="13" t="str">
        <x:v>Zuordnung bestimmt</x:v>
      </x:c>
      <x:c r="D13" s="13" t="str">
        <x:v>Ergebnisabhängig begrenzt</x:v>
      </x:c>
      <x:c r="E13" s="13" t="str">
        <x:v>Bewusst begrenzt</x:v>
      </x:c>
      <x:c r="F13" s="13" t="str">
        <x:v>Nicht übernehmen / Katalogergänzung nötig</x:v>
      </x:c>
    </x:row>
    <x:row r="14" ht="72" customHeight="1">
      <x:c r="A14" s="14" t="str">
        <x:v>Bedeutung</x:v>
      </x:c>
      <x:c r="B14" s="14" t="str">
        <x:v>Bisher operativer CH-/BE-Bestand.</x:v>
      </x:c>
      <x:c r="C14" s="14" t="str">
        <x:v>Auswahlregel konkretisiert. Fachliche Zustimmung DEC-2026-028 erteilt.</x:v>
      </x:c>
      <x:c r="D14" s="14" t="str">
        <x:v>DEC-2026-029: Nur SG/StPO/BGG/VwVG und SH/StPO. Bei Ergebnisunterschied durch den 2. Januar Einzelfallklärung, kein definitives automatisches Resultat.</x:v>
      </x:c>
      <x:c r="E14" s="14" t="str">
        <x:v>GR bewusst nur Grundkatalog plus Bundesfeier. Sichtbarer Hinweis bleibt Pflicht.</x:v>
      </x:c>
      <x:c r="F14" s="14" t="str">
        <x:v>20 negative Listenbindungen unverändert. Zwei SO-Erfassungszeilen freigegeben, technisch noch anzulegen.</x:v>
      </x:c>
    </x:row>
    <x:row r="15" ht="58" customHeight="1">
      <x:c r="A15" s="13" t="str">
        <x:v>Arbeitsweise</x:v>
      </x:c>
      <x:c r="B15" s="13" t="str">
        <x:v>1. Kanton und Verfahren filtern.</x:v>
      </x:c>
      <x:c r="C15" s="13" t="str">
        <x:v>2. Konkrete Verwendung beachten: Grundliste, Ergänzung oder Ersatz.</x:v>
      </x:c>
      <x:c r="D15" s="13" t="str">
        <x:v>3. Freigabe ist nicht gleich technische Aktivierung.</x:v>
      </x:c>
      <x:c r="E15" s="13" t="str">
        <x:v>4. Gelbe Benutzerbemerkungen sind aus V0.1 bewahrt.</x:v>
      </x:c>
      <x:c r="F15" s="13" t="str">
        <x:v>Alle Fachentscheide von AP22A liegen vor. Vier ergebnisabhängige Grenzen sind beschlossen. Umsetzung und AP22B-Vertrag bleiben getrennt.</x:v>
      </x:c>
    </x:row>
    <x:row r="16" ht="58" customHeight="1">
      <x:c r="A16" s="14" t="str">
        <x:v>Quellenstatus</x:v>
      </x:c>
      <x:c r="B16" s="14" t="str">
        <x:v>108 frühere Quellenmetadaten bewahrt.</x:v>
      </x:c>
      <x:c r="C16" s="14" t="str">
        <x:v>49 gezielte neue Quellenverweise, teils dieselbe Norm mit anderem Nachweis.</x:v>
      </x:c>
      <x:c r="D16" s="14" t="str">
        <x:v>AP18-Wiederverwendung bleibt als solche erkennbar.</x:v>
      </x:c>
      <x:c r="E16" s="14" t="str">
        <x:v>AG-Altbefund zu 4A_538/2023 ausdrücklich durch 2E_8/2024 korrigiert.</x:v>
      </x:c>
      <x:c r="F16" s="14" t="str">
        <x:v>Normtext, Einzelentscheid und normative Ableitung bleiben getrennt. Kein neuer Vollabgleich aller 84 AP18-Quellen.</x:v>
      </x:c>
    </x:row>
    <x:row r="17" ht="58" customHeight="1">
      <x:c r="A17" s="13" t="str">
        <x:v>Umfang</x:v>
      </x:c>
      <x:c r="B17" s="13" t="str">
        <x:v>Bund und 26 Kantone</x:v>
      </x:c>
      <x:c r="C17" s="13" t="str">
        <x:v>Nur Tagesfristen: StPO, ZPO, BGG, VwVG</x:v>
      </x:c>
      <x:c r="D17" s="13" t="str">
        <x:v>Keine zusätzlichen Sozialanbindungen oder kantonalen Verwaltungsverfahren</x:v>
      </x:c>
      <x:c r="E17" s="13" t="str">
        <x:v>Eigenständiges kommunales Recht bleibt ausserhalb. Kantonalrechtliche Ortsunterschiede berücksichtigen.</x:v>
      </x:c>
      <x:c r="F17" s="13" t="str">
        <x:v>Feiertage, Friststillstand, Zustellung und Zuständigkeit getrennt. AP22B-Vertrag noch nicht beschlossen.</x:v>
      </x:c>
    </x:row>
    <x:row r="18" ht="58" customHeight="1">
      <x:c r="A18" s="14" t="str">
        <x:v>Zahlen</x:v>
      </x:c>
      <x:c r="B18" s="14" t="str">
        <x:v>Bestandszeilen</x:v>
      </x:c>
      <x:c r="C18" s="14" t="str">
        <x:v>Bestimmte Zuordnungen</x:v>
      </x:c>
      <x:c r="D18" s="14" t="str">
        <x:v>Beschlossene Jan.-2-Grenzen</x:v>
      </x:c>
      <x:c r="E18" s="14" t="str">
        <x:v>Bewusst begrenzte GR-Zeilen</x:v>
      </x:c>
      <x:c r="F18" s="14" t="str">
        <x:v>Negative Listen / neue SO-Listen</x:v>
      </x:c>
    </x:row>
    <x:row r="19" ht="58" customHeight="1">
      <x:c r="A19" s="13" t="str">
        <x:v>Anzahl</x:v>
      </x:c>
      <x:c r="B19" s="13" t="n">
        <x:f>COUNTIF(Verfahrensmatrix!E7:E204,"Bestand unverändert")</x:f>
        <x:v>8</x:v>
      </x:c>
      <x:c r="C19" s="13" t="n">
        <x:f>COUNTIF(Verfahrensmatrix!E7:E204,"Zuordnung bestimmt")</x:f>
        <x:v>160</x:v>
      </x:c>
      <x:c r="D19" s="13" t="n">
        <x:f>COUNTIF(Verfahrensmatrix!E7:E204,"Ergebnisabhängig begrenzt")</x:f>
        <x:v>4</x:v>
      </x:c>
      <x:c r="E19" s="13" t="n">
        <x:f>COUNTIF(Verfahrensmatrix!E7:E204,"Bewusst begrenzt")</x:f>
        <x:v>4</x:v>
      </x:c>
      <x:c r="F19" s="13" t="n">
        <x:f>COUNTIF(Verfahrensmatrix!E7:E204,"Nicht übernehmen")+COUNTIF(Verfahrensmatrix!E7:E204,"Katalogergänzung nötig")</x:f>
        <x:v>22</x:v>
      </x:c>
    </x:row>
    <x:row r="20" ht="48" customHeight="1">
      <x:c r="A20" s="14" t="str">
        <x:v>Herkunft</x:v>
      </x:c>
      <x:c r="B20" s="14" t="str">
        <x:v>Eingangskatalog unverändert</x:v>
      </x:c>
      <x:c r="C20" s="14" t="str">
        <x:v>479 Feiertagsregeln</x:v>
      </x:c>
      <x:c r="D20" s="14" t="str">
        <x:v>95 räumliche Zuordnungen</x:v>
      </x:c>
      <x:c r="E20" s="14" t="str">
        <x:v>198 = 49 × 4 + 2 SO-Zeilen</x:v>
      </x:c>
      <x:c r="F20" s="14" t="str">
        <x:v>Nachweise vom 02.10.2026: 14 Modellproben und 220 Bestandsregressionen bestanden. Keine neue Produktintegration getestet.</x:v>
      </x:c>
    </x:row>
    <x:row r="21" ht="48" customHeight="1">
      <x:c r="A21" s="13" t="str">
        <x:v>Dateiablage</x:v>
      </x:c>
      <x:c r="B21" s="13" t="str">
        <x:v>Separate Abschlussfassung, V0.1 und V0.2 unverändert.</x:v>
      </x:c>
      <x:c r="C21" s="13" t="str">
        <x:v>Quellen- und Prüfstand 02.10.2026, Beschluss 08.10.2026.</x:v>
      </x:c>
      <x:c r="D21" s="13" t="str">
        <x:v>GR-Bemerkungen unverändert übernommen.</x:v>
      </x:c>
      <x:c r="E21" s="13" t="str">
        <x:v>Dateiprüfsummen und QA im Abschlussordner.</x:v>
      </x:c>
      <x:c r="F21" s="13" t="str">
        <x:v>E/Q/P, AP5, Mirrors und GitHub durch diesen lokalen Abschluss unverändert.</x:v>
      </x:c>
    </x:row>
  </x:sheetData>
  <x:mergeCells>
    <x:mergeCell ref="A1:F2"/>
    <x:mergeCell ref="A3:F4"/>
  </x:mergeCells>
  <x:pageMargins left="0.7" right="0.7" top="0.75" bottom="0.75" header="0.3" footer="0.3"/>
  <x:tableParts count="1">
    <x:tablePart xmlns:r="http://schemas.openxmlformats.org/officeDocument/2006/relationships" r:id="Re22c541cb7c647ec"/>
  </x:tableParts>
</x:worksheet>
</file>

<file path=xl/worksheets/sheet2.xml><?xml version="1.0" encoding="utf-8"?>
<x:worksheet xmlns:x="http://schemas.openxmlformats.org/spreadsheetml/2006/main">
  <x:sheetViews>
    <x:sheetView showGridLines="0" workbookViewId="0">
      <x:pane xSplit="3" ySplit="6" topLeftCell="D7" activePane="bottomRight" state="frozen"/>
    </x:sheetView>
  </x:sheetViews>
  <x:sheetFormatPr baseColWidth="10" defaultColWidth="8.83203125" defaultRowHeight="14"/>
  <x:cols>
    <x:col min="1" max="1" width="35" customWidth="1"/>
    <x:col min="2" max="2" width="19" customWidth="1"/>
    <x:col min="3" max="3" width="12" customWidth="1"/>
    <x:col min="4" max="4" width="40" customWidth="1"/>
    <x:col min="5" max="5" width="27" customWidth="1"/>
    <x:col min="6" max="6" width="34" customWidth="1"/>
    <x:col min="7" max="7" width="32" customWidth="1"/>
    <x:col min="8" max="8" width="38" customWidth="1"/>
    <x:col min="9" max="9" width="76" customWidth="1"/>
    <x:col min="10" max="11" width="44" customWidth="1"/>
    <x:col min="12" max="12" width="52" customWidth="1"/>
    <x:col min="13" max="13" width="48" customWidth="1"/>
    <x:col min="14" max="14" width="36" customWidth="1"/>
    <x:col min="15" max="15" width="55" customWidth="1"/>
  </x:cols>
  <x:sheetData>
    <x:row r="1" ht="24" customHeight="1">
      <x:c r="A1" s="11" t="s">
        <x:v>7</x:v>
      </x:c>
      <x:c r="B1" s="11"/>
      <x:c r="C1" s="11"/>
      <x:c r="D1" s="11"/>
      <x:c r="E1" s="11"/>
      <x:c r="F1" s="11"/>
      <x:c r="G1" s="1"/>
      <x:c r="H1" s="1"/>
      <x:c r="I1" s="1"/>
      <x:c r="J1" s="1"/>
      <x:c r="K1" s="1"/>
      <x:c r="L1" s="1"/>
      <x:c r="M1" s="1"/>
      <x:c r="N1" s="1"/>
      <x:c r="O1" s="1"/>
    </x:row>
    <x:row r="2" ht="24" customHeight="1">
      <x:c r="A2" s="11"/>
      <x:c r="B2" s="11"/>
      <x:c r="C2" s="11"/>
      <x:c r="D2" s="11"/>
      <x:c r="E2" s="11"/>
      <x:c r="F2" s="11"/>
      <x:c r="G2" s="1"/>
      <x:c r="H2" s="1"/>
      <x:c r="I2" s="1"/>
      <x:c r="J2" s="1"/>
      <x:c r="K2" s="1"/>
      <x:c r="L2" s="1"/>
      <x:c r="M2" s="1"/>
      <x:c r="N2" s="1"/>
      <x:c r="O2" s="1"/>
    </x:row>
    <x:row r="3" ht="24" customHeight="1">
      <x:c r="A3" s="12" t="str">
        <x:v>V1.0 Abschlussfassung vom 08.10.2026. DEC-2026-028 und DEC-2026-029 beschlossen. AP22A abgeschlossen, keine Produktaktivierung.</x:v>
      </x:c>
      <x:c r="B3" s="12"/>
      <x:c r="C3" s="12"/>
      <x:c r="D3" s="12"/>
      <x:c r="E3" s="12"/>
      <x:c r="F3" s="12"/>
      <x:c r="G3" s="1"/>
      <x:c r="H3" s="1"/>
      <x:c r="I3" s="1"/>
      <x:c r="J3" s="1"/>
      <x:c r="K3" s="1"/>
      <x:c r="L3" s="1"/>
      <x:c r="M3" s="1"/>
      <x:c r="N3" s="1"/>
      <x:c r="O3" s="1"/>
    </x:row>
    <x:row r="4" ht="24" customHeight="1">
      <x:c r="A4" s="12"/>
      <x:c r="B4" s="12"/>
      <x:c r="C4" s="12"/>
      <x:c r="D4" s="12"/>
      <x:c r="E4" s="12"/>
      <x:c r="F4" s="12"/>
      <x:c r="G4" s="1"/>
      <x:c r="H4" s="1"/>
      <x:c r="I4" s="1"/>
      <x:c r="J4" s="1"/>
      <x:c r="K4" s="1"/>
      <x:c r="L4" s="1"/>
      <x:c r="M4" s="1"/>
      <x:c r="N4" s="1"/>
      <x:c r="O4" s="1"/>
    </x:row>
    <x:row r="5" ht="10" customHeight="1">
      <x:c r="A5" s="1"/>
      <x:c r="B5" s="1"/>
      <x:c r="C5" s="1"/>
      <x:c r="D5" s="1"/>
      <x:c r="E5" s="1"/>
      <x:c r="F5" s="1"/>
      <x:c r="G5" s="1"/>
      <x:c r="H5" s="1"/>
      <x:c r="I5" s="1"/>
      <x:c r="J5" s="1"/>
      <x:c r="K5" s="1"/>
      <x:c r="L5" s="1"/>
      <x:c r="M5" s="1"/>
      <x:c r="N5" s="1"/>
      <x:c r="O5" s="1"/>
    </x:row>
    <x:row r="6" ht="38" customHeight="1">
      <x:c r="A6" s="4" t="s">
        <x:v>8</x:v>
      </x:c>
      <x:c r="B6" s="4" t="s">
        <x:v>9</x:v>
      </x:c>
      <x:c r="C6" s="4" t="s">
        <x:v>10</x:v>
      </x:c>
      <x:c r="D6" s="4" t="s">
        <x:v>11</x:v>
      </x:c>
      <x:c r="E6" s="4" t="str">
        <x:v>Bearbeitungsstand</x:v>
      </x:c>
      <x:c r="F6" s="4" t="str">
        <x:v>Konkrete Verwendung</x:v>
      </x:c>
      <x:c r="G6" s="4" t="s">
        <x:v>12</x:v>
      </x:c>
      <x:c r="H6" s="4" t="s">
        <x:v>13</x:v>
      </x:c>
      <x:c r="I6" s="4" t="str">
        <x:v>Begründung und Grenzen</x:v>
      </x:c>
      <x:c r="J6" s="4" t="s">
        <x:v>14</x:v>
      </x:c>
      <x:c r="K6" s="4" t="s">
        <x:v>15</x:v>
      </x:c>
      <x:c r="L6" s="4" t="s">
        <x:v>16</x:v>
      </x:c>
      <x:c r="M6" s="4" t="s">
        <x:v>17</x:v>
      </x:c>
      <x:c r="N6" s="4" t="str">
        <x:v>Fachliche Freigabe / Umsetzung</x:v>
      </x:c>
      <x:c r="O6" s="4" t="s">
        <x:v>18</x:v>
      </x:c>
    </x:row>
    <x:row r="7" ht="58" customHeight="1">
      <x:c r="A7" s="13" t="str">
        <x:v>AP22-CH-ALL-STPO</x:v>
      </x:c>
      <x:c r="B7" s="13" t="str">
        <x:v>Bund</x:v>
      </x:c>
      <x:c r="C7" s="13" t="str">
        <x:v>StPO</x:v>
      </x:c>
      <x:c r="D7" s="13" t="str">
        <x:v>CH-ALL</x:v>
      </x:c>
      <x:c r="E7" s="14" t="str">
        <x:v>Bestand unverändert</x:v>
      </x:c>
      <x:c r="F7" s="13" t="str">
        <x:v>Bestand beibehalten
CH-ALL</x:v>
      </x:c>
      <x:c r="G7" s="13" t="str">
        <x:v>Rechtlich massgebender Partei- / Vertretungsort</x:v>
      </x:c>
      <x:c r="H7" s="13" t="str">
        <x:v>Öffentlicher Feiertag</x:v>
      </x:c>
      <x:c r="I7" s="13" t="str">
        <x:v>Bundesweite Grundregel, keine vollständige kantonale Liste. Nicht mit einem Behördenort «Bund» gleichsetzen.</x:v>
      </x:c>
      <x:c r="J7" s="13" t="str">
        <x:v>SRC-BUNDESFEIERTAG-19940701
AP22-STPO</x:v>
      </x:c>
      <x:c r="K7" s="13" t="str">
        <x:v>SR 116, Art. 1 | Art. 89 Abs. 2 und Art. 90 Abs. 2</x:v>
      </x:c>
      <x:c r="L7" s="13" t="str">
        <x:v>Erfasste Regelgültigkeiten 1994-07-01 bis offen. Kein neuer Berechnungszeitraum freigegeben.</x:v>
      </x:c>
      <x:c r="M7" s="13" t="str">
        <x:v>Operativer Referenzbestand, keine neue Abnahme</x:v>
      </x:c>
      <x:c r="N7" s="13" t="str">
        <x:v>Bestehende CH-/BE-Freigabe</x:v>
      </x:c>
      <x:c r="O7" s="15"/>
    </x:row>
    <x:row r="8" ht="58" customHeight="1">
      <x:c r="A8" s="14" t="str">
        <x:v>AP22-CH-ALL-ZPO</x:v>
      </x:c>
      <x:c r="B8" s="14" t="str">
        <x:v>Bund</x:v>
      </x:c>
      <x:c r="C8" s="14" t="str">
        <x:v>ZPO</x:v>
      </x:c>
      <x:c r="D8" s="14" t="str">
        <x:v>CH-ALL</x:v>
      </x:c>
      <x:c r="E8" s="14" t="str">
        <x:v>Bestand unverändert</x:v>
      </x:c>
      <x:c r="F8" s="14" t="str">
        <x:v>Bestand beibehalten
CH-ALL</x:v>
      </x:c>
      <x:c r="G8" s="14" t="str">
        <x:v>Gerichtsort</x:v>
      </x:c>
      <x:c r="H8" s="14" t="str">
        <x:v>Öffentlicher Feiertag</x:v>
      </x:c>
      <x:c r="I8" s="14" t="str">
        <x:v>Bundesweite Grundregel, keine vollständige kantonale Liste. Nicht mit einem Behördenort «Bund» gleichsetzen.</x:v>
      </x:c>
      <x:c r="J8" s="14" t="str">
        <x:v>SRC-BUNDESFEIERTAG-19940701
AP22-ZPO</x:v>
      </x:c>
      <x:c r="K8" s="14" t="str">
        <x:v>SR 116, Art. 1 | Art. 142 Abs. 1bis und 3, Art. 145</x:v>
      </x:c>
      <x:c r="L8" s="14" t="str">
        <x:v>Erfasste Regelgültigkeiten 1994-07-01 bis offen. Kein neuer Berechnungszeitraum freigegeben.</x:v>
      </x:c>
      <x:c r="M8" s="14" t="str">
        <x:v>Operativer Referenzbestand, keine neue Abnahme</x:v>
      </x:c>
      <x:c r="N8" s="14" t="str">
        <x:v>Bestehende CH-/BE-Freigabe</x:v>
      </x:c>
      <x:c r="O8" s="15"/>
    </x:row>
    <x:row r="9" ht="58" customHeight="1">
      <x:c r="A9" s="13" t="str">
        <x:v>AP22-CH-ALL-BGG</x:v>
      </x:c>
      <x:c r="B9" s="13" t="str">
        <x:v>Bund</x:v>
      </x:c>
      <x:c r="C9" s="13" t="str">
        <x:v>BGG</x:v>
      </x:c>
      <x:c r="D9" s="13" t="str">
        <x:v>CH-ALL</x:v>
      </x:c>
      <x:c r="E9" s="14" t="str">
        <x:v>Bestand unverändert</x:v>
      </x:c>
      <x:c r="F9" s="13" t="str">
        <x:v>Bestand beibehalten
CH-ALL</x:v>
      </x:c>
      <x:c r="G9" s="13" t="str">
        <x:v>Rechtlich massgebender Partei- / Vertretungsort</x:v>
      </x:c>
      <x:c r="H9" s="13" t="str">
        <x:v>Öffentlicher Feiertag</x:v>
      </x:c>
      <x:c r="I9" s="13" t="str">
        <x:v>Bundesweite Grundregel, keine vollständige kantonale Liste. Nicht mit einem Behördenort «Bund» gleichsetzen.</x:v>
      </x:c>
      <x:c r="J9" s="13" t="str">
        <x:v>SRC-BUNDESFEIERTAG-19940701
AP22-BGG</x:v>
      </x:c>
      <x:c r="K9" s="13" t="str">
        <x:v>SR 116, Art. 1 | Art. 45 und 46</x:v>
      </x:c>
      <x:c r="L9" s="13" t="str">
        <x:v>Erfasste Regelgültigkeiten 1994-07-01 bis offen. Kein neuer Berechnungszeitraum freigegeben.</x:v>
      </x:c>
      <x:c r="M9" s="13" t="str">
        <x:v>Operativer Referenzbestand, keine neue Abnahme</x:v>
      </x:c>
      <x:c r="N9" s="13" t="str">
        <x:v>Bestehende CH-/BE-Freigabe</x:v>
      </x:c>
      <x:c r="O9" s="15"/>
    </x:row>
    <x:row r="10" ht="58" customHeight="1">
      <x:c r="A10" s="14" t="str">
        <x:v>AP22-CH-ALL-VWVG</x:v>
      </x:c>
      <x:c r="B10" s="14" t="str">
        <x:v>Bund</x:v>
      </x:c>
      <x:c r="C10" s="14" t="str">
        <x:v>VwVG</x:v>
      </x:c>
      <x:c r="D10" s="14" t="str">
        <x:v>CH-ALL</x:v>
      </x:c>
      <x:c r="E10" s="14" t="str">
        <x:v>Bestand unverändert</x:v>
      </x:c>
      <x:c r="F10" s="14" t="str">
        <x:v>Bestand beibehalten
CH-ALL</x:v>
      </x:c>
      <x:c r="G10" s="14" t="str">
        <x:v>Rechtlich massgebender Partei- / Vertretungsort</x:v>
      </x:c>
      <x:c r="H10" s="14" t="str">
        <x:v>Öffentlicher Feiertag</x:v>
      </x:c>
      <x:c r="I10" s="14" t="str">
        <x:v>Bundesweite Grundregel, keine vollständige kantonale Liste. Nicht mit einem Behördenort «Bund» gleichsetzen.</x:v>
      </x:c>
      <x:c r="J10" s="14" t="str">
        <x:v>SRC-BUNDESFEIERTAG-19940701
AP22-VWVG</x:v>
      </x:c>
      <x:c r="K10" s="14" t="str">
        <x:v>SR 116, Art. 1 | Art. 20 Abs. 3 und Art. 22a</x:v>
      </x:c>
      <x:c r="L10" s="14" t="str">
        <x:v>Erfasste Regelgültigkeiten 1994-07-01 bis offen. Kein neuer Berechnungszeitraum freigegeben.</x:v>
      </x:c>
      <x:c r="M10" s="14" t="str">
        <x:v>Operativer Referenzbestand, keine neue Abnahme</x:v>
      </x:c>
      <x:c r="N10" s="14" t="str">
        <x:v>Bestehende CH-/BE-Freigabe</x:v>
      </x:c>
      <x:c r="O10" s="15"/>
    </x:row>
    <x:row r="11" ht="72" customHeight="1">
      <x:c r="A11" s="13" t="str">
        <x:v>AP22-ZH-RLG-ALL-STPO</x:v>
      </x:c>
      <x:c r="B11" s="13" t="str">
        <x:v>Zürich</x:v>
      </x:c>
      <x:c r="C11" s="13" t="str">
        <x:v>StPO</x:v>
      </x:c>
      <x:c r="D11" s="13" t="str">
        <x:v>ZH-RLG-ALL</x:v>
      </x:c>
      <x:c r="E11" s="14" t="str">
        <x:v>Zuordnung bestimmt</x:v>
      </x:c>
      <x:c r="F11" s="13" t="str">
        <x:v>Ersetzen durch
ZH-GOG-ALL</x:v>
      </x:c>
      <x:c r="G11" s="13" t="str">
        <x:v>Rechtlich massgebender Partei- / Vertretungsort</x:v>
      </x:c>
      <x:c r="H11" s="13" t="str">
        <x:v>Öffentlicher Feiertag</x:v>
      </x:c>
      <x:c r="I11" s="13" t="str">
        <x:v>Diese allgemeine Grundliste bleibt als Katalogwissen erhalten. Operativ ist die vollständige, konkret belegte Prozessliste vorrangig. Keine zusätzliche Vereinigung und keine Doppelzählung.</x:v>
      </x:c>
      <x:c r="J11" s="13" t="str">
        <x:v>SRC-ZH-RLG-8224-N045
AP22-STPO
AP22CLOSE-PROC-ZH
AP22CLOSE-PROC-BGG-TRANSFER</x:v>
      </x:c>
      <x:c r="K11" s="13" t="str">
        <x:v>LS 822.4, § 1, Nachtrag 045 | Art. 89 Abs. 2 und Art. 90 Abs. 2 | LS 211.1 § 122, Nachtrag 131 | E. 6.5</x:v>
      </x:c>
      <x:c r="L11" s="13" t="str">
        <x:v>Erfasste Regelgültigkeiten 2026-01-01 bis offen. Kein neuer Berechnungszeitraum freigegeben.</x:v>
      </x:c>
      <x:c r="M11" s="13" t="str">
        <x:v>Fachliche Freigabe DEC-2026-028. Quellenherkunft gemäss Blatt Quellen.</x:v>
      </x:c>
      <x:c r="N11" s="13" t="str">
        <x:v>Fachliche Freigabe DEC-2026-028 erteilt. Keine technische Aktivierung.</x:v>
      </x:c>
      <x:c r="O11" s="15"/>
    </x:row>
    <x:row r="12" ht="72" customHeight="1">
      <x:c r="A12" s="14" t="str">
        <x:v>AP22-ZH-RLG-ALL-ZPO</x:v>
      </x:c>
      <x:c r="B12" s="14" t="str">
        <x:v>Zürich</x:v>
      </x:c>
      <x:c r="C12" s="14" t="str">
        <x:v>ZPO</x:v>
      </x:c>
      <x:c r="D12" s="14" t="str">
        <x:v>ZH-RLG-ALL</x:v>
      </x:c>
      <x:c r="E12" s="14" t="str">
        <x:v>Zuordnung bestimmt</x:v>
      </x:c>
      <x:c r="F12" s="14" t="str">
        <x:v>Ersetzen durch
ZH-GOG-ALL</x:v>
      </x:c>
      <x:c r="G12" s="14" t="str">
        <x:v>Gerichtsort</x:v>
      </x:c>
      <x:c r="H12" s="14" t="str">
        <x:v>Öffentlicher Feiertag</x:v>
      </x:c>
      <x:c r="I12" s="14" t="str">
        <x:v>Diese allgemeine Grundliste bleibt als Katalogwissen erhalten. Operativ ist die vollständige, konkret belegte Prozessliste vorrangig. Keine zusätzliche Vereinigung und keine Doppelzählung.</x:v>
      </x:c>
      <x:c r="J12" s="14" t="str">
        <x:v>SRC-ZH-RLG-8224-N045
AP22-ZPO
AP22CLOSE-PROC-ZH
AP22CLOSE-PROC-BGG-TRANSFER</x:v>
      </x:c>
      <x:c r="K12" s="14" t="str">
        <x:v>LS 822.4, § 1, Nachtrag 045 | Art. 142 Abs. 1bis und 3, Art. 145 | LS 211.1 § 122, Nachtrag 131 | E. 6.5</x:v>
      </x:c>
      <x:c r="L12" s="14" t="str">
        <x:v>Erfasste Regelgültigkeiten 2026-01-01 bis offen. Kein neuer Berechnungszeitraum freigegeben.</x:v>
      </x:c>
      <x:c r="M12" s="14" t="str">
        <x:v>Fachliche Freigabe DEC-2026-028. Quellenherkunft gemäss Blatt Quellen.</x:v>
      </x:c>
      <x:c r="N12" s="14" t="str">
        <x:v>Fachliche Freigabe DEC-2026-028 erteilt. Keine technische Aktivierung.</x:v>
      </x:c>
      <x:c r="O12" s="15"/>
    </x:row>
    <x:row r="13" ht="72" customHeight="1">
      <x:c r="A13" s="13" t="str">
        <x:v>AP22-ZH-RLG-ALL-BGG</x:v>
      </x:c>
      <x:c r="B13" s="13" t="str">
        <x:v>Zürich</x:v>
      </x:c>
      <x:c r="C13" s="13" t="str">
        <x:v>BGG</x:v>
      </x:c>
      <x:c r="D13" s="13" t="str">
        <x:v>ZH-RLG-ALL</x:v>
      </x:c>
      <x:c r="E13" s="14" t="str">
        <x:v>Zuordnung bestimmt</x:v>
      </x:c>
      <x:c r="F13" s="13" t="str">
        <x:v>Ersetzen durch
ZH-GOG-ALL</x:v>
      </x:c>
      <x:c r="G13" s="13" t="str">
        <x:v>Rechtlich massgebender Partei- / Vertretungsort</x:v>
      </x:c>
      <x:c r="H13" s="13" t="str">
        <x:v>Öffentlicher Feiertag</x:v>
      </x:c>
      <x:c r="I13" s="13" t="str">
        <x:v>Diese allgemeine Grundliste bleibt als Katalogwissen erhalten. Operativ ist die vollständige, konkret belegte Prozessliste vorrangig. Keine zusätzliche Vereinigung und keine Doppelzählung.</x:v>
      </x:c>
      <x:c r="J13" s="13" t="str">
        <x:v>SRC-ZH-RLG-8224-N045
AP22-BGG
AP22CLOSE-PROC-ZH
AP22CLOSE-PROC-BGG-TRANSFER</x:v>
      </x:c>
      <x:c r="K13" s="13" t="str">
        <x:v>LS 822.4, § 1, Nachtrag 045 | Art. 45 und 46 | LS 211.1 § 122, Nachtrag 131 | E. 6.5</x:v>
      </x:c>
      <x:c r="L13" s="13" t="str">
        <x:v>Erfasste Regelgültigkeiten 2026-01-01 bis offen. Kein neuer Berechnungszeitraum freigegeben.</x:v>
      </x:c>
      <x:c r="M13" s="13" t="str">
        <x:v>Fachliche Freigabe DEC-2026-028. Quellenherkunft gemäss Blatt Quellen.</x:v>
      </x:c>
      <x:c r="N13" s="13" t="str">
        <x:v>Fachliche Freigabe DEC-2026-028 erteilt. Keine technische Aktivierung.</x:v>
      </x:c>
      <x:c r="O13" s="15"/>
    </x:row>
    <x:row r="14" ht="72" customHeight="1">
      <x:c r="A14" s="14" t="str">
        <x:v>AP22-ZH-RLG-ALL-VWVG</x:v>
      </x:c>
      <x:c r="B14" s="14" t="str">
        <x:v>Zürich</x:v>
      </x:c>
      <x:c r="C14" s="14" t="str">
        <x:v>VwVG</x:v>
      </x:c>
      <x:c r="D14" s="14" t="str">
        <x:v>ZH-RLG-ALL</x:v>
      </x:c>
      <x:c r="E14" s="14" t="str">
        <x:v>Zuordnung bestimmt</x:v>
      </x:c>
      <x:c r="F14" s="14" t="str">
        <x:v>Ersetzen durch
ZH-GOG-ALL</x:v>
      </x:c>
      <x:c r="G14" s="14" t="str">
        <x:v>Rechtlich massgebender Partei- / Vertretungsort</x:v>
      </x:c>
      <x:c r="H14" s="14" t="str">
        <x:v>Öffentlicher Feiertag</x:v>
      </x:c>
      <x:c r="I14" s="14" t="str">
        <x:v>Diese allgemeine Grundliste bleibt als Katalogwissen erhalten. Operativ ist die vollständige, konkret belegte Prozessliste vorrangig. Keine zusätzliche Vereinigung und keine Doppelzählung.</x:v>
      </x:c>
      <x:c r="J14" s="14" t="str">
        <x:v>SRC-ZH-RLG-8224-N045
AP22-VWVG
AP22CLOSE-PROC-ZH
AP22CLOSE-PROC-BGG-TRANSFER</x:v>
      </x:c>
      <x:c r="K14" s="14" t="str">
        <x:v>LS 822.4, § 1, Nachtrag 045 | Art. 20 Abs. 3 und Art. 22a | LS 211.1 § 122, Nachtrag 131 | E. 6.5</x:v>
      </x:c>
      <x:c r="L14" s="14" t="str">
        <x:v>Erfasste Regelgültigkeiten 2026-01-01 bis offen. Kein neuer Berechnungszeitraum freigegeben.</x:v>
      </x:c>
      <x:c r="M14" s="14" t="str">
        <x:v>Fachliche Freigabe DEC-2026-028. Quellenherkunft gemäss Blatt Quellen.</x:v>
      </x:c>
      <x:c r="N14" s="14" t="str">
        <x:v>Fachliche Freigabe DEC-2026-028 erteilt. Keine technische Aktivierung.</x:v>
      </x:c>
      <x:c r="O14" s="15"/>
    </x:row>
    <x:row r="15" ht="86" customHeight="1">
      <x:c r="A15" s="13" t="str">
        <x:v>AP22-ZH-GOG-ALL-STPO</x:v>
      </x:c>
      <x:c r="B15" s="13" t="str">
        <x:v>Zürich</x:v>
      </x:c>
      <x:c r="C15" s="13" t="str">
        <x:v>StPO</x:v>
      </x:c>
      <x:c r="D15" s="13" t="str">
        <x:v>ZH-GOG-ALL</x:v>
      </x:c>
      <x:c r="E15" s="14" t="str">
        <x:v>Zuordnung bestimmt</x:v>
      </x:c>
      <x:c r="F15" s="13" t="str">
        <x:v>Ersetzen durch
ZH-GOG-ALL</x:v>
      </x:c>
      <x:c r="G15" s="13" t="str">
        <x:v>Rechtlich massgebender Partei- / Vertretungsort</x:v>
      </x:c>
      <x:c r="H15" s="13" t="str">
        <x:v>Prozessual gleichgestellter Tag</x:v>
      </x:c>
      <x:c r="I15" s="13" t="str">
        <x:v>Beleg: GOG § 122 nennt zehn eigene Tage für die Zivil- und Strafrechtspflege. Für BGG und VwVG wird die prozessuale Anerkennung über die Bundesnormen abgeleitet. Die Prozessliste ersetzt das allgemeine RLG-Profil in dieser Kalenderauswahl. Verschiedene Listen werden nicht vereinigt.</x:v>
      </x:c>
      <x:c r="J15" s="13" t="str">
        <x:v>AP22CLOSE-PROC-ZH
AP22CLOSE-PROC-BGG-TRANSFER
AP22CLOSE-BUND-STPO</x:v>
      </x:c>
      <x:c r="K15" s="13" t="str">
        <x:v>LS 211.1 § 122, Nachtrag 131 | E. 6.5 | Stand 01.04.2025, Art. 87, 89 und 90</x:v>
      </x:c>
      <x:c r="L15" s="13" t="str">
        <x:v>Erfasste Regelgültigkeiten 2026-01-01 bis offen. Kein neuer Berechnungszeitraum freigegeben.</x:v>
      </x:c>
      <x:c r="M15" s="13" t="str">
        <x:v>02.10.2026 gezielte Quellenprüfung. Direktbeleg und normative Ableitung siehe Begründung und Fachnachtrag.</x:v>
      </x:c>
      <x:c r="N15" s="13" t="str">
        <x:v>Fachliche Freigabe DEC-2026-028 erteilt. Keine technische Aktivierung.</x:v>
      </x:c>
      <x:c r="O15" s="15"/>
    </x:row>
    <x:row r="16" ht="86" customHeight="1">
      <x:c r="A16" s="14" t="str">
        <x:v>AP22-ZH-GOG-ALL-ZPO</x:v>
      </x:c>
      <x:c r="B16" s="14" t="str">
        <x:v>Zürich</x:v>
      </x:c>
      <x:c r="C16" s="14" t="str">
        <x:v>ZPO</x:v>
      </x:c>
      <x:c r="D16" s="14" t="str">
        <x:v>ZH-GOG-ALL</x:v>
      </x:c>
      <x:c r="E16" s="14" t="str">
        <x:v>Zuordnung bestimmt</x:v>
      </x:c>
      <x:c r="F16" s="14" t="str">
        <x:v>Ersetzen durch
ZH-GOG-ALL</x:v>
      </x:c>
      <x:c r="G16" s="14" t="str">
        <x:v>Gerichtsort</x:v>
      </x:c>
      <x:c r="H16" s="14" t="str">
        <x:v>Prozessual gleichgestellter Tag</x:v>
      </x:c>
      <x:c r="I16" s="14" t="str">
        <x:v>Beleg: GOG § 122 nennt zehn eigene Tage für die Zivil- und Strafrechtspflege. Für BGG und VwVG wird die prozessuale Anerkennung über die Bundesnormen abgeleitet. Die Prozessliste ersetzt das allgemeine RLG-Profil in dieser Kalenderauswahl. Verschiedene Listen werden nicht vereinigt.</x:v>
      </x:c>
      <x:c r="J16" s="14" t="str">
        <x:v>AP22CLOSE-PROC-ZH
AP22CLOSE-PROC-BGG-TRANSFER
AP22CLOSE-BUND-ZPO</x:v>
      </x:c>
      <x:c r="K16" s="14" t="str">
        <x:v>LS 211.1 § 122, Nachtrag 131 | E. 6.5 | Stand 01.07.2026, Art. 142 und 145</x:v>
      </x:c>
      <x:c r="L16" s="14" t="str">
        <x:v>Erfasste Regelgültigkeiten 2026-01-01 bis offen. Kein neuer Berechnungszeitraum freigegeben.</x:v>
      </x:c>
      <x:c r="M16" s="14" t="str">
        <x:v>02.10.2026 gezielte Quellenprüfung. Direktbeleg und normative Ableitung siehe Begründung und Fachnachtrag.</x:v>
      </x:c>
      <x:c r="N16" s="14" t="str">
        <x:v>Fachliche Freigabe DEC-2026-028 erteilt. Keine technische Aktivierung.</x:v>
      </x:c>
      <x:c r="O16" s="15"/>
    </x:row>
    <x:row r="17" ht="86" customHeight="1">
      <x:c r="A17" s="13" t="str">
        <x:v>AP22-ZH-GOG-ALL-BGG</x:v>
      </x:c>
      <x:c r="B17" s="13" t="str">
        <x:v>Zürich</x:v>
      </x:c>
      <x:c r="C17" s="13" t="str">
        <x:v>BGG</x:v>
      </x:c>
      <x:c r="D17" s="13" t="str">
        <x:v>ZH-GOG-ALL</x:v>
      </x:c>
      <x:c r="E17" s="14" t="str">
        <x:v>Zuordnung bestimmt</x:v>
      </x:c>
      <x:c r="F17" s="13" t="str">
        <x:v>Ersetzen durch
ZH-GOG-ALL</x:v>
      </x:c>
      <x:c r="G17" s="13" t="str">
        <x:v>Rechtlich massgebender Partei- / Vertretungsort</x:v>
      </x:c>
      <x:c r="H17" s="13" t="str">
        <x:v>Prozessual gleichgestellter Tag</x:v>
      </x:c>
      <x:c r="I17" s="13" t="str">
        <x:v>Beleg: GOG § 122 nennt zehn eigene Tage für die Zivil- und Strafrechtspflege. Für BGG und VwVG wird die prozessuale Anerkennung über die Bundesnormen abgeleitet. Die Prozessliste ersetzt das allgemeine RLG-Profil in dieser Kalenderauswahl. Verschiedene Listen werden nicht vereinigt.</x:v>
      </x:c>
      <x:c r="J17" s="13" t="str">
        <x:v>AP22CLOSE-PROC-ZH
AP22CLOSE-PROC-BGG-TRANSFER
AP22CLOSE-BUND-BGG</x:v>
      </x:c>
      <x:c r="K17" s="13" t="str">
        <x:v>LS 211.1 § 122, Nachtrag 131 | E. 6.5 | Stand 01.04.2026, Art. 45 und 46</x:v>
      </x:c>
      <x:c r="L17" s="13" t="str">
        <x:v>Erfasste Regelgültigkeiten 2026-01-01 bis offen. Kein neuer Berechnungszeitraum freigegeben.</x:v>
      </x:c>
      <x:c r="M17" s="13" t="str">
        <x:v>02.10.2026 gezielte Quellenprüfung. Direktbeleg und normative Ableitung siehe Begründung und Fachnachtrag.</x:v>
      </x:c>
      <x:c r="N17" s="13" t="str">
        <x:v>Fachliche Freigabe DEC-2026-028 erteilt. Keine technische Aktivierung.</x:v>
      </x:c>
      <x:c r="O17" s="15"/>
    </x:row>
    <x:row r="18" ht="86" customHeight="1">
      <x:c r="A18" s="14" t="str">
        <x:v>AP22-ZH-GOG-ALL-VWVG</x:v>
      </x:c>
      <x:c r="B18" s="14" t="str">
        <x:v>Zürich</x:v>
      </x:c>
      <x:c r="C18" s="14" t="str">
        <x:v>VwVG</x:v>
      </x:c>
      <x:c r="D18" s="14" t="str">
        <x:v>ZH-GOG-ALL</x:v>
      </x:c>
      <x:c r="E18" s="14" t="str">
        <x:v>Zuordnung bestimmt</x:v>
      </x:c>
      <x:c r="F18" s="14" t="str">
        <x:v>Ersetzen durch
ZH-GOG-ALL</x:v>
      </x:c>
      <x:c r="G18" s="14" t="str">
        <x:v>Rechtlich massgebender Partei- / Vertretungsort</x:v>
      </x:c>
      <x:c r="H18" s="14" t="str">
        <x:v>Prozessual gleichgestellter Tag</x:v>
      </x:c>
      <x:c r="I18" s="14" t="str">
        <x:v>Beleg: GOG § 122 nennt zehn eigene Tage für die Zivil- und Strafrechtspflege. Für BGG und VwVG wird die prozessuale Anerkennung über die Bundesnormen abgeleitet. Die Prozessliste ersetzt das allgemeine RLG-Profil in dieser Kalenderauswahl. Verschiedene Listen werden nicht vereinigt.</x:v>
      </x:c>
      <x:c r="J18" s="14" t="str">
        <x:v>AP22CLOSE-PROC-ZH
AP22CLOSE-PROC-BGG-TRANSFER
AP22CLOSE-BUND-VWVG</x:v>
      </x:c>
      <x:c r="K18" s="14" t="str">
        <x:v>LS 211.1 § 122, Nachtrag 131 | E. 6.5 | Stand 01.07.2022, Art. 11, 20 und 22a</x:v>
      </x:c>
      <x:c r="L18" s="14" t="str">
        <x:v>Erfasste Regelgültigkeiten 2026-01-01 bis offen. Kein neuer Berechnungszeitraum freigegeben.</x:v>
      </x:c>
      <x:c r="M18" s="14" t="str">
        <x:v>02.10.2026 gezielte Quellenprüfung. Direktbeleg und normative Ableitung siehe Begründung und Fachnachtrag.</x:v>
      </x:c>
      <x:c r="N18" s="14" t="str">
        <x:v>Fachliche Freigabe DEC-2026-028 erteilt. Keine technische Aktivierung.</x:v>
      </x:c>
      <x:c r="O18" s="15"/>
    </x:row>
    <x:row r="19" ht="58" customHeight="1">
      <x:c r="A19" s="13" t="str">
        <x:v>AP22-BE-ALL-STPO</x:v>
      </x:c>
      <x:c r="B19" s="13" t="str">
        <x:v>Bern</x:v>
      </x:c>
      <x:c r="C19" s="13" t="str">
        <x:v>StPO</x:v>
      </x:c>
      <x:c r="D19" s="13" t="str">
        <x:v>BE-ALL</x:v>
      </x:c>
      <x:c r="E19" s="14" t="str">
        <x:v>Bestand unverändert</x:v>
      </x:c>
      <x:c r="F19" s="13" t="str">
        <x:v>Bestand beibehalten
BE-ALL</x:v>
      </x:c>
      <x:c r="G19" s="13" t="str">
        <x:v>Rechtlich massgebender Partei- / Vertretungsort</x:v>
      </x:c>
      <x:c r="H19" s="13" t="str">
        <x:v>Öffentlicher Feiertag</x:v>
      </x:c>
      <x:c r="I19" s="13" t="str">
        <x:v>Bestehende CH/BE-Anbindung bleibt. Neue Rollen-/Ortsauflösung nicht dadurch freigegeben.</x:v>
      </x:c>
      <x:c r="J19" s="13" t="str">
        <x:v>SRC-FRG-BE-20210401
AP22-STPO</x:v>
      </x:c>
      <x:c r="K19" s="13" t="str">
        <x:v>BSG 555.1, Art. 2 | Art. 89 Abs. 2 und Art. 90 Abs. 2</x:v>
      </x:c>
      <x:c r="L19" s="13" t="str">
        <x:v>Erfasste Regelgültigkeiten 2026-01-01 bis offen. Kein neuer Berechnungszeitraum freigegeben.</x:v>
      </x:c>
      <x:c r="M19" s="13" t="str">
        <x:v>Operativer Referenzbestand, keine neue Abnahme</x:v>
      </x:c>
      <x:c r="N19" s="13" t="str">
        <x:v>Bestehende CH-/BE-Freigabe</x:v>
      </x:c>
      <x:c r="O19" s="15"/>
    </x:row>
    <x:row r="20" ht="58" customHeight="1">
      <x:c r="A20" s="14" t="str">
        <x:v>AP22-BE-ALL-ZPO</x:v>
      </x:c>
      <x:c r="B20" s="14" t="str">
        <x:v>Bern</x:v>
      </x:c>
      <x:c r="C20" s="14" t="str">
        <x:v>ZPO</x:v>
      </x:c>
      <x:c r="D20" s="14" t="str">
        <x:v>BE-ALL</x:v>
      </x:c>
      <x:c r="E20" s="14" t="str">
        <x:v>Bestand unverändert</x:v>
      </x:c>
      <x:c r="F20" s="14" t="str">
        <x:v>Bestand beibehalten
BE-ALL</x:v>
      </x:c>
      <x:c r="G20" s="14" t="str">
        <x:v>Gerichtsort</x:v>
      </x:c>
      <x:c r="H20" s="14" t="str">
        <x:v>Öffentlicher Feiertag</x:v>
      </x:c>
      <x:c r="I20" s="14" t="str">
        <x:v>Bestehende CH/BE-Anbindung bleibt. Neue Rollen-/Ortsauflösung nicht dadurch freigegeben.</x:v>
      </x:c>
      <x:c r="J20" s="14" t="str">
        <x:v>SRC-FRG-BE-20210401
AP22-ZPO</x:v>
      </x:c>
      <x:c r="K20" s="14" t="str">
        <x:v>BSG 555.1, Art. 2 | Art. 142 Abs. 1bis und 3, Art. 145</x:v>
      </x:c>
      <x:c r="L20" s="14" t="str">
        <x:v>Erfasste Regelgültigkeiten 2026-01-01 bis offen. Kein neuer Berechnungszeitraum freigegeben.</x:v>
      </x:c>
      <x:c r="M20" s="14" t="str">
        <x:v>Operativer Referenzbestand, keine neue Abnahme</x:v>
      </x:c>
      <x:c r="N20" s="14" t="str">
        <x:v>Bestehende CH-/BE-Freigabe</x:v>
      </x:c>
      <x:c r="O20" s="15"/>
    </x:row>
    <x:row r="21" ht="58" customHeight="1">
      <x:c r="A21" s="13" t="str">
        <x:v>AP22-BE-ALL-BGG</x:v>
      </x:c>
      <x:c r="B21" s="13" t="str">
        <x:v>Bern</x:v>
      </x:c>
      <x:c r="C21" s="13" t="str">
        <x:v>BGG</x:v>
      </x:c>
      <x:c r="D21" s="13" t="str">
        <x:v>BE-ALL</x:v>
      </x:c>
      <x:c r="E21" s="14" t="str">
        <x:v>Bestand unverändert</x:v>
      </x:c>
      <x:c r="F21" s="13" t="str">
        <x:v>Bestand beibehalten
BE-ALL</x:v>
      </x:c>
      <x:c r="G21" s="13" t="str">
        <x:v>Rechtlich massgebender Partei- / Vertretungsort</x:v>
      </x:c>
      <x:c r="H21" s="13" t="str">
        <x:v>Öffentlicher Feiertag</x:v>
      </x:c>
      <x:c r="I21" s="13" t="str">
        <x:v>Bestehende CH/BE-Anbindung bleibt. Neue Rollen-/Ortsauflösung nicht dadurch freigegeben.</x:v>
      </x:c>
      <x:c r="J21" s="13" t="str">
        <x:v>SRC-FRG-BE-20210401
AP22-BGG</x:v>
      </x:c>
      <x:c r="K21" s="13" t="str">
        <x:v>BSG 555.1, Art. 2 | Art. 45 und 46</x:v>
      </x:c>
      <x:c r="L21" s="13" t="str">
        <x:v>Erfasste Regelgültigkeiten 2026-01-01 bis offen. Kein neuer Berechnungszeitraum freigegeben.</x:v>
      </x:c>
      <x:c r="M21" s="13" t="str">
        <x:v>Operativer Referenzbestand, keine neue Abnahme</x:v>
      </x:c>
      <x:c r="N21" s="13" t="str">
        <x:v>Bestehende CH-/BE-Freigabe</x:v>
      </x:c>
      <x:c r="O21" s="15"/>
    </x:row>
    <x:row r="22" ht="58" customHeight="1">
      <x:c r="A22" s="14" t="str">
        <x:v>AP22-BE-ALL-VWVG</x:v>
      </x:c>
      <x:c r="B22" s="14" t="str">
        <x:v>Bern</x:v>
      </x:c>
      <x:c r="C22" s="14" t="str">
        <x:v>VwVG</x:v>
      </x:c>
      <x:c r="D22" s="14" t="str">
        <x:v>BE-ALL</x:v>
      </x:c>
      <x:c r="E22" s="14" t="str">
        <x:v>Bestand unverändert</x:v>
      </x:c>
      <x:c r="F22" s="14" t="str">
        <x:v>Bestand beibehalten
BE-ALL</x:v>
      </x:c>
      <x:c r="G22" s="14" t="str">
        <x:v>Rechtlich massgebender Partei- / Vertretungsort</x:v>
      </x:c>
      <x:c r="H22" s="14" t="str">
        <x:v>Öffentlicher Feiertag</x:v>
      </x:c>
      <x:c r="I22" s="14" t="str">
        <x:v>Bestehende CH/BE-Anbindung bleibt. Neue Rollen-/Ortsauflösung nicht dadurch freigegeben.</x:v>
      </x:c>
      <x:c r="J22" s="14" t="str">
        <x:v>SRC-FRG-BE-20210401
AP22-VWVG</x:v>
      </x:c>
      <x:c r="K22" s="14" t="str">
        <x:v>BSG 555.1, Art. 2 | Art. 20 Abs. 3 und Art. 22a</x:v>
      </x:c>
      <x:c r="L22" s="14" t="str">
        <x:v>Erfasste Regelgültigkeiten 2026-01-01 bis offen. Kein neuer Berechnungszeitraum freigegeben.</x:v>
      </x:c>
      <x:c r="M22" s="14" t="str">
        <x:v>Operativer Referenzbestand, keine neue Abnahme</x:v>
      </x:c>
      <x:c r="N22" s="14" t="str">
        <x:v>Bestehende CH-/BE-Freigabe</x:v>
      </x:c>
      <x:c r="O22" s="15"/>
    </x:row>
    <x:row r="23" ht="58" customHeight="1">
      <x:c r="A23" s="13" t="str">
        <x:v>AP22-LU-RLG-ALL-STPO</x:v>
      </x:c>
      <x:c r="B23" s="13" t="str">
        <x:v>Luzern</x:v>
      </x:c>
      <x:c r="C23" s="13" t="str">
        <x:v>StPO</x:v>
      </x:c>
      <x:c r="D23" s="13" t="str">
        <x:v>LU-RLG-ALL</x:v>
      </x:c>
      <x:c r="E23" s="14" t="str">
        <x:v>Zuordnung bestimmt</x:v>
      </x:c>
      <x:c r="F23" s="13" t="str">
        <x:v>Ersetzen durch
LU-JUSG-ART76</x:v>
      </x:c>
      <x:c r="G23" s="13" t="str">
        <x:v>Rechtlich massgebender Partei- / Vertretungsort</x:v>
      </x:c>
      <x:c r="H23" s="13" t="str">
        <x:v>Öffentlicher Feiertag</x:v>
      </x:c>
      <x:c r="I23" s="13" t="str">
        <x:v>Diese allgemeine Grundliste bleibt als Katalogwissen erhalten. Operativ ist die vollständige, konkret belegte Prozessliste vorrangig. Keine zusätzliche Vereinigung und keine Doppelzählung.</x:v>
      </x:c>
      <x:c r="J23" s="13" t="str">
        <x:v>SRC-LU-RLG-855-20200501
AP22-STPO
AP22CLOSE-PROC-LU-JUSG</x:v>
      </x:c>
      <x:c r="K23" s="13" t="str">
        <x:v>SRL 855, § 1a Abs. 1–3 und § 2 | Art. 89 Abs. 2 und Art. 90 Abs. 2 | SRL 260 § 76</x:v>
      </x:c>
      <x:c r="L23" s="13" t="str">
        <x:v>Erfasste Regelgültigkeiten 2026-01-01 bis offen. Kein neuer Berechnungszeitraum freigegeben.</x:v>
      </x:c>
      <x:c r="M23" s="13" t="str">
        <x:v>Fachliche Freigabe DEC-2026-028. Quellenherkunft gemäss Blatt Quellen.</x:v>
      </x:c>
      <x:c r="N23" s="13" t="str">
        <x:v>Fachliche Freigabe DEC-2026-028 erteilt. Keine technische Aktivierung.</x:v>
      </x:c>
      <x:c r="O23" s="15"/>
    </x:row>
    <x:row r="24" ht="58" customHeight="1">
      <x:c r="A24" s="14" t="str">
        <x:v>AP22-LU-RLG-ALL-ZPO</x:v>
      </x:c>
      <x:c r="B24" s="14" t="str">
        <x:v>Luzern</x:v>
      </x:c>
      <x:c r="C24" s="14" t="str">
        <x:v>ZPO</x:v>
      </x:c>
      <x:c r="D24" s="14" t="str">
        <x:v>LU-RLG-ALL</x:v>
      </x:c>
      <x:c r="E24" s="14" t="str">
        <x:v>Zuordnung bestimmt</x:v>
      </x:c>
      <x:c r="F24" s="14" t="str">
        <x:v>Ersetzen durch
LU-JUSG-ART76</x:v>
      </x:c>
      <x:c r="G24" s="14" t="str">
        <x:v>Gerichtsort</x:v>
      </x:c>
      <x:c r="H24" s="14" t="str">
        <x:v>Öffentlicher Feiertag</x:v>
      </x:c>
      <x:c r="I24" s="14" t="str">
        <x:v>Diese allgemeine Grundliste bleibt als Katalogwissen erhalten. Operativ ist die vollständige, konkret belegte Prozessliste vorrangig. Keine zusätzliche Vereinigung und keine Doppelzählung.</x:v>
      </x:c>
      <x:c r="J24" s="14" t="str">
        <x:v>SRC-LU-RLG-855-20200501
AP22-ZPO
AP22CLOSE-PROC-LU-JUSG</x:v>
      </x:c>
      <x:c r="K24" s="14" t="str">
        <x:v>SRL 855, § 1a Abs. 1–3 und § 2 | Art. 142 Abs. 1bis und 3, Art. 145 | SRL 260 § 76</x:v>
      </x:c>
      <x:c r="L24" s="14" t="str">
        <x:v>Erfasste Regelgültigkeiten 2026-01-01 bis offen. Kein neuer Berechnungszeitraum freigegeben.</x:v>
      </x:c>
      <x:c r="M24" s="14" t="str">
        <x:v>Fachliche Freigabe DEC-2026-028. Quellenherkunft gemäss Blatt Quellen.</x:v>
      </x:c>
      <x:c r="N24" s="14" t="str">
        <x:v>Fachliche Freigabe DEC-2026-028 erteilt. Keine technische Aktivierung.</x:v>
      </x:c>
      <x:c r="O24" s="15"/>
    </x:row>
    <x:row r="25" ht="72" customHeight="1">
      <x:c r="A25" s="13" t="str">
        <x:v>AP22-LU-RLG-ALL-BGG</x:v>
      </x:c>
      <x:c r="B25" s="13" t="str">
        <x:v>Luzern</x:v>
      </x:c>
      <x:c r="C25" s="13" t="str">
        <x:v>BGG</x:v>
      </x:c>
      <x:c r="D25" s="13" t="str">
        <x:v>LU-RLG-ALL</x:v>
      </x:c>
      <x:c r="E25" s="14" t="str">
        <x:v>Zuordnung bestimmt</x:v>
      </x:c>
      <x:c r="F25" s="13" t="str">
        <x:v>Verwenden
LU-RLG-ALL</x:v>
      </x:c>
      <x:c r="G25" s="13" t="str">
        <x:v>Rechtlich massgebender Partei- / Vertretungsort</x:v>
      </x:c>
      <x:c r="H25" s="13" t="str">
        <x:v>Öffentlicher Feiertag</x:v>
      </x:c>
      <x:c r="I25" s="13" t="str">
        <x:v>Kantonal anerkannte Grundliste am rechtlich massgebenden Ort. Übernahme im Umfang von DEC-2026-028. AP18-/MVP-0.6-Quellenstand wiederverwendet, keine vollständige neue Quellenrevision behauptet.</x:v>
      </x:c>
      <x:c r="J25" s="13" t="str">
        <x:v>SRC-LU-RLG-855-20200501
AP22-BGG</x:v>
      </x:c>
      <x:c r="K25" s="13" t="str">
        <x:v>SRL 855, § 1a Abs. 1–3 und § 2 | Art. 45 und 46</x:v>
      </x:c>
      <x:c r="L25" s="13" t="str">
        <x:v>Erfasste Regelgültigkeiten 2026-01-01 bis offen. Kein neuer Berechnungszeitraum freigegeben.</x:v>
      </x:c>
      <x:c r="M25" s="13" t="str">
        <x:v>Fachliche Freigabe DEC-2026-028. Quellenherkunft gemäss Blatt Quellen.</x:v>
      </x:c>
      <x:c r="N25" s="13" t="str">
        <x:v>Fachliche Freigabe DEC-2026-028 erteilt. Keine technische Aktivierung.</x:v>
      </x:c>
      <x:c r="O25" s="15"/>
    </x:row>
    <x:row r="26" ht="72" customHeight="1">
      <x:c r="A26" s="14" t="str">
        <x:v>AP22-LU-RLG-ALL-VWVG</x:v>
      </x:c>
      <x:c r="B26" s="14" t="str">
        <x:v>Luzern</x:v>
      </x:c>
      <x:c r="C26" s="14" t="str">
        <x:v>VwVG</x:v>
      </x:c>
      <x:c r="D26" s="14" t="str">
        <x:v>LU-RLG-ALL</x:v>
      </x:c>
      <x:c r="E26" s="14" t="str">
        <x:v>Zuordnung bestimmt</x:v>
      </x:c>
      <x:c r="F26" s="14" t="str">
        <x:v>Verwenden
LU-RLG-ALL</x:v>
      </x:c>
      <x:c r="G26" s="14" t="str">
        <x:v>Rechtlich massgebender Partei- / Vertretungsort</x:v>
      </x:c>
      <x:c r="H26" s="14" t="str">
        <x:v>Öffentlicher Feiertag</x:v>
      </x:c>
      <x:c r="I26" s="14" t="str">
        <x:v>Kantonal anerkannte Grundliste am rechtlich massgebenden Ort. Übernahme im Umfang von DEC-2026-028. AP18-/MVP-0.6-Quellenstand wiederverwendet, keine vollständige neue Quellenrevision behauptet.</x:v>
      </x:c>
      <x:c r="J26" s="14" t="str">
        <x:v>SRC-LU-RLG-855-20200501
AP22-VWVG</x:v>
      </x:c>
      <x:c r="K26" s="14" t="str">
        <x:v>SRL 855, § 1a Abs. 1–3 und § 2 | Art. 20 Abs. 3 und Art. 22a</x:v>
      </x:c>
      <x:c r="L26" s="14" t="str">
        <x:v>Erfasste Regelgültigkeiten 2026-01-01 bis offen. Kein neuer Berechnungszeitraum freigegeben.</x:v>
      </x:c>
      <x:c r="M26" s="14" t="str">
        <x:v>Fachliche Freigabe DEC-2026-028. Quellenherkunft gemäss Blatt Quellen.</x:v>
      </x:c>
      <x:c r="N26" s="14" t="str">
        <x:v>Fachliche Freigabe DEC-2026-028 erteilt. Keine technische Aktivierung.</x:v>
      </x:c>
      <x:c r="O26" s="15"/>
    </x:row>
    <x:row r="27" ht="58" customHeight="1">
      <x:c r="A27" s="13" t="str">
        <x:v>AP22-LU-JUSG-ART76-STPO</x:v>
      </x:c>
      <x:c r="B27" s="13" t="str">
        <x:v>Luzern</x:v>
      </x:c>
      <x:c r="C27" s="13" t="str">
        <x:v>StPO</x:v>
      </x:c>
      <x:c r="D27" s="13" t="str">
        <x:v>LU-JUSG-ART76</x:v>
      </x:c>
      <x:c r="E27" s="14" t="str">
        <x:v>Zuordnung bestimmt</x:v>
      </x:c>
      <x:c r="F27" s="13" t="str">
        <x:v>Verwenden
LU-JUSG-ART76</x:v>
      </x:c>
      <x:c r="G27" s="13" t="str">
        <x:v>Rechtlich massgebender Partei- / Vertretungsort</x:v>
      </x:c>
      <x:c r="H27" s="13" t="str">
        <x:v>Prozessual gleichgestellter Tag</x:v>
      </x:c>
      <x:c r="I27" s="13" t="str">
        <x:v>Eigene ausdrücklich für dieses Verfahren anerkannte kantonsweite Prozessliste. Andere Regional- oder Grundlisten nicht zusätzlich vereinigen. DEC-2026-028 und die bezeichnete Prozessnorm.</x:v>
      </x:c>
      <x:c r="J27" s="13" t="str">
        <x:v>SRC-LU-JUSG-260-20260101
AP22-STPO</x:v>
      </x:c>
      <x:c r="K27" s="13" t="str">
        <x:v>SRL 260, § 76 | Art. 89 Abs. 2 und Art. 90 Abs. 2</x:v>
      </x:c>
      <x:c r="L27" s="13" t="str">
        <x:v>Erfasste Regelgültigkeiten 2026-01-01 bis offen. Kein neuer Berechnungszeitraum freigegeben.</x:v>
      </x:c>
      <x:c r="M27" s="13" t="str">
        <x:v>Fachliche Freigabe DEC-2026-028. Quellenherkunft gemäss Blatt Quellen.</x:v>
      </x:c>
      <x:c r="N27" s="13" t="str">
        <x:v>Fachliche Freigabe DEC-2026-028 erteilt. Keine technische Aktivierung.</x:v>
      </x:c>
      <x:c r="O27" s="15"/>
    </x:row>
    <x:row r="28" ht="58" customHeight="1">
      <x:c r="A28" s="14" t="str">
        <x:v>AP22-LU-JUSG-ART76-ZPO</x:v>
      </x:c>
      <x:c r="B28" s="14" t="str">
        <x:v>Luzern</x:v>
      </x:c>
      <x:c r="C28" s="14" t="str">
        <x:v>ZPO</x:v>
      </x:c>
      <x:c r="D28" s="14" t="str">
        <x:v>LU-JUSG-ART76</x:v>
      </x:c>
      <x:c r="E28" s="14" t="str">
        <x:v>Zuordnung bestimmt</x:v>
      </x:c>
      <x:c r="F28" s="14" t="str">
        <x:v>Verwenden
LU-JUSG-ART76</x:v>
      </x:c>
      <x:c r="G28" s="14" t="str">
        <x:v>Gerichtsort</x:v>
      </x:c>
      <x:c r="H28" s="14" t="str">
        <x:v>Prozessual gleichgestellter Tag</x:v>
      </x:c>
      <x:c r="I28" s="14" t="str">
        <x:v>Eigene ausdrücklich für dieses Verfahren anerkannte kantonsweite Prozessliste. Andere Regional- oder Grundlisten nicht zusätzlich vereinigen. DEC-2026-028 und die bezeichnete Prozessnorm.</x:v>
      </x:c>
      <x:c r="J28" s="14" t="str">
        <x:v>SRC-LU-JUSG-260-20260101
AP22-ZPO</x:v>
      </x:c>
      <x:c r="K28" s="14" t="str">
        <x:v>SRL 260, § 76 | Art. 142 Abs. 1bis und 3, Art. 145</x:v>
      </x:c>
      <x:c r="L28" s="14" t="str">
        <x:v>Erfasste Regelgültigkeiten 2026-01-01 bis offen. Kein neuer Berechnungszeitraum freigegeben.</x:v>
      </x:c>
      <x:c r="M28" s="14" t="str">
        <x:v>Fachliche Freigabe DEC-2026-028. Quellenherkunft gemäss Blatt Quellen.</x:v>
      </x:c>
      <x:c r="N28" s="14" t="str">
        <x:v>Fachliche Freigabe DEC-2026-028 erteilt. Keine technische Aktivierung.</x:v>
      </x:c>
      <x:c r="O28" s="15"/>
    </x:row>
    <x:row r="29" ht="100" customHeight="1">
      <x:c r="A29" s="13" t="str">
        <x:v>AP22-LU-JUSG-ART76-BGG</x:v>
      </x:c>
      <x:c r="B29" s="13" t="str">
        <x:v>Luzern</x:v>
      </x:c>
      <x:c r="C29" s="13" t="str">
        <x:v>BGG</x:v>
      </x:c>
      <x:c r="D29" s="13" t="str">
        <x:v>LU-JUSG-ART76</x:v>
      </x:c>
      <x:c r="E29" s="14" t="str">
        <x:v>Zuordnung bestimmt</x:v>
      </x:c>
      <x:c r="F29" s="13" t="str">
        <x:v>Ersetzen durch
LU-RLG-ALL + LU-VRG-ADDITIONAL</x:v>
      </x:c>
      <x:c r="G29" s="13" t="str">
        <x:v>Rechtlich massgebender Partei- / Vertretungsort</x:v>
      </x:c>
      <x:c r="H29" s="13" t="str">
        <x:v>Prozessual gleichgestellter Tag</x:v>
      </x:c>
      <x:c r="I29" s="13" t="str">
        <x:v>Beleg: Die JusG-Liste mit 13 Tagen und die VRG-Kombination haben einen identischen Bestand an Nichtsonntagstagen. Die Ableitung der Bundesanerkennung stützt sich hier auf VRG § 34. Für BGG und VwVG wird deshalb die VRG-Kombination gewählt. Die JusG-Liste wird nicht zusätzlich damit vereinigt. Damit wird der materielle Feiertagsstatus ihrer Tage nicht verneint.</x:v>
      </x:c>
      <x:c r="J29" s="13" t="str">
        <x:v>AP22CLOSE-PROC-LU-JUSG
AP22CLOSE-PROC-LU-VRG
AP22CLOSE-PROC-BGG-TRANSFER
AP22CLOSE-BUND-BGG</x:v>
      </x:c>
      <x:c r="K29" s="13" t="str">
        <x:v>SRL 260 § 76 | SRL 40 § 34 Abs. 1–2 | E. 6.5 | Stand 01.04.2026, Art. 45 und 46</x:v>
      </x:c>
      <x:c r="L29" s="13" t="str">
        <x:v>Erfasste Regelgültigkeiten 2026-01-01 bis offen. Kein neuer Berechnungszeitraum freigegeben.</x:v>
      </x:c>
      <x:c r="M29" s="13" t="str">
        <x:v>02.10.2026 gezielte Quellenprüfung. Direktbeleg und normative Ableitung siehe Begründung und Fachnachtrag.</x:v>
      </x:c>
      <x:c r="N29" s="13" t="str">
        <x:v>Fachliche Freigabe DEC-2026-028 erteilt. Keine technische Aktivierung.</x:v>
      </x:c>
      <x:c r="O29" s="15"/>
    </x:row>
    <x:row r="30" ht="100" customHeight="1">
      <x:c r="A30" s="14" t="str">
        <x:v>AP22-LU-JUSG-ART76-VWVG</x:v>
      </x:c>
      <x:c r="B30" s="14" t="str">
        <x:v>Luzern</x:v>
      </x:c>
      <x:c r="C30" s="14" t="str">
        <x:v>VwVG</x:v>
      </x:c>
      <x:c r="D30" s="14" t="str">
        <x:v>LU-JUSG-ART76</x:v>
      </x:c>
      <x:c r="E30" s="14" t="str">
        <x:v>Zuordnung bestimmt</x:v>
      </x:c>
      <x:c r="F30" s="14" t="str">
        <x:v>Ersetzen durch
LU-RLG-ALL + LU-VRG-ADDITIONAL</x:v>
      </x:c>
      <x:c r="G30" s="14" t="str">
        <x:v>Rechtlich massgebender Partei- / Vertretungsort</x:v>
      </x:c>
      <x:c r="H30" s="14" t="str">
        <x:v>Prozessual gleichgestellter Tag</x:v>
      </x:c>
      <x:c r="I30" s="14" t="str">
        <x:v>Beleg: Die JusG-Liste mit 13 Tagen und die VRG-Kombination haben einen identischen Bestand an Nichtsonntagstagen. Die Ableitung der Bundesanerkennung stützt sich hier auf VRG § 34. Für BGG und VwVG wird deshalb die VRG-Kombination gewählt. Die JusG-Liste wird nicht zusätzlich damit vereinigt. Damit wird der materielle Feiertagsstatus ihrer Tage nicht verneint.</x:v>
      </x:c>
      <x:c r="J30" s="14" t="str">
        <x:v>AP22CLOSE-PROC-LU-JUSG
AP22CLOSE-PROC-LU-VRG
AP22CLOSE-PROC-BGG-TRANSFER
AP22CLOSE-BUND-VWVG</x:v>
      </x:c>
      <x:c r="K30" s="14" t="str">
        <x:v>SRL 260 § 76 | SRL 40 § 34 Abs. 1–2 | E. 6.5 | Stand 01.07.2022, Art. 11, 20 und 22a</x:v>
      </x:c>
      <x:c r="L30" s="14" t="str">
        <x:v>Erfasste Regelgültigkeiten 2026-01-01 bis offen. Kein neuer Berechnungszeitraum freigegeben.</x:v>
      </x:c>
      <x:c r="M30" s="14" t="str">
        <x:v>02.10.2026 gezielte Quellenprüfung. Direktbeleg und normative Ableitung siehe Begründung und Fachnachtrag.</x:v>
      </x:c>
      <x:c r="N30" s="14" t="str">
        <x:v>Fachliche Freigabe DEC-2026-028 erteilt. Keine technische Aktivierung.</x:v>
      </x:c>
      <x:c r="O30" s="15"/>
    </x:row>
    <x:row r="31" ht="72" customHeight="1">
      <x:c r="A31" s="13" t="str">
        <x:v>AP22-LU-VRG-ADDITIONAL-STPO</x:v>
      </x:c>
      <x:c r="B31" s="13" t="str">
        <x:v>Luzern</x:v>
      </x:c>
      <x:c r="C31" s="13" t="str">
        <x:v>StPO</x:v>
      </x:c>
      <x:c r="D31" s="13" t="str">
        <x:v>LU-VRG-ADDITIONAL</x:v>
      </x:c>
      <x:c r="E31" s="14" t="str">
        <x:v>Zuordnung bestimmt</x:v>
      </x:c>
      <x:c r="F31" s="13" t="str">
        <x:v>Ersetzen durch
LU-JUSG-ART76</x:v>
      </x:c>
      <x:c r="G31" s="13" t="str">
        <x:v>Rechtlich massgebender Partei- / Vertretungsort</x:v>
      </x:c>
      <x:c r="H31" s="13" t="str">
        <x:v>Prozessual gleichgestellter Tag</x:v>
      </x:c>
      <x:c r="I31" s="13" t="str">
        <x:v>Beleg: JusG § 76 enthält alle 13 Tage ausdrücklich für ZPO und StPO. Daher wird die direkte JusG-Liste gewählt. Die VRG-Ergänzung wird nicht als zusätzliche eigene Rechtsgrundlage angewendet. Damit wird weder ein Tag ausgelassen noch doppelt gezählt.</x:v>
      </x:c>
      <x:c r="J31" s="13" t="str">
        <x:v>AP22CLOSE-PROC-LU-JUSG
AP22CLOSE-PROC-LU-VRG
AP22CLOSE-BUND-STPO</x:v>
      </x:c>
      <x:c r="K31" s="13" t="str">
        <x:v>SRL 260 § 76 | SRL 40 § 34 Abs. 1–2 | Stand 01.04.2025, Art. 87, 89 und 90</x:v>
      </x:c>
      <x:c r="L31" s="13" t="str">
        <x:v>Erfasste Regelgültigkeiten 2026-01-01 bis offen. Kein neuer Berechnungszeitraum freigegeben.</x:v>
      </x:c>
      <x:c r="M31" s="13" t="str">
        <x:v>02.10.2026 gezielte Quellenprüfung. Direktbeleg und normative Ableitung siehe Begründung und Fachnachtrag.</x:v>
      </x:c>
      <x:c r="N31" s="13" t="str">
        <x:v>Fachliche Freigabe DEC-2026-028 erteilt. Keine technische Aktivierung.</x:v>
      </x:c>
      <x:c r="O31" s="15"/>
    </x:row>
    <x:row r="32" ht="72" customHeight="1">
      <x:c r="A32" s="14" t="str">
        <x:v>AP22-LU-VRG-ADDITIONAL-ZPO</x:v>
      </x:c>
      <x:c r="B32" s="14" t="str">
        <x:v>Luzern</x:v>
      </x:c>
      <x:c r="C32" s="14" t="str">
        <x:v>ZPO</x:v>
      </x:c>
      <x:c r="D32" s="14" t="str">
        <x:v>LU-VRG-ADDITIONAL</x:v>
      </x:c>
      <x:c r="E32" s="14" t="str">
        <x:v>Zuordnung bestimmt</x:v>
      </x:c>
      <x:c r="F32" s="14" t="str">
        <x:v>Ersetzen durch
LU-JUSG-ART76</x:v>
      </x:c>
      <x:c r="G32" s="14" t="str">
        <x:v>Gerichtsort</x:v>
      </x:c>
      <x:c r="H32" s="14" t="str">
        <x:v>Prozessual gleichgestellter Tag</x:v>
      </x:c>
      <x:c r="I32" s="14" t="str">
        <x:v>Beleg: JusG § 76 enthält alle 13 Tage ausdrücklich für ZPO und StPO. Daher wird die direkte JusG-Liste gewählt. Die VRG-Ergänzung wird nicht als zusätzliche eigene Rechtsgrundlage angewendet. Damit wird weder ein Tag ausgelassen noch doppelt gezählt.</x:v>
      </x:c>
      <x:c r="J32" s="14" t="str">
        <x:v>AP22CLOSE-PROC-LU-JUSG
AP22CLOSE-PROC-LU-VRG
AP22CLOSE-BUND-ZPO</x:v>
      </x:c>
      <x:c r="K32" s="14" t="str">
        <x:v>SRL 260 § 76 | SRL 40 § 34 Abs. 1–2 | Stand 01.07.2026, Art. 142 und 145</x:v>
      </x:c>
      <x:c r="L32" s="14" t="str">
        <x:v>Erfasste Regelgültigkeiten 2026-01-01 bis offen. Kein neuer Berechnungszeitraum freigegeben.</x:v>
      </x:c>
      <x:c r="M32" s="14" t="str">
        <x:v>02.10.2026 gezielte Quellenprüfung. Direktbeleg und normative Ableitung siehe Begründung und Fachnachtrag.</x:v>
      </x:c>
      <x:c r="N32" s="14" t="str">
        <x:v>Fachliche Freigabe DEC-2026-028 erteilt. Keine technische Aktivierung.</x:v>
      </x:c>
      <x:c r="O32" s="15"/>
    </x:row>
    <x:row r="33" ht="100" customHeight="1">
      <x:c r="A33" s="13" t="str">
        <x:v>AP22-LU-VRG-ADDITIONAL-BGG</x:v>
      </x:c>
      <x:c r="B33" s="13" t="str">
        <x:v>Luzern</x:v>
      </x:c>
      <x:c r="C33" s="13" t="str">
        <x:v>BGG</x:v>
      </x:c>
      <x:c r="D33" s="13" t="str">
        <x:v>LU-VRG-ADDITIONAL</x:v>
      </x:c>
      <x:c r="E33" s="14" t="str">
        <x:v>Zuordnung bestimmt</x:v>
      </x:c>
      <x:c r="F33" s="13" t="str">
        <x:v>Ergänzen
LU-RLG-ALL + LU-VRG-ADDITIONAL</x:v>
      </x:c>
      <x:c r="G33" s="13" t="str">
        <x:v>Rechtlich massgebender Partei- / Vertretungsort</x:v>
      </x:c>
      <x:c r="H33" s="13" t="str">
        <x:v>Prozessual gleichgestellter Tag</x:v>
      </x:c>
      <x:c r="I33" s="13" t="str">
        <x:v>Beleg: VRG § 34 stellt den 2. Januar sowie Oster- und Pfingstmontag gleich und nimmt Josefstag und Patrozinium aus. Inferenz: Die Bundesnormen berücksichtigen diese kantonal prozessual anerkannten Tage. Ausgewählt werden nur der kantonsweite RLG-Bestand und diese drei Zusatztage. Die Rückwärtsfristregel wird nicht übernommen.</x:v>
      </x:c>
      <x:c r="J33" s="13" t="str">
        <x:v>AP22CLOSE-PROC-LU-VRG
AP22CLOSE-PROC-BGG-TRANSFER
AP22CLOSE-BUND-BGG</x:v>
      </x:c>
      <x:c r="K33" s="13" t="str">
        <x:v>SRL 40 § 34 Abs. 1–2 | E. 6.5 | Stand 01.04.2026, Art. 45 und 46</x:v>
      </x:c>
      <x:c r="L33" s="13" t="str">
        <x:v>Erfasste Regelgültigkeiten 2026-01-01 bis offen. Kein neuer Berechnungszeitraum freigegeben.</x:v>
      </x:c>
      <x:c r="M33" s="13" t="str">
        <x:v>02.10.2026 gezielte Quellenprüfung. Direktbeleg und normative Ableitung siehe Begründung und Fachnachtrag.</x:v>
      </x:c>
      <x:c r="N33" s="13" t="str">
        <x:v>Fachliche Freigabe DEC-2026-028 erteilt. Keine technische Aktivierung.</x:v>
      </x:c>
      <x:c r="O33" s="15"/>
    </x:row>
    <x:row r="34" ht="100" customHeight="1">
      <x:c r="A34" s="14" t="str">
        <x:v>AP22-LU-VRG-ADDITIONAL-VWVG</x:v>
      </x:c>
      <x:c r="B34" s="14" t="str">
        <x:v>Luzern</x:v>
      </x:c>
      <x:c r="C34" s="14" t="str">
        <x:v>VwVG</x:v>
      </x:c>
      <x:c r="D34" s="14" t="str">
        <x:v>LU-VRG-ADDITIONAL</x:v>
      </x:c>
      <x:c r="E34" s="14" t="str">
        <x:v>Zuordnung bestimmt</x:v>
      </x:c>
      <x:c r="F34" s="14" t="str">
        <x:v>Ergänzen
LU-RLG-ALL + LU-VRG-ADDITIONAL</x:v>
      </x:c>
      <x:c r="G34" s="14" t="str">
        <x:v>Rechtlich massgebender Partei- / Vertretungsort</x:v>
      </x:c>
      <x:c r="H34" s="14" t="str">
        <x:v>Prozessual gleichgestellter Tag</x:v>
      </x:c>
      <x:c r="I34" s="14" t="str">
        <x:v>Beleg: VRG § 34 stellt den 2. Januar sowie Oster- und Pfingstmontag gleich und nimmt Josefstag und Patrozinium aus. Inferenz: Die Bundesnormen berücksichtigen diese kantonal prozessual anerkannten Tage. Ausgewählt werden nur der kantonsweite RLG-Bestand und diese drei Zusatztage. Die Rückwärtsfristregel wird nicht übernommen.</x:v>
      </x:c>
      <x:c r="J34" s="14" t="str">
        <x:v>AP22CLOSE-PROC-LU-VRG
AP22CLOSE-PROC-BGG-TRANSFER
AP22CLOSE-BUND-VWVG</x:v>
      </x:c>
      <x:c r="K34" s="14" t="str">
        <x:v>SRL 40 § 34 Abs. 1–2 | E. 6.5 | Stand 01.07.2022, Art. 11, 20 und 22a</x:v>
      </x:c>
      <x:c r="L34" s="14" t="str">
        <x:v>Erfasste Regelgültigkeiten 2026-01-01 bis offen. Kein neuer Berechnungszeitraum freigegeben.</x:v>
      </x:c>
      <x:c r="M34" s="14" t="str">
        <x:v>02.10.2026 gezielte Quellenprüfung. Direktbeleg und normative Ableitung siehe Begründung und Fachnachtrag.</x:v>
      </x:c>
      <x:c r="N34" s="14" t="str">
        <x:v>Fachliche Freigabe DEC-2026-028 erteilt. Keine technische Aktivierung.</x:v>
      </x:c>
      <x:c r="O34" s="15"/>
    </x:row>
    <x:row r="35" ht="72" customHeight="1">
      <x:c r="A35" s="13" t="str">
        <x:v>AP22-UR-LSG-ALL-STPO</x:v>
      </x:c>
      <x:c r="B35" s="13" t="str">
        <x:v>Uri</x:v>
      </x:c>
      <x:c r="C35" s="13" t="str">
        <x:v>StPO</x:v>
      </x:c>
      <x:c r="D35" s="13" t="str">
        <x:v>UR-LSG-ALL</x:v>
      </x:c>
      <x:c r="E35" s="14" t="str">
        <x:v>Zuordnung bestimmt</x:v>
      </x:c>
      <x:c r="F35" s="13" t="str">
        <x:v>Verwenden
UR-LSG-ALL</x:v>
      </x:c>
      <x:c r="G35" s="13" t="str">
        <x:v>Rechtlich massgebender Partei- / Vertretungsort</x:v>
      </x:c>
      <x:c r="H35" s="13" t="str">
        <x:v>Öffentlicher Feiertag</x:v>
      </x:c>
      <x:c r="I35" s="13" t="str">
        <x:v>Kantonal anerkannte Grundliste am rechtlich massgebenden Ort. Übernahme im Umfang von DEC-2026-028. AP18-/MVP-0.6-Quellenstand wiederverwendet, keine vollständige neue Quellenrevision behauptet.</x:v>
      </x:c>
      <x:c r="J35" s="13" t="str">
        <x:v>SRC-UR-LSG-701421-20030101
AP22-STPO</x:v>
      </x:c>
      <x:c r="K35" s="13" t="str">
        <x:v>RB 70.1421, Art. 9 und 10 | Art. 89 Abs. 2 und Art. 90 Abs. 2</x:v>
      </x:c>
      <x:c r="L35" s="13" t="str">
        <x:v>Erfasste Regelgültigkeiten 2026-01-01 bis offen. Kein neuer Berechnungszeitraum freigegeben.</x:v>
      </x:c>
      <x:c r="M35" s="13" t="str">
        <x:v>Fachliche Freigabe DEC-2026-028. Quellenherkunft gemäss Blatt Quellen.</x:v>
      </x:c>
      <x:c r="N35" s="13" t="str">
        <x:v>Fachliche Freigabe DEC-2026-028 erteilt. Keine technische Aktivierung.</x:v>
      </x:c>
      <x:c r="O35" s="15"/>
    </x:row>
    <x:row r="36" ht="72" customHeight="1">
      <x:c r="A36" s="14" t="str">
        <x:v>AP22-UR-LSG-ALL-ZPO</x:v>
      </x:c>
      <x:c r="B36" s="14" t="str">
        <x:v>Uri</x:v>
      </x:c>
      <x:c r="C36" s="14" t="str">
        <x:v>ZPO</x:v>
      </x:c>
      <x:c r="D36" s="14" t="str">
        <x:v>UR-LSG-ALL</x:v>
      </x:c>
      <x:c r="E36" s="14" t="str">
        <x:v>Zuordnung bestimmt</x:v>
      </x:c>
      <x:c r="F36" s="14" t="str">
        <x:v>Verwenden
UR-LSG-ALL</x:v>
      </x:c>
      <x:c r="G36" s="14" t="str">
        <x:v>Gerichtsort</x:v>
      </x:c>
      <x:c r="H36" s="14" t="str">
        <x:v>Öffentlicher Feiertag</x:v>
      </x:c>
      <x:c r="I36" s="14" t="str">
        <x:v>Kantonal anerkannte Grundliste am rechtlich massgebenden Ort. Übernahme im Umfang von DEC-2026-028. AP18-/MVP-0.6-Quellenstand wiederverwendet, keine vollständige neue Quellenrevision behauptet.</x:v>
      </x:c>
      <x:c r="J36" s="14" t="str">
        <x:v>SRC-UR-LSG-701421-20030101
AP22-ZPO</x:v>
      </x:c>
      <x:c r="K36" s="14" t="str">
        <x:v>RB 70.1421, Art. 9 und 10 | Art. 142 Abs. 1bis und 3, Art. 145</x:v>
      </x:c>
      <x:c r="L36" s="14" t="str">
        <x:v>Erfasste Regelgültigkeiten 2026-01-01 bis offen. Kein neuer Berechnungszeitraum freigegeben.</x:v>
      </x:c>
      <x:c r="M36" s="14" t="str">
        <x:v>Fachliche Freigabe DEC-2026-028. Quellenherkunft gemäss Blatt Quellen.</x:v>
      </x:c>
      <x:c r="N36" s="14" t="str">
        <x:v>Fachliche Freigabe DEC-2026-028 erteilt. Keine technische Aktivierung.</x:v>
      </x:c>
      <x:c r="O36" s="15"/>
    </x:row>
    <x:row r="37" ht="72" customHeight="1">
      <x:c r="A37" s="13" t="str">
        <x:v>AP22-UR-LSG-ALL-BGG</x:v>
      </x:c>
      <x:c r="B37" s="13" t="str">
        <x:v>Uri</x:v>
      </x:c>
      <x:c r="C37" s="13" t="str">
        <x:v>BGG</x:v>
      </x:c>
      <x:c r="D37" s="13" t="str">
        <x:v>UR-LSG-ALL</x:v>
      </x:c>
      <x:c r="E37" s="14" t="str">
        <x:v>Zuordnung bestimmt</x:v>
      </x:c>
      <x:c r="F37" s="13" t="str">
        <x:v>Verwenden
UR-LSG-ALL</x:v>
      </x:c>
      <x:c r="G37" s="13" t="str">
        <x:v>Rechtlich massgebender Partei- / Vertretungsort</x:v>
      </x:c>
      <x:c r="H37" s="13" t="str">
        <x:v>Öffentlicher Feiertag</x:v>
      </x:c>
      <x:c r="I37" s="13" t="str">
        <x:v>Kantonal anerkannte Grundliste am rechtlich massgebenden Ort. Übernahme im Umfang von DEC-2026-028. AP18-/MVP-0.6-Quellenstand wiederverwendet, keine vollständige neue Quellenrevision behauptet.</x:v>
      </x:c>
      <x:c r="J37" s="13" t="str">
        <x:v>SRC-UR-LSG-701421-20030101
AP22-BGG</x:v>
      </x:c>
      <x:c r="K37" s="13" t="str">
        <x:v>RB 70.1421, Art. 9 und 10 | Art. 45 und 46</x:v>
      </x:c>
      <x:c r="L37" s="13" t="str">
        <x:v>Erfasste Regelgültigkeiten 2026-01-01 bis offen. Kein neuer Berechnungszeitraum freigegeben.</x:v>
      </x:c>
      <x:c r="M37" s="13" t="str">
        <x:v>Fachliche Freigabe DEC-2026-028. Quellenherkunft gemäss Blatt Quellen.</x:v>
      </x:c>
      <x:c r="N37" s="13" t="str">
        <x:v>Fachliche Freigabe DEC-2026-028 erteilt. Keine technische Aktivierung.</x:v>
      </x:c>
      <x:c r="O37" s="15"/>
    </x:row>
    <x:row r="38" ht="72" customHeight="1">
      <x:c r="A38" s="14" t="str">
        <x:v>AP22-UR-LSG-ALL-VWVG</x:v>
      </x:c>
      <x:c r="B38" s="14" t="str">
        <x:v>Uri</x:v>
      </x:c>
      <x:c r="C38" s="14" t="str">
        <x:v>VwVG</x:v>
      </x:c>
      <x:c r="D38" s="14" t="str">
        <x:v>UR-LSG-ALL</x:v>
      </x:c>
      <x:c r="E38" s="14" t="str">
        <x:v>Zuordnung bestimmt</x:v>
      </x:c>
      <x:c r="F38" s="14" t="str">
        <x:v>Verwenden
UR-LSG-ALL</x:v>
      </x:c>
      <x:c r="G38" s="14" t="str">
        <x:v>Rechtlich massgebender Partei- / Vertretungsort</x:v>
      </x:c>
      <x:c r="H38" s="14" t="str">
        <x:v>Öffentlicher Feiertag</x:v>
      </x:c>
      <x:c r="I38" s="14" t="str">
        <x:v>Kantonal anerkannte Grundliste am rechtlich massgebenden Ort. Übernahme im Umfang von DEC-2026-028. AP18-/MVP-0.6-Quellenstand wiederverwendet, keine vollständige neue Quellenrevision behauptet.</x:v>
      </x:c>
      <x:c r="J38" s="14" t="str">
        <x:v>SRC-UR-LSG-701421-20030101
AP22-VWVG</x:v>
      </x:c>
      <x:c r="K38" s="14" t="str">
        <x:v>RB 70.1421, Art. 9 und 10 | Art. 20 Abs. 3 und Art. 22a</x:v>
      </x:c>
      <x:c r="L38" s="14" t="str">
        <x:v>Erfasste Regelgültigkeiten 2026-01-01 bis offen. Kein neuer Berechnungszeitraum freigegeben.</x:v>
      </x:c>
      <x:c r="M38" s="14" t="str">
        <x:v>Fachliche Freigabe DEC-2026-028. Quellenherkunft gemäss Blatt Quellen.</x:v>
      </x:c>
      <x:c r="N38" s="14" t="str">
        <x:v>Fachliche Freigabe DEC-2026-028 erteilt. Keine technische Aktivierung.</x:v>
      </x:c>
      <x:c r="O38" s="15"/>
    </x:row>
    <x:row r="39" ht="72" customHeight="1">
      <x:c r="A39" s="13" t="str">
        <x:v>AP22-SZ-RTG-ALL-STPO</x:v>
      </x:c>
      <x:c r="B39" s="13" t="str">
        <x:v>Schwyz</x:v>
      </x:c>
      <x:c r="C39" s="13" t="str">
        <x:v>StPO</x:v>
      </x:c>
      <x:c r="D39" s="13" t="str">
        <x:v>SZ-RTG-ALL</x:v>
      </x:c>
      <x:c r="E39" s="14" t="str">
        <x:v>Zuordnung bestimmt</x:v>
      </x:c>
      <x:c r="F39" s="13" t="str">
        <x:v>Verwenden
SZ-RTG-ALL</x:v>
      </x:c>
      <x:c r="G39" s="13" t="str">
        <x:v>Rechtlich massgebender Partei- / Vertretungsort</x:v>
      </x:c>
      <x:c r="H39" s="13" t="str">
        <x:v>Öffentlicher Feiertag</x:v>
      </x:c>
      <x:c r="I39" s="13" t="str">
        <x:v>Kantonal anerkannte Grundliste am rechtlich massgebenden Ort. Übernahme im Umfang von DEC-2026-028. AP18-/MVP-0.6-Quellenstand wiederverwendet, keine vollständige neue Quellenrevision behauptet.</x:v>
      </x:c>
      <x:c r="J39" s="13" t="str">
        <x:v>SRC-SZ-RTG-545110-20180701
AP22-STPO</x:v>
      </x:c>
      <x:c r="K39" s="13" t="str">
        <x:v>SRSZ 545.110, § 2 Abs. 1 und 2 | Art. 89 Abs. 2 und Art. 90 Abs. 2</x:v>
      </x:c>
      <x:c r="L39" s="13" t="str">
        <x:v>Erfasste Regelgültigkeiten 2026-01-01 bis offen. Kein neuer Berechnungszeitraum freigegeben.</x:v>
      </x:c>
      <x:c r="M39" s="13" t="str">
        <x:v>Fachliche Freigabe DEC-2026-028. Quellenherkunft gemäss Blatt Quellen.</x:v>
      </x:c>
      <x:c r="N39" s="13" t="str">
        <x:v>Fachliche Freigabe DEC-2026-028 erteilt. Keine technische Aktivierung.</x:v>
      </x:c>
      <x:c r="O39" s="15"/>
    </x:row>
    <x:row r="40" ht="72" customHeight="1">
      <x:c r="A40" s="14" t="str">
        <x:v>AP22-SZ-RTG-ALL-ZPO</x:v>
      </x:c>
      <x:c r="B40" s="14" t="str">
        <x:v>Schwyz</x:v>
      </x:c>
      <x:c r="C40" s="14" t="str">
        <x:v>ZPO</x:v>
      </x:c>
      <x:c r="D40" s="14" t="str">
        <x:v>SZ-RTG-ALL</x:v>
      </x:c>
      <x:c r="E40" s="14" t="str">
        <x:v>Zuordnung bestimmt</x:v>
      </x:c>
      <x:c r="F40" s="14" t="str">
        <x:v>Verwenden
SZ-RTG-ALL</x:v>
      </x:c>
      <x:c r="G40" s="14" t="str">
        <x:v>Gerichtsort</x:v>
      </x:c>
      <x:c r="H40" s="14" t="str">
        <x:v>Öffentlicher Feiertag</x:v>
      </x:c>
      <x:c r="I40" s="14" t="str">
        <x:v>Kantonal anerkannte Grundliste am rechtlich massgebenden Ort. Übernahme im Umfang von DEC-2026-028. AP18-/MVP-0.6-Quellenstand wiederverwendet, keine vollständige neue Quellenrevision behauptet.</x:v>
      </x:c>
      <x:c r="J40" s="14" t="str">
        <x:v>SRC-SZ-RTG-545110-20180701
AP22-ZPO</x:v>
      </x:c>
      <x:c r="K40" s="14" t="str">
        <x:v>SRSZ 545.110, § 2 Abs. 1 und 2 | Art. 142 Abs. 1bis und 3, Art. 145</x:v>
      </x:c>
      <x:c r="L40" s="14" t="str">
        <x:v>Erfasste Regelgültigkeiten 2026-01-01 bis offen. Kein neuer Berechnungszeitraum freigegeben.</x:v>
      </x:c>
      <x:c r="M40" s="14" t="str">
        <x:v>Fachliche Freigabe DEC-2026-028. Quellenherkunft gemäss Blatt Quellen.</x:v>
      </x:c>
      <x:c r="N40" s="14" t="str">
        <x:v>Fachliche Freigabe DEC-2026-028 erteilt. Keine technische Aktivierung.</x:v>
      </x:c>
      <x:c r="O40" s="15"/>
    </x:row>
    <x:row r="41" ht="72" customHeight="1">
      <x:c r="A41" s="13" t="str">
        <x:v>AP22-SZ-RTG-ALL-BGG</x:v>
      </x:c>
      <x:c r="B41" s="13" t="str">
        <x:v>Schwyz</x:v>
      </x:c>
      <x:c r="C41" s="13" t="str">
        <x:v>BGG</x:v>
      </x:c>
      <x:c r="D41" s="13" t="str">
        <x:v>SZ-RTG-ALL</x:v>
      </x:c>
      <x:c r="E41" s="14" t="str">
        <x:v>Zuordnung bestimmt</x:v>
      </x:c>
      <x:c r="F41" s="13" t="str">
        <x:v>Verwenden
SZ-RTG-ALL</x:v>
      </x:c>
      <x:c r="G41" s="13" t="str">
        <x:v>Rechtlich massgebender Partei- / Vertretungsort</x:v>
      </x:c>
      <x:c r="H41" s="13" t="str">
        <x:v>Öffentlicher Feiertag</x:v>
      </x:c>
      <x:c r="I41" s="13" t="str">
        <x:v>Kantonal anerkannte Grundliste am rechtlich massgebenden Ort. Übernahme im Umfang von DEC-2026-028. AP18-/MVP-0.6-Quellenstand wiederverwendet, keine vollständige neue Quellenrevision behauptet.</x:v>
      </x:c>
      <x:c r="J41" s="13" t="str">
        <x:v>SRC-SZ-RTG-545110-20180701
AP22-BGG</x:v>
      </x:c>
      <x:c r="K41" s="13" t="str">
        <x:v>SRSZ 545.110, § 2 Abs. 1 und 2 | Art. 45 und 46</x:v>
      </x:c>
      <x:c r="L41" s="13" t="str">
        <x:v>Erfasste Regelgültigkeiten 2026-01-01 bis offen. Kein neuer Berechnungszeitraum freigegeben.</x:v>
      </x:c>
      <x:c r="M41" s="13" t="str">
        <x:v>Fachliche Freigabe DEC-2026-028. Quellenherkunft gemäss Blatt Quellen.</x:v>
      </x:c>
      <x:c r="N41" s="13" t="str">
        <x:v>Fachliche Freigabe DEC-2026-028 erteilt. Keine technische Aktivierung.</x:v>
      </x:c>
      <x:c r="O41" s="15"/>
    </x:row>
    <x:row r="42" ht="72" customHeight="1">
      <x:c r="A42" s="14" t="str">
        <x:v>AP22-SZ-RTG-ALL-VWVG</x:v>
      </x:c>
      <x:c r="B42" s="14" t="str">
        <x:v>Schwyz</x:v>
      </x:c>
      <x:c r="C42" s="14" t="str">
        <x:v>VwVG</x:v>
      </x:c>
      <x:c r="D42" s="14" t="str">
        <x:v>SZ-RTG-ALL</x:v>
      </x:c>
      <x:c r="E42" s="14" t="str">
        <x:v>Zuordnung bestimmt</x:v>
      </x:c>
      <x:c r="F42" s="14" t="str">
        <x:v>Verwenden
SZ-RTG-ALL</x:v>
      </x:c>
      <x:c r="G42" s="14" t="str">
        <x:v>Rechtlich massgebender Partei- / Vertretungsort</x:v>
      </x:c>
      <x:c r="H42" s="14" t="str">
        <x:v>Öffentlicher Feiertag</x:v>
      </x:c>
      <x:c r="I42" s="14" t="str">
        <x:v>Kantonal anerkannte Grundliste am rechtlich massgebenden Ort. Übernahme im Umfang von DEC-2026-028. AP18-/MVP-0.6-Quellenstand wiederverwendet, keine vollständige neue Quellenrevision behauptet.</x:v>
      </x:c>
      <x:c r="J42" s="14" t="str">
        <x:v>SRC-SZ-RTG-545110-20180701
AP22-VWVG</x:v>
      </x:c>
      <x:c r="K42" s="14" t="str">
        <x:v>SRSZ 545.110, § 2 Abs. 1 und 2 | Art. 20 Abs. 3 und Art. 22a</x:v>
      </x:c>
      <x:c r="L42" s="14" t="str">
        <x:v>Erfasste Regelgültigkeiten 2026-01-01 bis offen. Kein neuer Berechnungszeitraum freigegeben.</x:v>
      </x:c>
      <x:c r="M42" s="14" t="str">
        <x:v>Fachliche Freigabe DEC-2026-028. Quellenherkunft gemäss Blatt Quellen.</x:v>
      </x:c>
      <x:c r="N42" s="14" t="str">
        <x:v>Fachliche Freigabe DEC-2026-028 erteilt. Keine technische Aktivierung.</x:v>
      </x:c>
      <x:c r="O42" s="15"/>
    </x:row>
    <x:row r="43" ht="72" customHeight="1">
      <x:c r="A43" s="13" t="str">
        <x:v>AP22-OW-RTG-ALL-STPO</x:v>
      </x:c>
      <x:c r="B43" s="13" t="str">
        <x:v>Obwalden</x:v>
      </x:c>
      <x:c r="C43" s="13" t="str">
        <x:v>StPO</x:v>
      </x:c>
      <x:c r="D43" s="13" t="str">
        <x:v>OW-RTG-ALL</x:v>
      </x:c>
      <x:c r="E43" s="14" t="str">
        <x:v>Zuordnung bestimmt</x:v>
      </x:c>
      <x:c r="F43" s="13" t="str">
        <x:v>Verwenden
OW-RTG-ALL</x:v>
      </x:c>
      <x:c r="G43" s="13" t="str">
        <x:v>Rechtlich massgebender Partei- / Vertretungsort</x:v>
      </x:c>
      <x:c r="H43" s="13" t="str">
        <x:v>Öffentlicher Feiertag</x:v>
      </x:c>
      <x:c r="I43" s="13" t="str">
        <x:v>Kantonal anerkannte Grundliste am rechtlich massgebenden Ort. Übernahme im Umfang von DEC-2026-028. AP18-/MVP-0.6-Quellenstand wiederverwendet, keine vollständige neue Quellenrevision behauptet.</x:v>
      </x:c>
      <x:c r="J43" s="13" t="str">
        <x:v>SRC-OW-RTG-9752-20090801
AP22-STPO</x:v>
      </x:c>
      <x:c r="K43" s="13" t="str">
        <x:v>GDB 975.2, Art. 2 Abs. 1–3 | Art. 89 Abs. 2 und Art. 90 Abs. 2</x:v>
      </x:c>
      <x:c r="L43" s="13" t="str">
        <x:v>Erfasste Regelgültigkeiten 2026-01-01 bis offen. Kein neuer Berechnungszeitraum freigegeben.</x:v>
      </x:c>
      <x:c r="M43" s="13" t="str">
        <x:v>Fachliche Freigabe DEC-2026-028. Quellenherkunft gemäss Blatt Quellen.</x:v>
      </x:c>
      <x:c r="N43" s="13" t="str">
        <x:v>Fachliche Freigabe DEC-2026-028 erteilt. Keine technische Aktivierung.</x:v>
      </x:c>
      <x:c r="O43" s="15"/>
    </x:row>
    <x:row r="44" ht="72" customHeight="1">
      <x:c r="A44" s="14" t="str">
        <x:v>AP22-OW-RTG-ALL-ZPO</x:v>
      </x:c>
      <x:c r="B44" s="14" t="str">
        <x:v>Obwalden</x:v>
      </x:c>
      <x:c r="C44" s="14" t="str">
        <x:v>ZPO</x:v>
      </x:c>
      <x:c r="D44" s="14" t="str">
        <x:v>OW-RTG-ALL</x:v>
      </x:c>
      <x:c r="E44" s="14" t="str">
        <x:v>Zuordnung bestimmt</x:v>
      </x:c>
      <x:c r="F44" s="14" t="str">
        <x:v>Verwenden
OW-RTG-ALL</x:v>
      </x:c>
      <x:c r="G44" s="14" t="str">
        <x:v>Gerichtsort</x:v>
      </x:c>
      <x:c r="H44" s="14" t="str">
        <x:v>Öffentlicher Feiertag</x:v>
      </x:c>
      <x:c r="I44" s="14" t="str">
        <x:v>Kantonal anerkannte Grundliste am rechtlich massgebenden Ort. Übernahme im Umfang von DEC-2026-028. AP18-/MVP-0.6-Quellenstand wiederverwendet, keine vollständige neue Quellenrevision behauptet.</x:v>
      </x:c>
      <x:c r="J44" s="14" t="str">
        <x:v>SRC-OW-RTG-9752-20090801
AP22-ZPO</x:v>
      </x:c>
      <x:c r="K44" s="14" t="str">
        <x:v>GDB 975.2, Art. 2 Abs. 1–3 | Art. 142 Abs. 1bis und 3, Art. 145</x:v>
      </x:c>
      <x:c r="L44" s="14" t="str">
        <x:v>Erfasste Regelgültigkeiten 2026-01-01 bis offen. Kein neuer Berechnungszeitraum freigegeben.</x:v>
      </x:c>
      <x:c r="M44" s="14" t="str">
        <x:v>Fachliche Freigabe DEC-2026-028. Quellenherkunft gemäss Blatt Quellen.</x:v>
      </x:c>
      <x:c r="N44" s="14" t="str">
        <x:v>Fachliche Freigabe DEC-2026-028 erteilt. Keine technische Aktivierung.</x:v>
      </x:c>
      <x:c r="O44" s="15"/>
    </x:row>
    <x:row r="45" ht="72" customHeight="1">
      <x:c r="A45" s="13" t="str">
        <x:v>AP22-OW-RTG-ALL-BGG</x:v>
      </x:c>
      <x:c r="B45" s="13" t="str">
        <x:v>Obwalden</x:v>
      </x:c>
      <x:c r="C45" s="13" t="str">
        <x:v>BGG</x:v>
      </x:c>
      <x:c r="D45" s="13" t="str">
        <x:v>OW-RTG-ALL</x:v>
      </x:c>
      <x:c r="E45" s="14" t="str">
        <x:v>Zuordnung bestimmt</x:v>
      </x:c>
      <x:c r="F45" s="13" t="str">
        <x:v>Verwenden
OW-RTG-ALL</x:v>
      </x:c>
      <x:c r="G45" s="13" t="str">
        <x:v>Rechtlich massgebender Partei- / Vertretungsort</x:v>
      </x:c>
      <x:c r="H45" s="13" t="str">
        <x:v>Öffentlicher Feiertag</x:v>
      </x:c>
      <x:c r="I45" s="13" t="str">
        <x:v>Kantonal anerkannte Grundliste am rechtlich massgebenden Ort. Übernahme im Umfang von DEC-2026-028. AP18-/MVP-0.6-Quellenstand wiederverwendet, keine vollständige neue Quellenrevision behauptet.</x:v>
      </x:c>
      <x:c r="J45" s="13" t="str">
        <x:v>SRC-OW-RTG-9752-20090801
AP22-BGG</x:v>
      </x:c>
      <x:c r="K45" s="13" t="str">
        <x:v>GDB 975.2, Art. 2 Abs. 1–3 | Art. 45 und 46</x:v>
      </x:c>
      <x:c r="L45" s="13" t="str">
        <x:v>Erfasste Regelgültigkeiten 2026-01-01 bis offen. Kein neuer Berechnungszeitraum freigegeben.</x:v>
      </x:c>
      <x:c r="M45" s="13" t="str">
        <x:v>Fachliche Freigabe DEC-2026-028. Quellenherkunft gemäss Blatt Quellen.</x:v>
      </x:c>
      <x:c r="N45" s="13" t="str">
        <x:v>Fachliche Freigabe DEC-2026-028 erteilt. Keine technische Aktivierung.</x:v>
      </x:c>
      <x:c r="O45" s="15"/>
    </x:row>
    <x:row r="46" ht="72" customHeight="1">
      <x:c r="A46" s="14" t="str">
        <x:v>AP22-OW-RTG-ALL-VWVG</x:v>
      </x:c>
      <x:c r="B46" s="14" t="str">
        <x:v>Obwalden</x:v>
      </x:c>
      <x:c r="C46" s="14" t="str">
        <x:v>VwVG</x:v>
      </x:c>
      <x:c r="D46" s="14" t="str">
        <x:v>OW-RTG-ALL</x:v>
      </x:c>
      <x:c r="E46" s="14" t="str">
        <x:v>Zuordnung bestimmt</x:v>
      </x:c>
      <x:c r="F46" s="14" t="str">
        <x:v>Verwenden
OW-RTG-ALL</x:v>
      </x:c>
      <x:c r="G46" s="14" t="str">
        <x:v>Rechtlich massgebender Partei- / Vertretungsort</x:v>
      </x:c>
      <x:c r="H46" s="14" t="str">
        <x:v>Öffentlicher Feiertag</x:v>
      </x:c>
      <x:c r="I46" s="14" t="str">
        <x:v>Kantonal anerkannte Grundliste am rechtlich massgebenden Ort. Übernahme im Umfang von DEC-2026-028. AP18-/MVP-0.6-Quellenstand wiederverwendet, keine vollständige neue Quellenrevision behauptet.</x:v>
      </x:c>
      <x:c r="J46" s="14" t="str">
        <x:v>SRC-OW-RTG-9752-20090801
AP22-VWVG</x:v>
      </x:c>
      <x:c r="K46" s="14" t="str">
        <x:v>GDB 975.2, Art. 2 Abs. 1–3 | Art. 20 Abs. 3 und Art. 22a</x:v>
      </x:c>
      <x:c r="L46" s="14" t="str">
        <x:v>Erfasste Regelgültigkeiten 2026-01-01 bis offen. Kein neuer Berechnungszeitraum freigegeben.</x:v>
      </x:c>
      <x:c r="M46" s="14" t="str">
        <x:v>Fachliche Freigabe DEC-2026-028. Quellenherkunft gemäss Blatt Quellen.</x:v>
      </x:c>
      <x:c r="N46" s="14" t="str">
        <x:v>Fachliche Freigabe DEC-2026-028 erteilt. Keine technische Aktivierung.</x:v>
      </x:c>
      <x:c r="O46" s="15"/>
    </x:row>
    <x:row r="47" ht="72" customHeight="1">
      <x:c r="A47" s="13" t="str">
        <x:v>AP22-NW-RTG-ALL-STPO</x:v>
      </x:c>
      <x:c r="B47" s="13" t="str">
        <x:v>Nidwalden</x:v>
      </x:c>
      <x:c r="C47" s="13" t="str">
        <x:v>StPO</x:v>
      </x:c>
      <x:c r="D47" s="13" t="str">
        <x:v>NW-RTG-ALL</x:v>
      </x:c>
      <x:c r="E47" s="14" t="str">
        <x:v>Zuordnung bestimmt</x:v>
      </x:c>
      <x:c r="F47" s="13" t="str">
        <x:v>Verwenden
NW-RTG-ALL</x:v>
      </x:c>
      <x:c r="G47" s="13" t="str">
        <x:v>Rechtlich massgebender Partei- / Vertretungsort</x:v>
      </x:c>
      <x:c r="H47" s="13" t="str">
        <x:v>Öffentlicher Feiertag</x:v>
      </x:c>
      <x:c r="I47" s="13" t="str">
        <x:v>Kantonal anerkannte Grundliste am rechtlich massgebenden Ort. Übernahme im Umfang von DEC-2026-028. AP18-/MVP-0.6-Quellenstand wiederverwendet, keine vollständige neue Quellenrevision behauptet.</x:v>
      </x:c>
      <x:c r="J47" s="13" t="str">
        <x:v>SRC-NW-RTG-9211-20160101
AP22-STPO</x:v>
      </x:c>
      <x:c r="K47" s="13" t="str">
        <x:v>NG 921.1, Art. 2 Abs. 1 und 2 | Art. 89 Abs. 2 und Art. 90 Abs. 2</x:v>
      </x:c>
      <x:c r="L47" s="13" t="str">
        <x:v>Erfasste Regelgültigkeiten 2026-01-01 bis offen. Kein neuer Berechnungszeitraum freigegeben.</x:v>
      </x:c>
      <x:c r="M47" s="13" t="str">
        <x:v>Fachliche Freigabe DEC-2026-028. Quellenherkunft gemäss Blatt Quellen.</x:v>
      </x:c>
      <x:c r="N47" s="13" t="str">
        <x:v>Fachliche Freigabe DEC-2026-028 erteilt. Keine technische Aktivierung.</x:v>
      </x:c>
      <x:c r="O47" s="15"/>
    </x:row>
    <x:row r="48" ht="72" customHeight="1">
      <x:c r="A48" s="14" t="str">
        <x:v>AP22-NW-RTG-ALL-ZPO</x:v>
      </x:c>
      <x:c r="B48" s="14" t="str">
        <x:v>Nidwalden</x:v>
      </x:c>
      <x:c r="C48" s="14" t="str">
        <x:v>ZPO</x:v>
      </x:c>
      <x:c r="D48" s="14" t="str">
        <x:v>NW-RTG-ALL</x:v>
      </x:c>
      <x:c r="E48" s="14" t="str">
        <x:v>Zuordnung bestimmt</x:v>
      </x:c>
      <x:c r="F48" s="14" t="str">
        <x:v>Verwenden
NW-RTG-ALL</x:v>
      </x:c>
      <x:c r="G48" s="14" t="str">
        <x:v>Gerichtsort</x:v>
      </x:c>
      <x:c r="H48" s="14" t="str">
        <x:v>Öffentlicher Feiertag</x:v>
      </x:c>
      <x:c r="I48" s="14" t="str">
        <x:v>Kantonal anerkannte Grundliste am rechtlich massgebenden Ort. Übernahme im Umfang von DEC-2026-028. AP18-/MVP-0.6-Quellenstand wiederverwendet, keine vollständige neue Quellenrevision behauptet.</x:v>
      </x:c>
      <x:c r="J48" s="14" t="str">
        <x:v>SRC-NW-RTG-9211-20160101
AP22-ZPO</x:v>
      </x:c>
      <x:c r="K48" s="14" t="str">
        <x:v>NG 921.1, Art. 2 Abs. 1 und 2 | Art. 142 Abs. 1bis und 3, Art. 145</x:v>
      </x:c>
      <x:c r="L48" s="14" t="str">
        <x:v>Erfasste Regelgültigkeiten 2026-01-01 bis offen. Kein neuer Berechnungszeitraum freigegeben.</x:v>
      </x:c>
      <x:c r="M48" s="14" t="str">
        <x:v>Fachliche Freigabe DEC-2026-028. Quellenherkunft gemäss Blatt Quellen.</x:v>
      </x:c>
      <x:c r="N48" s="14" t="str">
        <x:v>Fachliche Freigabe DEC-2026-028 erteilt. Keine technische Aktivierung.</x:v>
      </x:c>
      <x:c r="O48" s="15"/>
    </x:row>
    <x:row r="49" ht="72" customHeight="1">
      <x:c r="A49" s="13" t="str">
        <x:v>AP22-NW-RTG-ALL-BGG</x:v>
      </x:c>
      <x:c r="B49" s="13" t="str">
        <x:v>Nidwalden</x:v>
      </x:c>
      <x:c r="C49" s="13" t="str">
        <x:v>BGG</x:v>
      </x:c>
      <x:c r="D49" s="13" t="str">
        <x:v>NW-RTG-ALL</x:v>
      </x:c>
      <x:c r="E49" s="14" t="str">
        <x:v>Zuordnung bestimmt</x:v>
      </x:c>
      <x:c r="F49" s="13" t="str">
        <x:v>Verwenden
NW-RTG-ALL</x:v>
      </x:c>
      <x:c r="G49" s="13" t="str">
        <x:v>Rechtlich massgebender Partei- / Vertretungsort</x:v>
      </x:c>
      <x:c r="H49" s="13" t="str">
        <x:v>Öffentlicher Feiertag</x:v>
      </x:c>
      <x:c r="I49" s="13" t="str">
        <x:v>Kantonal anerkannte Grundliste am rechtlich massgebenden Ort. Übernahme im Umfang von DEC-2026-028. AP18-/MVP-0.6-Quellenstand wiederverwendet, keine vollständige neue Quellenrevision behauptet.</x:v>
      </x:c>
      <x:c r="J49" s="13" t="str">
        <x:v>SRC-NW-RTG-9211-20160101
AP22-BGG</x:v>
      </x:c>
      <x:c r="K49" s="13" t="str">
        <x:v>NG 921.1, Art. 2 Abs. 1 und 2 | Art. 45 und 46</x:v>
      </x:c>
      <x:c r="L49" s="13" t="str">
        <x:v>Erfasste Regelgültigkeiten 2026-01-01 bis offen. Kein neuer Berechnungszeitraum freigegeben.</x:v>
      </x:c>
      <x:c r="M49" s="13" t="str">
        <x:v>Fachliche Freigabe DEC-2026-028. Quellenherkunft gemäss Blatt Quellen.</x:v>
      </x:c>
      <x:c r="N49" s="13" t="str">
        <x:v>Fachliche Freigabe DEC-2026-028 erteilt. Keine technische Aktivierung.</x:v>
      </x:c>
      <x:c r="O49" s="15"/>
    </x:row>
    <x:row r="50" ht="72" customHeight="1">
      <x:c r="A50" s="14" t="str">
        <x:v>AP22-NW-RTG-ALL-VWVG</x:v>
      </x:c>
      <x:c r="B50" s="14" t="str">
        <x:v>Nidwalden</x:v>
      </x:c>
      <x:c r="C50" s="14" t="str">
        <x:v>VwVG</x:v>
      </x:c>
      <x:c r="D50" s="14" t="str">
        <x:v>NW-RTG-ALL</x:v>
      </x:c>
      <x:c r="E50" s="14" t="str">
        <x:v>Zuordnung bestimmt</x:v>
      </x:c>
      <x:c r="F50" s="14" t="str">
        <x:v>Verwenden
NW-RTG-ALL</x:v>
      </x:c>
      <x:c r="G50" s="14" t="str">
        <x:v>Rechtlich massgebender Partei- / Vertretungsort</x:v>
      </x:c>
      <x:c r="H50" s="14" t="str">
        <x:v>Öffentlicher Feiertag</x:v>
      </x:c>
      <x:c r="I50" s="14" t="str">
        <x:v>Kantonal anerkannte Grundliste am rechtlich massgebenden Ort. Übernahme im Umfang von DEC-2026-028. AP18-/MVP-0.6-Quellenstand wiederverwendet, keine vollständige neue Quellenrevision behauptet.</x:v>
      </x:c>
      <x:c r="J50" s="14" t="str">
        <x:v>SRC-NW-RTG-9211-20160101
AP22-VWVG</x:v>
      </x:c>
      <x:c r="K50" s="14" t="str">
        <x:v>NG 921.1, Art. 2 Abs. 1 und 2 | Art. 20 Abs. 3 und Art. 22a</x:v>
      </x:c>
      <x:c r="L50" s="14" t="str">
        <x:v>Erfasste Regelgültigkeiten 2026-01-01 bis offen. Kein neuer Berechnungszeitraum freigegeben.</x:v>
      </x:c>
      <x:c r="M50" s="14" t="str">
        <x:v>Fachliche Freigabe DEC-2026-028. Quellenherkunft gemäss Blatt Quellen.</x:v>
      </x:c>
      <x:c r="N50" s="14" t="str">
        <x:v>Fachliche Freigabe DEC-2026-028 erteilt. Keine technische Aktivierung.</x:v>
      </x:c>
      <x:c r="O50" s="15"/>
    </x:row>
    <x:row r="51" ht="72" customHeight="1">
      <x:c r="A51" s="13" t="str">
        <x:v>AP22-GL-RTG-ALL-STPO</x:v>
      </x:c>
      <x:c r="B51" s="13" t="str">
        <x:v>Glarus</x:v>
      </x:c>
      <x:c r="C51" s="13" t="str">
        <x:v>StPO</x:v>
      </x:c>
      <x:c r="D51" s="13" t="str">
        <x:v>GL-RTG-ALL</x:v>
      </x:c>
      <x:c r="E51" s="14" t="str">
        <x:v>Zuordnung bestimmt</x:v>
      </x:c>
      <x:c r="F51" s="13" t="str">
        <x:v>Verwenden
GL-RTG-ALL</x:v>
      </x:c>
      <x:c r="G51" s="13" t="str">
        <x:v>Rechtlich massgebender Partei- / Vertretungsort</x:v>
      </x:c>
      <x:c r="H51" s="13" t="str">
        <x:v>Öffentlicher Feiertag</x:v>
      </x:c>
      <x:c r="I51" s="13" t="str">
        <x:v>Kantonal anerkannte Grundliste am rechtlich massgebenden Ort. Übernahme im Umfang von DEC-2026-028. AP18-/MVP-0.6-Quellenstand wiederverwendet, keine vollständige neue Quellenrevision behauptet. Näfelser Fahrt mit bereits abgenommener Karwochenverschiebung.</x:v>
      </x:c>
      <x:c r="J51" s="13" t="str">
        <x:v>SRC-GL-RTG-IXB211-20190701
AP22-STPO</x:v>
      </x:c>
      <x:c r="K51" s="13" t="str">
        <x:v>GS IX B/21/1, Art. 2 Abs. 1 und 5 / Art. 7 | Art. 89 Abs. 2 und Art. 90 Abs. 2</x:v>
      </x:c>
      <x:c r="L51" s="13" t="str">
        <x:v>Erfasste Regelgültigkeiten 2026-01-01 bis offen. Kein neuer Berechnungszeitraum freigegeben.</x:v>
      </x:c>
      <x:c r="M51" s="13" t="str">
        <x:v>Fachliche Freigabe DEC-2026-028. Quellenherkunft gemäss Blatt Quellen.</x:v>
      </x:c>
      <x:c r="N51" s="13" t="str">
        <x:v>Fachliche Freigabe DEC-2026-028 erteilt. Keine technische Aktivierung.</x:v>
      </x:c>
      <x:c r="O51" s="15"/>
    </x:row>
    <x:row r="52" ht="72" customHeight="1">
      <x:c r="A52" s="14" t="str">
        <x:v>AP22-GL-RTG-ALL-ZPO</x:v>
      </x:c>
      <x:c r="B52" s="14" t="str">
        <x:v>Glarus</x:v>
      </x:c>
      <x:c r="C52" s="14" t="str">
        <x:v>ZPO</x:v>
      </x:c>
      <x:c r="D52" s="14" t="str">
        <x:v>GL-RTG-ALL</x:v>
      </x:c>
      <x:c r="E52" s="14" t="str">
        <x:v>Zuordnung bestimmt</x:v>
      </x:c>
      <x:c r="F52" s="14" t="str">
        <x:v>Verwenden
GL-RTG-ALL</x:v>
      </x:c>
      <x:c r="G52" s="14" t="str">
        <x:v>Gerichtsort</x:v>
      </x:c>
      <x:c r="H52" s="14" t="str">
        <x:v>Öffentlicher Feiertag</x:v>
      </x:c>
      <x:c r="I52" s="14" t="str">
        <x:v>Kantonal anerkannte Grundliste am rechtlich massgebenden Ort. Übernahme im Umfang von DEC-2026-028. AP18-/MVP-0.6-Quellenstand wiederverwendet, keine vollständige neue Quellenrevision behauptet. Näfelser Fahrt mit bereits abgenommener Karwochenverschiebung.</x:v>
      </x:c>
      <x:c r="J52" s="14" t="str">
        <x:v>SRC-GL-RTG-IXB211-20190701
AP22-ZPO</x:v>
      </x:c>
      <x:c r="K52" s="14" t="str">
        <x:v>GS IX B/21/1, Art. 2 Abs. 1 und 5 / Art. 7 | Art. 142 Abs. 1bis und 3, Art. 145</x:v>
      </x:c>
      <x:c r="L52" s="14" t="str">
        <x:v>Erfasste Regelgültigkeiten 2026-01-01 bis offen. Kein neuer Berechnungszeitraum freigegeben.</x:v>
      </x:c>
      <x:c r="M52" s="14" t="str">
        <x:v>Fachliche Freigabe DEC-2026-028. Quellenherkunft gemäss Blatt Quellen.</x:v>
      </x:c>
      <x:c r="N52" s="14" t="str">
        <x:v>Fachliche Freigabe DEC-2026-028 erteilt. Keine technische Aktivierung.</x:v>
      </x:c>
      <x:c r="O52" s="15"/>
    </x:row>
    <x:row r="53" ht="72" customHeight="1">
      <x:c r="A53" s="13" t="str">
        <x:v>AP22-GL-RTG-ALL-BGG</x:v>
      </x:c>
      <x:c r="B53" s="13" t="str">
        <x:v>Glarus</x:v>
      </x:c>
      <x:c r="C53" s="13" t="str">
        <x:v>BGG</x:v>
      </x:c>
      <x:c r="D53" s="13" t="str">
        <x:v>GL-RTG-ALL</x:v>
      </x:c>
      <x:c r="E53" s="14" t="str">
        <x:v>Zuordnung bestimmt</x:v>
      </x:c>
      <x:c r="F53" s="13" t="str">
        <x:v>Verwenden
GL-RTG-ALL</x:v>
      </x:c>
      <x:c r="G53" s="13" t="str">
        <x:v>Rechtlich massgebender Partei- / Vertretungsort</x:v>
      </x:c>
      <x:c r="H53" s="13" t="str">
        <x:v>Öffentlicher Feiertag</x:v>
      </x:c>
      <x:c r="I53" s="13" t="str">
        <x:v>Kantonal anerkannte Grundliste am rechtlich massgebenden Ort. Übernahme im Umfang von DEC-2026-028. AP18-/MVP-0.6-Quellenstand wiederverwendet, keine vollständige neue Quellenrevision behauptet. Näfelser Fahrt mit bereits abgenommener Karwochenverschiebung.</x:v>
      </x:c>
      <x:c r="J53" s="13" t="str">
        <x:v>SRC-GL-RTG-IXB211-20190701
AP22-BGG</x:v>
      </x:c>
      <x:c r="K53" s="13" t="str">
        <x:v>GS IX B/21/1, Art. 2 Abs. 1 und 5 / Art. 7 | Art. 45 und 46</x:v>
      </x:c>
      <x:c r="L53" s="13" t="str">
        <x:v>Erfasste Regelgültigkeiten 2026-01-01 bis offen. Kein neuer Berechnungszeitraum freigegeben.</x:v>
      </x:c>
      <x:c r="M53" s="13" t="str">
        <x:v>Fachliche Freigabe DEC-2026-028. Quellenherkunft gemäss Blatt Quellen.</x:v>
      </x:c>
      <x:c r="N53" s="13" t="str">
        <x:v>Fachliche Freigabe DEC-2026-028 erteilt. Keine technische Aktivierung.</x:v>
      </x:c>
      <x:c r="O53" s="15"/>
    </x:row>
    <x:row r="54" ht="72" customHeight="1">
      <x:c r="A54" s="14" t="str">
        <x:v>AP22-GL-RTG-ALL-VWVG</x:v>
      </x:c>
      <x:c r="B54" s="14" t="str">
        <x:v>Glarus</x:v>
      </x:c>
      <x:c r="C54" s="14" t="str">
        <x:v>VwVG</x:v>
      </x:c>
      <x:c r="D54" s="14" t="str">
        <x:v>GL-RTG-ALL</x:v>
      </x:c>
      <x:c r="E54" s="14" t="str">
        <x:v>Zuordnung bestimmt</x:v>
      </x:c>
      <x:c r="F54" s="14" t="str">
        <x:v>Verwenden
GL-RTG-ALL</x:v>
      </x:c>
      <x:c r="G54" s="14" t="str">
        <x:v>Rechtlich massgebender Partei- / Vertretungsort</x:v>
      </x:c>
      <x:c r="H54" s="14" t="str">
        <x:v>Öffentlicher Feiertag</x:v>
      </x:c>
      <x:c r="I54" s="14" t="str">
        <x:v>Kantonal anerkannte Grundliste am rechtlich massgebenden Ort. Übernahme im Umfang von DEC-2026-028. AP18-/MVP-0.6-Quellenstand wiederverwendet, keine vollständige neue Quellenrevision behauptet. Näfelser Fahrt mit bereits abgenommener Karwochenverschiebung.</x:v>
      </x:c>
      <x:c r="J54" s="14" t="str">
        <x:v>SRC-GL-RTG-IXB211-20190701
AP22-VWVG</x:v>
      </x:c>
      <x:c r="K54" s="14" t="str">
        <x:v>GS IX B/21/1, Art. 2 Abs. 1 und 5 / Art. 7 | Art. 20 Abs. 3 und Art. 22a</x:v>
      </x:c>
      <x:c r="L54" s="14" t="str">
        <x:v>Erfasste Regelgültigkeiten 2026-01-01 bis offen. Kein neuer Berechnungszeitraum freigegeben.</x:v>
      </x:c>
      <x:c r="M54" s="14" t="str">
        <x:v>Fachliche Freigabe DEC-2026-028. Quellenherkunft gemäss Blatt Quellen.</x:v>
      </x:c>
      <x:c r="N54" s="14" t="str">
        <x:v>Fachliche Freigabe DEC-2026-028 erteilt. Keine technische Aktivierung.</x:v>
      </x:c>
      <x:c r="O54" s="15"/>
    </x:row>
    <x:row r="55" ht="72" customHeight="1">
      <x:c r="A55" s="13" t="str">
        <x:v>AP22-ZG-RLG-ALL-STPO</x:v>
      </x:c>
      <x:c r="B55" s="13" t="str">
        <x:v>Zug</x:v>
      </x:c>
      <x:c r="C55" s="13" t="str">
        <x:v>StPO</x:v>
      </x:c>
      <x:c r="D55" s="13" t="str">
        <x:v>ZG-RLG-ALL</x:v>
      </x:c>
      <x:c r="E55" s="14" t="str">
        <x:v>Zuordnung bestimmt</x:v>
      </x:c>
      <x:c r="F55" s="13" t="str">
        <x:v>Ersetzen durch
ZG-VRG-ART10</x:v>
      </x:c>
      <x:c r="G55" s="13" t="str">
        <x:v>Rechtlich massgebender Partei- / Vertretungsort</x:v>
      </x:c>
      <x:c r="H55" s="13" t="str">
        <x:v>Öffentlicher Feiertag</x:v>
      </x:c>
      <x:c r="I55" s="13" t="str">
        <x:v>Diese allgemeine Grundliste bleibt als Katalogwissen erhalten. Operativ ist die vollständige, konkret belegte Prozessliste vorrangig. Keine zusätzliche Vereinigung und keine Doppelzählung.</x:v>
      </x:c>
      <x:c r="J55" s="13" t="str">
        <x:v>SRC-ZG-RLG-94231-20250822
AP22-STPO
AP22CLOSE-PROC-ZG-GOG
AP22CLOSE-PROC-ZG-VRG</x:v>
      </x:c>
      <x:c r="K55" s="13" t="str">
        <x:v>BGS 942.31, § 1 und § 5 Abs. 2 | Art. 89 Abs. 2 und Art. 90 Abs. 2 | BGS 161.1 §§ 1–2 und 10 Abs. 1 | BGS 162.1 § 1 Abs. 2 und § 10 Abs. 3–4</x:v>
      </x:c>
      <x:c r="L55" s="13" t="str">
        <x:v>Erfasste Regelgültigkeiten 2026-01-01 bis offen. Kein neuer Berechnungszeitraum freigegeben.</x:v>
      </x:c>
      <x:c r="M55" s="13" t="str">
        <x:v>Fachliche Freigabe DEC-2026-028. Quellenherkunft gemäss Blatt Quellen.</x:v>
      </x:c>
      <x:c r="N55" s="13" t="str">
        <x:v>Fachliche Freigabe DEC-2026-028 erteilt. Keine technische Aktivierung.</x:v>
      </x:c>
      <x:c r="O55" s="15"/>
    </x:row>
    <x:row r="56" ht="72" customHeight="1">
      <x:c r="A56" s="14" t="str">
        <x:v>AP22-ZG-RLG-ALL-ZPO</x:v>
      </x:c>
      <x:c r="B56" s="14" t="str">
        <x:v>Zug</x:v>
      </x:c>
      <x:c r="C56" s="14" t="str">
        <x:v>ZPO</x:v>
      </x:c>
      <x:c r="D56" s="14" t="str">
        <x:v>ZG-RLG-ALL</x:v>
      </x:c>
      <x:c r="E56" s="14" t="str">
        <x:v>Zuordnung bestimmt</x:v>
      </x:c>
      <x:c r="F56" s="14" t="str">
        <x:v>Ersetzen durch
ZG-VRG-ART10</x:v>
      </x:c>
      <x:c r="G56" s="14" t="str">
        <x:v>Gerichtsort</x:v>
      </x:c>
      <x:c r="H56" s="14" t="str">
        <x:v>Öffentlicher Feiertag</x:v>
      </x:c>
      <x:c r="I56" s="14" t="str">
        <x:v>Diese allgemeine Grundliste bleibt als Katalogwissen erhalten. Operativ ist die vollständige, konkret belegte Prozessliste vorrangig. Keine zusätzliche Vereinigung und keine Doppelzählung.</x:v>
      </x:c>
      <x:c r="J56" s="14" t="str">
        <x:v>SRC-ZG-RLG-94231-20250822
AP22-ZPO
AP22CLOSE-PROC-ZG-GOG
AP22CLOSE-PROC-ZG-VRG</x:v>
      </x:c>
      <x:c r="K56" s="14" t="str">
        <x:v>BGS 942.31, § 1 und § 5 Abs. 2 | Art. 142 Abs. 1bis und 3, Art. 145 | BGS 161.1 §§ 1–2 und 10 Abs. 1 | BGS 162.1 § 1 Abs. 2 und § 10 Abs. 3–4</x:v>
      </x:c>
      <x:c r="L56" s="14" t="str">
        <x:v>Erfasste Regelgültigkeiten 2026-01-01 bis offen. Kein neuer Berechnungszeitraum freigegeben.</x:v>
      </x:c>
      <x:c r="M56" s="14" t="str">
        <x:v>Fachliche Freigabe DEC-2026-028. Quellenherkunft gemäss Blatt Quellen.</x:v>
      </x:c>
      <x:c r="N56" s="14" t="str">
        <x:v>Fachliche Freigabe DEC-2026-028 erteilt. Keine technische Aktivierung.</x:v>
      </x:c>
      <x:c r="O56" s="15"/>
    </x:row>
    <x:row r="57" ht="86" customHeight="1">
      <x:c r="A57" s="13" t="str">
        <x:v>AP22-ZG-RLG-ALL-BGG</x:v>
      </x:c>
      <x:c r="B57" s="13" t="str">
        <x:v>Zug</x:v>
      </x:c>
      <x:c r="C57" s="13" t="str">
        <x:v>BGG</x:v>
      </x:c>
      <x:c r="D57" s="13" t="str">
        <x:v>ZG-RLG-ALL</x:v>
      </x:c>
      <x:c r="E57" s="14" t="str">
        <x:v>Zuordnung bestimmt</x:v>
      </x:c>
      <x:c r="F57" s="13" t="str">
        <x:v>Ersetzen durch
ZG-VRG-ART10</x:v>
      </x:c>
      <x:c r="G57" s="13" t="str">
        <x:v>Rechtlich massgebender Partei- / Vertretungsort</x:v>
      </x:c>
      <x:c r="H57" s="13" t="str">
        <x:v>Öffentlicher Feiertag</x:v>
      </x:c>
      <x:c r="I57" s="13" t="str">
        <x:v>Diese allgemeine Grundliste bleibt als Katalogwissen erhalten. Operativ ist die vollständige, konkret belegte Prozessliste vorrangig. Keine zusätzliche Vereinigung und keine Doppelzählung.</x:v>
      </x:c>
      <x:c r="J57" s="13" t="str">
        <x:v>SRC-ZG-RLG-94231-20250822
AP22-BGG
AP22CLOSE-PROC-ZG-GOG
AP22CLOSE-PROC-ZG-VRG
AP22CLOSE-PROC-BGG-TRANSFER</x:v>
      </x:c>
      <x:c r="K57" s="13" t="str">
        <x:v>BGS 942.31, § 1 und § 5 Abs. 2 | Art. 45 und 46 | BGS 161.1 §§ 1–2 und 10 Abs. 1 | BGS 162.1 § 1 Abs. 2 und § 10 Abs. 3–4 | E. 6.5</x:v>
      </x:c>
      <x:c r="L57" s="13" t="str">
        <x:v>Erfasste Regelgültigkeiten 2026-01-01 bis offen. Kein neuer Berechnungszeitraum freigegeben.</x:v>
      </x:c>
      <x:c r="M57" s="13" t="str">
        <x:v>Fachliche Freigabe DEC-2026-028. Quellenherkunft gemäss Blatt Quellen.</x:v>
      </x:c>
      <x:c r="N57" s="13" t="str">
        <x:v>Fachliche Freigabe DEC-2026-028 erteilt. Keine technische Aktivierung.</x:v>
      </x:c>
      <x:c r="O57" s="15"/>
    </x:row>
    <x:row r="58" ht="86" customHeight="1">
      <x:c r="A58" s="14" t="str">
        <x:v>AP22-ZG-RLG-ALL-VWVG</x:v>
      </x:c>
      <x:c r="B58" s="14" t="str">
        <x:v>Zug</x:v>
      </x:c>
      <x:c r="C58" s="14" t="str">
        <x:v>VwVG</x:v>
      </x:c>
      <x:c r="D58" s="14" t="str">
        <x:v>ZG-RLG-ALL</x:v>
      </x:c>
      <x:c r="E58" s="14" t="str">
        <x:v>Zuordnung bestimmt</x:v>
      </x:c>
      <x:c r="F58" s="14" t="str">
        <x:v>Ersetzen durch
ZG-VRG-ART10</x:v>
      </x:c>
      <x:c r="G58" s="14" t="str">
        <x:v>Rechtlich massgebender Partei- / Vertretungsort</x:v>
      </x:c>
      <x:c r="H58" s="14" t="str">
        <x:v>Öffentlicher Feiertag</x:v>
      </x:c>
      <x:c r="I58" s="14" t="str">
        <x:v>Diese allgemeine Grundliste bleibt als Katalogwissen erhalten. Operativ ist die vollständige, konkret belegte Prozessliste vorrangig. Keine zusätzliche Vereinigung und keine Doppelzählung.</x:v>
      </x:c>
      <x:c r="J58" s="14" t="str">
        <x:v>SRC-ZG-RLG-94231-20250822
AP22-VWVG
AP22CLOSE-PROC-ZG-GOG
AP22CLOSE-PROC-ZG-VRG
AP22CLOSE-PROC-BGG-TRANSFER</x:v>
      </x:c>
      <x:c r="K58" s="14" t="str">
        <x:v>BGS 942.31, § 1 und § 5 Abs. 2 | Art. 20 Abs. 3 und Art. 22a | BGS 161.1 §§ 1–2 und 10 Abs. 1 | BGS 162.1 § 1 Abs. 2 und § 10 Abs. 3–4 | E. 6.5</x:v>
      </x:c>
      <x:c r="L58" s="14" t="str">
        <x:v>Erfasste Regelgültigkeiten 2026-01-01 bis offen. Kein neuer Berechnungszeitraum freigegeben.</x:v>
      </x:c>
      <x:c r="M58" s="14" t="str">
        <x:v>Fachliche Freigabe DEC-2026-028. Quellenherkunft gemäss Blatt Quellen.</x:v>
      </x:c>
      <x:c r="N58" s="14" t="str">
        <x:v>Fachliche Freigabe DEC-2026-028 erteilt. Keine technische Aktivierung.</x:v>
      </x:c>
      <x:c r="O58" s="15"/>
    </x:row>
    <x:row r="59" ht="100" customHeight="1">
      <x:c r="A59" s="13" t="str">
        <x:v>AP22-ZG-VRG-ART10-STPO</x:v>
      </x:c>
      <x:c r="B59" s="13" t="str">
        <x:v>Zug</x:v>
      </x:c>
      <x:c r="C59" s="13" t="str">
        <x:v>StPO</x:v>
      </x:c>
      <x:c r="D59" s="13" t="str">
        <x:v>ZG-VRG-ART10</x:v>
      </x:c>
      <x:c r="E59" s="14" t="str">
        <x:v>Zuordnung bestimmt</x:v>
      </x:c>
      <x:c r="F59" s="13" t="str">
        <x:v>Ersetzen durch
ZG-VRG-ART10</x:v>
      </x:c>
      <x:c r="G59" s="13" t="str">
        <x:v>Rechtlich massgebender Partei- / Vertretungsort</x:v>
      </x:c>
      <x:c r="H59" s="13" t="str">
        <x:v>Prozessual gleichgestellter Tag</x:v>
      </x:c>
      <x:c r="I59" s="13" t="str">
        <x:v>Beleg: GOG § 10 Abs. 1 in der Fassung vom 17.10.2025 enthält dieselben 16 Tage wie VRG § 10 Abs. 3. Der bestehende Datenbestand wird wiederverwendet. Der Bindungsbeleg für ZPO und StPO ist jedoch das GOG und nicht das VRG. Dieser Nachtrag beschliesst weder einen neuen Geltungsbereich noch ein neues Format. Die drei Sonntage werden nicht doppelt verschoben.</x:v>
      </x:c>
      <x:c r="J59" s="13" t="str">
        <x:v>AP22CLOSE-PROC-ZG-GOG
AP22CLOSE-PROC-ZG-VRG
AP22CLOSE-BUND-STPO</x:v>
      </x:c>
      <x:c r="K59" s="13" t="str">
        <x:v>BGS 161.1 §§ 1–2 und 10 Abs. 1 | BGS 162.1 § 1 Abs. 2 und § 10 Abs. 3–4 | Stand 01.04.2025, Art. 87, 89 und 90</x:v>
      </x:c>
      <x:c r="L59" s="13" t="str">
        <x:v>Erfasste Regelgültigkeiten 2026-01-01 bis offen. Kein neuer Berechnungszeitraum freigegeben.</x:v>
      </x:c>
      <x:c r="M59" s="13" t="str">
        <x:v>02.10.2026 gezielte Quellenprüfung. Direktbeleg und normative Ableitung siehe Begründung und Fachnachtrag.</x:v>
      </x:c>
      <x:c r="N59" s="13" t="str">
        <x:v>Fachliche Freigabe DEC-2026-028 erteilt. Keine technische Aktivierung.</x:v>
      </x:c>
      <x:c r="O59" s="15"/>
    </x:row>
    <x:row r="60" ht="100" customHeight="1">
      <x:c r="A60" s="14" t="str">
        <x:v>AP22-ZG-VRG-ART10-ZPO</x:v>
      </x:c>
      <x:c r="B60" s="14" t="str">
        <x:v>Zug</x:v>
      </x:c>
      <x:c r="C60" s="14" t="str">
        <x:v>ZPO</x:v>
      </x:c>
      <x:c r="D60" s="14" t="str">
        <x:v>ZG-VRG-ART10</x:v>
      </x:c>
      <x:c r="E60" s="14" t="str">
        <x:v>Zuordnung bestimmt</x:v>
      </x:c>
      <x:c r="F60" s="14" t="str">
        <x:v>Ersetzen durch
ZG-VRG-ART10</x:v>
      </x:c>
      <x:c r="G60" s="14" t="str">
        <x:v>Gerichtsort</x:v>
      </x:c>
      <x:c r="H60" s="14" t="str">
        <x:v>Prozessual gleichgestellter Tag</x:v>
      </x:c>
      <x:c r="I60" s="14" t="str">
        <x:v>Beleg: GOG § 10 Abs. 1 in der Fassung vom 17.10.2025 enthält dieselben 16 Tage wie VRG § 10 Abs. 3. Der bestehende Datenbestand wird wiederverwendet. Der Bindungsbeleg für ZPO und StPO ist jedoch das GOG und nicht das VRG. Dieser Nachtrag beschliesst weder einen neuen Geltungsbereich noch ein neues Format. Die drei Sonntage werden nicht doppelt verschoben.</x:v>
      </x:c>
      <x:c r="J60" s="14" t="str">
        <x:v>AP22CLOSE-PROC-ZG-GOG
AP22CLOSE-PROC-ZG-VRG
AP22CLOSE-BUND-ZPO</x:v>
      </x:c>
      <x:c r="K60" s="14" t="str">
        <x:v>BGS 161.1 §§ 1–2 und 10 Abs. 1 | BGS 162.1 § 1 Abs. 2 und § 10 Abs. 3–4 | Stand 01.07.2026, Art. 142 und 145</x:v>
      </x:c>
      <x:c r="L60" s="14" t="str">
        <x:v>Erfasste Regelgültigkeiten 2026-01-01 bis offen. Kein neuer Berechnungszeitraum freigegeben.</x:v>
      </x:c>
      <x:c r="M60" s="14" t="str">
        <x:v>02.10.2026 gezielte Quellenprüfung. Direktbeleg und normative Ableitung siehe Begründung und Fachnachtrag.</x:v>
      </x:c>
      <x:c r="N60" s="14" t="str">
        <x:v>Fachliche Freigabe DEC-2026-028 erteilt. Keine technische Aktivierung.</x:v>
      </x:c>
      <x:c r="O60" s="15"/>
    </x:row>
    <x:row r="61" ht="86" customHeight="1">
      <x:c r="A61" s="13" t="str">
        <x:v>AP22-ZG-VRG-ART10-BGG</x:v>
      </x:c>
      <x:c r="B61" s="13" t="str">
        <x:v>Zug</x:v>
      </x:c>
      <x:c r="C61" s="13" t="str">
        <x:v>BGG</x:v>
      </x:c>
      <x:c r="D61" s="13" t="str">
        <x:v>ZG-VRG-ART10</x:v>
      </x:c>
      <x:c r="E61" s="14" t="str">
        <x:v>Zuordnung bestimmt</x:v>
      </x:c>
      <x:c r="F61" s="13" t="str">
        <x:v>Ersetzen durch
ZG-VRG-ART10</x:v>
      </x:c>
      <x:c r="G61" s="13" t="str">
        <x:v>Rechtlich massgebender Partei- / Vertretungsort</x:v>
      </x:c>
      <x:c r="H61" s="13" t="str">
        <x:v>Prozessual gleichgestellter Tag</x:v>
      </x:c>
      <x:c r="I61" s="13" t="str">
        <x:v>Beleg: GOG und VRG enthalten dieselbe ausdrückliche prozessuale Feiertagsliste. Inferenz: Ihre Anerkennung wird über Art. 45 BGG und Art. 20 VwVG mit Art. 5 EuFrÜb berücksichtigt. Die vollständige Prozessliste ersetzt die allgemeine Arbeitsruhetagsauswahl. Verschiedene Listen werden nicht vereinigt.</x:v>
      </x:c>
      <x:c r="J61" s="13" t="str">
        <x:v>AP22CLOSE-PROC-ZG-GOG
AP22CLOSE-PROC-ZG-VRG
AP22CLOSE-PROC-BGG-TRANSFER
AP22CLOSE-BUND-BGG</x:v>
      </x:c>
      <x:c r="K61" s="13" t="str">
        <x:v>BGS 161.1 §§ 1–2 und 10 Abs. 1 | BGS 162.1 § 1 Abs. 2 und § 10 Abs. 3–4 | E. 6.5 | Stand 01.04.2026, Art. 45 und 46</x:v>
      </x:c>
      <x:c r="L61" s="13" t="str">
        <x:v>Erfasste Regelgültigkeiten 2026-01-01 bis offen. Kein neuer Berechnungszeitraum freigegeben.</x:v>
      </x:c>
      <x:c r="M61" s="13" t="str">
        <x:v>02.10.2026 gezielte Quellenprüfung. Direktbeleg und normative Ableitung siehe Begründung und Fachnachtrag.</x:v>
      </x:c>
      <x:c r="N61" s="13" t="str">
        <x:v>Fachliche Freigabe DEC-2026-028 erteilt. Keine technische Aktivierung.</x:v>
      </x:c>
      <x:c r="O61" s="15"/>
    </x:row>
    <x:row r="62" ht="86" customHeight="1">
      <x:c r="A62" s="14" t="str">
        <x:v>AP22-ZG-VRG-ART10-VWVG</x:v>
      </x:c>
      <x:c r="B62" s="14" t="str">
        <x:v>Zug</x:v>
      </x:c>
      <x:c r="C62" s="14" t="str">
        <x:v>VwVG</x:v>
      </x:c>
      <x:c r="D62" s="14" t="str">
        <x:v>ZG-VRG-ART10</x:v>
      </x:c>
      <x:c r="E62" s="14" t="str">
        <x:v>Zuordnung bestimmt</x:v>
      </x:c>
      <x:c r="F62" s="14" t="str">
        <x:v>Ersetzen durch
ZG-VRG-ART10</x:v>
      </x:c>
      <x:c r="G62" s="14" t="str">
        <x:v>Rechtlich massgebender Partei- / Vertretungsort</x:v>
      </x:c>
      <x:c r="H62" s="14" t="str">
        <x:v>Prozessual gleichgestellter Tag</x:v>
      </x:c>
      <x:c r="I62" s="14" t="str">
        <x:v>Beleg: GOG und VRG enthalten dieselbe ausdrückliche prozessuale Feiertagsliste. Inferenz: Ihre Anerkennung wird über Art. 45 BGG und Art. 20 VwVG mit Art. 5 EuFrÜb berücksichtigt. Die vollständige Prozessliste ersetzt die allgemeine Arbeitsruhetagsauswahl. Verschiedene Listen werden nicht vereinigt.</x:v>
      </x:c>
      <x:c r="J62" s="14" t="str">
        <x:v>AP22CLOSE-PROC-ZG-GOG
AP22CLOSE-PROC-ZG-VRG
AP22CLOSE-PROC-BGG-TRANSFER
AP22CLOSE-BUND-VWVG</x:v>
      </x:c>
      <x:c r="K62" s="14" t="str">
        <x:v>BGS 161.1 §§ 1–2 und 10 Abs. 1 | BGS 162.1 § 1 Abs. 2 und § 10 Abs. 3–4 | E. 6.5 | Stand 01.07.2022, Art. 11, 20 und 22a</x:v>
      </x:c>
      <x:c r="L62" s="14" t="str">
        <x:v>Erfasste Regelgültigkeiten 2026-01-01 bis offen. Kein neuer Berechnungszeitraum freigegeben.</x:v>
      </x:c>
      <x:c r="M62" s="14" t="str">
        <x:v>02.10.2026 gezielte Quellenprüfung. Direktbeleg und normative Ableitung siehe Begründung und Fachnachtrag.</x:v>
      </x:c>
      <x:c r="N62" s="14" t="str">
        <x:v>Fachliche Freigabe DEC-2026-028 erteilt. Keine technische Aktivierung.</x:v>
      </x:c>
      <x:c r="O62" s="15"/>
    </x:row>
    <x:row r="63" ht="58" customHeight="1">
      <x:c r="A63" s="13" t="str">
        <x:v>AP22-FR-BAMG-CATHOLIC-STPO</x:v>
      </x:c>
      <x:c r="B63" s="13" t="str">
        <x:v>Freiburg</x:v>
      </x:c>
      <x:c r="C63" s="13" t="str">
        <x:v>StPO</x:v>
      </x:c>
      <x:c r="D63" s="13" t="str">
        <x:v>FR-BAMG-CATHOLIC</x:v>
      </x:c>
      <x:c r="E63" s="14" t="str">
        <x:v>Nicht übernehmen</x:v>
      </x:c>
      <x:c r="F63" s="13" t="str">
        <x:v>Nicht verwenden</x:v>
      </x:c>
      <x:c r="G63" s="13" t="str">
        <x:v>Rechtlich massgebender Partei- / Vertretungsort</x:v>
      </x:c>
      <x:c r="H63" s="13" t="str">
        <x:v>Arbeitsrechtlicher Feiertag / Öffentlicher Feiertag</x:v>
      </x:c>
      <x:c r="I63" s="13" t="str">
        <x:v>Arbeitsrechtliche Gebietsgruppen, keine persönliche Konfessionsauswahl. Für kantonale Tagesverfahren eigene JG-Liste. Bundeswirkung nicht aus BAMG-Kategorie erraten.</x:v>
      </x:c>
      <x:c r="J63" s="13" t="str">
        <x:v>SRC-FR-BAMG-866111-V8126
AP22-STPO
AP22-FR-JG</x:v>
      </x:c>
      <x:c r="K63" s="13" t="str">
        <x:v>SGF 866.1.1, Art. 49 Abs. 1–5, Version 8126 | Art. 89 Abs. 2 und Art. 90 Abs. 2 | Art. 1 und 121</x:v>
      </x:c>
      <x:c r="L63" s="13" t="str">
        <x:v>Erfasste Regelgültigkeiten 2026-01-01 bis offen. Kein neuer Berechnungszeitraum freigegeben.</x:v>
      </x:c>
      <x:c r="M63" s="13" t="str">
        <x:v>Fachliche Freigabe DEC-2026-028. Quellenherkunft gemäss Blatt Quellen.</x:v>
      </x:c>
      <x:c r="N63" s="13" t="str">
        <x:v>Negativer Verwendungsentscheid bleibt</x:v>
      </x:c>
      <x:c r="O63" s="15"/>
    </x:row>
    <x:row r="64" ht="58" customHeight="1">
      <x:c r="A64" s="14" t="str">
        <x:v>AP22-FR-BAMG-CATHOLIC-ZPO</x:v>
      </x:c>
      <x:c r="B64" s="14" t="str">
        <x:v>Freiburg</x:v>
      </x:c>
      <x:c r="C64" s="14" t="str">
        <x:v>ZPO</x:v>
      </x:c>
      <x:c r="D64" s="14" t="str">
        <x:v>FR-BAMG-CATHOLIC</x:v>
      </x:c>
      <x:c r="E64" s="14" t="str">
        <x:v>Nicht übernehmen</x:v>
      </x:c>
      <x:c r="F64" s="14" t="str">
        <x:v>Nicht verwenden</x:v>
      </x:c>
      <x:c r="G64" s="14" t="str">
        <x:v>Gerichtsort</x:v>
      </x:c>
      <x:c r="H64" s="14" t="str">
        <x:v>Arbeitsrechtlicher Feiertag / Öffentlicher Feiertag</x:v>
      </x:c>
      <x:c r="I64" s="14" t="str">
        <x:v>Arbeitsrechtliche Gebietsgruppen, keine persönliche Konfessionsauswahl. Für kantonale Tagesverfahren eigene JG-Liste. Bundeswirkung nicht aus BAMG-Kategorie erraten.</x:v>
      </x:c>
      <x:c r="J64" s="14" t="str">
        <x:v>SRC-FR-BAMG-866111-V8126
AP22-ZPO
AP22-FR-JG</x:v>
      </x:c>
      <x:c r="K64" s="14" t="str">
        <x:v>SGF 866.1.1, Art. 49 Abs. 1–5, Version 8126 | Art. 142 Abs. 1bis und 3, Art. 145 | Art. 1 und 121</x:v>
      </x:c>
      <x:c r="L64" s="14" t="str">
        <x:v>Erfasste Regelgültigkeiten 2026-01-01 bis offen. Kein neuer Berechnungszeitraum freigegeben.</x:v>
      </x:c>
      <x:c r="M64" s="14" t="str">
        <x:v>Fachliche Freigabe DEC-2026-028. Quellenherkunft gemäss Blatt Quellen.</x:v>
      </x:c>
      <x:c r="N64" s="14" t="str">
        <x:v>Negativer Verwendungsentscheid bleibt</x:v>
      </x:c>
      <x:c r="O64" s="15"/>
    </x:row>
    <x:row r="65" ht="72" customHeight="1">
      <x:c r="A65" s="13" t="str">
        <x:v>AP22-FR-BAMG-CATHOLIC-BGG</x:v>
      </x:c>
      <x:c r="B65" s="13" t="str">
        <x:v>Freiburg</x:v>
      </x:c>
      <x:c r="C65" s="13" t="str">
        <x:v>BGG</x:v>
      </x:c>
      <x:c r="D65" s="13" t="str">
        <x:v>FR-BAMG-CATHOLIC</x:v>
      </x:c>
      <x:c r="E65" s="14" t="str">
        <x:v>Zuordnung bestimmt</x:v>
      </x:c>
      <x:c r="F65" s="13" t="str">
        <x:v>Ersetzen durch
FR-JG-ALL</x:v>
      </x:c>
      <x:c r="G65" s="13" t="str">
        <x:v>Rechtlich massgebender Partei- / Vertretungsort</x:v>
      </x:c>
      <x:c r="H65" s="13" t="str">
        <x:v>Arbeitsrechtlicher Feiertag / Öffentlicher Feiertag</x:v>
      </x:c>
      <x:c r="I65" s="13" t="str">
        <x:v>Regionale arbeitsrechtliche Auswahl wird durch die kantonsweite prozessuale Anerkennung Art. 121 JG ersetzt. BGG-Prinzip aus BGE 124 II 527, aktuelle Gesamtliste normativ abgeleitet. VwVG ebenfalls normative Ableitung, nicht Direktentscheid.</x:v>
      </x:c>
      <x:c r="J65" s="13" t="str">
        <x:v>AP22CLOSE-FR-JG
AP22CLOSE-BGE124II527
AP22CLOSE-EUFRUEB
AP22CLOSE-BUND-BGG</x:v>
      </x:c>
      <x:c r="K65" s="13" t="str">
        <x:v>SGF 130.1 Art. 1 und Art. 121 Abs. 1 bis 3 | E. 2b | Art. 1 und 5 | Stand 01.04.2026, Art. 45 und 46</x:v>
      </x:c>
      <x:c r="L65" s="13" t="str">
        <x:v>Erfasste Regelgültigkeiten 2026-01-01 bis offen. Kein neuer Berechnungszeitraum freigegeben.</x:v>
      </x:c>
      <x:c r="M65" s="13" t="str">
        <x:v>02.10.2026 gezielte Quellenprüfung. Direktbeleg und normative Ableitung siehe Begründung und Fachnachtrag.</x:v>
      </x:c>
      <x:c r="N65" s="13" t="str">
        <x:v>Fachliche Freigabe DEC-2026-028 erteilt. Keine technische Aktivierung.</x:v>
      </x:c>
      <x:c r="O65" s="15"/>
    </x:row>
    <x:row r="66" ht="72" customHeight="1">
      <x:c r="A66" s="14" t="str">
        <x:v>AP22-FR-BAMG-CATHOLIC-VWVG</x:v>
      </x:c>
      <x:c r="B66" s="14" t="str">
        <x:v>Freiburg</x:v>
      </x:c>
      <x:c r="C66" s="14" t="str">
        <x:v>VwVG</x:v>
      </x:c>
      <x:c r="D66" s="14" t="str">
        <x:v>FR-BAMG-CATHOLIC</x:v>
      </x:c>
      <x:c r="E66" s="14" t="str">
        <x:v>Zuordnung bestimmt</x:v>
      </x:c>
      <x:c r="F66" s="14" t="str">
        <x:v>Ersetzen durch
FR-JG-ALL</x:v>
      </x:c>
      <x:c r="G66" s="14" t="str">
        <x:v>Rechtlich massgebender Partei- / Vertretungsort</x:v>
      </x:c>
      <x:c r="H66" s="14" t="str">
        <x:v>Arbeitsrechtlicher Feiertag / Öffentlicher Feiertag</x:v>
      </x:c>
      <x:c r="I66" s="14" t="str">
        <x:v>Regionale arbeitsrechtliche Auswahl wird durch die kantonsweite prozessuale Anerkennung Art. 121 JG ersetzt. BGG-Prinzip aus BGE 124 II 527, aktuelle Gesamtliste normativ abgeleitet. VwVG ebenfalls normative Ableitung, nicht Direktentscheid.</x:v>
      </x:c>
      <x:c r="J66" s="14" t="str">
        <x:v>AP22CLOSE-FR-JG
AP22CLOSE-BGE124II527
AP22CLOSE-EUFRUEB
AP22CLOSE-BUND-VWVG</x:v>
      </x:c>
      <x:c r="K66" s="14" t="str">
        <x:v>SGF 130.1 Art. 1 und Art. 121 Abs. 1 bis 3 | E. 2b | Art. 1 und 5 | Stand 01.07.2022, Art. 11, 20 und 22a</x:v>
      </x:c>
      <x:c r="L66" s="14" t="str">
        <x:v>Erfasste Regelgültigkeiten 2026-01-01 bis offen. Kein neuer Berechnungszeitraum freigegeben.</x:v>
      </x:c>
      <x:c r="M66" s="14" t="str">
        <x:v>02.10.2026 gezielte Quellenprüfung. Direktbeleg und normative Ableitung siehe Begründung und Fachnachtrag.</x:v>
      </x:c>
      <x:c r="N66" s="14" t="str">
        <x:v>Fachliche Freigabe DEC-2026-028 erteilt. Keine technische Aktivierung.</x:v>
      </x:c>
      <x:c r="O66" s="15"/>
    </x:row>
    <x:row r="67" ht="58" customHeight="1">
      <x:c r="A67" s="13" t="str">
        <x:v>AP22-FR-BAMG-REFORMED-STPO</x:v>
      </x:c>
      <x:c r="B67" s="13" t="str">
        <x:v>Freiburg</x:v>
      </x:c>
      <x:c r="C67" s="13" t="str">
        <x:v>StPO</x:v>
      </x:c>
      <x:c r="D67" s="13" t="str">
        <x:v>FR-BAMG-REFORMED</x:v>
      </x:c>
      <x:c r="E67" s="14" t="str">
        <x:v>Nicht übernehmen</x:v>
      </x:c>
      <x:c r="F67" s="13" t="str">
        <x:v>Nicht verwenden</x:v>
      </x:c>
      <x:c r="G67" s="13" t="str">
        <x:v>Rechtlich massgebender Partei- / Vertretungsort</x:v>
      </x:c>
      <x:c r="H67" s="13" t="str">
        <x:v>Arbeitsrechtlicher Feiertag / Öffentlicher Feiertag</x:v>
      </x:c>
      <x:c r="I67" s="13" t="str">
        <x:v>Arbeitsrechtliche Gebietsgruppen, keine persönliche Konfessionsauswahl. Für kantonale Tagesverfahren eigene JG-Liste. Bundeswirkung nicht aus BAMG-Kategorie erraten.</x:v>
      </x:c>
      <x:c r="J67" s="13" t="str">
        <x:v>SRC-FR-BAMG-866111-V8126
AP22-STPO
AP22-FR-JG</x:v>
      </x:c>
      <x:c r="K67" s="13" t="str">
        <x:v>SGF 866.1.1, Art. 49 Abs. 1–5, Version 8126 | Art. 89 Abs. 2 und Art. 90 Abs. 2 | Art. 1 und 121</x:v>
      </x:c>
      <x:c r="L67" s="13" t="str">
        <x:v>Erfasste Regelgültigkeiten 2026-01-01 bis offen. Kein neuer Berechnungszeitraum freigegeben.</x:v>
      </x:c>
      <x:c r="M67" s="13" t="str">
        <x:v>Fachliche Freigabe DEC-2026-028. Quellenherkunft gemäss Blatt Quellen.</x:v>
      </x:c>
      <x:c r="N67" s="13" t="str">
        <x:v>Negativer Verwendungsentscheid bleibt</x:v>
      </x:c>
      <x:c r="O67" s="15"/>
    </x:row>
    <x:row r="68" ht="58" customHeight="1">
      <x:c r="A68" s="14" t="str">
        <x:v>AP22-FR-BAMG-REFORMED-ZPO</x:v>
      </x:c>
      <x:c r="B68" s="14" t="str">
        <x:v>Freiburg</x:v>
      </x:c>
      <x:c r="C68" s="14" t="str">
        <x:v>ZPO</x:v>
      </x:c>
      <x:c r="D68" s="14" t="str">
        <x:v>FR-BAMG-REFORMED</x:v>
      </x:c>
      <x:c r="E68" s="14" t="str">
        <x:v>Nicht übernehmen</x:v>
      </x:c>
      <x:c r="F68" s="14" t="str">
        <x:v>Nicht verwenden</x:v>
      </x:c>
      <x:c r="G68" s="14" t="str">
        <x:v>Gerichtsort</x:v>
      </x:c>
      <x:c r="H68" s="14" t="str">
        <x:v>Arbeitsrechtlicher Feiertag / Öffentlicher Feiertag</x:v>
      </x:c>
      <x:c r="I68" s="14" t="str">
        <x:v>Arbeitsrechtliche Gebietsgruppen, keine persönliche Konfessionsauswahl. Für kantonale Tagesverfahren eigene JG-Liste. Bundeswirkung nicht aus BAMG-Kategorie erraten.</x:v>
      </x:c>
      <x:c r="J68" s="14" t="str">
        <x:v>SRC-FR-BAMG-866111-V8126
AP22-ZPO
AP22-FR-JG</x:v>
      </x:c>
      <x:c r="K68" s="14" t="str">
        <x:v>SGF 866.1.1, Art. 49 Abs. 1–5, Version 8126 | Art. 142 Abs. 1bis und 3, Art. 145 | Art. 1 und 121</x:v>
      </x:c>
      <x:c r="L68" s="14" t="str">
        <x:v>Erfasste Regelgültigkeiten 2026-01-01 bis offen. Kein neuer Berechnungszeitraum freigegeben.</x:v>
      </x:c>
      <x:c r="M68" s="14" t="str">
        <x:v>Fachliche Freigabe DEC-2026-028. Quellenherkunft gemäss Blatt Quellen.</x:v>
      </x:c>
      <x:c r="N68" s="14" t="str">
        <x:v>Negativer Verwendungsentscheid bleibt</x:v>
      </x:c>
      <x:c r="O68" s="15"/>
    </x:row>
    <x:row r="69" ht="72" customHeight="1">
      <x:c r="A69" s="13" t="str">
        <x:v>AP22-FR-BAMG-REFORMED-BGG</x:v>
      </x:c>
      <x:c r="B69" s="13" t="str">
        <x:v>Freiburg</x:v>
      </x:c>
      <x:c r="C69" s="13" t="str">
        <x:v>BGG</x:v>
      </x:c>
      <x:c r="D69" s="13" t="str">
        <x:v>FR-BAMG-REFORMED</x:v>
      </x:c>
      <x:c r="E69" s="14" t="str">
        <x:v>Zuordnung bestimmt</x:v>
      </x:c>
      <x:c r="F69" s="13" t="str">
        <x:v>Ersetzen durch
FR-JG-ALL</x:v>
      </x:c>
      <x:c r="G69" s="13" t="str">
        <x:v>Rechtlich massgebender Partei- / Vertretungsort</x:v>
      </x:c>
      <x:c r="H69" s="13" t="str">
        <x:v>Arbeitsrechtlicher Feiertag / Öffentlicher Feiertag</x:v>
      </x:c>
      <x:c r="I69" s="13" t="str">
        <x:v>Regionale arbeitsrechtliche Auswahl wird durch die kantonsweite prozessuale Anerkennung Art. 121 JG ersetzt. BGG-Prinzip aus BGE 124 II 527, aktuelle Gesamtliste normativ abgeleitet. VwVG ebenfalls normative Ableitung, nicht Direktentscheid.</x:v>
      </x:c>
      <x:c r="J69" s="13" t="str">
        <x:v>AP22CLOSE-FR-JG
AP22CLOSE-BGE124II527
AP22CLOSE-EUFRUEB
AP22CLOSE-BUND-BGG</x:v>
      </x:c>
      <x:c r="K69" s="13" t="str">
        <x:v>SGF 130.1 Art. 1 und Art. 121 Abs. 1 bis 3 | E. 2b | Art. 1 und 5 | Stand 01.04.2026, Art. 45 und 46</x:v>
      </x:c>
      <x:c r="L69" s="13" t="str">
        <x:v>Erfasste Regelgültigkeiten 2026-01-01 bis offen. Kein neuer Berechnungszeitraum freigegeben.</x:v>
      </x:c>
      <x:c r="M69" s="13" t="str">
        <x:v>02.10.2026 gezielte Quellenprüfung. Direktbeleg und normative Ableitung siehe Begründung und Fachnachtrag.</x:v>
      </x:c>
      <x:c r="N69" s="13" t="str">
        <x:v>Fachliche Freigabe DEC-2026-028 erteilt. Keine technische Aktivierung.</x:v>
      </x:c>
      <x:c r="O69" s="15"/>
    </x:row>
    <x:row r="70" ht="72" customHeight="1">
      <x:c r="A70" s="14" t="str">
        <x:v>AP22-FR-BAMG-REFORMED-VWVG</x:v>
      </x:c>
      <x:c r="B70" s="14" t="str">
        <x:v>Freiburg</x:v>
      </x:c>
      <x:c r="C70" s="14" t="str">
        <x:v>VwVG</x:v>
      </x:c>
      <x:c r="D70" s="14" t="str">
        <x:v>FR-BAMG-REFORMED</x:v>
      </x:c>
      <x:c r="E70" s="14" t="str">
        <x:v>Zuordnung bestimmt</x:v>
      </x:c>
      <x:c r="F70" s="14" t="str">
        <x:v>Ersetzen durch
FR-JG-ALL</x:v>
      </x:c>
      <x:c r="G70" s="14" t="str">
        <x:v>Rechtlich massgebender Partei- / Vertretungsort</x:v>
      </x:c>
      <x:c r="H70" s="14" t="str">
        <x:v>Arbeitsrechtlicher Feiertag / Öffentlicher Feiertag</x:v>
      </x:c>
      <x:c r="I70" s="14" t="str">
        <x:v>Regionale arbeitsrechtliche Auswahl wird durch die kantonsweite prozessuale Anerkennung Art. 121 JG ersetzt. BGG-Prinzip aus BGE 124 II 527, aktuelle Gesamtliste normativ abgeleitet. VwVG ebenfalls normative Ableitung, nicht Direktentscheid.</x:v>
      </x:c>
      <x:c r="J70" s="14" t="str">
        <x:v>AP22CLOSE-FR-JG
AP22CLOSE-BGE124II527
AP22CLOSE-EUFRUEB
AP22CLOSE-BUND-VWVG</x:v>
      </x:c>
      <x:c r="K70" s="14" t="str">
        <x:v>SGF 130.1 Art. 1 und Art. 121 Abs. 1 bis 3 | E. 2b | Art. 1 und 5 | Stand 01.07.2022, Art. 11, 20 und 22a</x:v>
      </x:c>
      <x:c r="L70" s="14" t="str">
        <x:v>Erfasste Regelgültigkeiten 2026-01-01 bis offen. Kein neuer Berechnungszeitraum freigegeben.</x:v>
      </x:c>
      <x:c r="M70" s="14" t="str">
        <x:v>02.10.2026 gezielte Quellenprüfung. Direktbeleg und normative Ableitung siehe Begründung und Fachnachtrag.</x:v>
      </x:c>
      <x:c r="N70" s="14" t="str">
        <x:v>Fachliche Freigabe DEC-2026-028 erteilt. Keine technische Aktivierung.</x:v>
      </x:c>
      <x:c r="O70" s="15"/>
    </x:row>
    <x:row r="71" ht="72" customHeight="1">
      <x:c r="A71" s="13" t="str">
        <x:v>AP22-FR-JG-ALL-STPO</x:v>
      </x:c>
      <x:c r="B71" s="13" t="str">
        <x:v>Freiburg</x:v>
      </x:c>
      <x:c r="C71" s="13" t="str">
        <x:v>StPO</x:v>
      </x:c>
      <x:c r="D71" s="13" t="str">
        <x:v>FR-JG-ALL</x:v>
      </x:c>
      <x:c r="E71" s="14" t="str">
        <x:v>Zuordnung bestimmt</x:v>
      </x:c>
      <x:c r="F71" s="13" t="str">
        <x:v>Verwenden
FR-JG-ALL</x:v>
      </x:c>
      <x:c r="G71" s="13" t="str">
        <x:v>Rechtlich massgebender Partei- / Vertretungsort</x:v>
      </x:c>
      <x:c r="H71" s="13" t="str">
        <x:v>Prozessual gleichgestellter Tag</x:v>
      </x:c>
      <x:c r="I71" s="13" t="str">
        <x:v>Eigene ausdrücklich für dieses Verfahren anerkannte kantonsweite Prozessliste. Andere Regional- oder Grundlisten nicht zusätzlich vereinigen. DEC-2026-028 und die bezeichnete Prozessnorm.</x:v>
      </x:c>
      <x:c r="J71" s="13" t="str">
        <x:v>SRC-FR-JG-1301-V7926
AP22-STPO
AP22-FR-JG
AP22-BGE124II527</x:v>
      </x:c>
      <x:c r="K71" s="13" t="str">
        <x:v>SGF 130.1, Art. 121 Abs. 1–3, Version 7926 | Art. 89 Abs. 2 und Art. 90 Abs. 2 | Art. 1 und 121 | E. 2b</x:v>
      </x:c>
      <x:c r="L71" s="13" t="str">
        <x:v>Erfasste Regelgültigkeiten 2026-01-01 bis offen. Kein neuer Berechnungszeitraum freigegeben.</x:v>
      </x:c>
      <x:c r="M71" s="13" t="str">
        <x:v>Fachliche Freigabe DEC-2026-028. Quellenherkunft gemäss Blatt Quellen.</x:v>
      </x:c>
      <x:c r="N71" s="13" t="str">
        <x:v>Fachliche Freigabe DEC-2026-028 erteilt. Keine technische Aktivierung.</x:v>
      </x:c>
      <x:c r="O71" s="15"/>
    </x:row>
    <x:row r="72" ht="72" customHeight="1">
      <x:c r="A72" s="14" t="str">
        <x:v>AP22-FR-JG-ALL-ZPO</x:v>
      </x:c>
      <x:c r="B72" s="14" t="str">
        <x:v>Freiburg</x:v>
      </x:c>
      <x:c r="C72" s="14" t="str">
        <x:v>ZPO</x:v>
      </x:c>
      <x:c r="D72" s="14" t="str">
        <x:v>FR-JG-ALL</x:v>
      </x:c>
      <x:c r="E72" s="14" t="str">
        <x:v>Zuordnung bestimmt</x:v>
      </x:c>
      <x:c r="F72" s="14" t="str">
        <x:v>Verwenden
FR-JG-ALL</x:v>
      </x:c>
      <x:c r="G72" s="14" t="str">
        <x:v>Gerichtsort</x:v>
      </x:c>
      <x:c r="H72" s="14" t="str">
        <x:v>Prozessual gleichgestellter Tag</x:v>
      </x:c>
      <x:c r="I72" s="14" t="str">
        <x:v>Eigene ausdrücklich für dieses Verfahren anerkannte kantonsweite Prozessliste. Andere Regional- oder Grundlisten nicht zusätzlich vereinigen. DEC-2026-028 und die bezeichnete Prozessnorm.</x:v>
      </x:c>
      <x:c r="J72" s="14" t="str">
        <x:v>SRC-FR-JG-1301-V7926
AP22-ZPO
AP22-FR-JG
AP22-BGE124II527</x:v>
      </x:c>
      <x:c r="K72" s="14" t="str">
        <x:v>SGF 130.1, Art. 121 Abs. 1–3, Version 7926 | Art. 142 Abs. 1bis und 3, Art. 145 | Art. 1 und 121 | E. 2b</x:v>
      </x:c>
      <x:c r="L72" s="14" t="str">
        <x:v>Erfasste Regelgültigkeiten 2026-01-01 bis offen. Kein neuer Berechnungszeitraum freigegeben.</x:v>
      </x:c>
      <x:c r="M72" s="14" t="str">
        <x:v>Fachliche Freigabe DEC-2026-028. Quellenherkunft gemäss Blatt Quellen.</x:v>
      </x:c>
      <x:c r="N72" s="14" t="str">
        <x:v>Fachliche Freigabe DEC-2026-028 erteilt. Keine technische Aktivierung.</x:v>
      </x:c>
      <x:c r="O72" s="15"/>
    </x:row>
    <x:row r="73" ht="72" customHeight="1">
      <x:c r="A73" s="13" t="str">
        <x:v>AP22-FR-JG-ALL-BGG</x:v>
      </x:c>
      <x:c r="B73" s="13" t="str">
        <x:v>Freiburg</x:v>
      </x:c>
      <x:c r="C73" s="13" t="str">
        <x:v>BGG</x:v>
      </x:c>
      <x:c r="D73" s="13" t="str">
        <x:v>FR-JG-ALL</x:v>
      </x:c>
      <x:c r="E73" s="14" t="str">
        <x:v>Zuordnung bestimmt</x:v>
      </x:c>
      <x:c r="F73" s="13" t="str">
        <x:v>Verwenden
FR-JG-ALL</x:v>
      </x:c>
      <x:c r="G73" s="13" t="str">
        <x:v>Rechtlich massgebender Partei- / Vertretungsort</x:v>
      </x:c>
      <x:c r="H73" s="13" t="str">
        <x:v>Prozessual gleichgestellter Tag</x:v>
      </x:c>
      <x:c r="I73" s="13" t="str">
        <x:v>Die aktuelle kantonsweite Anerkennung umfasst alle 15 benannten Tage. BGE 124 II 527 bestätigt die Bundeswirkung gleichgestellter FR-Tage, nicht einzeln die heutige Gesamtliste. Diese wird aus Art. 121 JG und der jeweiligen Bundesnorm abgeleitet.</x:v>
      </x:c>
      <x:c r="J73" s="13" t="str">
        <x:v>AP22CLOSE-FR-JG
AP22CLOSE-BGE124II527
AP22CLOSE-EUFRUEB
AP22CLOSE-BUND-BGG</x:v>
      </x:c>
      <x:c r="K73" s="13" t="str">
        <x:v>SGF 130.1 Art. 1 und Art. 121 Abs. 1 bis 3 | E. 2b | Art. 1 und 5 | Stand 01.04.2026, Art. 45 und 46</x:v>
      </x:c>
      <x:c r="L73" s="13" t="str">
        <x:v>Erfasste Regelgültigkeiten 2026-01-01 bis offen. Kein neuer Berechnungszeitraum freigegeben.</x:v>
      </x:c>
      <x:c r="M73" s="13" t="str">
        <x:v>02.10.2026 gezielte Quellenprüfung. Direktbeleg und normative Ableitung siehe Begründung und Fachnachtrag.</x:v>
      </x:c>
      <x:c r="N73" s="13" t="str">
        <x:v>Fachliche Freigabe DEC-2026-028 erteilt. Keine technische Aktivierung.</x:v>
      </x:c>
      <x:c r="O73" s="15"/>
    </x:row>
    <x:row r="74" ht="72" customHeight="1">
      <x:c r="A74" s="14" t="str">
        <x:v>AP22-FR-JG-ALL-VWVG</x:v>
      </x:c>
      <x:c r="B74" s="14" t="str">
        <x:v>Freiburg</x:v>
      </x:c>
      <x:c r="C74" s="14" t="str">
        <x:v>VwVG</x:v>
      </x:c>
      <x:c r="D74" s="14" t="str">
        <x:v>FR-JG-ALL</x:v>
      </x:c>
      <x:c r="E74" s="14" t="str">
        <x:v>Zuordnung bestimmt</x:v>
      </x:c>
      <x:c r="F74" s="14" t="str">
        <x:v>Verwenden
FR-JG-ALL</x:v>
      </x:c>
      <x:c r="G74" s="14" t="str">
        <x:v>Rechtlich massgebender Partei- / Vertretungsort</x:v>
      </x:c>
      <x:c r="H74" s="14" t="str">
        <x:v>Prozessual gleichgestellter Tag</x:v>
      </x:c>
      <x:c r="I74" s="14" t="str">
        <x:v>Die aktuelle kantonsweite Anerkennung umfasst alle 15 benannten Tage. BGE 124 II 527 bestätigt die Bundeswirkung gleichgestellter FR-Tage, nicht einzeln die heutige Gesamtliste. Diese wird aus Art. 121 JG und der jeweiligen Bundesnorm abgeleitet.</x:v>
      </x:c>
      <x:c r="J74" s="14" t="str">
        <x:v>AP22CLOSE-FR-JG
AP22CLOSE-BGE124II527
AP22CLOSE-EUFRUEB
AP22CLOSE-BUND-VWVG</x:v>
      </x:c>
      <x:c r="K74" s="14" t="str">
        <x:v>SGF 130.1 Art. 1 und Art. 121 Abs. 1 bis 3 | E. 2b | Art. 1 und 5 | Stand 01.07.2022, Art. 11, 20 und 22a</x:v>
      </x:c>
      <x:c r="L74" s="14" t="str">
        <x:v>Erfasste Regelgültigkeiten 2026-01-01 bis offen. Kein neuer Berechnungszeitraum freigegeben.</x:v>
      </x:c>
      <x:c r="M74" s="14" t="str">
        <x:v>02.10.2026 gezielte Quellenprüfung. Direktbeleg und normative Ableitung siehe Begründung und Fachnachtrag.</x:v>
      </x:c>
      <x:c r="N74" s="14" t="str">
        <x:v>Fachliche Freigabe DEC-2026-028 erteilt. Keine technische Aktivierung.</x:v>
      </x:c>
      <x:c r="O74" s="15"/>
    </x:row>
    <x:row r="75" ht="86" customHeight="1">
      <x:c r="A75" s="13" t="str">
        <x:v>AP22-SO-RTG-EXCEPT-BUCHEGGBERG-STPO</x:v>
      </x:c>
      <x:c r="B75" s="13" t="str">
        <x:v>Solothurn</x:v>
      </x:c>
      <x:c r="C75" s="13" t="str">
        <x:v>StPO</x:v>
      </x:c>
      <x:c r="D75" s="13" t="str">
        <x:v>SO-RTG-EXCEPT-BUCHEGGBERG</x:v>
      </x:c>
      <x:c r="E75" s="14" t="str">
        <x:v>Nicht übernehmen</x:v>
      </x:c>
      <x:c r="F75" s="13" t="str">
        <x:v>Nicht verwenden</x:v>
      </x:c>
      <x:c r="G75" s="13" t="str">
        <x:v>Rechtlich massgebender Partei- / Vertretungsort</x:v>
      </x:c>
      <x:c r="H75" s="13" t="str">
        <x:v>Öffentlicher Feiertag</x:v>
      </x:c>
      <x:c r="I75" s="13" t="str">
        <x:v>RTG-Halbtag unverändert ohne eigene Fristwirkung. Separate EG-ZPO-/EG-StPO-Liste kennt den 1. Mai ohne Halbtagsgrenze und keine Bucheggberg-Ausnahme. Keine stille Vermischung.</x:v>
      </x:c>
      <x:c r="J75" s="13" t="str">
        <x:v>SRC-SO-RTG-51241-V4319
AP22-STPO
AP22-SO-STPO
AP22-SO-ZPO
AP22-SO-GS201463</x:v>
      </x:c>
      <x:c r="K75" s="13" t="str">
        <x:v>BGS 512.41, § 1, § 2 Abs. 1 und 2, § 3, Version 4319 | Art. 89 Abs. 2 und Art. 90 Abs. 2 | § 10bis | § 22 Abs. 2 | Änderungen § 22 EG ZPO, § 10bis EG StPO und § 9 VRG</x:v>
      </x:c>
      <x:c r="L75" s="13" t="str">
        <x:v>Erfasste Regelgültigkeiten 2026-01-01 bis offen. Kein neuer Berechnungszeitraum freigegeben.</x:v>
      </x:c>
      <x:c r="M75" s="13" t="str">
        <x:v>Fachliche Freigabe DEC-2026-028. Quellenherkunft gemäss Blatt Quellen.</x:v>
      </x:c>
      <x:c r="N75" s="13" t="str">
        <x:v>Negativer Verwendungsentscheid bleibt</x:v>
      </x:c>
      <x:c r="O75" s="15"/>
    </x:row>
    <x:row r="76" ht="86" customHeight="1">
      <x:c r="A76" s="14" t="str">
        <x:v>AP22-SO-RTG-EXCEPT-BUCHEGGBERG-ZPO</x:v>
      </x:c>
      <x:c r="B76" s="14" t="str">
        <x:v>Solothurn</x:v>
      </x:c>
      <x:c r="C76" s="14" t="str">
        <x:v>ZPO</x:v>
      </x:c>
      <x:c r="D76" s="14" t="str">
        <x:v>SO-RTG-EXCEPT-BUCHEGGBERG</x:v>
      </x:c>
      <x:c r="E76" s="14" t="str">
        <x:v>Nicht übernehmen</x:v>
      </x:c>
      <x:c r="F76" s="14" t="str">
        <x:v>Nicht verwenden</x:v>
      </x:c>
      <x:c r="G76" s="14" t="str">
        <x:v>Gerichtsort</x:v>
      </x:c>
      <x:c r="H76" s="14" t="str">
        <x:v>Öffentlicher Feiertag</x:v>
      </x:c>
      <x:c r="I76" s="14" t="str">
        <x:v>RTG-Halbtag unverändert ohne eigene Fristwirkung. Separate EG-ZPO-/EG-StPO-Liste kennt den 1. Mai ohne Halbtagsgrenze und keine Bucheggberg-Ausnahme. Keine stille Vermischung.</x:v>
      </x:c>
      <x:c r="J76" s="14" t="str">
        <x:v>SRC-SO-RTG-51241-V4319
AP22-ZPO
AP22-SO-STPO
AP22-SO-ZPO
AP22-SO-GS201463</x:v>
      </x:c>
      <x:c r="K76" s="14" t="str">
        <x:v>BGS 512.41, § 1, § 2 Abs. 1 und 2, § 3, Version 4319 | Art. 142 Abs. 1bis und 3, Art. 145 | § 10bis | § 22 Abs. 2 | Änderungen § 22 EG ZPO, § 10bis EG StPO und § 9 VRG</x:v>
      </x:c>
      <x:c r="L76" s="14" t="str">
        <x:v>Erfasste Regelgültigkeiten 2026-01-01 bis offen. Kein neuer Berechnungszeitraum freigegeben.</x:v>
      </x:c>
      <x:c r="M76" s="14" t="str">
        <x:v>Fachliche Freigabe DEC-2026-028. Quellenherkunft gemäss Blatt Quellen.</x:v>
      </x:c>
      <x:c r="N76" s="14" t="str">
        <x:v>Negativer Verwendungsentscheid bleibt</x:v>
      </x:c>
      <x:c r="O76" s="15"/>
    </x:row>
    <x:row r="77" ht="114" customHeight="1">
      <x:c r="A77" s="13" t="str">
        <x:v>AP22-SO-RTG-EXCEPT-BUCHEGGBERG-BGG</x:v>
      </x:c>
      <x:c r="B77" s="13" t="str">
        <x:v>Solothurn</x:v>
      </x:c>
      <x:c r="C77" s="13" t="str">
        <x:v>BGG</x:v>
      </x:c>
      <x:c r="D77" s="13" t="str">
        <x:v>SO-RTG-EXCEPT-BUCHEGGBERG</x:v>
      </x:c>
      <x:c r="E77" s="14" t="str">
        <x:v>Zuordnung bestimmt</x:v>
      </x:c>
      <x:c r="F77" s="13" t="str">
        <x:v>Ersetzen durch
SO-PROCEDURAL-DRAFT + CH-ALL</x:v>
      </x:c>
      <x:c r="G77" s="13" t="str">
        <x:v>Rechtlich massgebender Partei- / Vertretungsort</x:v>
      </x:c>
      <x:c r="H77" s="13" t="str">
        <x:v>Öffentlicher Feiertag</x:v>
      </x:c>
      <x:c r="I77" s="13" t="str">
        <x:v>Zwölf kantonale Verfahrenstage nach § 9 VRG statt regionaler RTG-Auswahl, dazu Bundesfeiertag. BGG/VwVG-Wirkung ist normative Ableitung aus ausdrücklicher kantonaler Anerkennung und Gleichstellungsprinzip, kein SO-Direktentscheid. RTG-Halbtag bleibt ohne eigene Fristwirkung.</x:v>
      </x:c>
      <x:c r="J77" s="13" t="str">
        <x:v>AP22CLOSE-SO-VRG
AP22CLOSE-SO-ZPO
AP22CLOSE-SO-STPO
AP22CLOSE-EUFRUEB
AP22CLOSE-BGE124II527
AP22CLOSE-BGER-9C396
AP22CLOSE-BUND-BGG</x:v>
      </x:c>
      <x:c r="K77" s="13" t="str">
        <x:v>BGS 124.11 § 9 Abs. 1 | BGS 221.2 § 22 Abs. 2 | BGS 321.3 § 10bis | Art. 1 und 5 | E. 2b | E. 2.2 bis 2.4 | Stand 01.04.2026, Art. 45 und 46</x:v>
      </x:c>
      <x:c r="L77" s="13" t="str">
        <x:v>Erfasste Regelgültigkeiten 2026-01-01 bis offen. Kein neuer Berechnungszeitraum freigegeben.</x:v>
      </x:c>
      <x:c r="M77" s="13" t="str">
        <x:v>02.10.2026 gezielte Quellenprüfung. Direktbeleg und normative Ableitung siehe Begründung und Fachnachtrag.</x:v>
      </x:c>
      <x:c r="N77" s="13" t="str">
        <x:v>Fachliche Freigabe DEC-2026-028 erteilt. Keine technische Aktivierung.</x:v>
      </x:c>
      <x:c r="O77" s="15"/>
    </x:row>
    <x:row r="78" ht="114" customHeight="1">
      <x:c r="A78" s="14" t="str">
        <x:v>AP22-SO-RTG-EXCEPT-BUCHEGGBERG-VWVG</x:v>
      </x:c>
      <x:c r="B78" s="14" t="str">
        <x:v>Solothurn</x:v>
      </x:c>
      <x:c r="C78" s="14" t="str">
        <x:v>VwVG</x:v>
      </x:c>
      <x:c r="D78" s="14" t="str">
        <x:v>SO-RTG-EXCEPT-BUCHEGGBERG</x:v>
      </x:c>
      <x:c r="E78" s="14" t="str">
        <x:v>Zuordnung bestimmt</x:v>
      </x:c>
      <x:c r="F78" s="14" t="str">
        <x:v>Ersetzen durch
SO-PROCEDURAL-DRAFT + CH-ALL</x:v>
      </x:c>
      <x:c r="G78" s="14" t="str">
        <x:v>Rechtlich massgebender Partei- / Vertretungsort</x:v>
      </x:c>
      <x:c r="H78" s="14" t="str">
        <x:v>Öffentlicher Feiertag</x:v>
      </x:c>
      <x:c r="I78" s="14" t="str">
        <x:v>Zwölf kantonale Verfahrenstage nach § 9 VRG statt regionaler RTG-Auswahl, dazu Bundesfeiertag. BGG/VwVG-Wirkung ist normative Ableitung aus ausdrücklicher kantonaler Anerkennung und Gleichstellungsprinzip, kein SO-Direktentscheid. RTG-Halbtag bleibt ohne eigene Fristwirkung.</x:v>
      </x:c>
      <x:c r="J78" s="14" t="str">
        <x:v>AP22CLOSE-SO-VRG
AP22CLOSE-SO-ZPO
AP22CLOSE-SO-STPO
AP22CLOSE-EUFRUEB
AP22CLOSE-BGE124II527
AP22CLOSE-BGER-9C396
AP22CLOSE-BUND-VWVG</x:v>
      </x:c>
      <x:c r="K78" s="14" t="str">
        <x:v>BGS 124.11 § 9 Abs. 1 | BGS 221.2 § 22 Abs. 2 | BGS 321.3 § 10bis | Art. 1 und 5 | E. 2b | E. 2.2 bis 2.4 | Stand 01.07.2022, Art. 11, 20 und 22a</x:v>
      </x:c>
      <x:c r="L78" s="14" t="str">
        <x:v>Erfasste Regelgültigkeiten 2026-01-01 bis offen. Kein neuer Berechnungszeitraum freigegeben.</x:v>
      </x:c>
      <x:c r="M78" s="14" t="str">
        <x:v>02.10.2026 gezielte Quellenprüfung. Direktbeleg und normative Ableitung siehe Begründung und Fachnachtrag.</x:v>
      </x:c>
      <x:c r="N78" s="14" t="str">
        <x:v>Fachliche Freigabe DEC-2026-028 erteilt. Keine technische Aktivierung.</x:v>
      </x:c>
      <x:c r="O78" s="15"/>
    </x:row>
    <x:row r="79" ht="86" customHeight="1">
      <x:c r="A79" s="13" t="str">
        <x:v>AP22-SO-RTG-BUCHEGGBERG-STPO</x:v>
      </x:c>
      <x:c r="B79" s="13" t="str">
        <x:v>Solothurn</x:v>
      </x:c>
      <x:c r="C79" s="13" t="str">
        <x:v>StPO</x:v>
      </x:c>
      <x:c r="D79" s="13" t="str">
        <x:v>SO-RTG-BUCHEGGBERG</x:v>
      </x:c>
      <x:c r="E79" s="14" t="str">
        <x:v>Nicht übernehmen</x:v>
      </x:c>
      <x:c r="F79" s="13" t="str">
        <x:v>Nicht verwenden</x:v>
      </x:c>
      <x:c r="G79" s="13" t="str">
        <x:v>Rechtlich massgebender Partei- / Vertretungsort</x:v>
      </x:c>
      <x:c r="H79" s="13" t="str">
        <x:v>Öffentlicher Feiertag</x:v>
      </x:c>
      <x:c r="I79" s="13" t="str">
        <x:v>RTG-Halbtag unverändert ohne eigene Fristwirkung. Separate EG-ZPO-/EG-StPO-Liste kennt den 1. Mai ohne Halbtagsgrenze und keine Bucheggberg-Ausnahme. Keine stille Vermischung.</x:v>
      </x:c>
      <x:c r="J79" s="13" t="str">
        <x:v>SRC-SO-RTG-51241-V4319
AP22-STPO
AP22-SO-STPO
AP22-SO-ZPO
AP22-SO-GS201463</x:v>
      </x:c>
      <x:c r="K79" s="13" t="str">
        <x:v>BGS 512.41, § 1, § 2 Abs. 1 und 2, § 3, Version 4319 | Art. 89 Abs. 2 und Art. 90 Abs. 2 | § 10bis | § 22 Abs. 2 | Änderungen § 22 EG ZPO, § 10bis EG StPO und § 9 VRG</x:v>
      </x:c>
      <x:c r="L79" s="13" t="str">
        <x:v>Erfasste Regelgültigkeiten 2026-01-01 bis offen. Kein neuer Berechnungszeitraum freigegeben.</x:v>
      </x:c>
      <x:c r="M79" s="13" t="str">
        <x:v>Fachliche Freigabe DEC-2026-028. Quellenherkunft gemäss Blatt Quellen.</x:v>
      </x:c>
      <x:c r="N79" s="13" t="str">
        <x:v>Negativer Verwendungsentscheid bleibt</x:v>
      </x:c>
      <x:c r="O79" s="15"/>
    </x:row>
    <x:row r="80" ht="86" customHeight="1">
      <x:c r="A80" s="14" t="str">
        <x:v>AP22-SO-RTG-BUCHEGGBERG-ZPO</x:v>
      </x:c>
      <x:c r="B80" s="14" t="str">
        <x:v>Solothurn</x:v>
      </x:c>
      <x:c r="C80" s="14" t="str">
        <x:v>ZPO</x:v>
      </x:c>
      <x:c r="D80" s="14" t="str">
        <x:v>SO-RTG-BUCHEGGBERG</x:v>
      </x:c>
      <x:c r="E80" s="14" t="str">
        <x:v>Nicht übernehmen</x:v>
      </x:c>
      <x:c r="F80" s="14" t="str">
        <x:v>Nicht verwenden</x:v>
      </x:c>
      <x:c r="G80" s="14" t="str">
        <x:v>Gerichtsort</x:v>
      </x:c>
      <x:c r="H80" s="14" t="str">
        <x:v>Öffentlicher Feiertag</x:v>
      </x:c>
      <x:c r="I80" s="14" t="str">
        <x:v>RTG-Halbtag unverändert ohne eigene Fristwirkung. Separate EG-ZPO-/EG-StPO-Liste kennt den 1. Mai ohne Halbtagsgrenze und keine Bucheggberg-Ausnahme. Keine stille Vermischung.</x:v>
      </x:c>
      <x:c r="J80" s="14" t="str">
        <x:v>SRC-SO-RTG-51241-V4319
AP22-ZPO
AP22-SO-STPO
AP22-SO-ZPO
AP22-SO-GS201463</x:v>
      </x:c>
      <x:c r="K80" s="14" t="str">
        <x:v>BGS 512.41, § 1, § 2 Abs. 1 und 2, § 3, Version 4319 | Art. 142 Abs. 1bis und 3, Art. 145 | § 10bis | § 22 Abs. 2 | Änderungen § 22 EG ZPO, § 10bis EG StPO und § 9 VRG</x:v>
      </x:c>
      <x:c r="L80" s="14" t="str">
        <x:v>Erfasste Regelgültigkeiten 2026-01-01 bis offen. Kein neuer Berechnungszeitraum freigegeben.</x:v>
      </x:c>
      <x:c r="M80" s="14" t="str">
        <x:v>Fachliche Freigabe DEC-2026-028. Quellenherkunft gemäss Blatt Quellen.</x:v>
      </x:c>
      <x:c r="N80" s="14" t="str">
        <x:v>Negativer Verwendungsentscheid bleibt</x:v>
      </x:c>
      <x:c r="O80" s="15"/>
    </x:row>
    <x:row r="81" ht="114" customHeight="1">
      <x:c r="A81" s="13" t="str">
        <x:v>AP22-SO-RTG-BUCHEGGBERG-BGG</x:v>
      </x:c>
      <x:c r="B81" s="13" t="str">
        <x:v>Solothurn</x:v>
      </x:c>
      <x:c r="C81" s="13" t="str">
        <x:v>BGG</x:v>
      </x:c>
      <x:c r="D81" s="13" t="str">
        <x:v>SO-RTG-BUCHEGGBERG</x:v>
      </x:c>
      <x:c r="E81" s="14" t="str">
        <x:v>Zuordnung bestimmt</x:v>
      </x:c>
      <x:c r="F81" s="13" t="str">
        <x:v>Ersetzen durch
SO-PROCEDURAL-DRAFT + CH-ALL</x:v>
      </x:c>
      <x:c r="G81" s="13" t="str">
        <x:v>Rechtlich massgebender Partei- / Vertretungsort</x:v>
      </x:c>
      <x:c r="H81" s="13" t="str">
        <x:v>Öffentlicher Feiertag</x:v>
      </x:c>
      <x:c r="I81" s="13" t="str">
        <x:v>Zwölf kantonale Verfahrenstage nach § 9 VRG statt regionaler RTG-Auswahl, dazu Bundesfeiertag. BGG/VwVG-Wirkung ist normative Ableitung aus ausdrücklicher kantonaler Anerkennung und Gleichstellungsprinzip, kein SO-Direktentscheid. RTG-Halbtag bleibt ohne eigene Fristwirkung.</x:v>
      </x:c>
      <x:c r="J81" s="13" t="str">
        <x:v>AP22CLOSE-SO-VRG
AP22CLOSE-SO-ZPO
AP22CLOSE-SO-STPO
AP22CLOSE-EUFRUEB
AP22CLOSE-BGE124II527
AP22CLOSE-BGER-9C396
AP22CLOSE-BUND-BGG</x:v>
      </x:c>
      <x:c r="K81" s="13" t="str">
        <x:v>BGS 124.11 § 9 Abs. 1 | BGS 221.2 § 22 Abs. 2 | BGS 321.3 § 10bis | Art. 1 und 5 | E. 2b | E. 2.2 bis 2.4 | Stand 01.04.2026, Art. 45 und 46</x:v>
      </x:c>
      <x:c r="L81" s="13" t="str">
        <x:v>Erfasste Regelgültigkeiten 2026-01-01 bis offen. Kein neuer Berechnungszeitraum freigegeben.</x:v>
      </x:c>
      <x:c r="M81" s="13" t="str">
        <x:v>02.10.2026 gezielte Quellenprüfung. Direktbeleg und normative Ableitung siehe Begründung und Fachnachtrag.</x:v>
      </x:c>
      <x:c r="N81" s="13" t="str">
        <x:v>Fachliche Freigabe DEC-2026-028 erteilt. Keine technische Aktivierung.</x:v>
      </x:c>
      <x:c r="O81" s="15"/>
    </x:row>
    <x:row r="82" ht="114" customHeight="1">
      <x:c r="A82" s="14" t="str">
        <x:v>AP22-SO-RTG-BUCHEGGBERG-VWVG</x:v>
      </x:c>
      <x:c r="B82" s="14" t="str">
        <x:v>Solothurn</x:v>
      </x:c>
      <x:c r="C82" s="14" t="str">
        <x:v>VwVG</x:v>
      </x:c>
      <x:c r="D82" s="14" t="str">
        <x:v>SO-RTG-BUCHEGGBERG</x:v>
      </x:c>
      <x:c r="E82" s="14" t="str">
        <x:v>Zuordnung bestimmt</x:v>
      </x:c>
      <x:c r="F82" s="14" t="str">
        <x:v>Ersetzen durch
SO-PROCEDURAL-DRAFT + CH-ALL</x:v>
      </x:c>
      <x:c r="G82" s="14" t="str">
        <x:v>Rechtlich massgebender Partei- / Vertretungsort</x:v>
      </x:c>
      <x:c r="H82" s="14" t="str">
        <x:v>Öffentlicher Feiertag</x:v>
      </x:c>
      <x:c r="I82" s="14" t="str">
        <x:v>Zwölf kantonale Verfahrenstage nach § 9 VRG statt regionaler RTG-Auswahl, dazu Bundesfeiertag. BGG/VwVG-Wirkung ist normative Ableitung aus ausdrücklicher kantonaler Anerkennung und Gleichstellungsprinzip, kein SO-Direktentscheid. RTG-Halbtag bleibt ohne eigene Fristwirkung.</x:v>
      </x:c>
      <x:c r="J82" s="14" t="str">
        <x:v>AP22CLOSE-SO-VRG
AP22CLOSE-SO-ZPO
AP22CLOSE-SO-STPO
AP22CLOSE-EUFRUEB
AP22CLOSE-BGE124II527
AP22CLOSE-BGER-9C396
AP22CLOSE-BUND-VWVG</x:v>
      </x:c>
      <x:c r="K82" s="14" t="str">
        <x:v>BGS 124.11 § 9 Abs. 1 | BGS 221.2 § 22 Abs. 2 | BGS 321.3 § 10bis | Art. 1 und 5 | E. 2b | E. 2.2 bis 2.4 | Stand 01.07.2022, Art. 11, 20 und 22a</x:v>
      </x:c>
      <x:c r="L82" s="14" t="str">
        <x:v>Erfasste Regelgültigkeiten 2026-01-01 bis offen. Kein neuer Berechnungszeitraum freigegeben.</x:v>
      </x:c>
      <x:c r="M82" s="14" t="str">
        <x:v>02.10.2026 gezielte Quellenprüfung. Direktbeleg und normative Ableitung siehe Begründung und Fachnachtrag.</x:v>
      </x:c>
      <x:c r="N82" s="14" t="str">
        <x:v>Fachliche Freigabe DEC-2026-028 erteilt. Keine technische Aktivierung.</x:v>
      </x:c>
      <x:c r="O82" s="15"/>
    </x:row>
    <x:row r="83" ht="72" customHeight="1">
      <x:c r="A83" s="13" t="str">
        <x:v>AP22-BS-RLG-ALL-STPO</x:v>
      </x:c>
      <x:c r="B83" s="13" t="str">
        <x:v>Basel-Stadt</x:v>
      </x:c>
      <x:c r="C83" s="13" t="str">
        <x:v>StPO</x:v>
      </x:c>
      <x:c r="D83" s="13" t="str">
        <x:v>BS-RLG-ALL</x:v>
      </x:c>
      <x:c r="E83" s="14" t="str">
        <x:v>Zuordnung bestimmt</x:v>
      </x:c>
      <x:c r="F83" s="13" t="str">
        <x:v>Verwenden
BS-RLG-ALL</x:v>
      </x:c>
      <x:c r="G83" s="13" t="str">
        <x:v>Rechtlich massgebender Partei- / Vertretungsort</x:v>
      </x:c>
      <x:c r="H83" s="13" t="str">
        <x:v>Öffentlicher Feiertag</x:v>
      </x:c>
      <x:c r="I83" s="13" t="str">
        <x:v>Kantonal anerkannte Grundliste am rechtlich massgebenden Ort. Übernahme im Umfang von DEC-2026-028. AP18-/MVP-0.6-Quellenstand wiederverwendet, keine vollständige neue Quellenrevision behauptet.</x:v>
      </x:c>
      <x:c r="J83" s="13" t="str">
        <x:v>SRC-BS-RLG-811100-20200701
AP22-STPO</x:v>
      </x:c>
      <x:c r="K83" s="13" t="str">
        <x:v>SG 811.100, § 2 Abs. 1, Version 4927 | Art. 89 Abs. 2 und Art. 90 Abs. 2</x:v>
      </x:c>
      <x:c r="L83" s="13" t="str">
        <x:v>Erfasste Regelgültigkeiten 2026-01-01 bis offen. Kein neuer Berechnungszeitraum freigegeben.</x:v>
      </x:c>
      <x:c r="M83" s="13" t="str">
        <x:v>Fachliche Freigabe DEC-2026-028. Quellenherkunft gemäss Blatt Quellen.</x:v>
      </x:c>
      <x:c r="N83" s="13" t="str">
        <x:v>Fachliche Freigabe DEC-2026-028 erteilt. Keine technische Aktivierung.</x:v>
      </x:c>
      <x:c r="O83" s="15"/>
    </x:row>
    <x:row r="84" ht="72" customHeight="1">
      <x:c r="A84" s="14" t="str">
        <x:v>AP22-BS-RLG-ALL-ZPO</x:v>
      </x:c>
      <x:c r="B84" s="14" t="str">
        <x:v>Basel-Stadt</x:v>
      </x:c>
      <x:c r="C84" s="14" t="str">
        <x:v>ZPO</x:v>
      </x:c>
      <x:c r="D84" s="14" t="str">
        <x:v>BS-RLG-ALL</x:v>
      </x:c>
      <x:c r="E84" s="14" t="str">
        <x:v>Zuordnung bestimmt</x:v>
      </x:c>
      <x:c r="F84" s="14" t="str">
        <x:v>Verwenden
BS-RLG-ALL</x:v>
      </x:c>
      <x:c r="G84" s="14" t="str">
        <x:v>Gerichtsort</x:v>
      </x:c>
      <x:c r="H84" s="14" t="str">
        <x:v>Öffentlicher Feiertag</x:v>
      </x:c>
      <x:c r="I84" s="14" t="str">
        <x:v>Kantonal anerkannte Grundliste am rechtlich massgebenden Ort. Übernahme im Umfang von DEC-2026-028. AP18-/MVP-0.6-Quellenstand wiederverwendet, keine vollständige neue Quellenrevision behauptet.</x:v>
      </x:c>
      <x:c r="J84" s="14" t="str">
        <x:v>SRC-BS-RLG-811100-20200701
AP22-ZPO</x:v>
      </x:c>
      <x:c r="K84" s="14" t="str">
        <x:v>SG 811.100, § 2 Abs. 1, Version 4927 | Art. 142 Abs. 1bis und 3, Art. 145</x:v>
      </x:c>
      <x:c r="L84" s="14" t="str">
        <x:v>Erfasste Regelgültigkeiten 2026-01-01 bis offen. Kein neuer Berechnungszeitraum freigegeben.</x:v>
      </x:c>
      <x:c r="M84" s="14" t="str">
        <x:v>Fachliche Freigabe DEC-2026-028. Quellenherkunft gemäss Blatt Quellen.</x:v>
      </x:c>
      <x:c r="N84" s="14" t="str">
        <x:v>Fachliche Freigabe DEC-2026-028 erteilt. Keine technische Aktivierung.</x:v>
      </x:c>
      <x:c r="O84" s="15"/>
    </x:row>
    <x:row r="85" ht="72" customHeight="1">
      <x:c r="A85" s="13" t="str">
        <x:v>AP22-BS-RLG-ALL-BGG</x:v>
      </x:c>
      <x:c r="B85" s="13" t="str">
        <x:v>Basel-Stadt</x:v>
      </x:c>
      <x:c r="C85" s="13" t="str">
        <x:v>BGG</x:v>
      </x:c>
      <x:c r="D85" s="13" t="str">
        <x:v>BS-RLG-ALL</x:v>
      </x:c>
      <x:c r="E85" s="14" t="str">
        <x:v>Zuordnung bestimmt</x:v>
      </x:c>
      <x:c r="F85" s="13" t="str">
        <x:v>Verwenden
BS-RLG-ALL</x:v>
      </x:c>
      <x:c r="G85" s="13" t="str">
        <x:v>Rechtlich massgebender Partei- / Vertretungsort</x:v>
      </x:c>
      <x:c r="H85" s="13" t="str">
        <x:v>Öffentlicher Feiertag</x:v>
      </x:c>
      <x:c r="I85" s="13" t="str">
        <x:v>Kantonal anerkannte Grundliste am rechtlich massgebenden Ort. Übernahme im Umfang von DEC-2026-028. AP18-/MVP-0.6-Quellenstand wiederverwendet, keine vollständige neue Quellenrevision behauptet.</x:v>
      </x:c>
      <x:c r="J85" s="13" t="str">
        <x:v>SRC-BS-RLG-811100-20200701
AP22-BGG</x:v>
      </x:c>
      <x:c r="K85" s="13" t="str">
        <x:v>SG 811.100, § 2 Abs. 1, Version 4927 | Art. 45 und 46</x:v>
      </x:c>
      <x:c r="L85" s="13" t="str">
        <x:v>Erfasste Regelgültigkeiten 2026-01-01 bis offen. Kein neuer Berechnungszeitraum freigegeben.</x:v>
      </x:c>
      <x:c r="M85" s="13" t="str">
        <x:v>Fachliche Freigabe DEC-2026-028. Quellenherkunft gemäss Blatt Quellen.</x:v>
      </x:c>
      <x:c r="N85" s="13" t="str">
        <x:v>Fachliche Freigabe DEC-2026-028 erteilt. Keine technische Aktivierung.</x:v>
      </x:c>
      <x:c r="O85" s="15"/>
    </x:row>
    <x:row r="86" ht="72" customHeight="1">
      <x:c r="A86" s="14" t="str">
        <x:v>AP22-BS-RLG-ALL-VWVG</x:v>
      </x:c>
      <x:c r="B86" s="14" t="str">
        <x:v>Basel-Stadt</x:v>
      </x:c>
      <x:c r="C86" s="14" t="str">
        <x:v>VwVG</x:v>
      </x:c>
      <x:c r="D86" s="14" t="str">
        <x:v>BS-RLG-ALL</x:v>
      </x:c>
      <x:c r="E86" s="14" t="str">
        <x:v>Zuordnung bestimmt</x:v>
      </x:c>
      <x:c r="F86" s="14" t="str">
        <x:v>Verwenden
BS-RLG-ALL</x:v>
      </x:c>
      <x:c r="G86" s="14" t="str">
        <x:v>Rechtlich massgebender Partei- / Vertretungsort</x:v>
      </x:c>
      <x:c r="H86" s="14" t="str">
        <x:v>Öffentlicher Feiertag</x:v>
      </x:c>
      <x:c r="I86" s="14" t="str">
        <x:v>Kantonal anerkannte Grundliste am rechtlich massgebenden Ort. Übernahme im Umfang von DEC-2026-028. AP18-/MVP-0.6-Quellenstand wiederverwendet, keine vollständige neue Quellenrevision behauptet.</x:v>
      </x:c>
      <x:c r="J86" s="14" t="str">
        <x:v>SRC-BS-RLG-811100-20200701
AP22-VWVG</x:v>
      </x:c>
      <x:c r="K86" s="14" t="str">
        <x:v>SG 811.100, § 2 Abs. 1, Version 4927 | Art. 20 Abs. 3 und Art. 22a</x:v>
      </x:c>
      <x:c r="L86" s="14" t="str">
        <x:v>Erfasste Regelgültigkeiten 2026-01-01 bis offen. Kein neuer Berechnungszeitraum freigegeben.</x:v>
      </x:c>
      <x:c r="M86" s="14" t="str">
        <x:v>Fachliche Freigabe DEC-2026-028. Quellenherkunft gemäss Blatt Quellen.</x:v>
      </x:c>
      <x:c r="N86" s="14" t="str">
        <x:v>Fachliche Freigabe DEC-2026-028 erteilt. Keine technische Aktivierung.</x:v>
      </x:c>
      <x:c r="O86" s="15"/>
    </x:row>
    <x:row r="87" ht="72" customHeight="1">
      <x:c r="A87" s="13" t="str">
        <x:v>AP22-BL-RTG-ALL-STPO</x:v>
      </x:c>
      <x:c r="B87" s="13" t="str">
        <x:v>Basel-Landschaft</x:v>
      </x:c>
      <x:c r="C87" s="13" t="str">
        <x:v>StPO</x:v>
      </x:c>
      <x:c r="D87" s="13" t="str">
        <x:v>BL-RTG-ALL</x:v>
      </x:c>
      <x:c r="E87" s="14" t="str">
        <x:v>Zuordnung bestimmt</x:v>
      </x:c>
      <x:c r="F87" s="13" t="str">
        <x:v>Verwenden
BL-RTG-ALL</x:v>
      </x:c>
      <x:c r="G87" s="13" t="str">
        <x:v>Rechtlich massgebender Partei- / Vertretungsort</x:v>
      </x:c>
      <x:c r="H87" s="13" t="str">
        <x:v>Öffentlicher Feiertag</x:v>
      </x:c>
      <x:c r="I87" s="13" t="str">
        <x:v>Kantonal anerkannte Grundliste am rechtlich massgebenden Ort. Übernahme im Umfang von DEC-2026-028. AP18-/MVP-0.6-Quellenstand wiederverwendet, keine vollständige neue Quellenrevision behauptet.</x:v>
      </x:c>
      <x:c r="J87" s="13" t="str">
        <x:v>SRC-BL-RTG-547-20191201
AP22-STPO</x:v>
      </x:c>
      <x:c r="K87" s="13" t="str">
        <x:v>SGS 547, § 2, § 3 und § 10, Version 2507 | Art. 89 Abs. 2 und Art. 90 Abs. 2</x:v>
      </x:c>
      <x:c r="L87" s="13" t="str">
        <x:v>Erfasste Regelgültigkeiten 2026-01-01 bis offen. Kein neuer Berechnungszeitraum freigegeben.</x:v>
      </x:c>
      <x:c r="M87" s="13" t="str">
        <x:v>Fachliche Freigabe DEC-2026-028. Quellenherkunft gemäss Blatt Quellen.</x:v>
      </x:c>
      <x:c r="N87" s="13" t="str">
        <x:v>Fachliche Freigabe DEC-2026-028 erteilt. Keine technische Aktivierung.</x:v>
      </x:c>
      <x:c r="O87" s="15"/>
    </x:row>
    <x:row r="88" ht="72" customHeight="1">
      <x:c r="A88" s="14" t="str">
        <x:v>AP22-BL-RTG-ALL-ZPO</x:v>
      </x:c>
      <x:c r="B88" s="14" t="str">
        <x:v>Basel-Landschaft</x:v>
      </x:c>
      <x:c r="C88" s="14" t="str">
        <x:v>ZPO</x:v>
      </x:c>
      <x:c r="D88" s="14" t="str">
        <x:v>BL-RTG-ALL</x:v>
      </x:c>
      <x:c r="E88" s="14" t="str">
        <x:v>Zuordnung bestimmt</x:v>
      </x:c>
      <x:c r="F88" s="14" t="str">
        <x:v>Verwenden
BL-RTG-ALL</x:v>
      </x:c>
      <x:c r="G88" s="14" t="str">
        <x:v>Gerichtsort</x:v>
      </x:c>
      <x:c r="H88" s="14" t="str">
        <x:v>Öffentlicher Feiertag</x:v>
      </x:c>
      <x:c r="I88" s="14" t="str">
        <x:v>Kantonal anerkannte Grundliste am rechtlich massgebenden Ort. Übernahme im Umfang von DEC-2026-028. AP18-/MVP-0.6-Quellenstand wiederverwendet, keine vollständige neue Quellenrevision behauptet.</x:v>
      </x:c>
      <x:c r="J88" s="14" t="str">
        <x:v>SRC-BL-RTG-547-20191201
AP22-ZPO</x:v>
      </x:c>
      <x:c r="K88" s="14" t="str">
        <x:v>SGS 547, § 2, § 3 und § 10, Version 2507 | Art. 142 Abs. 1bis und 3, Art. 145</x:v>
      </x:c>
      <x:c r="L88" s="14" t="str">
        <x:v>Erfasste Regelgültigkeiten 2026-01-01 bis offen. Kein neuer Berechnungszeitraum freigegeben.</x:v>
      </x:c>
      <x:c r="M88" s="14" t="str">
        <x:v>Fachliche Freigabe DEC-2026-028. Quellenherkunft gemäss Blatt Quellen.</x:v>
      </x:c>
      <x:c r="N88" s="14" t="str">
        <x:v>Fachliche Freigabe DEC-2026-028 erteilt. Keine technische Aktivierung.</x:v>
      </x:c>
      <x:c r="O88" s="15"/>
    </x:row>
    <x:row r="89" ht="72" customHeight="1">
      <x:c r="A89" s="13" t="str">
        <x:v>AP22-BL-RTG-ALL-BGG</x:v>
      </x:c>
      <x:c r="B89" s="13" t="str">
        <x:v>Basel-Landschaft</x:v>
      </x:c>
      <x:c r="C89" s="13" t="str">
        <x:v>BGG</x:v>
      </x:c>
      <x:c r="D89" s="13" t="str">
        <x:v>BL-RTG-ALL</x:v>
      </x:c>
      <x:c r="E89" s="14" t="str">
        <x:v>Zuordnung bestimmt</x:v>
      </x:c>
      <x:c r="F89" s="13" t="str">
        <x:v>Verwenden
BL-RTG-ALL</x:v>
      </x:c>
      <x:c r="G89" s="13" t="str">
        <x:v>Rechtlich massgebender Partei- / Vertretungsort</x:v>
      </x:c>
      <x:c r="H89" s="13" t="str">
        <x:v>Öffentlicher Feiertag</x:v>
      </x:c>
      <x:c r="I89" s="13" t="str">
        <x:v>Kantonal anerkannte Grundliste am rechtlich massgebenden Ort. Übernahme im Umfang von DEC-2026-028. AP18-/MVP-0.6-Quellenstand wiederverwendet, keine vollständige neue Quellenrevision behauptet.</x:v>
      </x:c>
      <x:c r="J89" s="13" t="str">
        <x:v>SRC-BL-RTG-547-20191201
AP22-BGG</x:v>
      </x:c>
      <x:c r="K89" s="13" t="str">
        <x:v>SGS 547, § 2, § 3 und § 10, Version 2507 | Art. 45 und 46</x:v>
      </x:c>
      <x:c r="L89" s="13" t="str">
        <x:v>Erfasste Regelgültigkeiten 2026-01-01 bis offen. Kein neuer Berechnungszeitraum freigegeben.</x:v>
      </x:c>
      <x:c r="M89" s="13" t="str">
        <x:v>Fachliche Freigabe DEC-2026-028. Quellenherkunft gemäss Blatt Quellen.</x:v>
      </x:c>
      <x:c r="N89" s="13" t="str">
        <x:v>Fachliche Freigabe DEC-2026-028 erteilt. Keine technische Aktivierung.</x:v>
      </x:c>
      <x:c r="O89" s="15"/>
    </x:row>
    <x:row r="90" ht="72" customHeight="1">
      <x:c r="A90" s="14" t="str">
        <x:v>AP22-BL-RTG-ALL-VWVG</x:v>
      </x:c>
      <x:c r="B90" s="14" t="str">
        <x:v>Basel-Landschaft</x:v>
      </x:c>
      <x:c r="C90" s="14" t="str">
        <x:v>VwVG</x:v>
      </x:c>
      <x:c r="D90" s="14" t="str">
        <x:v>BL-RTG-ALL</x:v>
      </x:c>
      <x:c r="E90" s="14" t="str">
        <x:v>Zuordnung bestimmt</x:v>
      </x:c>
      <x:c r="F90" s="14" t="str">
        <x:v>Verwenden
BL-RTG-ALL</x:v>
      </x:c>
      <x:c r="G90" s="14" t="str">
        <x:v>Rechtlich massgebender Partei- / Vertretungsort</x:v>
      </x:c>
      <x:c r="H90" s="14" t="str">
        <x:v>Öffentlicher Feiertag</x:v>
      </x:c>
      <x:c r="I90" s="14" t="str">
        <x:v>Kantonal anerkannte Grundliste am rechtlich massgebenden Ort. Übernahme im Umfang von DEC-2026-028. AP18-/MVP-0.6-Quellenstand wiederverwendet, keine vollständige neue Quellenrevision behauptet.</x:v>
      </x:c>
      <x:c r="J90" s="14" t="str">
        <x:v>SRC-BL-RTG-547-20191201
AP22-VWVG</x:v>
      </x:c>
      <x:c r="K90" s="14" t="str">
        <x:v>SGS 547, § 2, § 3 und § 10, Version 2507 | Art. 20 Abs. 3 und Art. 22a</x:v>
      </x:c>
      <x:c r="L90" s="14" t="str">
        <x:v>Erfasste Regelgültigkeiten 2026-01-01 bis offen. Kein neuer Berechnungszeitraum freigegeben.</x:v>
      </x:c>
      <x:c r="M90" s="14" t="str">
        <x:v>Fachliche Freigabe DEC-2026-028. Quellenherkunft gemäss Blatt Quellen.</x:v>
      </x:c>
      <x:c r="N90" s="14" t="str">
        <x:v>Fachliche Freigabe DEC-2026-028 erteilt. Keine technische Aktivierung.</x:v>
      </x:c>
      <x:c r="O90" s="15"/>
    </x:row>
    <x:row r="91" ht="72" customHeight="1">
      <x:c r="A91" s="13" t="str">
        <x:v>AP22-SH-RTG-ALL-STPO</x:v>
      </x:c>
      <x:c r="B91" s="13" t="str">
        <x:v>Schaffhausen</x:v>
      </x:c>
      <x:c r="C91" s="13" t="str">
        <x:v>StPO</x:v>
      </x:c>
      <x:c r="D91" s="13" t="str">
        <x:v>SH-RTG-ALL</x:v>
      </x:c>
      <x:c r="E91" s="14" t="str">
        <x:v>Zuordnung bestimmt</x:v>
      </x:c>
      <x:c r="F91" s="13" t="str">
        <x:v>Verwenden
SH-RTG-ALL</x:v>
      </x:c>
      <x:c r="G91" s="13" t="str">
        <x:v>Rechtlich massgebender Partei- / Vertretungsort</x:v>
      </x:c>
      <x:c r="H91" s="13" t="str">
        <x:v>Öffentlicher Feiertag</x:v>
      </x:c>
      <x:c r="I91" s="13" t="str">
        <x:v>Kantonal anerkannte Grundliste am rechtlich massgebenden Ort. Übernahme im Umfang von DEC-2026-028. AP18-/MVP-0.6-Quellenstand wiederverwendet, keine vollständige neue Quellenrevision behauptet.</x:v>
      </x:c>
      <x:c r="J91" s="13" t="str">
        <x:v>SRC-SH-RTG-900200-V1886
AP22-STPO</x:v>
      </x:c>
      <x:c r="K91" s="13" t="str">
        <x:v>SHR 900.200, Art. 1 und 2, Version 1886 | Art. 89 Abs. 2 und Art. 90 Abs. 2</x:v>
      </x:c>
      <x:c r="L91" s="13" t="str">
        <x:v>Erfasste Regelgültigkeiten 2026-01-01 bis offen. Kein neuer Berechnungszeitraum freigegeben.</x:v>
      </x:c>
      <x:c r="M91" s="13" t="str">
        <x:v>Fachliche Freigabe DEC-2026-028. Quellenherkunft gemäss Blatt Quellen.</x:v>
      </x:c>
      <x:c r="N91" s="13" t="str">
        <x:v>Fachliche Freigabe DEC-2026-028 erteilt. Keine technische Aktivierung.</x:v>
      </x:c>
      <x:c r="O91" s="15"/>
    </x:row>
    <x:row r="92" ht="72" customHeight="1">
      <x:c r="A92" s="14" t="str">
        <x:v>AP22-SH-RTG-ALL-ZPO</x:v>
      </x:c>
      <x:c r="B92" s="14" t="str">
        <x:v>Schaffhausen</x:v>
      </x:c>
      <x:c r="C92" s="14" t="str">
        <x:v>ZPO</x:v>
      </x:c>
      <x:c r="D92" s="14" t="str">
        <x:v>SH-RTG-ALL</x:v>
      </x:c>
      <x:c r="E92" s="14" t="str">
        <x:v>Zuordnung bestimmt</x:v>
      </x:c>
      <x:c r="F92" s="14" t="str">
        <x:v>Verwenden
SH-RTG-ALL</x:v>
      </x:c>
      <x:c r="G92" s="14" t="str">
        <x:v>Gerichtsort</x:v>
      </x:c>
      <x:c r="H92" s="14" t="str">
        <x:v>Öffentlicher Feiertag</x:v>
      </x:c>
      <x:c r="I92" s="14" t="str">
        <x:v>Kantonal anerkannte Grundliste am rechtlich massgebenden Ort. Übernahme im Umfang von DEC-2026-028. AP18-/MVP-0.6-Quellenstand wiederverwendet, keine vollständige neue Quellenrevision behauptet.</x:v>
      </x:c>
      <x:c r="J92" s="14" t="str">
        <x:v>SRC-SH-RTG-900200-V1886
AP22-ZPO</x:v>
      </x:c>
      <x:c r="K92" s="14" t="str">
        <x:v>SHR 900.200, Art. 1 und 2, Version 1886 | Art. 142 Abs. 1bis und 3, Art. 145</x:v>
      </x:c>
      <x:c r="L92" s="14" t="str">
        <x:v>Erfasste Regelgültigkeiten 2026-01-01 bis offen. Kein neuer Berechnungszeitraum freigegeben.</x:v>
      </x:c>
      <x:c r="M92" s="14" t="str">
        <x:v>Fachliche Freigabe DEC-2026-028. Quellenherkunft gemäss Blatt Quellen.</x:v>
      </x:c>
      <x:c r="N92" s="14" t="str">
        <x:v>Fachliche Freigabe DEC-2026-028 erteilt. Keine technische Aktivierung.</x:v>
      </x:c>
      <x:c r="O92" s="15"/>
    </x:row>
    <x:row r="93" ht="72" customHeight="1">
      <x:c r="A93" s="13" t="str">
        <x:v>AP22-SH-RTG-ALL-BGG</x:v>
      </x:c>
      <x:c r="B93" s="13" t="str">
        <x:v>Schaffhausen</x:v>
      </x:c>
      <x:c r="C93" s="13" t="str">
        <x:v>BGG</x:v>
      </x:c>
      <x:c r="D93" s="13" t="str">
        <x:v>SH-RTG-ALL</x:v>
      </x:c>
      <x:c r="E93" s="14" t="str">
        <x:v>Zuordnung bestimmt</x:v>
      </x:c>
      <x:c r="F93" s="13" t="str">
        <x:v>Verwenden
SH-RTG-ALL</x:v>
      </x:c>
      <x:c r="G93" s="13" t="str">
        <x:v>Rechtlich massgebender Partei- / Vertretungsort</x:v>
      </x:c>
      <x:c r="H93" s="13" t="str">
        <x:v>Öffentlicher Feiertag</x:v>
      </x:c>
      <x:c r="I93" s="13" t="str">
        <x:v>Kantonal anerkannte Grundliste am rechtlich massgebenden Ort. Übernahme im Umfang von DEC-2026-028. AP18-/MVP-0.6-Quellenstand wiederverwendet, keine vollständige neue Quellenrevision behauptet.</x:v>
      </x:c>
      <x:c r="J93" s="13" t="str">
        <x:v>SRC-SH-RTG-900200-V1886
AP22-BGG</x:v>
      </x:c>
      <x:c r="K93" s="13" t="str">
        <x:v>SHR 900.200, Art. 1 und 2, Version 1886 | Art. 45 und 46</x:v>
      </x:c>
      <x:c r="L93" s="13" t="str">
        <x:v>Erfasste Regelgültigkeiten 2026-01-01 bis offen. Kein neuer Berechnungszeitraum freigegeben.</x:v>
      </x:c>
      <x:c r="M93" s="13" t="str">
        <x:v>Fachliche Freigabe DEC-2026-028. Quellenherkunft gemäss Blatt Quellen.</x:v>
      </x:c>
      <x:c r="N93" s="13" t="str">
        <x:v>Fachliche Freigabe DEC-2026-028 erteilt. Keine technische Aktivierung.</x:v>
      </x:c>
      <x:c r="O93" s="15"/>
    </x:row>
    <x:row r="94" ht="72" customHeight="1">
      <x:c r="A94" s="14" t="str">
        <x:v>AP22-SH-RTG-ALL-VWVG</x:v>
      </x:c>
      <x:c r="B94" s="14" t="str">
        <x:v>Schaffhausen</x:v>
      </x:c>
      <x:c r="C94" s="14" t="str">
        <x:v>VwVG</x:v>
      </x:c>
      <x:c r="D94" s="14" t="str">
        <x:v>SH-RTG-ALL</x:v>
      </x:c>
      <x:c r="E94" s="14" t="str">
        <x:v>Zuordnung bestimmt</x:v>
      </x:c>
      <x:c r="F94" s="14" t="str">
        <x:v>Verwenden
SH-RTG-ALL</x:v>
      </x:c>
      <x:c r="G94" s="14" t="str">
        <x:v>Rechtlich massgebender Partei- / Vertretungsort</x:v>
      </x:c>
      <x:c r="H94" s="14" t="str">
        <x:v>Öffentlicher Feiertag</x:v>
      </x:c>
      <x:c r="I94" s="14" t="str">
        <x:v>Kantonal anerkannte Grundliste am rechtlich massgebenden Ort. Übernahme im Umfang von DEC-2026-028. AP18-/MVP-0.6-Quellenstand wiederverwendet, keine vollständige neue Quellenrevision behauptet.</x:v>
      </x:c>
      <x:c r="J94" s="14" t="str">
        <x:v>SRC-SH-RTG-900200-V1886
AP22-VWVG</x:v>
      </x:c>
      <x:c r="K94" s="14" t="str">
        <x:v>SHR 900.200, Art. 1 und 2, Version 1886 | Art. 20 Abs. 3 und Art. 22a</x:v>
      </x:c>
      <x:c r="L94" s="14" t="str">
        <x:v>Erfasste Regelgültigkeiten 2026-01-01 bis offen. Kein neuer Berechnungszeitraum freigegeben.</x:v>
      </x:c>
      <x:c r="M94" s="14" t="str">
        <x:v>Fachliche Freigabe DEC-2026-028. Quellenherkunft gemäss Blatt Quellen.</x:v>
      </x:c>
      <x:c r="N94" s="14" t="str">
        <x:v>Fachliche Freigabe DEC-2026-028 erteilt. Keine technische Aktivierung.</x:v>
      </x:c>
      <x:c r="O94" s="15"/>
    </x:row>
    <x:row r="95" ht="114" customHeight="1">
      <x:c r="A95" s="13" t="str">
        <x:v>AP22-SH-ZPO-ADDITIONAL-STPO</x:v>
      </x:c>
      <x:c r="B95" s="13" t="str">
        <x:v>Schaffhausen</x:v>
      </x:c>
      <x:c r="C95" s="13" t="str">
        <x:v>StPO</x:v>
      </x:c>
      <x:c r="D95" s="13" t="str">
        <x:v>SH-ZPO-ADDITIONAL</x:v>
      </x:c>
      <x:c r="E95" s="31" t="str">
        <x:v>Ergebnisabhängig begrenzt</x:v>
      </x:c>
      <x:c r="F95" s="13" t="str">
        <x:v>Einzelfallklärung nur bei Ergebnisunterschied am 2. Januar</x:v>
      </x:c>
      <x:c r="G95" s="13" t="str">
        <x:v>Rechtlich massgebender Partei- / Vertretungsort</x:v>
      </x:c>
      <x:c r="H95" s="13" t="str">
        <x:v>Prozessual gleichgestellter Tag</x:v>
      </x:c>
      <x:c r="I95" s="13" t="str">
        <x:v>DEC-2026-029 vom 08.10.2026: übrige bestätigte Regeln bleiben verwendbar. Wenn die Behandlung des 2. Januar das Ergebnis verändert, Einzelfallklärung und kein definitives automatisches Fristresultat. Kein sicherer Feiertags- oder Werktagsstatus behauptet. Keine pauschale Kantons- oder Verfahrenssperre.</x:v>
      </x:c>
      <x:c r="J95" s="13" t="str">
        <x:v>AP22CLOSE-PROC-SH
AP22CLOSE-PROC-STPO-LIMIT
AP22CLOSE-BUND-STPO</x:v>
      </x:c>
      <x:c r="K95" s="13" t="str">
        <x:v>Amtsbericht 2018, S. 84–87, E. 2.1.1–2.1.4 | E. 1.3.2–1.3.3 | Stand 01.04.2025, Art. 87, 89 und 90</x:v>
      </x:c>
      <x:c r="L95" s="13" t="str">
        <x:v>Erfasste Regelgültigkeiten 2026-01-01 bis offen. Kein neuer Berechnungszeitraum freigegeben.</x:v>
      </x:c>
      <x:c r="M95" s="13" t="str">
        <x:v>02.10.2026 gezielte Quellenprüfung. Direktbeleg und normative Ableitung siehe Begründung und Fachnachtrag.</x:v>
      </x:c>
      <x:c r="N95" s="13" t="str">
        <x:v>DEC-2026-028 und DEC-2026-029 beschlossen. AP22A abgeschlossen. Technische Umsetzung ausstehend.</x:v>
      </x:c>
      <x:c r="O95" s="15"/>
    </x:row>
    <x:row r="96" ht="58" customHeight="1">
      <x:c r="A96" s="14" t="str">
        <x:v>AP22-SH-ZPO-ADDITIONAL-ZPO</x:v>
      </x:c>
      <x:c r="B96" s="14" t="str">
        <x:v>Schaffhausen</x:v>
      </x:c>
      <x:c r="C96" s="14" t="str">
        <x:v>ZPO</x:v>
      </x:c>
      <x:c r="D96" s="14" t="str">
        <x:v>SH-ZPO-ADDITIONAL</x:v>
      </x:c>
      <x:c r="E96" s="14" t="str">
        <x:v>Zuordnung bestimmt</x:v>
      </x:c>
      <x:c r="F96" s="14" t="str">
        <x:v>Ergänzen
SH-RTG-ALL + SH-ZPO-ADDITIONAL</x:v>
      </x:c>
      <x:c r="G96" s="14" t="str">
        <x:v>Gerichtsort</x:v>
      </x:c>
      <x:c r="H96" s="14" t="str">
        <x:v>Prozessual gleichgestellter Tag</x:v>
      </x:c>
      <x:c r="I96" s="14" t="str">
        <x:v>Nur die bezeichneten Zusatztage zur passenden Grundliste. Räumliche und verfahrensrechtliche Bindung beachten, keine freie Vereinigung konkurrierender Listen. DEC-2026-028.</x:v>
      </x:c>
      <x:c r="J96" s="14" t="str">
        <x:v>SRC-SH-OGE-4020181K-20180824
AP22-ZPO</x:v>
      </x:c>
      <x:c r="K96" s="14" t="str">
        <x:v>Amtsbericht 2018, S. 84–87, E. 2.1.1–2.1.4 | Art. 142 Abs. 1bis und 3, Art. 145</x:v>
      </x:c>
      <x:c r="L96" s="14" t="str">
        <x:v>Erfasste Regelgültigkeiten 2026-01-01 bis offen. Kein neuer Berechnungszeitraum freigegeben.</x:v>
      </x:c>
      <x:c r="M96" s="14" t="str">
        <x:v>Fachliche Freigabe DEC-2026-028. Quellenherkunft gemäss Blatt Quellen.</x:v>
      </x:c>
      <x:c r="N96" s="14" t="str">
        <x:v>Fachliche Freigabe DEC-2026-028 erteilt. Keine technische Aktivierung.</x:v>
      </x:c>
      <x:c r="O96" s="15"/>
    </x:row>
    <x:row r="97" ht="86" customHeight="1">
      <x:c r="A97" s="13" t="str">
        <x:v>AP22-SH-ZPO-ADDITIONAL-BGG</x:v>
      </x:c>
      <x:c r="B97" s="13" t="str">
        <x:v>Schaffhausen</x:v>
      </x:c>
      <x:c r="C97" s="13" t="str">
        <x:v>BGG</x:v>
      </x:c>
      <x:c r="D97" s="13" t="str">
        <x:v>SH-ZPO-ADDITIONAL</x:v>
      </x:c>
      <x:c r="E97" s="14" t="str">
        <x:v>Zuordnung bestimmt</x:v>
      </x:c>
      <x:c r="F97" s="13" t="str">
        <x:v>Ergänzen
SH-RTG-ALL + SH-ZPO-ADDITIONAL</x:v>
      </x:c>
      <x:c r="G97" s="13" t="str">
        <x:v>Rechtlich massgebender Partei- / Vertretungsort</x:v>
      </x:c>
      <x:c r="H97" s="13" t="str">
        <x:v>Prozessual gleichgestellter Tag</x:v>
      </x:c>
      <x:c r="I97" s="13" t="str">
        <x:v>Beleg: OGE 40/2018/1/K anerkennt den 2. Januar unter ZPO. Inferenz: Der anerkannte gleichgestellte Prozesstag wird über Art. 45 BGG sowie Art. 20 VwVG und Art. 5 EuFrÜb berücksichtigt. Es wird kein Einzelurteil zu diesen beiden SH-Bundesprofilen behauptet. Die Ortsrollen des jeweiligen Bundesprofils bleiben massgebend.</x:v>
      </x:c>
      <x:c r="J97" s="13" t="str">
        <x:v>AP22CLOSE-PROC-SH
AP22CLOSE-PROC-BGG-TRANSFER
AP22CLOSE-BUND-BGG</x:v>
      </x:c>
      <x:c r="K97" s="13" t="str">
        <x:v>Amtsbericht 2018, S. 84–87, E. 2.1.1–2.1.4 | E. 6.5 | Stand 01.04.2026, Art. 45 und 46</x:v>
      </x:c>
      <x:c r="L97" s="13" t="str">
        <x:v>Erfasste Regelgültigkeiten 2026-01-01 bis offen. Kein neuer Berechnungszeitraum freigegeben.</x:v>
      </x:c>
      <x:c r="M97" s="13" t="str">
        <x:v>02.10.2026 gezielte Quellenprüfung. Direktbeleg und normative Ableitung siehe Begründung und Fachnachtrag.</x:v>
      </x:c>
      <x:c r="N97" s="13" t="str">
        <x:v>Fachliche Freigabe DEC-2026-028 erteilt. Keine technische Aktivierung.</x:v>
      </x:c>
      <x:c r="O97" s="15"/>
    </x:row>
    <x:row r="98" ht="86" customHeight="1">
      <x:c r="A98" s="14" t="str">
        <x:v>AP22-SH-ZPO-ADDITIONAL-VWVG</x:v>
      </x:c>
      <x:c r="B98" s="14" t="str">
        <x:v>Schaffhausen</x:v>
      </x:c>
      <x:c r="C98" s="14" t="str">
        <x:v>VwVG</x:v>
      </x:c>
      <x:c r="D98" s="14" t="str">
        <x:v>SH-ZPO-ADDITIONAL</x:v>
      </x:c>
      <x:c r="E98" s="14" t="str">
        <x:v>Zuordnung bestimmt</x:v>
      </x:c>
      <x:c r="F98" s="14" t="str">
        <x:v>Ergänzen
SH-RTG-ALL + SH-ZPO-ADDITIONAL</x:v>
      </x:c>
      <x:c r="G98" s="14" t="str">
        <x:v>Rechtlich massgebender Partei- / Vertretungsort</x:v>
      </x:c>
      <x:c r="H98" s="14" t="str">
        <x:v>Prozessual gleichgestellter Tag</x:v>
      </x:c>
      <x:c r="I98" s="14" t="str">
        <x:v>Beleg: OGE 40/2018/1/K anerkennt den 2. Januar unter ZPO. Inferenz: Der anerkannte gleichgestellte Prozesstag wird über Art. 45 BGG sowie Art. 20 VwVG und Art. 5 EuFrÜb berücksichtigt. Es wird kein Einzelurteil zu diesen beiden SH-Bundesprofilen behauptet. Die Ortsrollen des jeweiligen Bundesprofils bleiben massgebend.</x:v>
      </x:c>
      <x:c r="J98" s="14" t="str">
        <x:v>AP22CLOSE-PROC-SH
AP22CLOSE-PROC-BGG-TRANSFER
AP22CLOSE-BUND-VWVG</x:v>
      </x:c>
      <x:c r="K98" s="14" t="str">
        <x:v>Amtsbericht 2018, S. 84–87, E. 2.1.1–2.1.4 | E. 6.5 | Stand 01.07.2022, Art. 11, 20 und 22a</x:v>
      </x:c>
      <x:c r="L98" s="14" t="str">
        <x:v>Erfasste Regelgültigkeiten 2026-01-01 bis offen. Kein neuer Berechnungszeitraum freigegeben.</x:v>
      </x:c>
      <x:c r="M98" s="14" t="str">
        <x:v>02.10.2026 gezielte Quellenprüfung. Direktbeleg und normative Ableitung siehe Begründung und Fachnachtrag.</x:v>
      </x:c>
      <x:c r="N98" s="14" t="str">
        <x:v>Fachliche Freigabe DEC-2026-028 erteilt. Keine technische Aktivierung.</x:v>
      </x:c>
      <x:c r="O98" s="15"/>
    </x:row>
    <x:row r="99" ht="100" customHeight="1">
      <x:c r="A99" s="13" t="str">
        <x:v>AP22-AR-ARG-ALL-STPO</x:v>
      </x:c>
      <x:c r="B99" s="13" t="str">
        <x:v>Appenzell Ausserrhoden</x:v>
      </x:c>
      <x:c r="C99" s="13" t="str">
        <x:v>StPO</x:v>
      </x:c>
      <x:c r="D99" s="13" t="str">
        <x:v>AR-ARG-ALL</x:v>
      </x:c>
      <x:c r="E99" s="14" t="str">
        <x:v>Zuordnung bestimmt</x:v>
      </x:c>
      <x:c r="F99" s="13" t="str">
        <x:v>Verwenden
CH-ALL + AR-ARG-ALL</x:v>
      </x:c>
      <x:c r="G99" s="13" t="str">
        <x:v>Rechtlich massgebender Partei- / Vertretungsort</x:v>
      </x:c>
      <x:c r="H99" s="13" t="str">
        <x:v>Arbeitsrechtlicher Feiertag / Öffentlicher Feiertag</x:v>
      </x:c>
      <x:c r="I99" s="13" t="str">
        <x:v>Beleg: Art. 7 enthält eine ausdrückliche gesetzliche Sonntagsgleichstellung. Inferenz: Diese Anerkennung wird für die Bundes-Endtagsnormen berücksichtigt. Es wird keine beliebige Arbeitgeberliste übernommen. Die Bedingung für den 26. Dezember bleibt erhalten. Der 2. Januar wird nicht allein aufgrund einer Verwaltungsschliessung ergänzt.</x:v>
      </x:c>
      <x:c r="J99" s="13" t="str">
        <x:v>AP22CLOSE-PROC-AR
AP22CLOSE-BUND-STPO</x:v>
      </x:c>
      <x:c r="K99" s="13" t="str">
        <x:v>bGS 822.11 Art. 7 | Stand 01.04.2025, Art. 87, 89 und 90</x:v>
      </x:c>
      <x:c r="L99" s="13" t="str">
        <x:v>Erfasste Regelgültigkeiten 2026-01-01 bis offen. Kein neuer Berechnungszeitraum freigegeben.</x:v>
      </x:c>
      <x:c r="M99" s="13" t="str">
        <x:v>02.10.2026 gezielte Quellenprüfung. Direktbeleg und normative Ableitung siehe Begründung und Fachnachtrag.</x:v>
      </x:c>
      <x:c r="N99" s="13" t="str">
        <x:v>Fachliche Freigabe DEC-2026-028 erteilt. Keine technische Aktivierung.</x:v>
      </x:c>
      <x:c r="O99" s="15"/>
    </x:row>
    <x:row r="100" ht="100" customHeight="1">
      <x:c r="A100" s="14" t="str">
        <x:v>AP22-AR-ARG-ALL-ZPO</x:v>
      </x:c>
      <x:c r="B100" s="14" t="str">
        <x:v>Appenzell Ausserrhoden</x:v>
      </x:c>
      <x:c r="C100" s="14" t="str">
        <x:v>ZPO</x:v>
      </x:c>
      <x:c r="D100" s="14" t="str">
        <x:v>AR-ARG-ALL</x:v>
      </x:c>
      <x:c r="E100" s="14" t="str">
        <x:v>Zuordnung bestimmt</x:v>
      </x:c>
      <x:c r="F100" s="14" t="str">
        <x:v>Verwenden
CH-ALL + AR-ARG-ALL</x:v>
      </x:c>
      <x:c r="G100" s="14" t="str">
        <x:v>Gerichtsort</x:v>
      </x:c>
      <x:c r="H100" s="14" t="str">
        <x:v>Arbeitsrechtlicher Feiertag / Öffentlicher Feiertag</x:v>
      </x:c>
      <x:c r="I100" s="14" t="str">
        <x:v>Beleg: Art. 7 enthält eine ausdrückliche gesetzliche Sonntagsgleichstellung. Inferenz: Diese Anerkennung wird für die Bundes-Endtagsnormen berücksichtigt. Es wird keine beliebige Arbeitgeberliste übernommen. Die Bedingung für den 26. Dezember bleibt erhalten. Der 2. Januar wird nicht allein aufgrund einer Verwaltungsschliessung ergänzt.</x:v>
      </x:c>
      <x:c r="J100" s="14" t="str">
        <x:v>AP22CLOSE-PROC-AR
AP22CLOSE-BUND-ZPO</x:v>
      </x:c>
      <x:c r="K100" s="14" t="str">
        <x:v>bGS 822.11 Art. 7 | Stand 01.07.2026, Art. 142 und 145</x:v>
      </x:c>
      <x:c r="L100" s="14" t="str">
        <x:v>Erfasste Regelgültigkeiten 2026-01-01 bis offen. Kein neuer Berechnungszeitraum freigegeben.</x:v>
      </x:c>
      <x:c r="M100" s="14" t="str">
        <x:v>02.10.2026 gezielte Quellenprüfung. Direktbeleg und normative Ableitung siehe Begründung und Fachnachtrag.</x:v>
      </x:c>
      <x:c r="N100" s="14" t="str">
        <x:v>Fachliche Freigabe DEC-2026-028 erteilt. Keine technische Aktivierung.</x:v>
      </x:c>
      <x:c r="O100" s="15"/>
    </x:row>
    <x:row r="101" ht="100" customHeight="1">
      <x:c r="A101" s="13" t="str">
        <x:v>AP22-AR-ARG-ALL-BGG</x:v>
      </x:c>
      <x:c r="B101" s="13" t="str">
        <x:v>Appenzell Ausserrhoden</x:v>
      </x:c>
      <x:c r="C101" s="13" t="str">
        <x:v>BGG</x:v>
      </x:c>
      <x:c r="D101" s="13" t="str">
        <x:v>AR-ARG-ALL</x:v>
      </x:c>
      <x:c r="E101" s="14" t="str">
        <x:v>Zuordnung bestimmt</x:v>
      </x:c>
      <x:c r="F101" s="13" t="str">
        <x:v>Verwenden
CH-ALL + AR-ARG-ALL</x:v>
      </x:c>
      <x:c r="G101" s="13" t="str">
        <x:v>Rechtlich massgebender Partei- / Vertretungsort</x:v>
      </x:c>
      <x:c r="H101" s="13" t="str">
        <x:v>Arbeitsrechtlicher Feiertag / Öffentlicher Feiertag</x:v>
      </x:c>
      <x:c r="I101" s="13" t="str">
        <x:v>Beleg: Art. 7 enthält eine ausdrückliche gesetzliche Sonntagsgleichstellung. Inferenz: Diese Anerkennung wird für die Bundes-Endtagsnormen berücksichtigt. Es wird keine beliebige Arbeitgeberliste übernommen. Die Bedingung für den 26. Dezember bleibt erhalten. Der 2. Januar wird nicht allein aufgrund einer Verwaltungsschliessung ergänzt.</x:v>
      </x:c>
      <x:c r="J101" s="13" t="str">
        <x:v>AP22CLOSE-PROC-AR
AP22CLOSE-BUND-BGG</x:v>
      </x:c>
      <x:c r="K101" s="13" t="str">
        <x:v>bGS 822.11 Art. 7 | Stand 01.04.2026, Art. 45 und 46</x:v>
      </x:c>
      <x:c r="L101" s="13" t="str">
        <x:v>Erfasste Regelgültigkeiten 2026-01-01 bis offen. Kein neuer Berechnungszeitraum freigegeben.</x:v>
      </x:c>
      <x:c r="M101" s="13" t="str">
        <x:v>02.10.2026 gezielte Quellenprüfung. Direktbeleg und normative Ableitung siehe Begründung und Fachnachtrag.</x:v>
      </x:c>
      <x:c r="N101" s="13" t="str">
        <x:v>Fachliche Freigabe DEC-2026-028 erteilt. Keine technische Aktivierung.</x:v>
      </x:c>
      <x:c r="O101" s="15"/>
    </x:row>
    <x:row r="102" ht="100" customHeight="1">
      <x:c r="A102" s="14" t="str">
        <x:v>AP22-AR-ARG-ALL-VWVG</x:v>
      </x:c>
      <x:c r="B102" s="14" t="str">
        <x:v>Appenzell Ausserrhoden</x:v>
      </x:c>
      <x:c r="C102" s="14" t="str">
        <x:v>VwVG</x:v>
      </x:c>
      <x:c r="D102" s="14" t="str">
        <x:v>AR-ARG-ALL</x:v>
      </x:c>
      <x:c r="E102" s="14" t="str">
        <x:v>Zuordnung bestimmt</x:v>
      </x:c>
      <x:c r="F102" s="14" t="str">
        <x:v>Verwenden
CH-ALL + AR-ARG-ALL</x:v>
      </x:c>
      <x:c r="G102" s="14" t="str">
        <x:v>Rechtlich massgebender Partei- / Vertretungsort</x:v>
      </x:c>
      <x:c r="H102" s="14" t="str">
        <x:v>Arbeitsrechtlicher Feiertag / Öffentlicher Feiertag</x:v>
      </x:c>
      <x:c r="I102" s="14" t="str">
        <x:v>Beleg: Art. 7 enthält eine ausdrückliche gesetzliche Sonntagsgleichstellung. Inferenz: Diese Anerkennung wird für die Bundes-Endtagsnormen berücksichtigt. Es wird keine beliebige Arbeitgeberliste übernommen. Die Bedingung für den 26. Dezember bleibt erhalten. Der 2. Januar wird nicht allein aufgrund einer Verwaltungsschliessung ergänzt.</x:v>
      </x:c>
      <x:c r="J102" s="14" t="str">
        <x:v>AP22CLOSE-PROC-AR
AP22CLOSE-BUND-VWVG</x:v>
      </x:c>
      <x:c r="K102" s="14" t="str">
        <x:v>bGS 822.11 Art. 7 | Stand 01.07.2022, Art. 11, 20 und 22a</x:v>
      </x:c>
      <x:c r="L102" s="14" t="str">
        <x:v>Erfasste Regelgültigkeiten 2026-01-01 bis offen. Kein neuer Berechnungszeitraum freigegeben.</x:v>
      </x:c>
      <x:c r="M102" s="14" t="str">
        <x:v>02.10.2026 gezielte Quellenprüfung. Direktbeleg und normative Ableitung siehe Begründung und Fachnachtrag.</x:v>
      </x:c>
      <x:c r="N102" s="14" t="str">
        <x:v>Fachliche Freigabe DEC-2026-028 erteilt. Keine technische Aktivierung.</x:v>
      </x:c>
      <x:c r="O102" s="15"/>
    </x:row>
    <x:row r="103" ht="86" customHeight="1">
      <x:c r="A103" s="13" t="str">
        <x:v>AP22-AI-RTG-ALL-STPO</x:v>
      </x:c>
      <x:c r="B103" s="13" t="str">
        <x:v>Appenzell Innerrhoden</x:v>
      </x:c>
      <x:c r="C103" s="13" t="str">
        <x:v>StPO</x:v>
      </x:c>
      <x:c r="D103" s="13" t="str">
        <x:v>AI-RTG-ALL</x:v>
      </x:c>
      <x:c r="E103" s="14" t="str">
        <x:v>Zuordnung bestimmt</x:v>
      </x:c>
      <x:c r="F103" s="13" t="str">
        <x:v>Verwenden
AI-RTG-ALL</x:v>
      </x:c>
      <x:c r="G103" s="13" t="str">
        <x:v>Rechtlich massgebender Partei- / Vertretungsort</x:v>
      </x:c>
      <x:c r="H103" s="13" t="str">
        <x:v>Öffentlicher Feiertag</x:v>
      </x:c>
      <x:c r="I103" s="13" t="str">
        <x:v>Kantonal anerkannte Grundliste am rechtlich massgebenden Ort. Übernahme im Umfang von DEC-2026-028. AP18-/MVP-0.6-Quellenstand wiederverwendet, keine vollständige neue Quellenrevision behauptet. Beschlossene gesetzesbasierte Stephanstagsregel und dokumentierter amtlicher Kalenderkonflikt bleiben unverändert.</x:v>
      </x:c>
      <x:c r="J103" s="13" t="str">
        <x:v>SRC-AI-RTG-822200-V1327
AP22-STPO</x:v>
      </x:c>
      <x:c r="K103" s="13" t="str">
        <x:v>GS 822.200, Art. 2 und 3, Version 1327 | Art. 89 Abs. 2 und Art. 90 Abs. 2</x:v>
      </x:c>
      <x:c r="L103" s="13" t="str">
        <x:v>Erfasste Regelgültigkeiten 2026-01-01 bis offen. Kein neuer Berechnungszeitraum freigegeben.</x:v>
      </x:c>
      <x:c r="M103" s="13" t="str">
        <x:v>Fachliche Freigabe DEC-2026-028. Quellenherkunft gemäss Blatt Quellen.</x:v>
      </x:c>
      <x:c r="N103" s="13" t="str">
        <x:v>Fachliche Freigabe DEC-2026-028 erteilt. Keine technische Aktivierung.</x:v>
      </x:c>
      <x:c r="O103" s="15"/>
    </x:row>
    <x:row r="104" ht="86" customHeight="1">
      <x:c r="A104" s="14" t="str">
        <x:v>AP22-AI-RTG-ALL-ZPO</x:v>
      </x:c>
      <x:c r="B104" s="14" t="str">
        <x:v>Appenzell Innerrhoden</x:v>
      </x:c>
      <x:c r="C104" s="14" t="str">
        <x:v>ZPO</x:v>
      </x:c>
      <x:c r="D104" s="14" t="str">
        <x:v>AI-RTG-ALL</x:v>
      </x:c>
      <x:c r="E104" s="14" t="str">
        <x:v>Zuordnung bestimmt</x:v>
      </x:c>
      <x:c r="F104" s="14" t="str">
        <x:v>Verwenden
AI-RTG-ALL</x:v>
      </x:c>
      <x:c r="G104" s="14" t="str">
        <x:v>Gerichtsort</x:v>
      </x:c>
      <x:c r="H104" s="14" t="str">
        <x:v>Öffentlicher Feiertag</x:v>
      </x:c>
      <x:c r="I104" s="14" t="str">
        <x:v>Kantonal anerkannte Grundliste am rechtlich massgebenden Ort. Übernahme im Umfang von DEC-2026-028. AP18-/MVP-0.6-Quellenstand wiederverwendet, keine vollständige neue Quellenrevision behauptet. Beschlossene gesetzesbasierte Stephanstagsregel und dokumentierter amtlicher Kalenderkonflikt bleiben unverändert.</x:v>
      </x:c>
      <x:c r="J104" s="14" t="str">
        <x:v>SRC-AI-RTG-822200-V1327
AP22-ZPO</x:v>
      </x:c>
      <x:c r="K104" s="14" t="str">
        <x:v>GS 822.200, Art. 2 und 3, Version 1327 | Art. 142 Abs. 1bis und 3, Art. 145</x:v>
      </x:c>
      <x:c r="L104" s="14" t="str">
        <x:v>Erfasste Regelgültigkeiten 2026-01-01 bis offen. Kein neuer Berechnungszeitraum freigegeben.</x:v>
      </x:c>
      <x:c r="M104" s="14" t="str">
        <x:v>Fachliche Freigabe DEC-2026-028. Quellenherkunft gemäss Blatt Quellen.</x:v>
      </x:c>
      <x:c r="N104" s="14" t="str">
        <x:v>Fachliche Freigabe DEC-2026-028 erteilt. Keine technische Aktivierung.</x:v>
      </x:c>
      <x:c r="O104" s="15"/>
    </x:row>
    <x:row r="105" ht="86" customHeight="1">
      <x:c r="A105" s="13" t="str">
        <x:v>AP22-AI-RTG-ALL-BGG</x:v>
      </x:c>
      <x:c r="B105" s="13" t="str">
        <x:v>Appenzell Innerrhoden</x:v>
      </x:c>
      <x:c r="C105" s="13" t="str">
        <x:v>BGG</x:v>
      </x:c>
      <x:c r="D105" s="13" t="str">
        <x:v>AI-RTG-ALL</x:v>
      </x:c>
      <x:c r="E105" s="14" t="str">
        <x:v>Zuordnung bestimmt</x:v>
      </x:c>
      <x:c r="F105" s="13" t="str">
        <x:v>Verwenden
AI-RTG-ALL</x:v>
      </x:c>
      <x:c r="G105" s="13" t="str">
        <x:v>Rechtlich massgebender Partei- / Vertretungsort</x:v>
      </x:c>
      <x:c r="H105" s="13" t="str">
        <x:v>Öffentlicher Feiertag</x:v>
      </x:c>
      <x:c r="I105" s="13" t="str">
        <x:v>Kantonal anerkannte Grundliste am rechtlich massgebenden Ort. Übernahme im Umfang von DEC-2026-028. AP18-/MVP-0.6-Quellenstand wiederverwendet, keine vollständige neue Quellenrevision behauptet. Beschlossene gesetzesbasierte Stephanstagsregel und dokumentierter amtlicher Kalenderkonflikt bleiben unverändert.</x:v>
      </x:c>
      <x:c r="J105" s="13" t="str">
        <x:v>SRC-AI-RTG-822200-V1327
AP22-BGG</x:v>
      </x:c>
      <x:c r="K105" s="13" t="str">
        <x:v>GS 822.200, Art. 2 und 3, Version 1327 | Art. 45 und 46</x:v>
      </x:c>
      <x:c r="L105" s="13" t="str">
        <x:v>Erfasste Regelgültigkeiten 2026-01-01 bis offen. Kein neuer Berechnungszeitraum freigegeben.</x:v>
      </x:c>
      <x:c r="M105" s="13" t="str">
        <x:v>Fachliche Freigabe DEC-2026-028. Quellenherkunft gemäss Blatt Quellen.</x:v>
      </x:c>
      <x:c r="N105" s="13" t="str">
        <x:v>Fachliche Freigabe DEC-2026-028 erteilt. Keine technische Aktivierung.</x:v>
      </x:c>
      <x:c r="O105" s="15"/>
    </x:row>
    <x:row r="106" ht="86" customHeight="1">
      <x:c r="A106" s="14" t="str">
        <x:v>AP22-AI-RTG-ALL-VWVG</x:v>
      </x:c>
      <x:c r="B106" s="14" t="str">
        <x:v>Appenzell Innerrhoden</x:v>
      </x:c>
      <x:c r="C106" s="14" t="str">
        <x:v>VwVG</x:v>
      </x:c>
      <x:c r="D106" s="14" t="str">
        <x:v>AI-RTG-ALL</x:v>
      </x:c>
      <x:c r="E106" s="14" t="str">
        <x:v>Zuordnung bestimmt</x:v>
      </x:c>
      <x:c r="F106" s="14" t="str">
        <x:v>Verwenden
AI-RTG-ALL</x:v>
      </x:c>
      <x:c r="G106" s="14" t="str">
        <x:v>Rechtlich massgebender Partei- / Vertretungsort</x:v>
      </x:c>
      <x:c r="H106" s="14" t="str">
        <x:v>Öffentlicher Feiertag</x:v>
      </x:c>
      <x:c r="I106" s="14" t="str">
        <x:v>Kantonal anerkannte Grundliste am rechtlich massgebenden Ort. Übernahme im Umfang von DEC-2026-028. AP18-/MVP-0.6-Quellenstand wiederverwendet, keine vollständige neue Quellenrevision behauptet. Beschlossene gesetzesbasierte Stephanstagsregel und dokumentierter amtlicher Kalenderkonflikt bleiben unverändert.</x:v>
      </x:c>
      <x:c r="J106" s="14" t="str">
        <x:v>SRC-AI-RTG-822200-V1327
AP22-VWVG</x:v>
      </x:c>
      <x:c r="K106" s="14" t="str">
        <x:v>GS 822.200, Art. 2 und 3, Version 1327 | Art. 20 Abs. 3 und Art. 22a</x:v>
      </x:c>
      <x:c r="L106" s="14" t="str">
        <x:v>Erfasste Regelgültigkeiten 2026-01-01 bis offen. Kein neuer Berechnungszeitraum freigegeben.</x:v>
      </x:c>
      <x:c r="M106" s="14" t="str">
        <x:v>Fachliche Freigabe DEC-2026-028. Quellenherkunft gemäss Blatt Quellen.</x:v>
      </x:c>
      <x:c r="N106" s="14" t="str">
        <x:v>Fachliche Freigabe DEC-2026-028 erteilt. Keine technische Aktivierung.</x:v>
      </x:c>
      <x:c r="O106" s="15"/>
    </x:row>
    <x:row r="107" ht="72" customHeight="1">
      <x:c r="A107" s="13" t="str">
        <x:v>AP22-AI-RTG-INNER-ADDITIONAL-STPO</x:v>
      </x:c>
      <x:c r="B107" s="13" t="str">
        <x:v>Appenzell Innerrhoden</x:v>
      </x:c>
      <x:c r="C107" s="13" t="str">
        <x:v>StPO</x:v>
      </x:c>
      <x:c r="D107" s="13" t="str">
        <x:v>AI-RTG-INNER-ADDITIONAL</x:v>
      </x:c>
      <x:c r="E107" s="14" t="str">
        <x:v>Zuordnung bestimmt</x:v>
      </x:c>
      <x:c r="F107" s="13" t="str">
        <x:v>Ergänzen
AI-RTG-ALL + AI-RTG-INNER-ADDITIONAL</x:v>
      </x:c>
      <x:c r="G107" s="13" t="str">
        <x:v>Rechtlich massgebender Partei- / Vertretungsort</x:v>
      </x:c>
      <x:c r="H107" s="13" t="str">
        <x:v>Öffentlicher Feiertag</x:v>
      </x:c>
      <x:c r="I107" s="13" t="str">
        <x:v>Nur die bezeichneten Zusatztage zur passenden Grundliste. Räumliche und verfahrensrechtliche Bindung beachten, keine freie Vereinigung konkurrierender Listen. DEC-2026-028. Nur im kantonal definierten inneren Landesteil, nicht in Oberegg.</x:v>
      </x:c>
      <x:c r="J107" s="13" t="str">
        <x:v>SRC-AI-RTG-822200-V1327
AP22-STPO</x:v>
      </x:c>
      <x:c r="K107" s="13" t="str">
        <x:v>GS 822.200, Art. 2 und 3, Version 1327 | Art. 89 Abs. 2 und Art. 90 Abs. 2</x:v>
      </x:c>
      <x:c r="L107" s="13" t="str">
        <x:v>Erfasste Regelgültigkeiten 2026-01-01 bis offen. Kein neuer Berechnungszeitraum freigegeben.</x:v>
      </x:c>
      <x:c r="M107" s="13" t="str">
        <x:v>Fachliche Freigabe DEC-2026-028. Quellenherkunft gemäss Blatt Quellen.</x:v>
      </x:c>
      <x:c r="N107" s="13" t="str">
        <x:v>Fachliche Freigabe DEC-2026-028 erteilt. Keine technische Aktivierung.</x:v>
      </x:c>
      <x:c r="O107" s="15"/>
    </x:row>
    <x:row r="108" ht="72" customHeight="1">
      <x:c r="A108" s="14" t="str">
        <x:v>AP22-AI-RTG-INNER-ADDITIONAL-ZPO</x:v>
      </x:c>
      <x:c r="B108" s="14" t="str">
        <x:v>Appenzell Innerrhoden</x:v>
      </x:c>
      <x:c r="C108" s="14" t="str">
        <x:v>ZPO</x:v>
      </x:c>
      <x:c r="D108" s="14" t="str">
        <x:v>AI-RTG-INNER-ADDITIONAL</x:v>
      </x:c>
      <x:c r="E108" s="14" t="str">
        <x:v>Zuordnung bestimmt</x:v>
      </x:c>
      <x:c r="F108" s="14" t="str">
        <x:v>Ergänzen
AI-RTG-ALL + AI-RTG-INNER-ADDITIONAL</x:v>
      </x:c>
      <x:c r="G108" s="14" t="str">
        <x:v>Gerichtsort</x:v>
      </x:c>
      <x:c r="H108" s="14" t="str">
        <x:v>Öffentlicher Feiertag</x:v>
      </x:c>
      <x:c r="I108" s="14" t="str">
        <x:v>Nur die bezeichneten Zusatztage zur passenden Grundliste. Räumliche und verfahrensrechtliche Bindung beachten, keine freie Vereinigung konkurrierender Listen. DEC-2026-028. Nur im kantonal definierten inneren Landesteil, nicht in Oberegg.</x:v>
      </x:c>
      <x:c r="J108" s="14" t="str">
        <x:v>SRC-AI-RTG-822200-V1327
AP22-ZPO</x:v>
      </x:c>
      <x:c r="K108" s="14" t="str">
        <x:v>GS 822.200, Art. 2 und 3, Version 1327 | Art. 142 Abs. 1bis und 3, Art. 145</x:v>
      </x:c>
      <x:c r="L108" s="14" t="str">
        <x:v>Erfasste Regelgültigkeiten 2026-01-01 bis offen. Kein neuer Berechnungszeitraum freigegeben.</x:v>
      </x:c>
      <x:c r="M108" s="14" t="str">
        <x:v>Fachliche Freigabe DEC-2026-028. Quellenherkunft gemäss Blatt Quellen.</x:v>
      </x:c>
      <x:c r="N108" s="14" t="str">
        <x:v>Fachliche Freigabe DEC-2026-028 erteilt. Keine technische Aktivierung.</x:v>
      </x:c>
      <x:c r="O108" s="15"/>
    </x:row>
    <x:row r="109" ht="72" customHeight="1">
      <x:c r="A109" s="13" t="str">
        <x:v>AP22-AI-RTG-INNER-ADDITIONAL-BGG</x:v>
      </x:c>
      <x:c r="B109" s="13" t="str">
        <x:v>Appenzell Innerrhoden</x:v>
      </x:c>
      <x:c r="C109" s="13" t="str">
        <x:v>BGG</x:v>
      </x:c>
      <x:c r="D109" s="13" t="str">
        <x:v>AI-RTG-INNER-ADDITIONAL</x:v>
      </x:c>
      <x:c r="E109" s="14" t="str">
        <x:v>Zuordnung bestimmt</x:v>
      </x:c>
      <x:c r="F109" s="13" t="str">
        <x:v>Ergänzen
AI-RTG-ALL + AI-RTG-INNER-ADDITIONAL</x:v>
      </x:c>
      <x:c r="G109" s="13" t="str">
        <x:v>Rechtlich massgebender Partei- / Vertretungsort</x:v>
      </x:c>
      <x:c r="H109" s="13" t="str">
        <x:v>Öffentlicher Feiertag</x:v>
      </x:c>
      <x:c r="I109" s="13" t="str">
        <x:v>Nur die bezeichneten Zusatztage zur passenden Grundliste. Räumliche und verfahrensrechtliche Bindung beachten, keine freie Vereinigung konkurrierender Listen. DEC-2026-028. Nur im kantonal definierten inneren Landesteil, nicht in Oberegg.</x:v>
      </x:c>
      <x:c r="J109" s="13" t="str">
        <x:v>SRC-AI-RTG-822200-V1327
AP22-BGG</x:v>
      </x:c>
      <x:c r="K109" s="13" t="str">
        <x:v>GS 822.200, Art. 2 und 3, Version 1327 | Art. 45 und 46</x:v>
      </x:c>
      <x:c r="L109" s="13" t="str">
        <x:v>Erfasste Regelgültigkeiten 2026-01-01 bis offen. Kein neuer Berechnungszeitraum freigegeben.</x:v>
      </x:c>
      <x:c r="M109" s="13" t="str">
        <x:v>Fachliche Freigabe DEC-2026-028. Quellenherkunft gemäss Blatt Quellen.</x:v>
      </x:c>
      <x:c r="N109" s="13" t="str">
        <x:v>Fachliche Freigabe DEC-2026-028 erteilt. Keine technische Aktivierung.</x:v>
      </x:c>
      <x:c r="O109" s="15"/>
    </x:row>
    <x:row r="110" ht="72" customHeight="1">
      <x:c r="A110" s="14" t="str">
        <x:v>AP22-AI-RTG-INNER-ADDITIONAL-VWVG</x:v>
      </x:c>
      <x:c r="B110" s="14" t="str">
        <x:v>Appenzell Innerrhoden</x:v>
      </x:c>
      <x:c r="C110" s="14" t="str">
        <x:v>VwVG</x:v>
      </x:c>
      <x:c r="D110" s="14" t="str">
        <x:v>AI-RTG-INNER-ADDITIONAL</x:v>
      </x:c>
      <x:c r="E110" s="14" t="str">
        <x:v>Zuordnung bestimmt</x:v>
      </x:c>
      <x:c r="F110" s="14" t="str">
        <x:v>Ergänzen
AI-RTG-ALL + AI-RTG-INNER-ADDITIONAL</x:v>
      </x:c>
      <x:c r="G110" s="14" t="str">
        <x:v>Rechtlich massgebender Partei- / Vertretungsort</x:v>
      </x:c>
      <x:c r="H110" s="14" t="str">
        <x:v>Öffentlicher Feiertag</x:v>
      </x:c>
      <x:c r="I110" s="14" t="str">
        <x:v>Nur die bezeichneten Zusatztage zur passenden Grundliste. Räumliche und verfahrensrechtliche Bindung beachten, keine freie Vereinigung konkurrierender Listen. DEC-2026-028. Nur im kantonal definierten inneren Landesteil, nicht in Oberegg.</x:v>
      </x:c>
      <x:c r="J110" s="14" t="str">
        <x:v>SRC-AI-RTG-822200-V1327
AP22-VWVG</x:v>
      </x:c>
      <x:c r="K110" s="14" t="str">
        <x:v>GS 822.200, Art. 2 und 3, Version 1327 | Art. 20 Abs. 3 und Art. 22a</x:v>
      </x:c>
      <x:c r="L110" s="14" t="str">
        <x:v>Erfasste Regelgültigkeiten 2026-01-01 bis offen. Kein neuer Berechnungszeitraum freigegeben.</x:v>
      </x:c>
      <x:c r="M110" s="14" t="str">
        <x:v>Fachliche Freigabe DEC-2026-028. Quellenherkunft gemäss Blatt Quellen.</x:v>
      </x:c>
      <x:c r="N110" s="14" t="str">
        <x:v>Fachliche Freigabe DEC-2026-028 erteilt. Keine technische Aktivierung.</x:v>
      </x:c>
      <x:c r="O110" s="15"/>
    </x:row>
    <x:row r="111" ht="72" customHeight="1">
      <x:c r="A111" s="13" t="str">
        <x:v>AP22-SG-RLG-ALL-STPO</x:v>
      </x:c>
      <x:c r="B111" s="13" t="str">
        <x:v>St. Gallen</x:v>
      </x:c>
      <x:c r="C111" s="13" t="str">
        <x:v>StPO</x:v>
      </x:c>
      <x:c r="D111" s="13" t="str">
        <x:v>SG-RLG-ALL</x:v>
      </x:c>
      <x:c r="E111" s="14" t="str">
        <x:v>Zuordnung bestimmt</x:v>
      </x:c>
      <x:c r="F111" s="13" t="str">
        <x:v>Verwenden
SG-RLG-ALL</x:v>
      </x:c>
      <x:c r="G111" s="13" t="str">
        <x:v>Rechtlich massgebender Partei- / Vertretungsort</x:v>
      </x:c>
      <x:c r="H111" s="13" t="str">
        <x:v>Öffentlicher Feiertag</x:v>
      </x:c>
      <x:c r="I111" s="13" t="str">
        <x:v>Kantonal anerkannte Grundliste am rechtlich massgebenden Ort. Übernahme im Umfang von DEC-2026-028. AP18-/MVP-0.6-Quellenstand wiederverwendet, keine vollständige neue Quellenrevision behauptet.</x:v>
      </x:c>
      <x:c r="J111" s="13" t="str">
        <x:v>SRC-SG-RLG-5521-V228
AP22-STPO</x:v>
      </x:c>
      <x:c r="K111" s="13" t="str">
        <x:v>sGS 552.1, Art. 2 und 3, Version 228 | Art. 89 Abs. 2 und Art. 90 Abs. 2</x:v>
      </x:c>
      <x:c r="L111" s="13" t="str">
        <x:v>Erfasste Regelgültigkeiten 2026-01-01 bis offen. Kein neuer Berechnungszeitraum freigegeben.</x:v>
      </x:c>
      <x:c r="M111" s="13" t="str">
        <x:v>Fachliche Freigabe DEC-2026-028. Quellenherkunft gemäss Blatt Quellen.</x:v>
      </x:c>
      <x:c r="N111" s="13" t="str">
        <x:v>Fachliche Freigabe DEC-2026-028 erteilt. Keine technische Aktivierung.</x:v>
      </x:c>
      <x:c r="O111" s="15"/>
    </x:row>
    <x:row r="112" ht="72" customHeight="1">
      <x:c r="A112" s="14" t="str">
        <x:v>AP22-SG-RLG-ALL-ZPO</x:v>
      </x:c>
      <x:c r="B112" s="14" t="str">
        <x:v>St. Gallen</x:v>
      </x:c>
      <x:c r="C112" s="14" t="str">
        <x:v>ZPO</x:v>
      </x:c>
      <x:c r="D112" s="14" t="str">
        <x:v>SG-RLG-ALL</x:v>
      </x:c>
      <x:c r="E112" s="14" t="str">
        <x:v>Zuordnung bestimmt</x:v>
      </x:c>
      <x:c r="F112" s="14" t="str">
        <x:v>Verwenden
SG-RLG-ALL</x:v>
      </x:c>
      <x:c r="G112" s="14" t="str">
        <x:v>Gerichtsort</x:v>
      </x:c>
      <x:c r="H112" s="14" t="str">
        <x:v>Öffentlicher Feiertag</x:v>
      </x:c>
      <x:c r="I112" s="14" t="str">
        <x:v>Kantonal anerkannte Grundliste am rechtlich massgebenden Ort. Übernahme im Umfang von DEC-2026-028. AP18-/MVP-0.6-Quellenstand wiederverwendet, keine vollständige neue Quellenrevision behauptet.</x:v>
      </x:c>
      <x:c r="J112" s="14" t="str">
        <x:v>SRC-SG-RLG-5521-V228
AP22-ZPO</x:v>
      </x:c>
      <x:c r="K112" s="14" t="str">
        <x:v>sGS 552.1, Art. 2 und 3, Version 228 | Art. 142 Abs. 1bis und 3, Art. 145</x:v>
      </x:c>
      <x:c r="L112" s="14" t="str">
        <x:v>Erfasste Regelgültigkeiten 2026-01-01 bis offen. Kein neuer Berechnungszeitraum freigegeben.</x:v>
      </x:c>
      <x:c r="M112" s="14" t="str">
        <x:v>Fachliche Freigabe DEC-2026-028. Quellenherkunft gemäss Blatt Quellen.</x:v>
      </x:c>
      <x:c r="N112" s="14" t="str">
        <x:v>Fachliche Freigabe DEC-2026-028 erteilt. Keine technische Aktivierung.</x:v>
      </x:c>
      <x:c r="O112" s="15"/>
    </x:row>
    <x:row r="113" ht="72" customHeight="1">
      <x:c r="A113" s="13" t="str">
        <x:v>AP22-SG-RLG-ALL-BGG</x:v>
      </x:c>
      <x:c r="B113" s="13" t="str">
        <x:v>St. Gallen</x:v>
      </x:c>
      <x:c r="C113" s="13" t="str">
        <x:v>BGG</x:v>
      </x:c>
      <x:c r="D113" s="13" t="str">
        <x:v>SG-RLG-ALL</x:v>
      </x:c>
      <x:c r="E113" s="14" t="str">
        <x:v>Zuordnung bestimmt</x:v>
      </x:c>
      <x:c r="F113" s="13" t="str">
        <x:v>Verwenden
SG-RLG-ALL</x:v>
      </x:c>
      <x:c r="G113" s="13" t="str">
        <x:v>Rechtlich massgebender Partei- / Vertretungsort</x:v>
      </x:c>
      <x:c r="H113" s="13" t="str">
        <x:v>Öffentlicher Feiertag</x:v>
      </x:c>
      <x:c r="I113" s="13" t="str">
        <x:v>Kantonal anerkannte Grundliste am rechtlich massgebenden Ort. Übernahme im Umfang von DEC-2026-028. AP18-/MVP-0.6-Quellenstand wiederverwendet, keine vollständige neue Quellenrevision behauptet.</x:v>
      </x:c>
      <x:c r="J113" s="13" t="str">
        <x:v>SRC-SG-RLG-5521-V228
AP22-BGG</x:v>
      </x:c>
      <x:c r="K113" s="13" t="str">
        <x:v>sGS 552.1, Art. 2 und 3, Version 228 | Art. 45 und 46</x:v>
      </x:c>
      <x:c r="L113" s="13" t="str">
        <x:v>Erfasste Regelgültigkeiten 2026-01-01 bis offen. Kein neuer Berechnungszeitraum freigegeben.</x:v>
      </x:c>
      <x:c r="M113" s="13" t="str">
        <x:v>Fachliche Freigabe DEC-2026-028. Quellenherkunft gemäss Blatt Quellen.</x:v>
      </x:c>
      <x:c r="N113" s="13" t="str">
        <x:v>Fachliche Freigabe DEC-2026-028 erteilt. Keine technische Aktivierung.</x:v>
      </x:c>
      <x:c r="O113" s="15"/>
    </x:row>
    <x:row r="114" ht="72" customHeight="1">
      <x:c r="A114" s="14" t="str">
        <x:v>AP22-SG-RLG-ALL-VWVG</x:v>
      </x:c>
      <x:c r="B114" s="14" t="str">
        <x:v>St. Gallen</x:v>
      </x:c>
      <x:c r="C114" s="14" t="str">
        <x:v>VwVG</x:v>
      </x:c>
      <x:c r="D114" s="14" t="str">
        <x:v>SG-RLG-ALL</x:v>
      </x:c>
      <x:c r="E114" s="14" t="str">
        <x:v>Zuordnung bestimmt</x:v>
      </x:c>
      <x:c r="F114" s="14" t="str">
        <x:v>Verwenden
SG-RLG-ALL</x:v>
      </x:c>
      <x:c r="G114" s="14" t="str">
        <x:v>Rechtlich massgebender Partei- / Vertretungsort</x:v>
      </x:c>
      <x:c r="H114" s="14" t="str">
        <x:v>Öffentlicher Feiertag</x:v>
      </x:c>
      <x:c r="I114" s="14" t="str">
        <x:v>Kantonal anerkannte Grundliste am rechtlich massgebenden Ort. Übernahme im Umfang von DEC-2026-028. AP18-/MVP-0.6-Quellenstand wiederverwendet, keine vollständige neue Quellenrevision behauptet.</x:v>
      </x:c>
      <x:c r="J114" s="14" t="str">
        <x:v>SRC-SG-RLG-5521-V228
AP22-VWVG</x:v>
      </x:c>
      <x:c r="K114" s="14" t="str">
        <x:v>sGS 552.1, Art. 2 und 3, Version 228 | Art. 20 Abs. 3 und Art. 22a</x:v>
      </x:c>
      <x:c r="L114" s="14" t="str">
        <x:v>Erfasste Regelgültigkeiten 2026-01-01 bis offen. Kein neuer Berechnungszeitraum freigegeben.</x:v>
      </x:c>
      <x:c r="M114" s="14" t="str">
        <x:v>Fachliche Freigabe DEC-2026-028. Quellenherkunft gemäss Blatt Quellen.</x:v>
      </x:c>
      <x:c r="N114" s="14" t="str">
        <x:v>Fachliche Freigabe DEC-2026-028 erteilt. Keine technische Aktivierung.</x:v>
      </x:c>
      <x:c r="O114" s="15"/>
    </x:row>
    <x:row r="115" ht="142" customHeight="1">
      <x:c r="A115" s="13" t="str">
        <x:v>AP22-SG-ZPO-ADDITIONAL-STPO</x:v>
      </x:c>
      <x:c r="B115" s="13" t="str">
        <x:v>St. Gallen</x:v>
      </x:c>
      <x:c r="C115" s="13" t="str">
        <x:v>StPO</x:v>
      </x:c>
      <x:c r="D115" s="13" t="str">
        <x:v>SG-ZPO-ADDITIONAL</x:v>
      </x:c>
      <x:c r="E115" s="31" t="str">
        <x:v>Ergebnisabhängig begrenzt</x:v>
      </x:c>
      <x:c r="F115" s="13" t="str">
        <x:v>Einzelfallklärung nur bei Ergebnisunterschied am 2. Januar</x:v>
      </x:c>
      <x:c r="G115" s="13" t="str">
        <x:v>Rechtlich massgebender Partei- / Vertretungsort</x:v>
      </x:c>
      <x:c r="H115" s="13" t="str">
        <x:v>Prozessual gleichgestellter Tag</x:v>
      </x:c>
      <x:c r="I115" s="13" t="str">
        <x:v>DEC-2026-029 vom 08.10.2026: übrige bestätigte Regeln bleiben verwendbar. Wenn die Behandlung des 2. Januar das Ergebnis verändert, Einzelfallklärung und kein definitives automatisches Fristresultat. Kein sicherer Feiertags- oder Werktagsstatus behauptet. Keine pauschale Kantons- oder Verfahrenssperre.</x:v>
      </x:c>
      <x:c r="J115" s="13" t="str">
        <x:v>AP22CLOSE-PROC-SG-POS
AP22CLOSE-PROC-SG-NEG
AP22CLOSE-PROC-STPO-LIMIT
AP22CLOSE-PROC-BGG-TRANSFER
AP22CLOSE-BUND-STPO</x:v>
      </x:c>
      <x:c r="K115" s="13" t="str">
        <x:v>Erwägungen zur Fristwahrung | Erwägungen zur Fristwahrung, insbesondere E. 2.5 ff. | E. 1.3.2–1.3.3 | E. 6.5 | Stand 01.04.2025, Art. 87, 89 und 90</x:v>
      </x:c>
      <x:c r="L115" s="13" t="str">
        <x:v>Erfasste Regelgültigkeiten 2026-01-01 bis offen. Kein neuer Berechnungszeitraum freigegeben.</x:v>
      </x:c>
      <x:c r="M115" s="13" t="str">
        <x:v>02.10.2026 gezielte Quellenprüfung. Direktbeleg und normative Ableitung siehe Begründung und Fachnachtrag.</x:v>
      </x:c>
      <x:c r="N115" s="13" t="str">
        <x:v>DEC-2026-028 und DEC-2026-029 beschlossen. AP22A abgeschlossen. Technische Umsetzung ausstehend.</x:v>
      </x:c>
      <x:c r="O115" s="15"/>
    </x:row>
    <x:row r="116" ht="58" customHeight="1">
      <x:c r="A116" s="14" t="str">
        <x:v>AP22-SG-ZPO-ADDITIONAL-ZPO</x:v>
      </x:c>
      <x:c r="B116" s="14" t="str">
        <x:v>St. Gallen</x:v>
      </x:c>
      <x:c r="C116" s="14" t="str">
        <x:v>ZPO</x:v>
      </x:c>
      <x:c r="D116" s="14" t="str">
        <x:v>SG-ZPO-ADDITIONAL</x:v>
      </x:c>
      <x:c r="E116" s="14" t="str">
        <x:v>Zuordnung bestimmt</x:v>
      </x:c>
      <x:c r="F116" s="14" t="str">
        <x:v>Ergänzen
SG-RLG-ALL + SG-ZPO-ADDITIONAL</x:v>
      </x:c>
      <x:c r="G116" s="14" t="str">
        <x:v>Gerichtsort</x:v>
      </x:c>
      <x:c r="H116" s="14" t="str">
        <x:v>Prozessual gleichgestellter Tag</x:v>
      </x:c>
      <x:c r="I116" s="14" t="str">
        <x:v>Nur die bezeichneten Zusatztage zur passenden Grundliste. Räumliche und verfahrensrechtliche Bindung beachten, keine freie Vereinigung konkurrierender Listen. DEC-2026-028.</x:v>
      </x:c>
      <x:c r="J116" s="14" t="str">
        <x:v>SRC-SG-KGER-FS20121-20120329
AP22-ZPO</x:v>
      </x:c>
      <x:c r="K116" s="14" t="str">
        <x:v>Erwägungen zur Fristwahrung am Berchtoldstag, Publikation 18.02.2020 | Art. 142 Abs. 1bis und 3, Art. 145</x:v>
      </x:c>
      <x:c r="L116" s="14" t="str">
        <x:v>Erfasste Regelgültigkeiten 2026-01-01 bis offen. Kein neuer Berechnungszeitraum freigegeben.</x:v>
      </x:c>
      <x:c r="M116" s="14" t="str">
        <x:v>Fachliche Freigabe DEC-2026-028. Quellenherkunft gemäss Blatt Quellen.</x:v>
      </x:c>
      <x:c r="N116" s="14" t="str">
        <x:v>Fachliche Freigabe DEC-2026-028 erteilt. Keine technische Aktivierung.</x:v>
      </x:c>
      <x:c r="O116" s="15"/>
    </x:row>
    <x:row r="117" ht="142" customHeight="1">
      <x:c r="A117" s="13" t="str">
        <x:v>AP22-SG-ZPO-ADDITIONAL-BGG</x:v>
      </x:c>
      <x:c r="B117" s="13" t="str">
        <x:v>St. Gallen</x:v>
      </x:c>
      <x:c r="C117" s="13" t="str">
        <x:v>BGG</x:v>
      </x:c>
      <x:c r="D117" s="13" t="str">
        <x:v>SG-ZPO-ADDITIONAL</x:v>
      </x:c>
      <x:c r="E117" s="31" t="str">
        <x:v>Ergebnisabhängig begrenzt</x:v>
      </x:c>
      <x:c r="F117" s="13" t="str">
        <x:v>Einzelfallklärung nur bei Ergebnisunterschied am 2. Januar</x:v>
      </x:c>
      <x:c r="G117" s="13" t="str">
        <x:v>Rechtlich massgebender Partei- / Vertretungsort</x:v>
      </x:c>
      <x:c r="H117" s="13" t="str">
        <x:v>Prozessual gleichgestellter Tag</x:v>
      </x:c>
      <x:c r="I117" s="13" t="str">
        <x:v>DEC-2026-029 vom 08.10.2026: übrige bestätigte Regeln bleiben verwendbar. Wenn die Behandlung des 2. Januar das Ergebnis verändert, Einzelfallklärung und kein definitives automatisches Fristresultat. Kein sicherer Feiertags- oder Werktagsstatus behauptet. Keine pauschale Kantons- oder Verfahrenssperre.</x:v>
      </x:c>
      <x:c r="J117" s="13" t="str">
        <x:v>AP22CLOSE-PROC-SG-POS
AP22CLOSE-PROC-SG-NEG
AP22CLOSE-PROC-STPO-LIMIT
AP22CLOSE-PROC-BGG-TRANSFER
AP22CLOSE-BUND-BGG</x:v>
      </x:c>
      <x:c r="K117" s="13" t="str">
        <x:v>Erwägungen zur Fristwahrung | Erwägungen zur Fristwahrung, insbesondere E. 2.5 ff. | E. 1.3.2–1.3.3 | E. 6.5 | Stand 01.04.2026, Art. 45 und 46</x:v>
      </x:c>
      <x:c r="L117" s="13" t="str">
        <x:v>Erfasste Regelgültigkeiten 2026-01-01 bis offen. Kein neuer Berechnungszeitraum freigegeben.</x:v>
      </x:c>
      <x:c r="M117" s="13" t="str">
        <x:v>02.10.2026 gezielte Quellenprüfung. Direktbeleg und normative Ableitung siehe Begründung und Fachnachtrag.</x:v>
      </x:c>
      <x:c r="N117" s="13" t="str">
        <x:v>DEC-2026-028 und DEC-2026-029 beschlossen. AP22A abgeschlossen. Technische Umsetzung ausstehend.</x:v>
      </x:c>
      <x:c r="O117" s="15"/>
    </x:row>
    <x:row r="118" ht="142" customHeight="1">
      <x:c r="A118" s="14" t="str">
        <x:v>AP22-SG-ZPO-ADDITIONAL-VWVG</x:v>
      </x:c>
      <x:c r="B118" s="14" t="str">
        <x:v>St. Gallen</x:v>
      </x:c>
      <x:c r="C118" s="14" t="str">
        <x:v>VwVG</x:v>
      </x:c>
      <x:c r="D118" s="14" t="str">
        <x:v>SG-ZPO-ADDITIONAL</x:v>
      </x:c>
      <x:c r="E118" s="31" t="str">
        <x:v>Ergebnisabhängig begrenzt</x:v>
      </x:c>
      <x:c r="F118" s="14" t="str">
        <x:v>Einzelfallklärung nur bei Ergebnisunterschied am 2. Januar</x:v>
      </x:c>
      <x:c r="G118" s="14" t="str">
        <x:v>Rechtlich massgebender Partei- / Vertretungsort</x:v>
      </x:c>
      <x:c r="H118" s="14" t="str">
        <x:v>Prozessual gleichgestellter Tag</x:v>
      </x:c>
      <x:c r="I118" s="14" t="str">
        <x:v>DEC-2026-029 vom 08.10.2026: übrige bestätigte Regeln bleiben verwendbar. Wenn die Behandlung des 2. Januar das Ergebnis verändert, Einzelfallklärung und kein definitives automatisches Fristresultat. Kein sicherer Feiertags- oder Werktagsstatus behauptet. Keine pauschale Kantons- oder Verfahrenssperre.</x:v>
      </x:c>
      <x:c r="J118" s="14" t="str">
        <x:v>AP22CLOSE-PROC-SG-POS
AP22CLOSE-PROC-SG-NEG
AP22CLOSE-PROC-STPO-LIMIT
AP22CLOSE-PROC-BGG-TRANSFER
AP22CLOSE-BUND-VWVG</x:v>
      </x:c>
      <x:c r="K118" s="14" t="str">
        <x:v>Erwägungen zur Fristwahrung | Erwägungen zur Fristwahrung, insbesondere E. 2.5 ff. | E. 1.3.2–1.3.3 | E. 6.5 | Stand 01.07.2022, Art. 11, 20 und 22a</x:v>
      </x:c>
      <x:c r="L118" s="14" t="str">
        <x:v>Erfasste Regelgültigkeiten 2026-01-01 bis offen. Kein neuer Berechnungszeitraum freigegeben.</x:v>
      </x:c>
      <x:c r="M118" s="14" t="str">
        <x:v>02.10.2026 gezielte Quellenprüfung. Direktbeleg und normative Ableitung siehe Begründung und Fachnachtrag.</x:v>
      </x:c>
      <x:c r="N118" s="14" t="str">
        <x:v>DEC-2026-028 und DEC-2026-029 beschlossen. AP22A abgeschlossen. Technische Umsetzung ausstehend.</x:v>
      </x:c>
      <x:c r="O118" s="15"/>
    </x:row>
    <x:row r="119" ht="86" customHeight="1">
      <x:c r="A119" s="13" t="str">
        <x:v>AP22-GR-PUBLIC-ALL-STPO</x:v>
      </x:c>
      <x:c r="B119" s="13" t="str">
        <x:v>Graubünden</x:v>
      </x:c>
      <x:c r="C119" s="13" t="str">
        <x:v>StPO</x:v>
      </x:c>
      <x:c r="D119" s="13" t="str">
        <x:v>GR-PUBLIC-ALL</x:v>
      </x:c>
      <x:c r="E119" s="15" t="str">
        <x:v>Bewusst begrenzt</x:v>
      </x:c>
      <x:c r="F119" s="13" t="str">
        <x:v>Bewusst begrenzt
CH-ALL + GR-PUBLIC-ALL</x:v>
      </x:c>
      <x:c r="G119" s="13" t="str">
        <x:v>Rechtlich massgebender Partei- / Vertretungsort</x:v>
      </x:c>
      <x:c r="H119" s="13" t="str">
        <x:v>Öffentlicher Feiertag</x:v>
      </x:c>
      <x:c r="I119" s="13" t="str">
        <x:v>Nur kantonaler Grundkatalog und Bundesfeier. Lokale Ruhetage nach Art. 3 Ruhetagsgesetz nicht erhoben. Sichtbarer Hinweis und Rechenspur erforderlich. Kein allgemeiner rechtlicher Irrelevanzbefund. DEC-2026-028.</x:v>
      </x:c>
      <x:c r="J119" s="13" t="str">
        <x:v>SRC-GR-RUHETAGE-520100-20160101
AP22-STPO
AP22-GR</x:v>
      </x:c>
      <x:c r="K119" s="13" t="str">
        <x:v>BR 520.100, Art. 2–4 | Art. 89 Abs. 2 und Art. 90 Abs. 2 | Art. 2 und 3</x:v>
      </x:c>
      <x:c r="L119" s="13" t="str">
        <x:v>Erfasste Regelgültigkeiten 2026-01-01 bis offen. Kein neuer Berechnungszeitraum freigegeben.</x:v>
      </x:c>
      <x:c r="M119" s="13" t="str">
        <x:v>Fachliche Freigabe DEC-2026-028. Quellenherkunft gemäss Blatt Quellen.</x:v>
      </x:c>
      <x:c r="N119" s="13" t="str">
        <x:v>Fachliche Freigabe DEC-2026-028 erteilt. Keine technische Aktivierung.</x:v>
      </x:c>
      <x:c r="O119" s="15" t="str">
        <x:v>Wir lassen für die Berechnung die kommunalen Ruhetage gemäss Art. 3 Abs. 1 BR 520.100 - Gesetz über die öffentlichen Ruhetage (Ruhetagsgesetz) ausser acht. Es gilt einzig der kantonale Katalog.</x:v>
      </x:c>
    </x:row>
    <x:row r="120" ht="86" customHeight="1">
      <x:c r="A120" s="14" t="str">
        <x:v>AP22-GR-PUBLIC-ALL-ZPO</x:v>
      </x:c>
      <x:c r="B120" s="14" t="str">
        <x:v>Graubünden</x:v>
      </x:c>
      <x:c r="C120" s="14" t="str">
        <x:v>ZPO</x:v>
      </x:c>
      <x:c r="D120" s="14" t="str">
        <x:v>GR-PUBLIC-ALL</x:v>
      </x:c>
      <x:c r="E120" s="15" t="str">
        <x:v>Bewusst begrenzt</x:v>
      </x:c>
      <x:c r="F120" s="14" t="str">
        <x:v>Bewusst begrenzt
CH-ALL + GR-PUBLIC-ALL</x:v>
      </x:c>
      <x:c r="G120" s="14" t="str">
        <x:v>Gerichtsort</x:v>
      </x:c>
      <x:c r="H120" s="14" t="str">
        <x:v>Öffentlicher Feiertag</x:v>
      </x:c>
      <x:c r="I120" s="14" t="str">
        <x:v>Nur kantonaler Grundkatalog und Bundesfeier. Lokale Ruhetage nach Art. 3 Ruhetagsgesetz nicht erhoben. Sichtbarer Hinweis und Rechenspur erforderlich. Kein allgemeiner rechtlicher Irrelevanzbefund. DEC-2026-028.</x:v>
      </x:c>
      <x:c r="J120" s="14" t="str">
        <x:v>SRC-GR-RUHETAGE-520100-20160101
AP22-ZPO
AP22-GR</x:v>
      </x:c>
      <x:c r="K120" s="14" t="str">
        <x:v>BR 520.100, Art. 2–4 | Art. 142 Abs. 1bis und 3, Art. 145 | Art. 2 und 3</x:v>
      </x:c>
      <x:c r="L120" s="14" t="str">
        <x:v>Erfasste Regelgültigkeiten 2026-01-01 bis offen. Kein neuer Berechnungszeitraum freigegeben.</x:v>
      </x:c>
      <x:c r="M120" s="14" t="str">
        <x:v>Fachliche Freigabe DEC-2026-028. Quellenherkunft gemäss Blatt Quellen.</x:v>
      </x:c>
      <x:c r="N120" s="14" t="str">
        <x:v>Fachliche Freigabe DEC-2026-028 erteilt. Keine technische Aktivierung.</x:v>
      </x:c>
      <x:c r="O120" s="15" t="str">
        <x:v>Wir lassen für die Berechnung die kommunalen Ruhetage gemäss Art. 3 Abs. 1 BR 520.100 - Gesetz über die öffentlichen Ruhetage (Ruhetagsgesetz) ausser acht. Es gilt einzig der kantonale Katalog.</x:v>
      </x:c>
    </x:row>
    <x:row r="121" ht="86" customHeight="1">
      <x:c r="A121" s="13" t="str">
        <x:v>AP22-GR-PUBLIC-ALL-BGG</x:v>
      </x:c>
      <x:c r="B121" s="13" t="str">
        <x:v>Graubünden</x:v>
      </x:c>
      <x:c r="C121" s="13" t="str">
        <x:v>BGG</x:v>
      </x:c>
      <x:c r="D121" s="13" t="str">
        <x:v>GR-PUBLIC-ALL</x:v>
      </x:c>
      <x:c r="E121" s="15" t="str">
        <x:v>Bewusst begrenzt</x:v>
      </x:c>
      <x:c r="F121" s="13" t="str">
        <x:v>Bewusst begrenzt
CH-ALL + GR-PUBLIC-ALL</x:v>
      </x:c>
      <x:c r="G121" s="13" t="str">
        <x:v>Rechtlich massgebender Partei- / Vertretungsort</x:v>
      </x:c>
      <x:c r="H121" s="13" t="str">
        <x:v>Öffentlicher Feiertag</x:v>
      </x:c>
      <x:c r="I121" s="13" t="str">
        <x:v>Nur kantonaler Grundkatalog und Bundesfeier. Lokale Ruhetage nach Art. 3 Ruhetagsgesetz nicht erhoben. Sichtbarer Hinweis und Rechenspur erforderlich. Kein allgemeiner rechtlicher Irrelevanzbefund. DEC-2026-028.</x:v>
      </x:c>
      <x:c r="J121" s="13" t="str">
        <x:v>SRC-GR-RUHETAGE-520100-20160101
AP22-BGG
AP22-GR</x:v>
      </x:c>
      <x:c r="K121" s="13" t="str">
        <x:v>BR 520.100, Art. 2–4 | Art. 45 und 46 | Art. 2 und 3</x:v>
      </x:c>
      <x:c r="L121" s="13" t="str">
        <x:v>Erfasste Regelgültigkeiten 2026-01-01 bis offen. Kein neuer Berechnungszeitraum freigegeben.</x:v>
      </x:c>
      <x:c r="M121" s="13" t="str">
        <x:v>Fachliche Freigabe DEC-2026-028. Quellenherkunft gemäss Blatt Quellen.</x:v>
      </x:c>
      <x:c r="N121" s="13" t="str">
        <x:v>Fachliche Freigabe DEC-2026-028 erteilt. Keine technische Aktivierung.</x:v>
      </x:c>
      <x:c r="O121" s="15" t="str">
        <x:v>Wir lassen für die Berechnung die kommunalen Ruhetage gemäss Art. 3 Abs. 1 BR 520.100 - Gesetz über die öffentlichen Ruhetage (Ruhetagsgesetz) ausser acht. Es gilt einzig der kantonale Katalog.</x:v>
      </x:c>
    </x:row>
    <x:row r="122" ht="86" customHeight="1">
      <x:c r="A122" s="14" t="str">
        <x:v>AP22-GR-PUBLIC-ALL-VWVG</x:v>
      </x:c>
      <x:c r="B122" s="14" t="str">
        <x:v>Graubünden</x:v>
      </x:c>
      <x:c r="C122" s="14" t="str">
        <x:v>VwVG</x:v>
      </x:c>
      <x:c r="D122" s="14" t="str">
        <x:v>GR-PUBLIC-ALL</x:v>
      </x:c>
      <x:c r="E122" s="15" t="str">
        <x:v>Bewusst begrenzt</x:v>
      </x:c>
      <x:c r="F122" s="14" t="str">
        <x:v>Bewusst begrenzt
CH-ALL + GR-PUBLIC-ALL</x:v>
      </x:c>
      <x:c r="G122" s="14" t="str">
        <x:v>Rechtlich massgebender Partei- / Vertretungsort</x:v>
      </x:c>
      <x:c r="H122" s="14" t="str">
        <x:v>Öffentlicher Feiertag</x:v>
      </x:c>
      <x:c r="I122" s="14" t="str">
        <x:v>Nur kantonaler Grundkatalog und Bundesfeier. Lokale Ruhetage nach Art. 3 Ruhetagsgesetz nicht erhoben. Sichtbarer Hinweis und Rechenspur erforderlich. Kein allgemeiner rechtlicher Irrelevanzbefund. DEC-2026-028.</x:v>
      </x:c>
      <x:c r="J122" s="14" t="str">
        <x:v>SRC-GR-RUHETAGE-520100-20160101
AP22-VWVG
AP22-GR</x:v>
      </x:c>
      <x:c r="K122" s="14" t="str">
        <x:v>BR 520.100, Art. 2–4 | Art. 20 Abs. 3 und Art. 22a | Art. 2 und 3</x:v>
      </x:c>
      <x:c r="L122" s="14" t="str">
        <x:v>Erfasste Regelgültigkeiten 2026-01-01 bis offen. Kein neuer Berechnungszeitraum freigegeben.</x:v>
      </x:c>
      <x:c r="M122" s="14" t="str">
        <x:v>Fachliche Freigabe DEC-2026-028. Quellenherkunft gemäss Blatt Quellen.</x:v>
      </x:c>
      <x:c r="N122" s="14" t="str">
        <x:v>Fachliche Freigabe DEC-2026-028 erteilt. Keine technische Aktivierung.</x:v>
      </x:c>
      <x:c r="O122" s="15" t="str">
        <x:v>Wir lassen für die Berechnung die kommunalen Ruhetage gemäss Art. 3 Abs. 1 BR 520.100 - Gesetz über die öffentlichen Ruhetage (Ruhetagsgesetz) ausser acht. Es gilt einzig der kantonale Katalog.</x:v>
      </x:c>
    </x:row>
    <x:row r="123" ht="58" customHeight="1">
      <x:c r="A123" s="13" t="str">
        <x:v>AP22-AG-ARG-BADEN-STPO</x:v>
      </x:c>
      <x:c r="B123" s="13" t="str">
        <x:v>Aargau</x:v>
      </x:c>
      <x:c r="C123" s="13" t="str">
        <x:v>StPO</x:v>
      </x:c>
      <x:c r="D123" s="13" t="str">
        <x:v>AG-ARG-BADEN</x:v>
      </x:c>
      <x:c r="E123" s="14" t="str">
        <x:v>Zuordnung bestimmt</x:v>
      </x:c>
      <x:c r="F123" s="13" t="str">
        <x:v>Ersetzen durch
AG-ZPO-ALL</x:v>
      </x:c>
      <x:c r="G123" s="13" t="str">
        <x:v>Rechtlich massgebender Partei- / Vertretungsort</x:v>
      </x:c>
      <x:c r="H123" s="13" t="str">
        <x:v>Arbeitsrechtlicher Feiertag</x:v>
      </x:c>
      <x:c r="I123" s="13" t="str">
        <x:v>§ 26 EG StPO anerkennt ausdrücklich dieselben 14 kantonsweiten Tage. Regionale ArG-Listen nicht als operative Fristenliste verwenden.</x:v>
      </x:c>
      <x:c r="J123" s="13" t="str">
        <x:v>AP22CLOSE-AG-STPO
AP22CLOSE-BUND-STPO</x:v>
      </x:c>
      <x:c r="K123" s="13" t="str">
        <x:v>SAR 251.200 § 26 | Stand 01.04.2025, Art. 87, 89 und 90</x:v>
      </x:c>
      <x:c r="L123" s="13" t="str">
        <x:v>Erfasste Regelgültigkeiten 2026-01-01 bis offen. Kein neuer Berechnungszeitraum freigegeben.</x:v>
      </x:c>
      <x:c r="M123" s="13" t="str">
        <x:v>02.10.2026 gezielte Quellenprüfung. Direktbeleg und normative Ableitung siehe Begründung und Fachnachtrag.</x:v>
      </x:c>
      <x:c r="N123" s="13" t="str">
        <x:v>Fachliche Freigabe DEC-2026-028 erteilt. Keine technische Aktivierung.</x:v>
      </x:c>
      <x:c r="O123" s="15"/>
    </x:row>
    <x:row r="124" ht="72" customHeight="1">
      <x:c r="A124" s="14" t="str">
        <x:v>AP22-AG-ARG-BADEN-ZPO</x:v>
      </x:c>
      <x:c r="B124" s="14" t="str">
        <x:v>Aargau</x:v>
      </x:c>
      <x:c r="C124" s="14" t="str">
        <x:v>ZPO</x:v>
      </x:c>
      <x:c r="D124" s="14" t="str">
        <x:v>AG-ARG-BADEN</x:v>
      </x:c>
      <x:c r="E124" s="14" t="str">
        <x:v>Nicht übernehmen</x:v>
      </x:c>
      <x:c r="F124" s="14" t="str">
        <x:v>Nicht verwenden</x:v>
      </x:c>
      <x:c r="G124" s="14" t="str">
        <x:v>Gerichtsort</x:v>
      </x:c>
      <x:c r="H124" s="14" t="str">
        <x:v>Arbeitsrechtlicher Feiertag</x:v>
      </x:c>
      <x:c r="I124" s="14" t="str">
        <x:v>Keine zusätzliche regionale Auswahl aus dem Arbeitsrecht. Eigene ZPO-Liste ist der Kandidat.</x:v>
      </x:c>
      <x:c r="J124" s="14" t="str">
        <x:v>SRC-AG-EGARR-20250901
AP22-ZPO
AP22-AG-ARR
AP22-4A538</x:v>
      </x:c>
      <x:c r="K124" s="14" t="str">
        <x:v>SAR 961.200, § 6 | Art. 142 Abs. 1bis und 3, Art. 145 | § 6 | E. 2</x:v>
      </x:c>
      <x:c r="L124" s="14" t="str">
        <x:v>Erfasste Regelgültigkeiten 2026-01-01 bis offen. Kein neuer Berechnungszeitraum freigegeben.</x:v>
      </x:c>
      <x:c r="M124" s="14" t="str">
        <x:v>Fachliche Freigabe DEC-2026-028. Quellenherkunft gemäss Blatt Quellen.</x:v>
      </x:c>
      <x:c r="N124" s="14" t="str">
        <x:v>Negativer Verwendungsentscheid bleibt</x:v>
      </x:c>
      <x:c r="O124" s="15"/>
    </x:row>
    <x:row r="125" ht="58" customHeight="1">
      <x:c r="A125" s="13" t="str">
        <x:v>AP22-AG-ARG-BADEN-BGG</x:v>
      </x:c>
      <x:c r="B125" s="13" t="str">
        <x:v>Aargau</x:v>
      </x:c>
      <x:c r="C125" s="13" t="str">
        <x:v>BGG</x:v>
      </x:c>
      <x:c r="D125" s="13" t="str">
        <x:v>AG-ARG-BADEN</x:v>
      </x:c>
      <x:c r="E125" s="14" t="str">
        <x:v>Zuordnung bestimmt</x:v>
      </x:c>
      <x:c r="F125" s="13" t="str">
        <x:v>Ersetzen durch
AG-ZPO-ALL</x:v>
      </x:c>
      <x:c r="G125" s="13" t="str">
        <x:v>Rechtlich massgebender Partei- / Vertretungsort</x:v>
      </x:c>
      <x:c r="H125" s="13" t="str">
        <x:v>Arbeitsrechtlicher Feiertag</x:v>
      </x:c>
      <x:c r="I125" s="13" t="str">
        <x:v>2E_8/2024 E. 6.5 korrigiert die regionale Beurteilung in 4A_538/2023. Vollständige kantonsweite §-21-Liste verwenden.</x:v>
      </x:c>
      <x:c r="J125" s="13" t="str">
        <x:v>AP22CLOSE-AG-ZPO
AP22CLOSE-BGER-2E8
AP22CLOSE-BUND-BGG</x:v>
      </x:c>
      <x:c r="K125" s="13" t="str">
        <x:v>SAR 221.200 § 21 | E. 6.2 bis 6.9, insbesondere E. 6.5 | Stand 01.04.2026, Art. 45 und 46</x:v>
      </x:c>
      <x:c r="L125" s="13" t="str">
        <x:v>Erfasste Regelgültigkeiten 2026-01-01 bis offen. Kein neuer Berechnungszeitraum freigegeben.</x:v>
      </x:c>
      <x:c r="M125" s="13" t="str">
        <x:v>02.10.2026 gezielte Quellenprüfung. Direktbeleg und normative Ableitung siehe Begründung und Fachnachtrag.</x:v>
      </x:c>
      <x:c r="N125" s="13" t="str">
        <x:v>Fachliche Freigabe DEC-2026-028 erteilt. Keine technische Aktivierung.</x:v>
      </x:c>
      <x:c r="O125" s="15"/>
    </x:row>
    <x:row r="126" ht="86" customHeight="1">
      <x:c r="A126" s="14" t="str">
        <x:v>AP22-AG-ARG-BADEN-VWVG</x:v>
      </x:c>
      <x:c r="B126" s="14" t="str">
        <x:v>Aargau</x:v>
      </x:c>
      <x:c r="C126" s="14" t="str">
        <x:v>VwVG</x:v>
      </x:c>
      <x:c r="D126" s="14" t="str">
        <x:v>AG-ARG-BADEN</x:v>
      </x:c>
      <x:c r="E126" s="14" t="str">
        <x:v>Zuordnung bestimmt</x:v>
      </x:c>
      <x:c r="F126" s="14" t="str">
        <x:v>Ersetzen durch
AG-ZPO-ALL</x:v>
      </x:c>
      <x:c r="G126" s="14" t="str">
        <x:v>Rechtlich massgebender Partei- / Vertretungsort</x:v>
      </x:c>
      <x:c r="H126" s="14" t="str">
        <x:v>Arbeitsrechtlicher Feiertag</x:v>
      </x:c>
      <x:c r="I126" s="14" t="str">
        <x:v>Begründete normative Ableitung für Art. 20 Abs. 3 VwVG aus kantonaler prozessualer Anerkennung und Art. 5 EuFrÜb. Kein eigenständiger VwVG-Direktentscheid behauptet.</x:v>
      </x:c>
      <x:c r="J126" s="14" t="str">
        <x:v>AP22CLOSE-AG-ZPO
AP22CLOSE-AG-VRPG
AP22CLOSE-EUFRUEB
AP22CLOSE-BGER-2E8
AP22CLOSE-BUND-VWVG</x:v>
      </x:c>
      <x:c r="K126" s="14" t="str">
        <x:v>SAR 221.200 § 21 | SAR 271.200 § 28 Abs. 1 und 2 | Art. 1 und 5 | E. 6.2 bis 6.9, insbesondere E. 6.5 | Stand 01.07.2022, Art. 11, 20 und 22a</x:v>
      </x:c>
      <x:c r="L126" s="14" t="str">
        <x:v>Erfasste Regelgültigkeiten 2026-01-01 bis offen. Kein neuer Berechnungszeitraum freigegeben.</x:v>
      </x:c>
      <x:c r="M126" s="14" t="str">
        <x:v>02.10.2026 gezielte Quellenprüfung. Direktbeleg und normative Ableitung siehe Begründung und Fachnachtrag.</x:v>
      </x:c>
      <x:c r="N126" s="14" t="str">
        <x:v>Fachliche Freigabe DEC-2026-028 erteilt. Keine technische Aktivierung.</x:v>
      </x:c>
      <x:c r="O126" s="15"/>
    </x:row>
    <x:row r="127" ht="58" customHeight="1">
      <x:c r="A127" s="13" t="str">
        <x:v>AP22-AG-ARG-BERGDIETIKON-STPO</x:v>
      </x:c>
      <x:c r="B127" s="13" t="str">
        <x:v>Aargau</x:v>
      </x:c>
      <x:c r="C127" s="13" t="str">
        <x:v>StPO</x:v>
      </x:c>
      <x:c r="D127" s="13" t="str">
        <x:v>AG-ARG-BERGDIETIKON</x:v>
      </x:c>
      <x:c r="E127" s="14" t="str">
        <x:v>Zuordnung bestimmt</x:v>
      </x:c>
      <x:c r="F127" s="13" t="str">
        <x:v>Ersetzen durch
AG-ZPO-ALL</x:v>
      </x:c>
      <x:c r="G127" s="13" t="str">
        <x:v>Rechtlich massgebender Partei- / Vertretungsort</x:v>
      </x:c>
      <x:c r="H127" s="13" t="str">
        <x:v>Arbeitsrechtlicher Feiertag</x:v>
      </x:c>
      <x:c r="I127" s="13" t="str">
        <x:v>§ 26 EG StPO anerkennt ausdrücklich dieselben 14 kantonsweiten Tage. Regionale ArG-Listen nicht als operative Fristenliste verwenden.</x:v>
      </x:c>
      <x:c r="J127" s="13" t="str">
        <x:v>AP22CLOSE-AG-STPO
AP22CLOSE-BUND-STPO</x:v>
      </x:c>
      <x:c r="K127" s="13" t="str">
        <x:v>SAR 251.200 § 26 | Stand 01.04.2025, Art. 87, 89 und 90</x:v>
      </x:c>
      <x:c r="L127" s="13" t="str">
        <x:v>Erfasste Regelgültigkeiten 2026-01-01 bis offen. Kein neuer Berechnungszeitraum freigegeben.</x:v>
      </x:c>
      <x:c r="M127" s="13" t="str">
        <x:v>02.10.2026 gezielte Quellenprüfung. Direktbeleg und normative Ableitung siehe Begründung und Fachnachtrag.</x:v>
      </x:c>
      <x:c r="N127" s="13" t="str">
        <x:v>Fachliche Freigabe DEC-2026-028 erteilt. Keine technische Aktivierung.</x:v>
      </x:c>
      <x:c r="O127" s="15"/>
    </x:row>
    <x:row r="128" ht="72" customHeight="1">
      <x:c r="A128" s="14" t="str">
        <x:v>AP22-AG-ARG-BERGDIETIKON-ZPO</x:v>
      </x:c>
      <x:c r="B128" s="14" t="str">
        <x:v>Aargau</x:v>
      </x:c>
      <x:c r="C128" s="14" t="str">
        <x:v>ZPO</x:v>
      </x:c>
      <x:c r="D128" s="14" t="str">
        <x:v>AG-ARG-BERGDIETIKON</x:v>
      </x:c>
      <x:c r="E128" s="14" t="str">
        <x:v>Nicht übernehmen</x:v>
      </x:c>
      <x:c r="F128" s="14" t="str">
        <x:v>Nicht verwenden</x:v>
      </x:c>
      <x:c r="G128" s="14" t="str">
        <x:v>Gerichtsort</x:v>
      </x:c>
      <x:c r="H128" s="14" t="str">
        <x:v>Arbeitsrechtlicher Feiertag</x:v>
      </x:c>
      <x:c r="I128" s="14" t="str">
        <x:v>Keine zusätzliche regionale Auswahl aus dem Arbeitsrecht. Eigene ZPO-Liste ist der Kandidat.</x:v>
      </x:c>
      <x:c r="J128" s="14" t="str">
        <x:v>SRC-AG-EGARR-20250901
AP22-ZPO
AP22-AG-ARR
AP22-4A538</x:v>
      </x:c>
      <x:c r="K128" s="14" t="str">
        <x:v>SAR 961.200, § 6 | Art. 142 Abs. 1bis und 3, Art. 145 | § 6 | E. 2</x:v>
      </x:c>
      <x:c r="L128" s="14" t="str">
        <x:v>Erfasste Regelgültigkeiten 2026-01-01 bis offen. Kein neuer Berechnungszeitraum freigegeben.</x:v>
      </x:c>
      <x:c r="M128" s="14" t="str">
        <x:v>Fachliche Freigabe DEC-2026-028. Quellenherkunft gemäss Blatt Quellen.</x:v>
      </x:c>
      <x:c r="N128" s="14" t="str">
        <x:v>Negativer Verwendungsentscheid bleibt</x:v>
      </x:c>
      <x:c r="O128" s="15"/>
    </x:row>
    <x:row r="129" ht="58" customHeight="1">
      <x:c r="A129" s="13" t="str">
        <x:v>AP22-AG-ARG-BERGDIETIKON-BGG</x:v>
      </x:c>
      <x:c r="B129" s="13" t="str">
        <x:v>Aargau</x:v>
      </x:c>
      <x:c r="C129" s="13" t="str">
        <x:v>BGG</x:v>
      </x:c>
      <x:c r="D129" s="13" t="str">
        <x:v>AG-ARG-BERGDIETIKON</x:v>
      </x:c>
      <x:c r="E129" s="14" t="str">
        <x:v>Zuordnung bestimmt</x:v>
      </x:c>
      <x:c r="F129" s="13" t="str">
        <x:v>Ersetzen durch
AG-ZPO-ALL</x:v>
      </x:c>
      <x:c r="G129" s="13" t="str">
        <x:v>Rechtlich massgebender Partei- / Vertretungsort</x:v>
      </x:c>
      <x:c r="H129" s="13" t="str">
        <x:v>Arbeitsrechtlicher Feiertag</x:v>
      </x:c>
      <x:c r="I129" s="13" t="str">
        <x:v>2E_8/2024 E. 6.5 korrigiert die regionale Beurteilung in 4A_538/2023. Vollständige kantonsweite §-21-Liste verwenden.</x:v>
      </x:c>
      <x:c r="J129" s="13" t="str">
        <x:v>AP22CLOSE-AG-ZPO
AP22CLOSE-BGER-2E8
AP22CLOSE-BUND-BGG</x:v>
      </x:c>
      <x:c r="K129" s="13" t="str">
        <x:v>SAR 221.200 § 21 | E. 6.2 bis 6.9, insbesondere E. 6.5 | Stand 01.04.2026, Art. 45 und 46</x:v>
      </x:c>
      <x:c r="L129" s="13" t="str">
        <x:v>Erfasste Regelgültigkeiten 2026-01-01 bis offen. Kein neuer Berechnungszeitraum freigegeben.</x:v>
      </x:c>
      <x:c r="M129" s="13" t="str">
        <x:v>02.10.2026 gezielte Quellenprüfung. Direktbeleg und normative Ableitung siehe Begründung und Fachnachtrag.</x:v>
      </x:c>
      <x:c r="N129" s="13" t="str">
        <x:v>Fachliche Freigabe DEC-2026-028 erteilt. Keine technische Aktivierung.</x:v>
      </x:c>
      <x:c r="O129" s="15"/>
    </x:row>
    <x:row r="130" ht="86" customHeight="1">
      <x:c r="A130" s="14" t="str">
        <x:v>AP22-AG-ARG-BERGDIETIKON-VWVG</x:v>
      </x:c>
      <x:c r="B130" s="14" t="str">
        <x:v>Aargau</x:v>
      </x:c>
      <x:c r="C130" s="14" t="str">
        <x:v>VwVG</x:v>
      </x:c>
      <x:c r="D130" s="14" t="str">
        <x:v>AG-ARG-BERGDIETIKON</x:v>
      </x:c>
      <x:c r="E130" s="14" t="str">
        <x:v>Zuordnung bestimmt</x:v>
      </x:c>
      <x:c r="F130" s="14" t="str">
        <x:v>Ersetzen durch
AG-ZPO-ALL</x:v>
      </x:c>
      <x:c r="G130" s="14" t="str">
        <x:v>Rechtlich massgebender Partei- / Vertretungsort</x:v>
      </x:c>
      <x:c r="H130" s="14" t="str">
        <x:v>Arbeitsrechtlicher Feiertag</x:v>
      </x:c>
      <x:c r="I130" s="14" t="str">
        <x:v>Begründete normative Ableitung für Art. 20 Abs. 3 VwVG aus kantonaler prozessualer Anerkennung und Art. 5 EuFrÜb. Kein eigenständiger VwVG-Direktentscheid behauptet.</x:v>
      </x:c>
      <x:c r="J130" s="14" t="str">
        <x:v>AP22CLOSE-AG-ZPO
AP22CLOSE-AG-VRPG
AP22CLOSE-EUFRUEB
AP22CLOSE-BGER-2E8
AP22CLOSE-BUND-VWVG</x:v>
      </x:c>
      <x:c r="K130" s="14" t="str">
        <x:v>SAR 221.200 § 21 | SAR 271.200 § 28 Abs. 1 und 2 | Art. 1 und 5 | E. 6.2 bis 6.9, insbesondere E. 6.5 | Stand 01.07.2022, Art. 11, 20 und 22a</x:v>
      </x:c>
      <x:c r="L130" s="14" t="str">
        <x:v>Erfasste Regelgültigkeiten 2026-01-01 bis offen. Kein neuer Berechnungszeitraum freigegeben.</x:v>
      </x:c>
      <x:c r="M130" s="14" t="str">
        <x:v>02.10.2026 gezielte Quellenprüfung. Direktbeleg und normative Ableitung siehe Begründung und Fachnachtrag.</x:v>
      </x:c>
      <x:c r="N130" s="14" t="str">
        <x:v>Fachliche Freigabe DEC-2026-028 erteilt. Keine technische Aktivierung.</x:v>
      </x:c>
      <x:c r="O130" s="15"/>
    </x:row>
    <x:row r="131" ht="58" customHeight="1">
      <x:c r="A131" s="13" t="str">
        <x:v>AP22-AG-ZPO-ALL-STPO</x:v>
      </x:c>
      <x:c r="B131" s="13" t="str">
        <x:v>Aargau</x:v>
      </x:c>
      <x:c r="C131" s="13" t="str">
        <x:v>StPO</x:v>
      </x:c>
      <x:c r="D131" s="13" t="str">
        <x:v>AG-ZPO-ALL</x:v>
      </x:c>
      <x:c r="E131" s="14" t="str">
        <x:v>Zuordnung bestimmt</x:v>
      </x:c>
      <x:c r="F131" s="13" t="str">
        <x:v>Verwenden
AG-ZPO-ALL</x:v>
      </x:c>
      <x:c r="G131" s="13" t="str">
        <x:v>Rechtlich massgebender Partei- / Vertretungsort</x:v>
      </x:c>
      <x:c r="H131" s="13" t="str">
        <x:v>Prozessual gleichgestellter Tag</x:v>
      </x:c>
      <x:c r="I131" s="13" t="str">
        <x:v>§ 26 EG StPO anerkennt ausdrücklich dieselben 14 kantonsweiten Tage. Regionale ArG-Listen nicht als operative Fristenliste verwenden.</x:v>
      </x:c>
      <x:c r="J131" s="13" t="str">
        <x:v>AP22CLOSE-AG-STPO
AP22CLOSE-BUND-STPO</x:v>
      </x:c>
      <x:c r="K131" s="13" t="str">
        <x:v>SAR 251.200 § 26 | Stand 01.04.2025, Art. 87, 89 und 90</x:v>
      </x:c>
      <x:c r="L131" s="13" t="str">
        <x:v>Erfasste Regelgültigkeiten 2026-01-01 bis offen. Kein neuer Berechnungszeitraum freigegeben.</x:v>
      </x:c>
      <x:c r="M131" s="13" t="str">
        <x:v>02.10.2026 gezielte Quellenprüfung. Direktbeleg und normative Ableitung siehe Begründung und Fachnachtrag.</x:v>
      </x:c>
      <x:c r="N131" s="13" t="str">
        <x:v>Fachliche Freigabe DEC-2026-028 erteilt. Keine technische Aktivierung.</x:v>
      </x:c>
      <x:c r="O131" s="15"/>
    </x:row>
    <x:row r="132" ht="58" customHeight="1">
      <x:c r="A132" s="14" t="str">
        <x:v>AP22-AG-ZPO-ALL-ZPO</x:v>
      </x:c>
      <x:c r="B132" s="14" t="str">
        <x:v>Aargau</x:v>
      </x:c>
      <x:c r="C132" s="14" t="str">
        <x:v>ZPO</x:v>
      </x:c>
      <x:c r="D132" s="14" t="str">
        <x:v>AG-ZPO-ALL</x:v>
      </x:c>
      <x:c r="E132" s="14" t="str">
        <x:v>Zuordnung bestimmt</x:v>
      </x:c>
      <x:c r="F132" s="14" t="str">
        <x:v>Verwenden
AG-ZPO-ALL</x:v>
      </x:c>
      <x:c r="G132" s="14" t="str">
        <x:v>Gerichtsort</x:v>
      </x:c>
      <x:c r="H132" s="14" t="str">
        <x:v>Prozessual gleichgestellter Tag</x:v>
      </x:c>
      <x:c r="I132" s="14" t="str">
        <x:v>Eigene ausdrücklich für dieses Verfahren anerkannte kantonsweite Prozessliste. Andere Regional- oder Grundlisten nicht zusätzlich vereinigen. DEC-2026-028 und die bezeichnete Prozessnorm.</x:v>
      </x:c>
      <x:c r="J132" s="14" t="str">
        <x:v>SRC-AG-EGZPO
AP22-ZPO
AP22-AG-ZPO</x:v>
      </x:c>
      <x:c r="K132" s="14" t="str">
        <x:v>SAR 221.200, § 21 Abs. 1 | Art. 142 Abs. 1bis und 3, Art. 145 | § 21</x:v>
      </x:c>
      <x:c r="L132" s="14" t="str">
        <x:v>Erfasste Regelgültigkeiten 2026-01-01 bis offen. Kein neuer Berechnungszeitraum freigegeben.</x:v>
      </x:c>
      <x:c r="M132" s="14" t="str">
        <x:v>Fachliche Freigabe DEC-2026-028. Quellenherkunft gemäss Blatt Quellen.</x:v>
      </x:c>
      <x:c r="N132" s="14" t="str">
        <x:v>Fachliche Freigabe DEC-2026-028 erteilt. Keine technische Aktivierung.</x:v>
      </x:c>
      <x:c r="O132" s="15"/>
    </x:row>
    <x:row r="133" ht="58" customHeight="1">
      <x:c r="A133" s="13" t="str">
        <x:v>AP22-AG-ZPO-ALL-BGG</x:v>
      </x:c>
      <x:c r="B133" s="13" t="str">
        <x:v>Aargau</x:v>
      </x:c>
      <x:c r="C133" s="13" t="str">
        <x:v>BGG</x:v>
      </x:c>
      <x:c r="D133" s="13" t="str">
        <x:v>AG-ZPO-ALL</x:v>
      </x:c>
      <x:c r="E133" s="14" t="str">
        <x:v>Zuordnung bestimmt</x:v>
      </x:c>
      <x:c r="F133" s="13" t="str">
        <x:v>Verwenden
AG-ZPO-ALL</x:v>
      </x:c>
      <x:c r="G133" s="13" t="str">
        <x:v>Rechtlich massgebender Partei- / Vertretungsort</x:v>
      </x:c>
      <x:c r="H133" s="13" t="str">
        <x:v>Prozessual gleichgestellter Tag</x:v>
      </x:c>
      <x:c r="I133" s="13" t="str">
        <x:v>2E_8/2024 E. 6.5 korrigiert die regionale Beurteilung in 4A_538/2023. Vollständige kantonsweite §-21-Liste verwenden.</x:v>
      </x:c>
      <x:c r="J133" s="13" t="str">
        <x:v>AP22CLOSE-AG-ZPO
AP22CLOSE-BGER-2E8
AP22CLOSE-BUND-BGG</x:v>
      </x:c>
      <x:c r="K133" s="13" t="str">
        <x:v>SAR 221.200 § 21 | E. 6.2 bis 6.9, insbesondere E. 6.5 | Stand 01.04.2026, Art. 45 und 46</x:v>
      </x:c>
      <x:c r="L133" s="13" t="str">
        <x:v>Erfasste Regelgültigkeiten 2026-01-01 bis offen. Kein neuer Berechnungszeitraum freigegeben.</x:v>
      </x:c>
      <x:c r="M133" s="13" t="str">
        <x:v>02.10.2026 gezielte Quellenprüfung. Direktbeleg und normative Ableitung siehe Begründung und Fachnachtrag.</x:v>
      </x:c>
      <x:c r="N133" s="13" t="str">
        <x:v>Fachliche Freigabe DEC-2026-028 erteilt. Keine technische Aktivierung.</x:v>
      </x:c>
      <x:c r="O133" s="15"/>
    </x:row>
    <x:row r="134" ht="86" customHeight="1">
      <x:c r="A134" s="14" t="str">
        <x:v>AP22-AG-ZPO-ALL-VWVG</x:v>
      </x:c>
      <x:c r="B134" s="14" t="str">
        <x:v>Aargau</x:v>
      </x:c>
      <x:c r="C134" s="14" t="str">
        <x:v>VwVG</x:v>
      </x:c>
      <x:c r="D134" s="14" t="str">
        <x:v>AG-ZPO-ALL</x:v>
      </x:c>
      <x:c r="E134" s="14" t="str">
        <x:v>Zuordnung bestimmt</x:v>
      </x:c>
      <x:c r="F134" s="14" t="str">
        <x:v>Verwenden
AG-ZPO-ALL</x:v>
      </x:c>
      <x:c r="G134" s="14" t="str">
        <x:v>Rechtlich massgebender Partei- / Vertretungsort</x:v>
      </x:c>
      <x:c r="H134" s="14" t="str">
        <x:v>Prozessual gleichgestellter Tag</x:v>
      </x:c>
      <x:c r="I134" s="14" t="str">
        <x:v>Begründete normative Ableitung für Art. 20 Abs. 3 VwVG aus kantonaler prozessualer Anerkennung und Art. 5 EuFrÜb. Kein eigenständiger VwVG-Direktentscheid behauptet.</x:v>
      </x:c>
      <x:c r="J134" s="14" t="str">
        <x:v>AP22CLOSE-AG-ZPO
AP22CLOSE-AG-VRPG
AP22CLOSE-EUFRUEB
AP22CLOSE-BGER-2E8
AP22CLOSE-BUND-VWVG</x:v>
      </x:c>
      <x:c r="K134" s="14" t="str">
        <x:v>SAR 221.200 § 21 | SAR 271.200 § 28 Abs. 1 und 2 | Art. 1 und 5 | E. 6.2 bis 6.9, insbesondere E. 6.5 | Stand 01.07.2022, Art. 11, 20 und 22a</x:v>
      </x:c>
      <x:c r="L134" s="14" t="str">
        <x:v>Erfasste Regelgültigkeiten 2026-01-01 bis offen. Kein neuer Berechnungszeitraum freigegeben.</x:v>
      </x:c>
      <x:c r="M134" s="14" t="str">
        <x:v>02.10.2026 gezielte Quellenprüfung. Direktbeleg und normative Ableitung siehe Begründung und Fachnachtrag.</x:v>
      </x:c>
      <x:c r="N134" s="14" t="str">
        <x:v>Fachliche Freigabe DEC-2026-028 erteilt. Keine technische Aktivierung.</x:v>
      </x:c>
      <x:c r="O134" s="15"/>
    </x:row>
    <x:row r="135" ht="58" customHeight="1">
      <x:c r="A135" s="13" t="str">
        <x:v>AP22-AG-ARG-AARAU-BRUGG-KULM-LENZBURG-ZOFINGEN-STPO</x:v>
      </x:c>
      <x:c r="B135" s="13" t="str">
        <x:v>Aargau</x:v>
      </x:c>
      <x:c r="C135" s="13" t="str">
        <x:v>StPO</x:v>
      </x:c>
      <x:c r="D135" s="13" t="str">
        <x:v>AG-ARG-AARAU-BRUGG-KULM-LENZBURG-ZOFINGEN</x:v>
      </x:c>
      <x:c r="E135" s="14" t="str">
        <x:v>Zuordnung bestimmt</x:v>
      </x:c>
      <x:c r="F135" s="13" t="str">
        <x:v>Ersetzen durch
AG-ZPO-ALL</x:v>
      </x:c>
      <x:c r="G135" s="13" t="str">
        <x:v>Rechtlich massgebender Partei- / Vertretungsort</x:v>
      </x:c>
      <x:c r="H135" s="13" t="str">
        <x:v>Arbeitsrechtlicher Feiertag</x:v>
      </x:c>
      <x:c r="I135" s="13" t="str">
        <x:v>§ 26 EG StPO anerkennt ausdrücklich dieselben 14 kantonsweiten Tage. Regionale ArG-Listen nicht als operative Fristenliste verwenden.</x:v>
      </x:c>
      <x:c r="J135" s="13" t="str">
        <x:v>AP22CLOSE-AG-STPO
AP22CLOSE-BUND-STPO</x:v>
      </x:c>
      <x:c r="K135" s="13" t="str">
        <x:v>SAR 251.200 § 26 | Stand 01.04.2025, Art. 87, 89 und 90</x:v>
      </x:c>
      <x:c r="L135" s="13" t="str">
        <x:v>Erfasste Regelgültigkeiten 2026-01-01 bis offen. Kein neuer Berechnungszeitraum freigegeben.</x:v>
      </x:c>
      <x:c r="M135" s="13" t="str">
        <x:v>02.10.2026 gezielte Quellenprüfung. Direktbeleg und normative Ableitung siehe Begründung und Fachnachtrag.</x:v>
      </x:c>
      <x:c r="N135" s="13" t="str">
        <x:v>Fachliche Freigabe DEC-2026-028 erteilt. Keine technische Aktivierung.</x:v>
      </x:c>
      <x:c r="O135" s="15"/>
    </x:row>
    <x:row r="136" ht="72" customHeight="1">
      <x:c r="A136" s="14" t="str">
        <x:v>AP22-AG-ARG-AARAU-BRUGG-KULM-LENZBURG-ZOFINGEN-ZPO</x:v>
      </x:c>
      <x:c r="B136" s="14" t="str">
        <x:v>Aargau</x:v>
      </x:c>
      <x:c r="C136" s="14" t="str">
        <x:v>ZPO</x:v>
      </x:c>
      <x:c r="D136" s="14" t="str">
        <x:v>AG-ARG-AARAU-BRUGG-KULM-LENZBURG-ZOFINGEN</x:v>
      </x:c>
      <x:c r="E136" s="14" t="str">
        <x:v>Nicht übernehmen</x:v>
      </x:c>
      <x:c r="F136" s="14" t="str">
        <x:v>Nicht verwenden</x:v>
      </x:c>
      <x:c r="G136" s="14" t="str">
        <x:v>Gerichtsort</x:v>
      </x:c>
      <x:c r="H136" s="14" t="str">
        <x:v>Arbeitsrechtlicher Feiertag</x:v>
      </x:c>
      <x:c r="I136" s="14" t="str">
        <x:v>Keine zusätzliche regionale Auswahl aus dem Arbeitsrecht. Eigene ZPO-Liste ist der Kandidat.</x:v>
      </x:c>
      <x:c r="J136" s="14" t="str">
        <x:v>SRC-AG-EGARR-20250901
AP22-ZPO
AP22-AG-ARR
AP22-4A538</x:v>
      </x:c>
      <x:c r="K136" s="14" t="str">
        <x:v>SAR 961.200, § 6 | Art. 142 Abs. 1bis und 3, Art. 145 | § 6 | E. 2</x:v>
      </x:c>
      <x:c r="L136" s="14" t="str">
        <x:v>Erfasste Regelgültigkeiten 2026-01-01 bis offen. Kein neuer Berechnungszeitraum freigegeben.</x:v>
      </x:c>
      <x:c r="M136" s="14" t="str">
        <x:v>Fachliche Freigabe DEC-2026-028. Quellenherkunft gemäss Blatt Quellen.</x:v>
      </x:c>
      <x:c r="N136" s="14" t="str">
        <x:v>Negativer Verwendungsentscheid bleibt</x:v>
      </x:c>
      <x:c r="O136" s="15"/>
    </x:row>
    <x:row r="137" ht="58" customHeight="1">
      <x:c r="A137" s="13" t="str">
        <x:v>AP22-AG-ARG-AARAU-BRUGG-KULM-LENZBURG-ZOFINGEN-BGG</x:v>
      </x:c>
      <x:c r="B137" s="13" t="str">
        <x:v>Aargau</x:v>
      </x:c>
      <x:c r="C137" s="13" t="str">
        <x:v>BGG</x:v>
      </x:c>
      <x:c r="D137" s="13" t="str">
        <x:v>AG-ARG-AARAU-BRUGG-KULM-LENZBURG-ZOFINGEN</x:v>
      </x:c>
      <x:c r="E137" s="14" t="str">
        <x:v>Zuordnung bestimmt</x:v>
      </x:c>
      <x:c r="F137" s="13" t="str">
        <x:v>Ersetzen durch
AG-ZPO-ALL</x:v>
      </x:c>
      <x:c r="G137" s="13" t="str">
        <x:v>Rechtlich massgebender Partei- / Vertretungsort</x:v>
      </x:c>
      <x:c r="H137" s="13" t="str">
        <x:v>Arbeitsrechtlicher Feiertag</x:v>
      </x:c>
      <x:c r="I137" s="13" t="str">
        <x:v>2E_8/2024 E. 6.5 korrigiert die regionale Beurteilung in 4A_538/2023. Vollständige kantonsweite §-21-Liste verwenden.</x:v>
      </x:c>
      <x:c r="J137" s="13" t="str">
        <x:v>AP22CLOSE-AG-ZPO
AP22CLOSE-BGER-2E8
AP22CLOSE-BUND-BGG</x:v>
      </x:c>
      <x:c r="K137" s="13" t="str">
        <x:v>SAR 221.200 § 21 | E. 6.2 bis 6.9, insbesondere E. 6.5 | Stand 01.04.2026, Art. 45 und 46</x:v>
      </x:c>
      <x:c r="L137" s="13" t="str">
        <x:v>Erfasste Regelgültigkeiten 2026-01-01 bis offen. Kein neuer Berechnungszeitraum freigegeben.</x:v>
      </x:c>
      <x:c r="M137" s="13" t="str">
        <x:v>02.10.2026 gezielte Quellenprüfung. Direktbeleg und normative Ableitung siehe Begründung und Fachnachtrag.</x:v>
      </x:c>
      <x:c r="N137" s="13" t="str">
        <x:v>Fachliche Freigabe DEC-2026-028 erteilt. Keine technische Aktivierung.</x:v>
      </x:c>
      <x:c r="O137" s="15"/>
    </x:row>
    <x:row r="138" ht="86" customHeight="1">
      <x:c r="A138" s="14" t="str">
        <x:v>AP22-AG-ARG-AARAU-BRUGG-KULM-LENZBURG-ZOFINGEN-VWVG</x:v>
      </x:c>
      <x:c r="B138" s="14" t="str">
        <x:v>Aargau</x:v>
      </x:c>
      <x:c r="C138" s="14" t="str">
        <x:v>VwVG</x:v>
      </x:c>
      <x:c r="D138" s="14" t="str">
        <x:v>AG-ARG-AARAU-BRUGG-KULM-LENZBURG-ZOFINGEN</x:v>
      </x:c>
      <x:c r="E138" s="14" t="str">
        <x:v>Zuordnung bestimmt</x:v>
      </x:c>
      <x:c r="F138" s="14" t="str">
        <x:v>Ersetzen durch
AG-ZPO-ALL</x:v>
      </x:c>
      <x:c r="G138" s="14" t="str">
        <x:v>Rechtlich massgebender Partei- / Vertretungsort</x:v>
      </x:c>
      <x:c r="H138" s="14" t="str">
        <x:v>Arbeitsrechtlicher Feiertag</x:v>
      </x:c>
      <x:c r="I138" s="14" t="str">
        <x:v>Begründete normative Ableitung für Art. 20 Abs. 3 VwVG aus kantonaler prozessualer Anerkennung und Art. 5 EuFrÜb. Kein eigenständiger VwVG-Direktentscheid behauptet.</x:v>
      </x:c>
      <x:c r="J138" s="14" t="str">
        <x:v>AP22CLOSE-AG-ZPO
AP22CLOSE-AG-VRPG
AP22CLOSE-EUFRUEB
AP22CLOSE-BGER-2E8
AP22CLOSE-BUND-VWVG</x:v>
      </x:c>
      <x:c r="K138" s="14" t="str">
        <x:v>SAR 221.200 § 21 | SAR 271.200 § 28 Abs. 1 und 2 | Art. 1 und 5 | E. 6.2 bis 6.9, insbesondere E. 6.5 | Stand 01.07.2022, Art. 11, 20 und 22a</x:v>
      </x:c>
      <x:c r="L138" s="14" t="str">
        <x:v>Erfasste Regelgültigkeiten 2026-01-01 bis offen. Kein neuer Berechnungszeitraum freigegeben.</x:v>
      </x:c>
      <x:c r="M138" s="14" t="str">
        <x:v>02.10.2026 gezielte Quellenprüfung. Direktbeleg und normative Ableitung siehe Begründung und Fachnachtrag.</x:v>
      </x:c>
      <x:c r="N138" s="14" t="str">
        <x:v>Fachliche Freigabe DEC-2026-028 erteilt. Keine technische Aktivierung.</x:v>
      </x:c>
      <x:c r="O138" s="15"/>
    </x:row>
    <x:row r="139" ht="58" customHeight="1">
      <x:c r="A139" s="13" t="str">
        <x:v>AP22-AG-ARG-BREMGARTEN-STPO</x:v>
      </x:c>
      <x:c r="B139" s="13" t="str">
        <x:v>Aargau</x:v>
      </x:c>
      <x:c r="C139" s="13" t="str">
        <x:v>StPO</x:v>
      </x:c>
      <x:c r="D139" s="13" t="str">
        <x:v>AG-ARG-BREMGARTEN</x:v>
      </x:c>
      <x:c r="E139" s="14" t="str">
        <x:v>Zuordnung bestimmt</x:v>
      </x:c>
      <x:c r="F139" s="13" t="str">
        <x:v>Ersetzen durch
AG-ZPO-ALL</x:v>
      </x:c>
      <x:c r="G139" s="13" t="str">
        <x:v>Rechtlich massgebender Partei- / Vertretungsort</x:v>
      </x:c>
      <x:c r="H139" s="13" t="str">
        <x:v>Arbeitsrechtlicher Feiertag</x:v>
      </x:c>
      <x:c r="I139" s="13" t="str">
        <x:v>§ 26 EG StPO anerkennt ausdrücklich dieselben 14 kantonsweiten Tage. Regionale ArG-Listen nicht als operative Fristenliste verwenden.</x:v>
      </x:c>
      <x:c r="J139" s="13" t="str">
        <x:v>AP22CLOSE-AG-STPO
AP22CLOSE-BUND-STPO</x:v>
      </x:c>
      <x:c r="K139" s="13" t="str">
        <x:v>SAR 251.200 § 26 | Stand 01.04.2025, Art. 87, 89 und 90</x:v>
      </x:c>
      <x:c r="L139" s="13" t="str">
        <x:v>Erfasste Regelgültigkeiten 2026-01-01 bis offen. Kein neuer Berechnungszeitraum freigegeben.</x:v>
      </x:c>
      <x:c r="M139" s="13" t="str">
        <x:v>02.10.2026 gezielte Quellenprüfung. Direktbeleg und normative Ableitung siehe Begründung und Fachnachtrag.</x:v>
      </x:c>
      <x:c r="N139" s="13" t="str">
        <x:v>Fachliche Freigabe DEC-2026-028 erteilt. Keine technische Aktivierung.</x:v>
      </x:c>
      <x:c r="O139" s="15"/>
    </x:row>
    <x:row r="140" ht="72" customHeight="1">
      <x:c r="A140" s="14" t="str">
        <x:v>AP22-AG-ARG-BREMGARTEN-ZPO</x:v>
      </x:c>
      <x:c r="B140" s="14" t="str">
        <x:v>Aargau</x:v>
      </x:c>
      <x:c r="C140" s="14" t="str">
        <x:v>ZPO</x:v>
      </x:c>
      <x:c r="D140" s="14" t="str">
        <x:v>AG-ARG-BREMGARTEN</x:v>
      </x:c>
      <x:c r="E140" s="14" t="str">
        <x:v>Nicht übernehmen</x:v>
      </x:c>
      <x:c r="F140" s="14" t="str">
        <x:v>Nicht verwenden</x:v>
      </x:c>
      <x:c r="G140" s="14" t="str">
        <x:v>Gerichtsort</x:v>
      </x:c>
      <x:c r="H140" s="14" t="str">
        <x:v>Arbeitsrechtlicher Feiertag</x:v>
      </x:c>
      <x:c r="I140" s="14" t="str">
        <x:v>Keine zusätzliche regionale Auswahl aus dem Arbeitsrecht. Eigene ZPO-Liste ist der Kandidat.</x:v>
      </x:c>
      <x:c r="J140" s="14" t="str">
        <x:v>SRC-AG-EGARR-20250901
AP22-ZPO
AP22-AG-ARR
AP22-4A538</x:v>
      </x:c>
      <x:c r="K140" s="14" t="str">
        <x:v>SAR 961.200, § 6 | Art. 142 Abs. 1bis und 3, Art. 145 | § 6 | E. 2</x:v>
      </x:c>
      <x:c r="L140" s="14" t="str">
        <x:v>Erfasste Regelgültigkeiten 2026-01-01 bis offen. Kein neuer Berechnungszeitraum freigegeben.</x:v>
      </x:c>
      <x:c r="M140" s="14" t="str">
        <x:v>Fachliche Freigabe DEC-2026-028. Quellenherkunft gemäss Blatt Quellen.</x:v>
      </x:c>
      <x:c r="N140" s="14" t="str">
        <x:v>Negativer Verwendungsentscheid bleibt</x:v>
      </x:c>
      <x:c r="O140" s="15"/>
    </x:row>
    <x:row r="141" ht="58" customHeight="1">
      <x:c r="A141" s="13" t="str">
        <x:v>AP22-AG-ARG-BREMGARTEN-BGG</x:v>
      </x:c>
      <x:c r="B141" s="13" t="str">
        <x:v>Aargau</x:v>
      </x:c>
      <x:c r="C141" s="13" t="str">
        <x:v>BGG</x:v>
      </x:c>
      <x:c r="D141" s="13" t="str">
        <x:v>AG-ARG-BREMGARTEN</x:v>
      </x:c>
      <x:c r="E141" s="14" t="str">
        <x:v>Zuordnung bestimmt</x:v>
      </x:c>
      <x:c r="F141" s="13" t="str">
        <x:v>Ersetzen durch
AG-ZPO-ALL</x:v>
      </x:c>
      <x:c r="G141" s="13" t="str">
        <x:v>Rechtlich massgebender Partei- / Vertretungsort</x:v>
      </x:c>
      <x:c r="H141" s="13" t="str">
        <x:v>Arbeitsrechtlicher Feiertag</x:v>
      </x:c>
      <x:c r="I141" s="13" t="str">
        <x:v>2E_8/2024 E. 6.5 korrigiert die regionale Beurteilung in 4A_538/2023. Vollständige kantonsweite §-21-Liste verwenden.</x:v>
      </x:c>
      <x:c r="J141" s="13" t="str">
        <x:v>AP22CLOSE-AG-ZPO
AP22CLOSE-BGER-2E8
AP22CLOSE-BUND-BGG</x:v>
      </x:c>
      <x:c r="K141" s="13" t="str">
        <x:v>SAR 221.200 § 21 | E. 6.2 bis 6.9, insbesondere E. 6.5 | Stand 01.04.2026, Art. 45 und 46</x:v>
      </x:c>
      <x:c r="L141" s="13" t="str">
        <x:v>Erfasste Regelgültigkeiten 2026-01-01 bis offen. Kein neuer Berechnungszeitraum freigegeben.</x:v>
      </x:c>
      <x:c r="M141" s="13" t="str">
        <x:v>02.10.2026 gezielte Quellenprüfung. Direktbeleg und normative Ableitung siehe Begründung und Fachnachtrag.</x:v>
      </x:c>
      <x:c r="N141" s="13" t="str">
        <x:v>Fachliche Freigabe DEC-2026-028 erteilt. Keine technische Aktivierung.</x:v>
      </x:c>
      <x:c r="O141" s="15"/>
    </x:row>
    <x:row r="142" ht="86" customHeight="1">
      <x:c r="A142" s="14" t="str">
        <x:v>AP22-AG-ARG-BREMGARTEN-VWVG</x:v>
      </x:c>
      <x:c r="B142" s="14" t="str">
        <x:v>Aargau</x:v>
      </x:c>
      <x:c r="C142" s="14" t="str">
        <x:v>VwVG</x:v>
      </x:c>
      <x:c r="D142" s="14" t="str">
        <x:v>AG-ARG-BREMGARTEN</x:v>
      </x:c>
      <x:c r="E142" s="14" t="str">
        <x:v>Zuordnung bestimmt</x:v>
      </x:c>
      <x:c r="F142" s="14" t="str">
        <x:v>Ersetzen durch
AG-ZPO-ALL</x:v>
      </x:c>
      <x:c r="G142" s="14" t="str">
        <x:v>Rechtlich massgebender Partei- / Vertretungsort</x:v>
      </x:c>
      <x:c r="H142" s="14" t="str">
        <x:v>Arbeitsrechtlicher Feiertag</x:v>
      </x:c>
      <x:c r="I142" s="14" t="str">
        <x:v>Begründete normative Ableitung für Art. 20 Abs. 3 VwVG aus kantonaler prozessualer Anerkennung und Art. 5 EuFrÜb. Kein eigenständiger VwVG-Direktentscheid behauptet.</x:v>
      </x:c>
      <x:c r="J142" s="14" t="str">
        <x:v>AP22CLOSE-AG-ZPO
AP22CLOSE-AG-VRPG
AP22CLOSE-EUFRUEB
AP22CLOSE-BGER-2E8
AP22CLOSE-BUND-VWVG</x:v>
      </x:c>
      <x:c r="K142" s="14" t="str">
        <x:v>SAR 221.200 § 21 | SAR 271.200 § 28 Abs. 1 und 2 | Art. 1 und 5 | E. 6.2 bis 6.9, insbesondere E. 6.5 | Stand 01.07.2022, Art. 11, 20 und 22a</x:v>
      </x:c>
      <x:c r="L142" s="14" t="str">
        <x:v>Erfasste Regelgültigkeiten 2026-01-01 bis offen. Kein neuer Berechnungszeitraum freigegeben.</x:v>
      </x:c>
      <x:c r="M142" s="14" t="str">
        <x:v>02.10.2026 gezielte Quellenprüfung. Direktbeleg und normative Ableitung siehe Begründung und Fachnachtrag.</x:v>
      </x:c>
      <x:c r="N142" s="14" t="str">
        <x:v>Fachliche Freigabe DEC-2026-028 erteilt. Keine technische Aktivierung.</x:v>
      </x:c>
      <x:c r="O142" s="15"/>
    </x:row>
    <x:row r="143" ht="58" customHeight="1">
      <x:c r="A143" s="13" t="str">
        <x:v>AP22-AG-ARG-LAUFENBURG-MURI-STPO</x:v>
      </x:c>
      <x:c r="B143" s="13" t="str">
        <x:v>Aargau</x:v>
      </x:c>
      <x:c r="C143" s="13" t="str">
        <x:v>StPO</x:v>
      </x:c>
      <x:c r="D143" s="13" t="str">
        <x:v>AG-ARG-LAUFENBURG-MURI</x:v>
      </x:c>
      <x:c r="E143" s="14" t="str">
        <x:v>Zuordnung bestimmt</x:v>
      </x:c>
      <x:c r="F143" s="13" t="str">
        <x:v>Ersetzen durch
AG-ZPO-ALL</x:v>
      </x:c>
      <x:c r="G143" s="13" t="str">
        <x:v>Rechtlich massgebender Partei- / Vertretungsort</x:v>
      </x:c>
      <x:c r="H143" s="13" t="str">
        <x:v>Arbeitsrechtlicher Feiertag</x:v>
      </x:c>
      <x:c r="I143" s="13" t="str">
        <x:v>§ 26 EG StPO anerkennt ausdrücklich dieselben 14 kantonsweiten Tage. Regionale ArG-Listen nicht als operative Fristenliste verwenden.</x:v>
      </x:c>
      <x:c r="J143" s="13" t="str">
        <x:v>AP22CLOSE-AG-STPO
AP22CLOSE-BUND-STPO</x:v>
      </x:c>
      <x:c r="K143" s="13" t="str">
        <x:v>SAR 251.200 § 26 | Stand 01.04.2025, Art. 87, 89 und 90</x:v>
      </x:c>
      <x:c r="L143" s="13" t="str">
        <x:v>Erfasste Regelgültigkeiten 2026-01-01 bis offen. Kein neuer Berechnungszeitraum freigegeben.</x:v>
      </x:c>
      <x:c r="M143" s="13" t="str">
        <x:v>02.10.2026 gezielte Quellenprüfung. Direktbeleg und normative Ableitung siehe Begründung und Fachnachtrag.</x:v>
      </x:c>
      <x:c r="N143" s="13" t="str">
        <x:v>Fachliche Freigabe DEC-2026-028 erteilt. Keine technische Aktivierung.</x:v>
      </x:c>
      <x:c r="O143" s="15"/>
    </x:row>
    <x:row r="144" ht="72" customHeight="1">
      <x:c r="A144" s="14" t="str">
        <x:v>AP22-AG-ARG-LAUFENBURG-MURI-ZPO</x:v>
      </x:c>
      <x:c r="B144" s="14" t="str">
        <x:v>Aargau</x:v>
      </x:c>
      <x:c r="C144" s="14" t="str">
        <x:v>ZPO</x:v>
      </x:c>
      <x:c r="D144" s="14" t="str">
        <x:v>AG-ARG-LAUFENBURG-MURI</x:v>
      </x:c>
      <x:c r="E144" s="14" t="str">
        <x:v>Nicht übernehmen</x:v>
      </x:c>
      <x:c r="F144" s="14" t="str">
        <x:v>Nicht verwenden</x:v>
      </x:c>
      <x:c r="G144" s="14" t="str">
        <x:v>Gerichtsort</x:v>
      </x:c>
      <x:c r="H144" s="14" t="str">
        <x:v>Arbeitsrechtlicher Feiertag</x:v>
      </x:c>
      <x:c r="I144" s="14" t="str">
        <x:v>Keine zusätzliche regionale Auswahl aus dem Arbeitsrecht. Eigene ZPO-Liste ist der Kandidat.</x:v>
      </x:c>
      <x:c r="J144" s="14" t="str">
        <x:v>SRC-AG-EGARR-20250901
AP22-ZPO
AP22-AG-ARR
AP22-4A538</x:v>
      </x:c>
      <x:c r="K144" s="14" t="str">
        <x:v>SAR 961.200, § 6 | Art. 142 Abs. 1bis und 3, Art. 145 | § 6 | E. 2</x:v>
      </x:c>
      <x:c r="L144" s="14" t="str">
        <x:v>Erfasste Regelgültigkeiten 2026-01-01 bis offen. Kein neuer Berechnungszeitraum freigegeben.</x:v>
      </x:c>
      <x:c r="M144" s="14" t="str">
        <x:v>Fachliche Freigabe DEC-2026-028. Quellenherkunft gemäss Blatt Quellen.</x:v>
      </x:c>
      <x:c r="N144" s="14" t="str">
        <x:v>Negativer Verwendungsentscheid bleibt</x:v>
      </x:c>
      <x:c r="O144" s="15"/>
    </x:row>
    <x:row r="145" ht="58" customHeight="1">
      <x:c r="A145" s="13" t="str">
        <x:v>AP22-AG-ARG-LAUFENBURG-MURI-BGG</x:v>
      </x:c>
      <x:c r="B145" s="13" t="str">
        <x:v>Aargau</x:v>
      </x:c>
      <x:c r="C145" s="13" t="str">
        <x:v>BGG</x:v>
      </x:c>
      <x:c r="D145" s="13" t="str">
        <x:v>AG-ARG-LAUFENBURG-MURI</x:v>
      </x:c>
      <x:c r="E145" s="14" t="str">
        <x:v>Zuordnung bestimmt</x:v>
      </x:c>
      <x:c r="F145" s="13" t="str">
        <x:v>Ersetzen durch
AG-ZPO-ALL</x:v>
      </x:c>
      <x:c r="G145" s="13" t="str">
        <x:v>Rechtlich massgebender Partei- / Vertretungsort</x:v>
      </x:c>
      <x:c r="H145" s="13" t="str">
        <x:v>Arbeitsrechtlicher Feiertag</x:v>
      </x:c>
      <x:c r="I145" s="13" t="str">
        <x:v>2E_8/2024 E. 6.5 korrigiert die regionale Beurteilung in 4A_538/2023. Vollständige kantonsweite §-21-Liste verwenden.</x:v>
      </x:c>
      <x:c r="J145" s="13" t="str">
        <x:v>AP22CLOSE-AG-ZPO
AP22CLOSE-BGER-2E8
AP22CLOSE-BUND-BGG</x:v>
      </x:c>
      <x:c r="K145" s="13" t="str">
        <x:v>SAR 221.200 § 21 | E. 6.2 bis 6.9, insbesondere E. 6.5 | Stand 01.04.2026, Art. 45 und 46</x:v>
      </x:c>
      <x:c r="L145" s="13" t="str">
        <x:v>Erfasste Regelgültigkeiten 2026-01-01 bis offen. Kein neuer Berechnungszeitraum freigegeben.</x:v>
      </x:c>
      <x:c r="M145" s="13" t="str">
        <x:v>02.10.2026 gezielte Quellenprüfung. Direktbeleg und normative Ableitung siehe Begründung und Fachnachtrag.</x:v>
      </x:c>
      <x:c r="N145" s="13" t="str">
        <x:v>Fachliche Freigabe DEC-2026-028 erteilt. Keine technische Aktivierung.</x:v>
      </x:c>
      <x:c r="O145" s="15"/>
    </x:row>
    <x:row r="146" ht="86" customHeight="1">
      <x:c r="A146" s="14" t="str">
        <x:v>AP22-AG-ARG-LAUFENBURG-MURI-VWVG</x:v>
      </x:c>
      <x:c r="B146" s="14" t="str">
        <x:v>Aargau</x:v>
      </x:c>
      <x:c r="C146" s="14" t="str">
        <x:v>VwVG</x:v>
      </x:c>
      <x:c r="D146" s="14" t="str">
        <x:v>AG-ARG-LAUFENBURG-MURI</x:v>
      </x:c>
      <x:c r="E146" s="14" t="str">
        <x:v>Zuordnung bestimmt</x:v>
      </x:c>
      <x:c r="F146" s="14" t="str">
        <x:v>Ersetzen durch
AG-ZPO-ALL</x:v>
      </x:c>
      <x:c r="G146" s="14" t="str">
        <x:v>Rechtlich massgebender Partei- / Vertretungsort</x:v>
      </x:c>
      <x:c r="H146" s="14" t="str">
        <x:v>Arbeitsrechtlicher Feiertag</x:v>
      </x:c>
      <x:c r="I146" s="14" t="str">
        <x:v>Begründete normative Ableitung für Art. 20 Abs. 3 VwVG aus kantonaler prozessualer Anerkennung und Art. 5 EuFrÜb. Kein eigenständiger VwVG-Direktentscheid behauptet.</x:v>
      </x:c>
      <x:c r="J146" s="14" t="str">
        <x:v>AP22CLOSE-AG-ZPO
AP22CLOSE-AG-VRPG
AP22CLOSE-EUFRUEB
AP22CLOSE-BGER-2E8
AP22CLOSE-BUND-VWVG</x:v>
      </x:c>
      <x:c r="K146" s="14" t="str">
        <x:v>SAR 221.200 § 21 | SAR 271.200 § 28 Abs. 1 und 2 | Art. 1 und 5 | E. 6.2 bis 6.9, insbesondere E. 6.5 | Stand 01.07.2022, Art. 11, 20 und 22a</x:v>
      </x:c>
      <x:c r="L146" s="14" t="str">
        <x:v>Erfasste Regelgültigkeiten 2026-01-01 bis offen. Kein neuer Berechnungszeitraum freigegeben.</x:v>
      </x:c>
      <x:c r="M146" s="14" t="str">
        <x:v>02.10.2026 gezielte Quellenprüfung. Direktbeleg und normative Ableitung siehe Begründung und Fachnachtrag.</x:v>
      </x:c>
      <x:c r="N146" s="14" t="str">
        <x:v>Fachliche Freigabe DEC-2026-028 erteilt. Keine technische Aktivierung.</x:v>
      </x:c>
      <x:c r="O146" s="15"/>
    </x:row>
    <x:row r="147" ht="58" customHeight="1">
      <x:c r="A147" s="13" t="str">
        <x:v>AP22-AG-ARG-RHEINFELDEN-E1-STPO</x:v>
      </x:c>
      <x:c r="B147" s="13" t="str">
        <x:v>Aargau</x:v>
      </x:c>
      <x:c r="C147" s="13" t="str">
        <x:v>StPO</x:v>
      </x:c>
      <x:c r="D147" s="13" t="str">
        <x:v>AG-ARG-RHEINFELDEN-E1</x:v>
      </x:c>
      <x:c r="E147" s="14" t="str">
        <x:v>Zuordnung bestimmt</x:v>
      </x:c>
      <x:c r="F147" s="13" t="str">
        <x:v>Ersetzen durch
AG-ZPO-ALL</x:v>
      </x:c>
      <x:c r="G147" s="13" t="str">
        <x:v>Rechtlich massgebender Partei- / Vertretungsort</x:v>
      </x:c>
      <x:c r="H147" s="13" t="str">
        <x:v>Arbeitsrechtlicher Feiertag</x:v>
      </x:c>
      <x:c r="I147" s="13" t="str">
        <x:v>§ 26 EG StPO anerkennt ausdrücklich dieselben 14 kantonsweiten Tage. Regionale ArG-Listen nicht als operative Fristenliste verwenden.</x:v>
      </x:c>
      <x:c r="J147" s="13" t="str">
        <x:v>AP22CLOSE-AG-STPO
AP22CLOSE-BUND-STPO</x:v>
      </x:c>
      <x:c r="K147" s="13" t="str">
        <x:v>SAR 251.200 § 26 | Stand 01.04.2025, Art. 87, 89 und 90</x:v>
      </x:c>
      <x:c r="L147" s="13" t="str">
        <x:v>Erfasste Regelgültigkeiten 2026-01-01 bis offen. Kein neuer Berechnungszeitraum freigegeben.</x:v>
      </x:c>
      <x:c r="M147" s="13" t="str">
        <x:v>02.10.2026 gezielte Quellenprüfung. Direktbeleg und normative Ableitung siehe Begründung und Fachnachtrag.</x:v>
      </x:c>
      <x:c r="N147" s="13" t="str">
        <x:v>Fachliche Freigabe DEC-2026-028 erteilt. Keine technische Aktivierung.</x:v>
      </x:c>
      <x:c r="O147" s="15"/>
    </x:row>
    <x:row r="148" ht="72" customHeight="1">
      <x:c r="A148" s="14" t="str">
        <x:v>AP22-AG-ARG-RHEINFELDEN-E1-ZPO</x:v>
      </x:c>
      <x:c r="B148" s="14" t="str">
        <x:v>Aargau</x:v>
      </x:c>
      <x:c r="C148" s="14" t="str">
        <x:v>ZPO</x:v>
      </x:c>
      <x:c r="D148" s="14" t="str">
        <x:v>AG-ARG-RHEINFELDEN-E1</x:v>
      </x:c>
      <x:c r="E148" s="14" t="str">
        <x:v>Nicht übernehmen</x:v>
      </x:c>
      <x:c r="F148" s="14" t="str">
        <x:v>Nicht verwenden</x:v>
      </x:c>
      <x:c r="G148" s="14" t="str">
        <x:v>Gerichtsort</x:v>
      </x:c>
      <x:c r="H148" s="14" t="str">
        <x:v>Arbeitsrechtlicher Feiertag</x:v>
      </x:c>
      <x:c r="I148" s="14" t="str">
        <x:v>Keine zusätzliche regionale Auswahl aus dem Arbeitsrecht. Eigene ZPO-Liste ist der Kandidat.</x:v>
      </x:c>
      <x:c r="J148" s="14" t="str">
        <x:v>SRC-AG-EGARR-20250901
AP22-ZPO
AP22-AG-ARR
AP22-4A538</x:v>
      </x:c>
      <x:c r="K148" s="14" t="str">
        <x:v>SAR 961.200, § 6 | Art. 142 Abs. 1bis und 3, Art. 145 | § 6 | E. 2</x:v>
      </x:c>
      <x:c r="L148" s="14" t="str">
        <x:v>Erfasste Regelgültigkeiten 2026-01-01 bis offen. Kein neuer Berechnungszeitraum freigegeben.</x:v>
      </x:c>
      <x:c r="M148" s="14" t="str">
        <x:v>Fachliche Freigabe DEC-2026-028. Quellenherkunft gemäss Blatt Quellen.</x:v>
      </x:c>
      <x:c r="N148" s="14" t="str">
        <x:v>Negativer Verwendungsentscheid bleibt</x:v>
      </x:c>
      <x:c r="O148" s="15"/>
    </x:row>
    <x:row r="149" ht="58" customHeight="1">
      <x:c r="A149" s="13" t="str">
        <x:v>AP22-AG-ARG-RHEINFELDEN-E1-BGG</x:v>
      </x:c>
      <x:c r="B149" s="13" t="str">
        <x:v>Aargau</x:v>
      </x:c>
      <x:c r="C149" s="13" t="str">
        <x:v>BGG</x:v>
      </x:c>
      <x:c r="D149" s="13" t="str">
        <x:v>AG-ARG-RHEINFELDEN-E1</x:v>
      </x:c>
      <x:c r="E149" s="14" t="str">
        <x:v>Zuordnung bestimmt</x:v>
      </x:c>
      <x:c r="F149" s="13" t="str">
        <x:v>Ersetzen durch
AG-ZPO-ALL</x:v>
      </x:c>
      <x:c r="G149" s="13" t="str">
        <x:v>Rechtlich massgebender Partei- / Vertretungsort</x:v>
      </x:c>
      <x:c r="H149" s="13" t="str">
        <x:v>Arbeitsrechtlicher Feiertag</x:v>
      </x:c>
      <x:c r="I149" s="13" t="str">
        <x:v>2E_8/2024 E. 6.5 korrigiert die regionale Beurteilung in 4A_538/2023. Vollständige kantonsweite §-21-Liste verwenden.</x:v>
      </x:c>
      <x:c r="J149" s="13" t="str">
        <x:v>AP22CLOSE-AG-ZPO
AP22CLOSE-BGER-2E8
AP22CLOSE-BUND-BGG</x:v>
      </x:c>
      <x:c r="K149" s="13" t="str">
        <x:v>SAR 221.200 § 21 | E. 6.2 bis 6.9, insbesondere E. 6.5 | Stand 01.04.2026, Art. 45 und 46</x:v>
      </x:c>
      <x:c r="L149" s="13" t="str">
        <x:v>Erfasste Regelgültigkeiten 2026-01-01 bis offen. Kein neuer Berechnungszeitraum freigegeben.</x:v>
      </x:c>
      <x:c r="M149" s="13" t="str">
        <x:v>02.10.2026 gezielte Quellenprüfung. Direktbeleg und normative Ableitung siehe Begründung und Fachnachtrag.</x:v>
      </x:c>
      <x:c r="N149" s="13" t="str">
        <x:v>Fachliche Freigabe DEC-2026-028 erteilt. Keine technische Aktivierung.</x:v>
      </x:c>
      <x:c r="O149" s="15"/>
    </x:row>
    <x:row r="150" ht="86" customHeight="1">
      <x:c r="A150" s="14" t="str">
        <x:v>AP22-AG-ARG-RHEINFELDEN-E1-VWVG</x:v>
      </x:c>
      <x:c r="B150" s="14" t="str">
        <x:v>Aargau</x:v>
      </x:c>
      <x:c r="C150" s="14" t="str">
        <x:v>VwVG</x:v>
      </x:c>
      <x:c r="D150" s="14" t="str">
        <x:v>AG-ARG-RHEINFELDEN-E1</x:v>
      </x:c>
      <x:c r="E150" s="14" t="str">
        <x:v>Zuordnung bestimmt</x:v>
      </x:c>
      <x:c r="F150" s="14" t="str">
        <x:v>Ersetzen durch
AG-ZPO-ALL</x:v>
      </x:c>
      <x:c r="G150" s="14" t="str">
        <x:v>Rechtlich massgebender Partei- / Vertretungsort</x:v>
      </x:c>
      <x:c r="H150" s="14" t="str">
        <x:v>Arbeitsrechtlicher Feiertag</x:v>
      </x:c>
      <x:c r="I150" s="14" t="str">
        <x:v>Begründete normative Ableitung für Art. 20 Abs. 3 VwVG aus kantonaler prozessualer Anerkennung und Art. 5 EuFrÜb. Kein eigenständiger VwVG-Direktentscheid behauptet.</x:v>
      </x:c>
      <x:c r="J150" s="14" t="str">
        <x:v>AP22CLOSE-AG-ZPO
AP22CLOSE-AG-VRPG
AP22CLOSE-EUFRUEB
AP22CLOSE-BGER-2E8
AP22CLOSE-BUND-VWVG</x:v>
      </x:c>
      <x:c r="K150" s="14" t="str">
        <x:v>SAR 221.200 § 21 | SAR 271.200 § 28 Abs. 1 und 2 | Art. 1 und 5 | E. 6.2 bis 6.9, insbesondere E. 6.5 | Stand 01.07.2022, Art. 11, 20 und 22a</x:v>
      </x:c>
      <x:c r="L150" s="14" t="str">
        <x:v>Erfasste Regelgültigkeiten 2026-01-01 bis offen. Kein neuer Berechnungszeitraum freigegeben.</x:v>
      </x:c>
      <x:c r="M150" s="14" t="str">
        <x:v>02.10.2026 gezielte Quellenprüfung. Direktbeleg und normative Ableitung siehe Begründung und Fachnachtrag.</x:v>
      </x:c>
      <x:c r="N150" s="14" t="str">
        <x:v>Fachliche Freigabe DEC-2026-028 erteilt. Keine technische Aktivierung.</x:v>
      </x:c>
      <x:c r="O150" s="15"/>
    </x:row>
    <x:row r="151" ht="58" customHeight="1">
      <x:c r="A151" s="13" t="str">
        <x:v>AP22-AG-ARG-RHEINFELDEN-E2-STPO</x:v>
      </x:c>
      <x:c r="B151" s="13" t="str">
        <x:v>Aargau</x:v>
      </x:c>
      <x:c r="C151" s="13" t="str">
        <x:v>StPO</x:v>
      </x:c>
      <x:c r="D151" s="13" t="str">
        <x:v>AG-ARG-RHEINFELDEN-E2</x:v>
      </x:c>
      <x:c r="E151" s="14" t="str">
        <x:v>Zuordnung bestimmt</x:v>
      </x:c>
      <x:c r="F151" s="13" t="str">
        <x:v>Ersetzen durch
AG-ZPO-ALL</x:v>
      </x:c>
      <x:c r="G151" s="13" t="str">
        <x:v>Rechtlich massgebender Partei- / Vertretungsort</x:v>
      </x:c>
      <x:c r="H151" s="13" t="str">
        <x:v>Arbeitsrechtlicher Feiertag</x:v>
      </x:c>
      <x:c r="I151" s="13" t="str">
        <x:v>§ 26 EG StPO anerkennt ausdrücklich dieselben 14 kantonsweiten Tage. Regionale ArG-Listen nicht als operative Fristenliste verwenden.</x:v>
      </x:c>
      <x:c r="J151" s="13" t="str">
        <x:v>AP22CLOSE-AG-STPO
AP22CLOSE-BUND-STPO</x:v>
      </x:c>
      <x:c r="K151" s="13" t="str">
        <x:v>SAR 251.200 § 26 | Stand 01.04.2025, Art. 87, 89 und 90</x:v>
      </x:c>
      <x:c r="L151" s="13" t="str">
        <x:v>Erfasste Regelgültigkeiten 2026-01-01 bis offen. Kein neuer Berechnungszeitraum freigegeben.</x:v>
      </x:c>
      <x:c r="M151" s="13" t="str">
        <x:v>02.10.2026 gezielte Quellenprüfung. Direktbeleg und normative Ableitung siehe Begründung und Fachnachtrag.</x:v>
      </x:c>
      <x:c r="N151" s="13" t="str">
        <x:v>Fachliche Freigabe DEC-2026-028 erteilt. Keine technische Aktivierung.</x:v>
      </x:c>
      <x:c r="O151" s="15"/>
    </x:row>
    <x:row r="152" ht="72" customHeight="1">
      <x:c r="A152" s="14" t="str">
        <x:v>AP22-AG-ARG-RHEINFELDEN-E2-ZPO</x:v>
      </x:c>
      <x:c r="B152" s="14" t="str">
        <x:v>Aargau</x:v>
      </x:c>
      <x:c r="C152" s="14" t="str">
        <x:v>ZPO</x:v>
      </x:c>
      <x:c r="D152" s="14" t="str">
        <x:v>AG-ARG-RHEINFELDEN-E2</x:v>
      </x:c>
      <x:c r="E152" s="14" t="str">
        <x:v>Nicht übernehmen</x:v>
      </x:c>
      <x:c r="F152" s="14" t="str">
        <x:v>Nicht verwenden</x:v>
      </x:c>
      <x:c r="G152" s="14" t="str">
        <x:v>Gerichtsort</x:v>
      </x:c>
      <x:c r="H152" s="14" t="str">
        <x:v>Arbeitsrechtlicher Feiertag</x:v>
      </x:c>
      <x:c r="I152" s="14" t="str">
        <x:v>Keine zusätzliche regionale Auswahl aus dem Arbeitsrecht. Eigene ZPO-Liste ist der Kandidat.</x:v>
      </x:c>
      <x:c r="J152" s="14" t="str">
        <x:v>SRC-AG-EGARR-20250901
AP22-ZPO
AP22-AG-ARR
AP22-4A538</x:v>
      </x:c>
      <x:c r="K152" s="14" t="str">
        <x:v>SAR 961.200, § 6 | Art. 142 Abs. 1bis und 3, Art. 145 | § 6 | E. 2</x:v>
      </x:c>
      <x:c r="L152" s="14" t="str">
        <x:v>Erfasste Regelgültigkeiten 2026-01-01 bis offen. Kein neuer Berechnungszeitraum freigegeben.</x:v>
      </x:c>
      <x:c r="M152" s="14" t="str">
        <x:v>Fachliche Freigabe DEC-2026-028. Quellenherkunft gemäss Blatt Quellen.</x:v>
      </x:c>
      <x:c r="N152" s="14" t="str">
        <x:v>Negativer Verwendungsentscheid bleibt</x:v>
      </x:c>
      <x:c r="O152" s="15"/>
    </x:row>
    <x:row r="153" ht="58" customHeight="1">
      <x:c r="A153" s="13" t="str">
        <x:v>AP22-AG-ARG-RHEINFELDEN-E2-BGG</x:v>
      </x:c>
      <x:c r="B153" s="13" t="str">
        <x:v>Aargau</x:v>
      </x:c>
      <x:c r="C153" s="13" t="str">
        <x:v>BGG</x:v>
      </x:c>
      <x:c r="D153" s="13" t="str">
        <x:v>AG-ARG-RHEINFELDEN-E2</x:v>
      </x:c>
      <x:c r="E153" s="14" t="str">
        <x:v>Zuordnung bestimmt</x:v>
      </x:c>
      <x:c r="F153" s="13" t="str">
        <x:v>Ersetzen durch
AG-ZPO-ALL</x:v>
      </x:c>
      <x:c r="G153" s="13" t="str">
        <x:v>Rechtlich massgebender Partei- / Vertretungsort</x:v>
      </x:c>
      <x:c r="H153" s="13" t="str">
        <x:v>Arbeitsrechtlicher Feiertag</x:v>
      </x:c>
      <x:c r="I153" s="13" t="str">
        <x:v>2E_8/2024 E. 6.5 korrigiert die regionale Beurteilung in 4A_538/2023. Vollständige kantonsweite §-21-Liste verwenden.</x:v>
      </x:c>
      <x:c r="J153" s="13" t="str">
        <x:v>AP22CLOSE-AG-ZPO
AP22CLOSE-BGER-2E8
AP22CLOSE-BUND-BGG</x:v>
      </x:c>
      <x:c r="K153" s="13" t="str">
        <x:v>SAR 221.200 § 21 | E. 6.2 bis 6.9, insbesondere E. 6.5 | Stand 01.04.2026, Art. 45 und 46</x:v>
      </x:c>
      <x:c r="L153" s="13" t="str">
        <x:v>Erfasste Regelgültigkeiten 2026-01-01 bis offen. Kein neuer Berechnungszeitraum freigegeben.</x:v>
      </x:c>
      <x:c r="M153" s="13" t="str">
        <x:v>02.10.2026 gezielte Quellenprüfung. Direktbeleg und normative Ableitung siehe Begründung und Fachnachtrag.</x:v>
      </x:c>
      <x:c r="N153" s="13" t="str">
        <x:v>Fachliche Freigabe DEC-2026-028 erteilt. Keine technische Aktivierung.</x:v>
      </x:c>
      <x:c r="O153" s="15"/>
    </x:row>
    <x:row r="154" ht="86" customHeight="1">
      <x:c r="A154" s="14" t="str">
        <x:v>AP22-AG-ARG-RHEINFELDEN-E2-VWVG</x:v>
      </x:c>
      <x:c r="B154" s="14" t="str">
        <x:v>Aargau</x:v>
      </x:c>
      <x:c r="C154" s="14" t="str">
        <x:v>VwVG</x:v>
      </x:c>
      <x:c r="D154" s="14" t="str">
        <x:v>AG-ARG-RHEINFELDEN-E2</x:v>
      </x:c>
      <x:c r="E154" s="14" t="str">
        <x:v>Zuordnung bestimmt</x:v>
      </x:c>
      <x:c r="F154" s="14" t="str">
        <x:v>Ersetzen durch
AG-ZPO-ALL</x:v>
      </x:c>
      <x:c r="G154" s="14" t="str">
        <x:v>Rechtlich massgebender Partei- / Vertretungsort</x:v>
      </x:c>
      <x:c r="H154" s="14" t="str">
        <x:v>Arbeitsrechtlicher Feiertag</x:v>
      </x:c>
      <x:c r="I154" s="14" t="str">
        <x:v>Begründete normative Ableitung für Art. 20 Abs. 3 VwVG aus kantonaler prozessualer Anerkennung und Art. 5 EuFrÜb. Kein eigenständiger VwVG-Direktentscheid behauptet.</x:v>
      </x:c>
      <x:c r="J154" s="14" t="str">
        <x:v>AP22CLOSE-AG-ZPO
AP22CLOSE-AG-VRPG
AP22CLOSE-EUFRUEB
AP22CLOSE-BGER-2E8
AP22CLOSE-BUND-VWVG</x:v>
      </x:c>
      <x:c r="K154" s="14" t="str">
        <x:v>SAR 221.200 § 21 | SAR 271.200 § 28 Abs. 1 und 2 | Art. 1 und 5 | E. 6.2 bis 6.9, insbesondere E. 6.5 | Stand 01.07.2022, Art. 11, 20 und 22a</x:v>
      </x:c>
      <x:c r="L154" s="14" t="str">
        <x:v>Erfasste Regelgültigkeiten 2026-01-01 bis offen. Kein neuer Berechnungszeitraum freigegeben.</x:v>
      </x:c>
      <x:c r="M154" s="14" t="str">
        <x:v>02.10.2026 gezielte Quellenprüfung. Direktbeleg und normative Ableitung siehe Begründung und Fachnachtrag.</x:v>
      </x:c>
      <x:c r="N154" s="14" t="str">
        <x:v>Fachliche Freigabe DEC-2026-028 erteilt. Keine technische Aktivierung.</x:v>
      </x:c>
      <x:c r="O154" s="15"/>
    </x:row>
    <x:row r="155" ht="58" customHeight="1">
      <x:c r="A155" s="13" t="str">
        <x:v>AP22-AG-ARG-ZURZACH-STPO</x:v>
      </x:c>
      <x:c r="B155" s="13" t="str">
        <x:v>Aargau</x:v>
      </x:c>
      <x:c r="C155" s="13" t="str">
        <x:v>StPO</x:v>
      </x:c>
      <x:c r="D155" s="13" t="str">
        <x:v>AG-ARG-ZURZACH</x:v>
      </x:c>
      <x:c r="E155" s="14" t="str">
        <x:v>Zuordnung bestimmt</x:v>
      </x:c>
      <x:c r="F155" s="13" t="str">
        <x:v>Ersetzen durch
AG-ZPO-ALL</x:v>
      </x:c>
      <x:c r="G155" s="13" t="str">
        <x:v>Rechtlich massgebender Partei- / Vertretungsort</x:v>
      </x:c>
      <x:c r="H155" s="13" t="str">
        <x:v>Arbeitsrechtlicher Feiertag</x:v>
      </x:c>
      <x:c r="I155" s="13" t="str">
        <x:v>§ 26 EG StPO anerkennt ausdrücklich dieselben 14 kantonsweiten Tage. Regionale ArG-Listen nicht als operative Fristenliste verwenden.</x:v>
      </x:c>
      <x:c r="J155" s="13" t="str">
        <x:v>AP22CLOSE-AG-STPO
AP22CLOSE-BUND-STPO</x:v>
      </x:c>
      <x:c r="K155" s="13" t="str">
        <x:v>SAR 251.200 § 26 | Stand 01.04.2025, Art. 87, 89 und 90</x:v>
      </x:c>
      <x:c r="L155" s="13" t="str">
        <x:v>Erfasste Regelgültigkeiten 2026-01-01 bis offen. Kein neuer Berechnungszeitraum freigegeben.</x:v>
      </x:c>
      <x:c r="M155" s="13" t="str">
        <x:v>02.10.2026 gezielte Quellenprüfung. Direktbeleg und normative Ableitung siehe Begründung und Fachnachtrag.</x:v>
      </x:c>
      <x:c r="N155" s="13" t="str">
        <x:v>Fachliche Freigabe DEC-2026-028 erteilt. Keine technische Aktivierung.</x:v>
      </x:c>
      <x:c r="O155" s="15"/>
    </x:row>
    <x:row r="156" ht="72" customHeight="1">
      <x:c r="A156" s="14" t="str">
        <x:v>AP22-AG-ARG-ZURZACH-ZPO</x:v>
      </x:c>
      <x:c r="B156" s="14" t="str">
        <x:v>Aargau</x:v>
      </x:c>
      <x:c r="C156" s="14" t="str">
        <x:v>ZPO</x:v>
      </x:c>
      <x:c r="D156" s="14" t="str">
        <x:v>AG-ARG-ZURZACH</x:v>
      </x:c>
      <x:c r="E156" s="14" t="str">
        <x:v>Nicht übernehmen</x:v>
      </x:c>
      <x:c r="F156" s="14" t="str">
        <x:v>Nicht verwenden</x:v>
      </x:c>
      <x:c r="G156" s="14" t="str">
        <x:v>Gerichtsort</x:v>
      </x:c>
      <x:c r="H156" s="14" t="str">
        <x:v>Arbeitsrechtlicher Feiertag</x:v>
      </x:c>
      <x:c r="I156" s="14" t="str">
        <x:v>Keine zusätzliche regionale Auswahl aus dem Arbeitsrecht. Eigene ZPO-Liste ist der Kandidat.</x:v>
      </x:c>
      <x:c r="J156" s="14" t="str">
        <x:v>SRC-AG-EGARR-20250901
AP22-ZPO
AP22-AG-ARR
AP22-4A538</x:v>
      </x:c>
      <x:c r="K156" s="14" t="str">
        <x:v>SAR 961.200, § 6 | Art. 142 Abs. 1bis und 3, Art. 145 | § 6 | E. 2</x:v>
      </x:c>
      <x:c r="L156" s="14" t="str">
        <x:v>Erfasste Regelgültigkeiten 2026-01-01 bis offen. Kein neuer Berechnungszeitraum freigegeben.</x:v>
      </x:c>
      <x:c r="M156" s="14" t="str">
        <x:v>Fachliche Freigabe DEC-2026-028. Quellenherkunft gemäss Blatt Quellen.</x:v>
      </x:c>
      <x:c r="N156" s="14" t="str">
        <x:v>Negativer Verwendungsentscheid bleibt</x:v>
      </x:c>
      <x:c r="O156" s="15"/>
    </x:row>
    <x:row r="157" ht="58" customHeight="1">
      <x:c r="A157" s="13" t="str">
        <x:v>AP22-AG-ARG-ZURZACH-BGG</x:v>
      </x:c>
      <x:c r="B157" s="13" t="str">
        <x:v>Aargau</x:v>
      </x:c>
      <x:c r="C157" s="13" t="str">
        <x:v>BGG</x:v>
      </x:c>
      <x:c r="D157" s="13" t="str">
        <x:v>AG-ARG-ZURZACH</x:v>
      </x:c>
      <x:c r="E157" s="14" t="str">
        <x:v>Zuordnung bestimmt</x:v>
      </x:c>
      <x:c r="F157" s="13" t="str">
        <x:v>Ersetzen durch
AG-ZPO-ALL</x:v>
      </x:c>
      <x:c r="G157" s="13" t="str">
        <x:v>Rechtlich massgebender Partei- / Vertretungsort</x:v>
      </x:c>
      <x:c r="H157" s="13" t="str">
        <x:v>Arbeitsrechtlicher Feiertag</x:v>
      </x:c>
      <x:c r="I157" s="13" t="str">
        <x:v>2E_8/2024 E. 6.5 korrigiert die regionale Beurteilung in 4A_538/2023. Vollständige kantonsweite §-21-Liste verwenden.</x:v>
      </x:c>
      <x:c r="J157" s="13" t="str">
        <x:v>AP22CLOSE-AG-ZPO
AP22CLOSE-BGER-2E8
AP22CLOSE-BUND-BGG</x:v>
      </x:c>
      <x:c r="K157" s="13" t="str">
        <x:v>SAR 221.200 § 21 | E. 6.2 bis 6.9, insbesondere E. 6.5 | Stand 01.04.2026, Art. 45 und 46</x:v>
      </x:c>
      <x:c r="L157" s="13" t="str">
        <x:v>Erfasste Regelgültigkeiten 2026-01-01 bis offen. Kein neuer Berechnungszeitraum freigegeben.</x:v>
      </x:c>
      <x:c r="M157" s="13" t="str">
        <x:v>02.10.2026 gezielte Quellenprüfung. Direktbeleg und normative Ableitung siehe Begründung und Fachnachtrag.</x:v>
      </x:c>
      <x:c r="N157" s="13" t="str">
        <x:v>Fachliche Freigabe DEC-2026-028 erteilt. Keine technische Aktivierung.</x:v>
      </x:c>
      <x:c r="O157" s="15"/>
    </x:row>
    <x:row r="158" ht="86" customHeight="1">
      <x:c r="A158" s="14" t="str">
        <x:v>AP22-AG-ARG-ZURZACH-VWVG</x:v>
      </x:c>
      <x:c r="B158" s="14" t="str">
        <x:v>Aargau</x:v>
      </x:c>
      <x:c r="C158" s="14" t="str">
        <x:v>VwVG</x:v>
      </x:c>
      <x:c r="D158" s="14" t="str">
        <x:v>AG-ARG-ZURZACH</x:v>
      </x:c>
      <x:c r="E158" s="14" t="str">
        <x:v>Zuordnung bestimmt</x:v>
      </x:c>
      <x:c r="F158" s="14" t="str">
        <x:v>Ersetzen durch
AG-ZPO-ALL</x:v>
      </x:c>
      <x:c r="G158" s="14" t="str">
        <x:v>Rechtlich massgebender Partei- / Vertretungsort</x:v>
      </x:c>
      <x:c r="H158" s="14" t="str">
        <x:v>Arbeitsrechtlicher Feiertag</x:v>
      </x:c>
      <x:c r="I158" s="14" t="str">
        <x:v>Begründete normative Ableitung für Art. 20 Abs. 3 VwVG aus kantonaler prozessualer Anerkennung und Art. 5 EuFrÜb. Kein eigenständiger VwVG-Direktentscheid behauptet.</x:v>
      </x:c>
      <x:c r="J158" s="14" t="str">
        <x:v>AP22CLOSE-AG-ZPO
AP22CLOSE-AG-VRPG
AP22CLOSE-EUFRUEB
AP22CLOSE-BGER-2E8
AP22CLOSE-BUND-VWVG</x:v>
      </x:c>
      <x:c r="K158" s="14" t="str">
        <x:v>SAR 221.200 § 21 | SAR 271.200 § 28 Abs. 1 und 2 | Art. 1 und 5 | E. 6.2 bis 6.9, insbesondere E. 6.5 | Stand 01.07.2022, Art. 11, 20 und 22a</x:v>
      </x:c>
      <x:c r="L158" s="14" t="str">
        <x:v>Erfasste Regelgültigkeiten 2026-01-01 bis offen. Kein neuer Berechnungszeitraum freigegeben.</x:v>
      </x:c>
      <x:c r="M158" s="14" t="str">
        <x:v>02.10.2026 gezielte Quellenprüfung. Direktbeleg und normative Ableitung siehe Begründung und Fachnachtrag.</x:v>
      </x:c>
      <x:c r="N158" s="14" t="str">
        <x:v>Fachliche Freigabe DEC-2026-028 erteilt. Keine technische Aktivierung.</x:v>
      </x:c>
      <x:c r="O158" s="15"/>
    </x:row>
    <x:row r="159" ht="72" customHeight="1">
      <x:c r="A159" s="13" t="str">
        <x:v>AP22-TG-RTG-ALL-STPO</x:v>
      </x:c>
      <x:c r="B159" s="13" t="str">
        <x:v>Thurgau</x:v>
      </x:c>
      <x:c r="C159" s="13" t="str">
        <x:v>StPO</x:v>
      </x:c>
      <x:c r="D159" s="13" t="str">
        <x:v>TG-RTG-ALL</x:v>
      </x:c>
      <x:c r="E159" s="14" t="str">
        <x:v>Zuordnung bestimmt</x:v>
      </x:c>
      <x:c r="F159" s="13" t="str">
        <x:v>Verwenden
TG-RTG-ALL</x:v>
      </x:c>
      <x:c r="G159" s="13" t="str">
        <x:v>Rechtlich massgebender Partei- / Vertretungsort</x:v>
      </x:c>
      <x:c r="H159" s="13" t="str">
        <x:v>Öffentlicher Feiertag</x:v>
      </x:c>
      <x:c r="I159" s="13" t="str">
        <x:v>Kantonal anerkannte Grundliste am rechtlich massgebenden Ort. Übernahme im Umfang von DEC-2026-028. AP18-/MVP-0.6-Quellenstand wiederverwendet, keine vollständige neue Quellenrevision behauptet.</x:v>
      </x:c>
      <x:c r="J159" s="13" t="str">
        <x:v>SRC-TG-RTG-8229-V2949
AP22-STPO</x:v>
      </x:c>
      <x:c r="K159" s="13" t="str">
        <x:v>RB 822.9, § 1 und 2, Version 2949 | Art. 89 Abs. 2 und Art. 90 Abs. 2</x:v>
      </x:c>
      <x:c r="L159" s="13" t="str">
        <x:v>Erfasste Regelgültigkeiten 2026-01-01 bis offen. Kein neuer Berechnungszeitraum freigegeben.</x:v>
      </x:c>
      <x:c r="M159" s="13" t="str">
        <x:v>Fachliche Freigabe DEC-2026-028. Quellenherkunft gemäss Blatt Quellen.</x:v>
      </x:c>
      <x:c r="N159" s="13" t="str">
        <x:v>Fachliche Freigabe DEC-2026-028 erteilt. Keine technische Aktivierung.</x:v>
      </x:c>
      <x:c r="O159" s="15"/>
    </x:row>
    <x:row r="160" ht="72" customHeight="1">
      <x:c r="A160" s="14" t="str">
        <x:v>AP22-TG-RTG-ALL-ZPO</x:v>
      </x:c>
      <x:c r="B160" s="14" t="str">
        <x:v>Thurgau</x:v>
      </x:c>
      <x:c r="C160" s="14" t="str">
        <x:v>ZPO</x:v>
      </x:c>
      <x:c r="D160" s="14" t="str">
        <x:v>TG-RTG-ALL</x:v>
      </x:c>
      <x:c r="E160" s="14" t="str">
        <x:v>Zuordnung bestimmt</x:v>
      </x:c>
      <x:c r="F160" s="14" t="str">
        <x:v>Verwenden
TG-RTG-ALL</x:v>
      </x:c>
      <x:c r="G160" s="14" t="str">
        <x:v>Gerichtsort</x:v>
      </x:c>
      <x:c r="H160" s="14" t="str">
        <x:v>Öffentlicher Feiertag</x:v>
      </x:c>
      <x:c r="I160" s="14" t="str">
        <x:v>Kantonal anerkannte Grundliste am rechtlich massgebenden Ort. Übernahme im Umfang von DEC-2026-028. AP18-/MVP-0.6-Quellenstand wiederverwendet, keine vollständige neue Quellenrevision behauptet.</x:v>
      </x:c>
      <x:c r="J160" s="14" t="str">
        <x:v>SRC-TG-RTG-8229-V2949
AP22-ZPO</x:v>
      </x:c>
      <x:c r="K160" s="14" t="str">
        <x:v>RB 822.9, § 1 und 2, Version 2949 | Art. 142 Abs. 1bis und 3, Art. 145</x:v>
      </x:c>
      <x:c r="L160" s="14" t="str">
        <x:v>Erfasste Regelgültigkeiten 2026-01-01 bis offen. Kein neuer Berechnungszeitraum freigegeben.</x:v>
      </x:c>
      <x:c r="M160" s="14" t="str">
        <x:v>Fachliche Freigabe DEC-2026-028. Quellenherkunft gemäss Blatt Quellen.</x:v>
      </x:c>
      <x:c r="N160" s="14" t="str">
        <x:v>Fachliche Freigabe DEC-2026-028 erteilt. Keine technische Aktivierung.</x:v>
      </x:c>
      <x:c r="O160" s="15"/>
    </x:row>
    <x:row r="161" ht="72" customHeight="1">
      <x:c r="A161" s="13" t="str">
        <x:v>AP22-TG-RTG-ALL-BGG</x:v>
      </x:c>
      <x:c r="B161" s="13" t="str">
        <x:v>Thurgau</x:v>
      </x:c>
      <x:c r="C161" s="13" t="str">
        <x:v>BGG</x:v>
      </x:c>
      <x:c r="D161" s="13" t="str">
        <x:v>TG-RTG-ALL</x:v>
      </x:c>
      <x:c r="E161" s="14" t="str">
        <x:v>Zuordnung bestimmt</x:v>
      </x:c>
      <x:c r="F161" s="13" t="str">
        <x:v>Verwenden
TG-RTG-ALL</x:v>
      </x:c>
      <x:c r="G161" s="13" t="str">
        <x:v>Rechtlich massgebender Partei- / Vertretungsort</x:v>
      </x:c>
      <x:c r="H161" s="13" t="str">
        <x:v>Öffentlicher Feiertag</x:v>
      </x:c>
      <x:c r="I161" s="13" t="str">
        <x:v>Kantonal anerkannte Grundliste am rechtlich massgebenden Ort. Übernahme im Umfang von DEC-2026-028. AP18-/MVP-0.6-Quellenstand wiederverwendet, keine vollständige neue Quellenrevision behauptet.</x:v>
      </x:c>
      <x:c r="J161" s="13" t="str">
        <x:v>SRC-TG-RTG-8229-V2949
AP22-BGG</x:v>
      </x:c>
      <x:c r="K161" s="13" t="str">
        <x:v>RB 822.9, § 1 und 2, Version 2949 | Art. 45 und 46</x:v>
      </x:c>
      <x:c r="L161" s="13" t="str">
        <x:v>Erfasste Regelgültigkeiten 2026-01-01 bis offen. Kein neuer Berechnungszeitraum freigegeben.</x:v>
      </x:c>
      <x:c r="M161" s="13" t="str">
        <x:v>Fachliche Freigabe DEC-2026-028. Quellenherkunft gemäss Blatt Quellen.</x:v>
      </x:c>
      <x:c r="N161" s="13" t="str">
        <x:v>Fachliche Freigabe DEC-2026-028 erteilt. Keine technische Aktivierung.</x:v>
      </x:c>
      <x:c r="O161" s="15"/>
    </x:row>
    <x:row r="162" ht="72" customHeight="1">
      <x:c r="A162" s="14" t="str">
        <x:v>AP22-TG-RTG-ALL-VWVG</x:v>
      </x:c>
      <x:c r="B162" s="14" t="str">
        <x:v>Thurgau</x:v>
      </x:c>
      <x:c r="C162" s="14" t="str">
        <x:v>VwVG</x:v>
      </x:c>
      <x:c r="D162" s="14" t="str">
        <x:v>TG-RTG-ALL</x:v>
      </x:c>
      <x:c r="E162" s="14" t="str">
        <x:v>Zuordnung bestimmt</x:v>
      </x:c>
      <x:c r="F162" s="14" t="str">
        <x:v>Verwenden
TG-RTG-ALL</x:v>
      </x:c>
      <x:c r="G162" s="14" t="str">
        <x:v>Rechtlich massgebender Partei- / Vertretungsort</x:v>
      </x:c>
      <x:c r="H162" s="14" t="str">
        <x:v>Öffentlicher Feiertag</x:v>
      </x:c>
      <x:c r="I162" s="14" t="str">
        <x:v>Kantonal anerkannte Grundliste am rechtlich massgebenden Ort. Übernahme im Umfang von DEC-2026-028. AP18-/MVP-0.6-Quellenstand wiederverwendet, keine vollständige neue Quellenrevision behauptet.</x:v>
      </x:c>
      <x:c r="J162" s="14" t="str">
        <x:v>SRC-TG-RTG-8229-V2949
AP22-VWVG</x:v>
      </x:c>
      <x:c r="K162" s="14" t="str">
        <x:v>RB 822.9, § 1 und 2, Version 2949 | Art. 20 Abs. 3 und Art. 22a</x:v>
      </x:c>
      <x:c r="L162" s="14" t="str">
        <x:v>Erfasste Regelgültigkeiten 2026-01-01 bis offen. Kein neuer Berechnungszeitraum freigegeben.</x:v>
      </x:c>
      <x:c r="M162" s="14" t="str">
        <x:v>Fachliche Freigabe DEC-2026-028. Quellenherkunft gemäss Blatt Quellen.</x:v>
      </x:c>
      <x:c r="N162" s="14" t="str">
        <x:v>Fachliche Freigabe DEC-2026-028 erteilt. Keine technische Aktivierung.</x:v>
      </x:c>
      <x:c r="O162" s="15"/>
    </x:row>
    <x:row r="163" ht="72" customHeight="1">
      <x:c r="A163" s="13" t="str">
        <x:v>AP22-TI-OFFICIAL-ALL-STPO</x:v>
      </x:c>
      <x:c r="B163" s="13" t="str">
        <x:v>Tessin</x:v>
      </x:c>
      <x:c r="C163" s="13" t="str">
        <x:v>StPO</x:v>
      </x:c>
      <x:c r="D163" s="13" t="str">
        <x:v>TI-OFFICIAL-ALL</x:v>
      </x:c>
      <x:c r="E163" s="14" t="str">
        <x:v>Zuordnung bestimmt</x:v>
      </x:c>
      <x:c r="F163" s="13" t="str">
        <x:v>Verwenden
TI-OFFICIAL-ALL</x:v>
      </x:c>
      <x:c r="G163" s="13" t="str">
        <x:v>Rechtlich massgebender Partei- / Vertretungsort</x:v>
      </x:c>
      <x:c r="H163" s="13" t="str">
        <x:v>Öffentlicher Feiertag</x:v>
      </x:c>
      <x:c r="I163" s="13" t="str">
        <x:v>Kantonal anerkannte Grundliste am rechtlich massgebenden Ort. Übernahme im Umfang von DEC-2026-028. AP18-/MVP-0.6-Quellenstand wiederverwendet, keine vollständige neue Quellenrevision behauptet.</x:v>
      </x:c>
      <x:c r="J163" s="13" t="str">
        <x:v>SRC-TI-FEIERTAGE-843200
AP22-STPO</x:v>
      </x:c>
      <x:c r="K163" s="13" t="str">
        <x:v>RL 843.200, Art. 1 | Art. 89 Abs. 2 und Art. 90 Abs. 2</x:v>
      </x:c>
      <x:c r="L163" s="13" t="str">
        <x:v>Erfasste Regelgültigkeiten 2026-01-01 bis offen. Kein neuer Berechnungszeitraum freigegeben.</x:v>
      </x:c>
      <x:c r="M163" s="13" t="str">
        <x:v>Fachliche Freigabe DEC-2026-028. Quellenherkunft gemäss Blatt Quellen.</x:v>
      </x:c>
      <x:c r="N163" s="13" t="str">
        <x:v>Fachliche Freigabe DEC-2026-028 erteilt. Keine technische Aktivierung.</x:v>
      </x:c>
      <x:c r="O163" s="15"/>
    </x:row>
    <x:row r="164" ht="72" customHeight="1">
      <x:c r="A164" s="14" t="str">
        <x:v>AP22-TI-OFFICIAL-ALL-ZPO</x:v>
      </x:c>
      <x:c r="B164" s="14" t="str">
        <x:v>Tessin</x:v>
      </x:c>
      <x:c r="C164" s="14" t="str">
        <x:v>ZPO</x:v>
      </x:c>
      <x:c r="D164" s="14" t="str">
        <x:v>TI-OFFICIAL-ALL</x:v>
      </x:c>
      <x:c r="E164" s="14" t="str">
        <x:v>Zuordnung bestimmt</x:v>
      </x:c>
      <x:c r="F164" s="14" t="str">
        <x:v>Verwenden
TI-OFFICIAL-ALL</x:v>
      </x:c>
      <x:c r="G164" s="14" t="str">
        <x:v>Gerichtsort</x:v>
      </x:c>
      <x:c r="H164" s="14" t="str">
        <x:v>Öffentlicher Feiertag</x:v>
      </x:c>
      <x:c r="I164" s="14" t="str">
        <x:v>Kantonal anerkannte Grundliste am rechtlich massgebenden Ort. Übernahme im Umfang von DEC-2026-028. AP18-/MVP-0.6-Quellenstand wiederverwendet, keine vollständige neue Quellenrevision behauptet.</x:v>
      </x:c>
      <x:c r="J164" s="14" t="str">
        <x:v>SRC-TI-FEIERTAGE-843200
AP22-ZPO</x:v>
      </x:c>
      <x:c r="K164" s="14" t="str">
        <x:v>RL 843.200, Art. 1 | Art. 142 Abs. 1bis und 3, Art. 145</x:v>
      </x:c>
      <x:c r="L164" s="14" t="str">
        <x:v>Erfasste Regelgültigkeiten 2026-01-01 bis offen. Kein neuer Berechnungszeitraum freigegeben.</x:v>
      </x:c>
      <x:c r="M164" s="14" t="str">
        <x:v>Fachliche Freigabe DEC-2026-028. Quellenherkunft gemäss Blatt Quellen.</x:v>
      </x:c>
      <x:c r="N164" s="14" t="str">
        <x:v>Fachliche Freigabe DEC-2026-028 erteilt. Keine technische Aktivierung.</x:v>
      </x:c>
      <x:c r="O164" s="15"/>
    </x:row>
    <x:row r="165" ht="72" customHeight="1">
      <x:c r="A165" s="13" t="str">
        <x:v>AP22-TI-OFFICIAL-ALL-BGG</x:v>
      </x:c>
      <x:c r="B165" s="13" t="str">
        <x:v>Tessin</x:v>
      </x:c>
      <x:c r="C165" s="13" t="str">
        <x:v>BGG</x:v>
      </x:c>
      <x:c r="D165" s="13" t="str">
        <x:v>TI-OFFICIAL-ALL</x:v>
      </x:c>
      <x:c r="E165" s="14" t="str">
        <x:v>Zuordnung bestimmt</x:v>
      </x:c>
      <x:c r="F165" s="13" t="str">
        <x:v>Verwenden
TI-OFFICIAL-ALL</x:v>
      </x:c>
      <x:c r="G165" s="13" t="str">
        <x:v>Rechtlich massgebender Partei- / Vertretungsort</x:v>
      </x:c>
      <x:c r="H165" s="13" t="str">
        <x:v>Öffentlicher Feiertag</x:v>
      </x:c>
      <x:c r="I165" s="13" t="str">
        <x:v>Kantonal anerkannte Grundliste am rechtlich massgebenden Ort. Übernahme im Umfang von DEC-2026-028. AP18-/MVP-0.6-Quellenstand wiederverwendet, keine vollständige neue Quellenrevision behauptet.</x:v>
      </x:c>
      <x:c r="J165" s="13" t="str">
        <x:v>SRC-TI-FEIERTAGE-843200
AP22-BGG</x:v>
      </x:c>
      <x:c r="K165" s="13" t="str">
        <x:v>RL 843.200, Art. 1 | Art. 45 und 46</x:v>
      </x:c>
      <x:c r="L165" s="13" t="str">
        <x:v>Erfasste Regelgültigkeiten 2026-01-01 bis offen. Kein neuer Berechnungszeitraum freigegeben.</x:v>
      </x:c>
      <x:c r="M165" s="13" t="str">
        <x:v>Fachliche Freigabe DEC-2026-028. Quellenherkunft gemäss Blatt Quellen.</x:v>
      </x:c>
      <x:c r="N165" s="13" t="str">
        <x:v>Fachliche Freigabe DEC-2026-028 erteilt. Keine technische Aktivierung.</x:v>
      </x:c>
      <x:c r="O165" s="15"/>
    </x:row>
    <x:row r="166" ht="72" customHeight="1">
      <x:c r="A166" s="14" t="str">
        <x:v>AP22-TI-OFFICIAL-ALL-VWVG</x:v>
      </x:c>
      <x:c r="B166" s="14" t="str">
        <x:v>Tessin</x:v>
      </x:c>
      <x:c r="C166" s="14" t="str">
        <x:v>VwVG</x:v>
      </x:c>
      <x:c r="D166" s="14" t="str">
        <x:v>TI-OFFICIAL-ALL</x:v>
      </x:c>
      <x:c r="E166" s="14" t="str">
        <x:v>Zuordnung bestimmt</x:v>
      </x:c>
      <x:c r="F166" s="14" t="str">
        <x:v>Verwenden
TI-OFFICIAL-ALL</x:v>
      </x:c>
      <x:c r="G166" s="14" t="str">
        <x:v>Rechtlich massgebender Partei- / Vertretungsort</x:v>
      </x:c>
      <x:c r="H166" s="14" t="str">
        <x:v>Öffentlicher Feiertag</x:v>
      </x:c>
      <x:c r="I166" s="14" t="str">
        <x:v>Kantonal anerkannte Grundliste am rechtlich massgebenden Ort. Übernahme im Umfang von DEC-2026-028. AP18-/MVP-0.6-Quellenstand wiederverwendet, keine vollständige neue Quellenrevision behauptet.</x:v>
      </x:c>
      <x:c r="J166" s="14" t="str">
        <x:v>SRC-TI-FEIERTAGE-843200
AP22-VWVG</x:v>
      </x:c>
      <x:c r="K166" s="14" t="str">
        <x:v>RL 843.200, Art. 1 | Art. 20 Abs. 3 und Art. 22a</x:v>
      </x:c>
      <x:c r="L166" s="14" t="str">
        <x:v>Erfasste Regelgültigkeiten 2026-01-01 bis offen. Kein neuer Berechnungszeitraum freigegeben.</x:v>
      </x:c>
      <x:c r="M166" s="14" t="str">
        <x:v>Fachliche Freigabe DEC-2026-028. Quellenherkunft gemäss Blatt Quellen.</x:v>
      </x:c>
      <x:c r="N166" s="14" t="str">
        <x:v>Fachliche Freigabe DEC-2026-028 erteilt. Keine technische Aktivierung.</x:v>
      </x:c>
      <x:c r="O166" s="15"/>
    </x:row>
    <x:row r="167" ht="100" customHeight="1">
      <x:c r="A167" s="13" t="str">
        <x:v>AP22-VD-LEMP-ALL-STPO</x:v>
      </x:c>
      <x:c r="B167" s="13" t="str">
        <x:v>Waadt</x:v>
      </x:c>
      <x:c r="C167" s="13" t="str">
        <x:v>StPO</x:v>
      </x:c>
      <x:c r="D167" s="13" t="str">
        <x:v>VD-LEMP-ALL</x:v>
      </x:c>
      <x:c r="E167" s="14" t="str">
        <x:v>Zuordnung bestimmt</x:v>
      </x:c>
      <x:c r="F167" s="13" t="str">
        <x:v>Verwenden
VD-LEMP-ALL</x:v>
      </x:c>
      <x:c r="G167" s="13" t="str">
        <x:v>Rechtlich massgebender Partei- / Vertretungsort</x:v>
      </x:c>
      <x:c r="H167" s="13" t="str">
        <x:v>Arbeitsrechtlicher Feiertag / Öffentlicher Feiertag</x:v>
      </x:c>
      <x:c r="I167" s="13" t="str">
        <x:v>Beleg: Art. 47 Abs. 1 nennt neun gesetzlich sonntagsgleiche Feiertage. Das Urteil 1B_209/2014 belegt ihre Anwendung unter BGG unmittelbar. Für die übrigen Profile wird die Anwendung normativ aus der kantonalen Anerkennung abgeleitet. Die GAV- und NAV-Sonderfreitage nach Abs. 2 bleiben ausgeschlossen. Der 26. Dezember wird nicht als unbedingter Feiertag aufgenommen.</x:v>
      </x:c>
      <x:c r="J167" s="13" t="str">
        <x:v>AP22CLOSE-PROC-VD
AP22CLOSE-PROC-VD-BGG
AP22CLOSE-BUND-STPO</x:v>
      </x:c>
      <x:c r="K167" s="13" t="str">
        <x:v>BLV 822.11 Art. 47 Abs. 1–2, PDF S. 23 | E. 1.1 | Stand 01.04.2025, Art. 87, 89 und 90</x:v>
      </x:c>
      <x:c r="L167" s="13" t="str">
        <x:v>Erfasste Regelgültigkeiten 2026-01-01 bis offen. Kein neuer Berechnungszeitraum freigegeben.</x:v>
      </x:c>
      <x:c r="M167" s="13" t="str">
        <x:v>02.10.2026 gezielte Quellenprüfung. Direktbeleg und normative Ableitung siehe Begründung und Fachnachtrag.</x:v>
      </x:c>
      <x:c r="N167" s="13" t="str">
        <x:v>Fachliche Freigabe DEC-2026-028 erteilt. Keine technische Aktivierung.</x:v>
      </x:c>
      <x:c r="O167" s="15"/>
    </x:row>
    <x:row r="168" ht="100" customHeight="1">
      <x:c r="A168" s="14" t="str">
        <x:v>AP22-VD-LEMP-ALL-ZPO</x:v>
      </x:c>
      <x:c r="B168" s="14" t="str">
        <x:v>Waadt</x:v>
      </x:c>
      <x:c r="C168" s="14" t="str">
        <x:v>ZPO</x:v>
      </x:c>
      <x:c r="D168" s="14" t="str">
        <x:v>VD-LEMP-ALL</x:v>
      </x:c>
      <x:c r="E168" s="14" t="str">
        <x:v>Zuordnung bestimmt</x:v>
      </x:c>
      <x:c r="F168" s="14" t="str">
        <x:v>Verwenden
VD-LEMP-ALL</x:v>
      </x:c>
      <x:c r="G168" s="14" t="str">
        <x:v>Gerichtsort</x:v>
      </x:c>
      <x:c r="H168" s="14" t="str">
        <x:v>Arbeitsrechtlicher Feiertag / Öffentlicher Feiertag</x:v>
      </x:c>
      <x:c r="I168" s="14" t="str">
        <x:v>Beleg: Art. 47 Abs. 1 nennt neun gesetzlich sonntagsgleiche Feiertage. Das Urteil 1B_209/2014 belegt ihre Anwendung unter BGG unmittelbar. Für die übrigen Profile wird die Anwendung normativ aus der kantonalen Anerkennung abgeleitet. Die GAV- und NAV-Sonderfreitage nach Abs. 2 bleiben ausgeschlossen. Der 26. Dezember wird nicht als unbedingter Feiertag aufgenommen.</x:v>
      </x:c>
      <x:c r="J168" s="14" t="str">
        <x:v>AP22CLOSE-PROC-VD
AP22CLOSE-PROC-VD-BGG
AP22CLOSE-BUND-ZPO</x:v>
      </x:c>
      <x:c r="K168" s="14" t="str">
        <x:v>BLV 822.11 Art. 47 Abs. 1–2, PDF S. 23 | E. 1.1 | Stand 01.07.2026, Art. 142 und 145</x:v>
      </x:c>
      <x:c r="L168" s="14" t="str">
        <x:v>Erfasste Regelgültigkeiten 2026-01-01 bis offen. Kein neuer Berechnungszeitraum freigegeben.</x:v>
      </x:c>
      <x:c r="M168" s="14" t="str">
        <x:v>02.10.2026 gezielte Quellenprüfung. Direktbeleg und normative Ableitung siehe Begründung und Fachnachtrag.</x:v>
      </x:c>
      <x:c r="N168" s="14" t="str">
        <x:v>Fachliche Freigabe DEC-2026-028 erteilt. Keine technische Aktivierung.</x:v>
      </x:c>
      <x:c r="O168" s="15"/>
    </x:row>
    <x:row r="169" ht="100" customHeight="1">
      <x:c r="A169" s="13" t="str">
        <x:v>AP22-VD-LEMP-ALL-BGG</x:v>
      </x:c>
      <x:c r="B169" s="13" t="str">
        <x:v>Waadt</x:v>
      </x:c>
      <x:c r="C169" s="13" t="str">
        <x:v>BGG</x:v>
      </x:c>
      <x:c r="D169" s="13" t="str">
        <x:v>VD-LEMP-ALL</x:v>
      </x:c>
      <x:c r="E169" s="14" t="str">
        <x:v>Zuordnung bestimmt</x:v>
      </x:c>
      <x:c r="F169" s="13" t="str">
        <x:v>Verwenden
VD-LEMP-ALL</x:v>
      </x:c>
      <x:c r="G169" s="13" t="str">
        <x:v>Rechtlich massgebender Partei- / Vertretungsort</x:v>
      </x:c>
      <x:c r="H169" s="13" t="str">
        <x:v>Arbeitsrechtlicher Feiertag / Öffentlicher Feiertag</x:v>
      </x:c>
      <x:c r="I169" s="13" t="str">
        <x:v>Beleg: Art. 47 Abs. 1 nennt neun gesetzlich sonntagsgleiche Feiertage. Das Urteil 1B_209/2014 belegt ihre Anwendung unter BGG unmittelbar. Für die übrigen Profile wird die Anwendung normativ aus der kantonalen Anerkennung abgeleitet. Die GAV- und NAV-Sonderfreitage nach Abs. 2 bleiben ausgeschlossen. Der 26. Dezember wird nicht als unbedingter Feiertag aufgenommen.</x:v>
      </x:c>
      <x:c r="J169" s="13" t="str">
        <x:v>AP22CLOSE-PROC-VD
AP22CLOSE-PROC-VD-BGG
AP22CLOSE-BUND-BGG</x:v>
      </x:c>
      <x:c r="K169" s="13" t="str">
        <x:v>BLV 822.11 Art. 47 Abs. 1–2, PDF S. 23 | E. 1.1 | Stand 01.04.2026, Art. 45 und 46</x:v>
      </x:c>
      <x:c r="L169" s="13" t="str">
        <x:v>Erfasste Regelgültigkeiten 2026-01-01 bis offen. Kein neuer Berechnungszeitraum freigegeben.</x:v>
      </x:c>
      <x:c r="M169" s="13" t="str">
        <x:v>02.10.2026 gezielte Quellenprüfung. Direktbeleg und normative Ableitung siehe Begründung und Fachnachtrag.</x:v>
      </x:c>
      <x:c r="N169" s="13" t="str">
        <x:v>Fachliche Freigabe DEC-2026-028 erteilt. Keine technische Aktivierung.</x:v>
      </x:c>
      <x:c r="O169" s="15"/>
    </x:row>
    <x:row r="170" ht="100" customHeight="1">
      <x:c r="A170" s="14" t="str">
        <x:v>AP22-VD-LEMP-ALL-VWVG</x:v>
      </x:c>
      <x:c r="B170" s="14" t="str">
        <x:v>Waadt</x:v>
      </x:c>
      <x:c r="C170" s="14" t="str">
        <x:v>VwVG</x:v>
      </x:c>
      <x:c r="D170" s="14" t="str">
        <x:v>VD-LEMP-ALL</x:v>
      </x:c>
      <x:c r="E170" s="14" t="str">
        <x:v>Zuordnung bestimmt</x:v>
      </x:c>
      <x:c r="F170" s="14" t="str">
        <x:v>Verwenden
VD-LEMP-ALL</x:v>
      </x:c>
      <x:c r="G170" s="14" t="str">
        <x:v>Rechtlich massgebender Partei- / Vertretungsort</x:v>
      </x:c>
      <x:c r="H170" s="14" t="str">
        <x:v>Arbeitsrechtlicher Feiertag / Öffentlicher Feiertag</x:v>
      </x:c>
      <x:c r="I170" s="14" t="str">
        <x:v>Beleg: Art. 47 Abs. 1 nennt neun gesetzlich sonntagsgleiche Feiertage. Das Urteil 1B_209/2014 belegt ihre Anwendung unter BGG unmittelbar. Für die übrigen Profile wird die Anwendung normativ aus der kantonalen Anerkennung abgeleitet. Die GAV- und NAV-Sonderfreitage nach Abs. 2 bleiben ausgeschlossen. Der 26. Dezember wird nicht als unbedingter Feiertag aufgenommen.</x:v>
      </x:c>
      <x:c r="J170" s="14" t="str">
        <x:v>AP22CLOSE-PROC-VD
AP22CLOSE-PROC-VD-BGG
AP22CLOSE-BUND-VWVG</x:v>
      </x:c>
      <x:c r="K170" s="14" t="str">
        <x:v>BLV 822.11 Art. 47 Abs. 1–2, PDF S. 23 | E. 1.1 | Stand 01.07.2022, Art. 11, 20 und 22a</x:v>
      </x:c>
      <x:c r="L170" s="14" t="str">
        <x:v>Erfasste Regelgültigkeiten 2026-01-01 bis offen. Kein neuer Berechnungszeitraum freigegeben.</x:v>
      </x:c>
      <x:c r="M170" s="14" t="str">
        <x:v>02.10.2026 gezielte Quellenprüfung. Direktbeleg und normative Ableitung siehe Begründung und Fachnachtrag.</x:v>
      </x:c>
      <x:c r="N170" s="14" t="str">
        <x:v>Fachliche Freigabe DEC-2026-028 erteilt. Keine technische Aktivierung.</x:v>
      </x:c>
      <x:c r="O170" s="15"/>
    </x:row>
    <x:row r="171" ht="72" customHeight="1">
      <x:c r="A171" s="13" t="str">
        <x:v>AP22-VS-PUBLIC-ALL-STPO</x:v>
      </x:c>
      <x:c r="B171" s="13" t="str">
        <x:v>Wallis</x:v>
      </x:c>
      <x:c r="C171" s="13" t="str">
        <x:v>StPO</x:v>
      </x:c>
      <x:c r="D171" s="13" t="str">
        <x:v>VS-PUBLIC-ALL</x:v>
      </x:c>
      <x:c r="E171" s="14" t="str">
        <x:v>Zuordnung bestimmt</x:v>
      </x:c>
      <x:c r="F171" s="13" t="str">
        <x:v>Verwenden
VS-PUBLIC-ALL</x:v>
      </x:c>
      <x:c r="G171" s="13" t="str">
        <x:v>Rechtlich massgebender Partei- / Vertretungsort</x:v>
      </x:c>
      <x:c r="H171" s="13" t="str">
        <x:v>Öffentlicher Feiertag</x:v>
      </x:c>
      <x:c r="I171" s="13" t="str">
        <x:v>Kantonal anerkannte Grundliste am rechtlich massgebenden Ort. Übernahme im Umfang von DEC-2026-028. AP18-/MVP-0.6-Quellenstand wiederverwendet, keine vollständige neue Quellenrevision behauptet.</x:v>
      </x:c>
      <x:c r="J171" s="13" t="str">
        <x:v>SRC-VS-RUHEREG-822200-19661202
AP22-STPO</x:v>
      </x:c>
      <x:c r="K171" s="13" t="str">
        <x:v>SGS 822.200, Art. 1 | Art. 89 Abs. 2 und Art. 90 Abs. 2</x:v>
      </x:c>
      <x:c r="L171" s="13" t="str">
        <x:v>Erfasste Regelgültigkeiten 2026-01-01 bis offen. Kein neuer Berechnungszeitraum freigegeben.</x:v>
      </x:c>
      <x:c r="M171" s="13" t="str">
        <x:v>Fachliche Freigabe DEC-2026-028. Quellenherkunft gemäss Blatt Quellen.</x:v>
      </x:c>
      <x:c r="N171" s="13" t="str">
        <x:v>Fachliche Freigabe DEC-2026-028 erteilt. Keine technische Aktivierung.</x:v>
      </x:c>
      <x:c r="O171" s="15"/>
    </x:row>
    <x:row r="172" ht="72" customHeight="1">
      <x:c r="A172" s="14" t="str">
        <x:v>AP22-VS-PUBLIC-ALL-ZPO</x:v>
      </x:c>
      <x:c r="B172" s="14" t="str">
        <x:v>Wallis</x:v>
      </x:c>
      <x:c r="C172" s="14" t="str">
        <x:v>ZPO</x:v>
      </x:c>
      <x:c r="D172" s="14" t="str">
        <x:v>VS-PUBLIC-ALL</x:v>
      </x:c>
      <x:c r="E172" s="14" t="str">
        <x:v>Zuordnung bestimmt</x:v>
      </x:c>
      <x:c r="F172" s="14" t="str">
        <x:v>Verwenden
VS-PUBLIC-ALL</x:v>
      </x:c>
      <x:c r="G172" s="14" t="str">
        <x:v>Gerichtsort</x:v>
      </x:c>
      <x:c r="H172" s="14" t="str">
        <x:v>Öffentlicher Feiertag</x:v>
      </x:c>
      <x:c r="I172" s="14" t="str">
        <x:v>Kantonal anerkannte Grundliste am rechtlich massgebenden Ort. Übernahme im Umfang von DEC-2026-028. AP18-/MVP-0.6-Quellenstand wiederverwendet, keine vollständige neue Quellenrevision behauptet.</x:v>
      </x:c>
      <x:c r="J172" s="14" t="str">
        <x:v>SRC-VS-RUHEREG-822200-19661202
AP22-ZPO</x:v>
      </x:c>
      <x:c r="K172" s="14" t="str">
        <x:v>SGS 822.200, Art. 1 | Art. 142 Abs. 1bis und 3, Art. 145</x:v>
      </x:c>
      <x:c r="L172" s="14" t="str">
        <x:v>Erfasste Regelgültigkeiten 2026-01-01 bis offen. Kein neuer Berechnungszeitraum freigegeben.</x:v>
      </x:c>
      <x:c r="M172" s="14" t="str">
        <x:v>Fachliche Freigabe DEC-2026-028. Quellenherkunft gemäss Blatt Quellen.</x:v>
      </x:c>
      <x:c r="N172" s="14" t="str">
        <x:v>Fachliche Freigabe DEC-2026-028 erteilt. Keine technische Aktivierung.</x:v>
      </x:c>
      <x:c r="O172" s="15"/>
    </x:row>
    <x:row r="173" ht="72" customHeight="1">
      <x:c r="A173" s="13" t="str">
        <x:v>AP22-VS-PUBLIC-ALL-BGG</x:v>
      </x:c>
      <x:c r="B173" s="13" t="str">
        <x:v>Wallis</x:v>
      </x:c>
      <x:c r="C173" s="13" t="str">
        <x:v>BGG</x:v>
      </x:c>
      <x:c r="D173" s="13" t="str">
        <x:v>VS-PUBLIC-ALL</x:v>
      </x:c>
      <x:c r="E173" s="14" t="str">
        <x:v>Zuordnung bestimmt</x:v>
      </x:c>
      <x:c r="F173" s="13" t="str">
        <x:v>Verwenden
VS-PUBLIC-ALL</x:v>
      </x:c>
      <x:c r="G173" s="13" t="str">
        <x:v>Rechtlich massgebender Partei- / Vertretungsort</x:v>
      </x:c>
      <x:c r="H173" s="13" t="str">
        <x:v>Öffentlicher Feiertag</x:v>
      </x:c>
      <x:c r="I173" s="13" t="str">
        <x:v>Kantonal anerkannte Grundliste am rechtlich massgebenden Ort. Übernahme im Umfang von DEC-2026-028. AP18-/MVP-0.6-Quellenstand wiederverwendet, keine vollständige neue Quellenrevision behauptet.</x:v>
      </x:c>
      <x:c r="J173" s="13" t="str">
        <x:v>SRC-VS-RUHEREG-822200-19661202
AP22-BGG</x:v>
      </x:c>
      <x:c r="K173" s="13" t="str">
        <x:v>SGS 822.200, Art. 1 | Art. 45 und 46</x:v>
      </x:c>
      <x:c r="L173" s="13" t="str">
        <x:v>Erfasste Regelgültigkeiten 2026-01-01 bis offen. Kein neuer Berechnungszeitraum freigegeben.</x:v>
      </x:c>
      <x:c r="M173" s="13" t="str">
        <x:v>Fachliche Freigabe DEC-2026-028. Quellenherkunft gemäss Blatt Quellen.</x:v>
      </x:c>
      <x:c r="N173" s="13" t="str">
        <x:v>Fachliche Freigabe DEC-2026-028 erteilt. Keine technische Aktivierung.</x:v>
      </x:c>
      <x:c r="O173" s="15"/>
    </x:row>
    <x:row r="174" ht="72" customHeight="1">
      <x:c r="A174" s="14" t="str">
        <x:v>AP22-VS-PUBLIC-ALL-VWVG</x:v>
      </x:c>
      <x:c r="B174" s="14" t="str">
        <x:v>Wallis</x:v>
      </x:c>
      <x:c r="C174" s="14" t="str">
        <x:v>VwVG</x:v>
      </x:c>
      <x:c r="D174" s="14" t="str">
        <x:v>VS-PUBLIC-ALL</x:v>
      </x:c>
      <x:c r="E174" s="14" t="str">
        <x:v>Zuordnung bestimmt</x:v>
      </x:c>
      <x:c r="F174" s="14" t="str">
        <x:v>Verwenden
VS-PUBLIC-ALL</x:v>
      </x:c>
      <x:c r="G174" s="14" t="str">
        <x:v>Rechtlich massgebender Partei- / Vertretungsort</x:v>
      </x:c>
      <x:c r="H174" s="14" t="str">
        <x:v>Öffentlicher Feiertag</x:v>
      </x:c>
      <x:c r="I174" s="14" t="str">
        <x:v>Kantonal anerkannte Grundliste am rechtlich massgebenden Ort. Übernahme im Umfang von DEC-2026-028. AP18-/MVP-0.6-Quellenstand wiederverwendet, keine vollständige neue Quellenrevision behauptet.</x:v>
      </x:c>
      <x:c r="J174" s="14" t="str">
        <x:v>SRC-VS-RUHEREG-822200-19661202
AP22-VWVG</x:v>
      </x:c>
      <x:c r="K174" s="14" t="str">
        <x:v>SGS 822.200, Art. 1 | Art. 20 Abs. 3 und Art. 22a</x:v>
      </x:c>
      <x:c r="L174" s="14" t="str">
        <x:v>Erfasste Regelgültigkeiten 2026-01-01 bis offen. Kein neuer Berechnungszeitraum freigegeben.</x:v>
      </x:c>
      <x:c r="M174" s="14" t="str">
        <x:v>Fachliche Freigabe DEC-2026-028. Quellenherkunft gemäss Blatt Quellen.</x:v>
      </x:c>
      <x:c r="N174" s="14" t="str">
        <x:v>Fachliche Freigabe DEC-2026-028 erteilt. Keine technische Aktivierung.</x:v>
      </x:c>
      <x:c r="O174" s="15"/>
    </x:row>
    <x:row r="175" ht="114" customHeight="1">
      <x:c r="A175" s="13" t="str">
        <x:v>AP22-VS-LOJ-ADDITIONAL-STPO</x:v>
      </x:c>
      <x:c r="B175" s="13" t="str">
        <x:v>Wallis</x:v>
      </x:c>
      <x:c r="C175" s="13" t="str">
        <x:v>StPO</x:v>
      </x:c>
      <x:c r="D175" s="13" t="str">
        <x:v>VS-LOJ-ADDITIONAL</x:v>
      </x:c>
      <x:c r="E175" s="14" t="str">
        <x:v>Zuordnung bestimmt</x:v>
      </x:c>
      <x:c r="F175" s="13" t="str">
        <x:v>Ergänzen
VS-PUBLIC-ALL + VS-LOJ-ADDITIONAL</x:v>
      </x:c>
      <x:c r="G175" s="13" t="str">
        <x:v>Rechtlich massgebender Partei- / Vertretungsort</x:v>
      </x:c>
      <x:c r="H175" s="13" t="str">
        <x:v>Prozessual gleichgestellter Tag</x:v>
      </x:c>
      <x:c r="I175" s="13" t="str">
        <x:v>Beleg: LOJ Art. 37 Abs. 1 Bst. a–c ergänzt Bundesfeiertage und kantonale Ruhetage um den 2. Januar sowie Oster- und Pfingstmontag und den 26. Dezember. Die Norm betrifft gesetzliche und behördliche Fristen der LOJ-Behörden. Die Bindung an die Bundesprofile wird normativ aus dieser ausdrücklichen kantonalen Anerkennung abgeleitet. Kantonales Verfahrensrecht wird dadurch nicht pauschal angewendet.</x:v>
      </x:c>
      <x:c r="J175" s="13" t="str">
        <x:v>AP22CLOSE-PROC-VS
AP22CLOSE-PROC-BGG-TRANSFER
AP22CLOSE-BUND-STPO</x:v>
      </x:c>
      <x:c r="K175" s="13" t="str">
        <x:v>SGS 173.1 Art. 37 Abs. 1 Bst. a–c | E. 6.5 | Stand 01.04.2025, Art. 87, 89 und 90</x:v>
      </x:c>
      <x:c r="L175" s="13" t="str">
        <x:v>Erfasste Regelgültigkeiten 2026-01-01 bis offen. Kein neuer Berechnungszeitraum freigegeben.</x:v>
      </x:c>
      <x:c r="M175" s="13" t="str">
        <x:v>02.10.2026 gezielte Quellenprüfung. Direktbeleg und normative Ableitung siehe Begründung und Fachnachtrag.</x:v>
      </x:c>
      <x:c r="N175" s="13" t="str">
        <x:v>Fachliche Freigabe DEC-2026-028 erteilt. Keine technische Aktivierung.</x:v>
      </x:c>
      <x:c r="O175" s="15"/>
    </x:row>
    <x:row r="176" ht="114" customHeight="1">
      <x:c r="A176" s="14" t="str">
        <x:v>AP22-VS-LOJ-ADDITIONAL-ZPO</x:v>
      </x:c>
      <x:c r="B176" s="14" t="str">
        <x:v>Wallis</x:v>
      </x:c>
      <x:c r="C176" s="14" t="str">
        <x:v>ZPO</x:v>
      </x:c>
      <x:c r="D176" s="14" t="str">
        <x:v>VS-LOJ-ADDITIONAL</x:v>
      </x:c>
      <x:c r="E176" s="14" t="str">
        <x:v>Zuordnung bestimmt</x:v>
      </x:c>
      <x:c r="F176" s="14" t="str">
        <x:v>Ergänzen
VS-PUBLIC-ALL + VS-LOJ-ADDITIONAL</x:v>
      </x:c>
      <x:c r="G176" s="14" t="str">
        <x:v>Gerichtsort</x:v>
      </x:c>
      <x:c r="H176" s="14" t="str">
        <x:v>Prozessual gleichgestellter Tag</x:v>
      </x:c>
      <x:c r="I176" s="14" t="str">
        <x:v>Beleg: LOJ Art. 37 Abs. 1 Bst. a–c ergänzt Bundesfeiertage und kantonale Ruhetage um den 2. Januar sowie Oster- und Pfingstmontag und den 26. Dezember. Die Norm betrifft gesetzliche und behördliche Fristen der LOJ-Behörden. Die Bindung an die Bundesprofile wird normativ aus dieser ausdrücklichen kantonalen Anerkennung abgeleitet. Kantonales Verfahrensrecht wird dadurch nicht pauschal angewendet.</x:v>
      </x:c>
      <x:c r="J176" s="14" t="str">
        <x:v>AP22CLOSE-PROC-VS
AP22CLOSE-PROC-BGG-TRANSFER
AP22CLOSE-BUND-ZPO</x:v>
      </x:c>
      <x:c r="K176" s="14" t="str">
        <x:v>SGS 173.1 Art. 37 Abs. 1 Bst. a–c | E. 6.5 | Stand 01.07.2026, Art. 142 und 145</x:v>
      </x:c>
      <x:c r="L176" s="14" t="str">
        <x:v>Erfasste Regelgültigkeiten 2026-01-01 bis offen. Kein neuer Berechnungszeitraum freigegeben.</x:v>
      </x:c>
      <x:c r="M176" s="14" t="str">
        <x:v>02.10.2026 gezielte Quellenprüfung. Direktbeleg und normative Ableitung siehe Begründung und Fachnachtrag.</x:v>
      </x:c>
      <x:c r="N176" s="14" t="str">
        <x:v>Fachliche Freigabe DEC-2026-028 erteilt. Keine technische Aktivierung.</x:v>
      </x:c>
      <x:c r="O176" s="15"/>
    </x:row>
    <x:row r="177" ht="114" customHeight="1">
      <x:c r="A177" s="13" t="str">
        <x:v>AP22-VS-LOJ-ADDITIONAL-BGG</x:v>
      </x:c>
      <x:c r="B177" s="13" t="str">
        <x:v>Wallis</x:v>
      </x:c>
      <x:c r="C177" s="13" t="str">
        <x:v>BGG</x:v>
      </x:c>
      <x:c r="D177" s="13" t="str">
        <x:v>VS-LOJ-ADDITIONAL</x:v>
      </x:c>
      <x:c r="E177" s="14" t="str">
        <x:v>Zuordnung bestimmt</x:v>
      </x:c>
      <x:c r="F177" s="13" t="str">
        <x:v>Ergänzen
VS-PUBLIC-ALL + VS-LOJ-ADDITIONAL</x:v>
      </x:c>
      <x:c r="G177" s="13" t="str">
        <x:v>Rechtlich massgebender Partei- / Vertretungsort</x:v>
      </x:c>
      <x:c r="H177" s="13" t="str">
        <x:v>Prozessual gleichgestellter Tag</x:v>
      </x:c>
      <x:c r="I177" s="13" t="str">
        <x:v>Beleg: LOJ Art. 37 Abs. 1 Bst. a–c ergänzt Bundesfeiertage und kantonale Ruhetage um den 2. Januar sowie Oster- und Pfingstmontag und den 26. Dezember. Die Norm betrifft gesetzliche und behördliche Fristen der LOJ-Behörden. Die Bindung an die Bundesprofile wird normativ aus dieser ausdrücklichen kantonalen Anerkennung abgeleitet. Kantonales Verfahrensrecht wird dadurch nicht pauschal angewendet.</x:v>
      </x:c>
      <x:c r="J177" s="13" t="str">
        <x:v>AP22CLOSE-PROC-VS
AP22CLOSE-PROC-BGG-TRANSFER
AP22CLOSE-BUND-BGG</x:v>
      </x:c>
      <x:c r="K177" s="13" t="str">
        <x:v>SGS 173.1 Art. 37 Abs. 1 Bst. a–c | E. 6.5 | Stand 01.04.2026, Art. 45 und 46</x:v>
      </x:c>
      <x:c r="L177" s="13" t="str">
        <x:v>Erfasste Regelgültigkeiten 2026-01-01 bis offen. Kein neuer Berechnungszeitraum freigegeben.</x:v>
      </x:c>
      <x:c r="M177" s="13" t="str">
        <x:v>02.10.2026 gezielte Quellenprüfung. Direktbeleg und normative Ableitung siehe Begründung und Fachnachtrag.</x:v>
      </x:c>
      <x:c r="N177" s="13" t="str">
        <x:v>Fachliche Freigabe DEC-2026-028 erteilt. Keine technische Aktivierung.</x:v>
      </x:c>
      <x:c r="O177" s="15"/>
    </x:row>
    <x:row r="178" ht="114" customHeight="1">
      <x:c r="A178" s="14" t="str">
        <x:v>AP22-VS-LOJ-ADDITIONAL-VWVG</x:v>
      </x:c>
      <x:c r="B178" s="14" t="str">
        <x:v>Wallis</x:v>
      </x:c>
      <x:c r="C178" s="14" t="str">
        <x:v>VwVG</x:v>
      </x:c>
      <x:c r="D178" s="14" t="str">
        <x:v>VS-LOJ-ADDITIONAL</x:v>
      </x:c>
      <x:c r="E178" s="14" t="str">
        <x:v>Zuordnung bestimmt</x:v>
      </x:c>
      <x:c r="F178" s="14" t="str">
        <x:v>Ergänzen
VS-PUBLIC-ALL + VS-LOJ-ADDITIONAL</x:v>
      </x:c>
      <x:c r="G178" s="14" t="str">
        <x:v>Rechtlich massgebender Partei- / Vertretungsort</x:v>
      </x:c>
      <x:c r="H178" s="14" t="str">
        <x:v>Prozessual gleichgestellter Tag</x:v>
      </x:c>
      <x:c r="I178" s="14" t="str">
        <x:v>Beleg: LOJ Art. 37 Abs. 1 Bst. a–c ergänzt Bundesfeiertage und kantonale Ruhetage um den 2. Januar sowie Oster- und Pfingstmontag und den 26. Dezember. Die Norm betrifft gesetzliche und behördliche Fristen der LOJ-Behörden. Die Bindung an die Bundesprofile wird normativ aus dieser ausdrücklichen kantonalen Anerkennung abgeleitet. Kantonales Verfahrensrecht wird dadurch nicht pauschal angewendet.</x:v>
      </x:c>
      <x:c r="J178" s="14" t="str">
        <x:v>AP22CLOSE-PROC-VS
AP22CLOSE-PROC-BGG-TRANSFER
AP22CLOSE-BUND-VWVG</x:v>
      </x:c>
      <x:c r="K178" s="14" t="str">
        <x:v>SGS 173.1 Art. 37 Abs. 1 Bst. a–c | E. 6.5 | Stand 01.07.2022, Art. 11, 20 und 22a</x:v>
      </x:c>
      <x:c r="L178" s="14" t="str">
        <x:v>Erfasste Regelgültigkeiten 2026-01-01 bis offen. Kein neuer Berechnungszeitraum freigegeben.</x:v>
      </x:c>
      <x:c r="M178" s="14" t="str">
        <x:v>02.10.2026 gezielte Quellenprüfung. Direktbeleg und normative Ableitung siehe Begründung und Fachnachtrag.</x:v>
      </x:c>
      <x:c r="N178" s="14" t="str">
        <x:v>Fachliche Freigabe DEC-2026-028 erteilt. Keine technische Aktivierung.</x:v>
      </x:c>
      <x:c r="O178" s="15"/>
    </x:row>
    <x:row r="179" ht="100" customHeight="1">
      <x:c r="A179" s="13" t="str">
        <x:v>AP22-NE-LDJF-BASE-STPO</x:v>
      </x:c>
      <x:c r="B179" s="13" t="str">
        <x:v>Neuenburg</x:v>
      </x:c>
      <x:c r="C179" s="13" t="str">
        <x:v>StPO</x:v>
      </x:c>
      <x:c r="D179" s="13" t="str">
        <x:v>NE-LDJF-BASE</x:v>
      </x:c>
      <x:c r="E179" s="14" t="str">
        <x:v>Zuordnung bestimmt</x:v>
      </x:c>
      <x:c r="F179" s="13" t="str">
        <x:v>Verwenden
NE-LDJF-BASE</x:v>
      </x:c>
      <x:c r="G179" s="13" t="str">
        <x:v>Rechtlich massgebender Partei- / Vertretungsort</x:v>
      </x:c>
      <x:c r="H179" s="13" t="str">
        <x:v>Öffentlicher Feiertag</x:v>
      </x:c>
      <x:c r="I179" s="13" t="str">
        <x:v>Kantonal anerkannte Grundliste am rechtlich massgebenden Ort. Übernahme im Umfang von DEC-2026-028. AP18-/MVP-0.6-Quellenstand wiederverwendet, keine vollständige neue Quellenrevision behauptet. Besondere noch nicht erhobene Jahres- und örtliche Beschlüsse bleiben vorbehalten. Ergänzend gilt NE-LPA-ADDITIONAL nach der je Profil eigenen Gleichstellungsnorm.</x:v>
      </x:c>
      <x:c r="J179" s="13" t="str">
        <x:v>SRC-NE-LDJF-94102-20100101
AP22-STPO
AP22-NE-LDJF</x:v>
      </x:c>
      <x:c r="K179" s="13" t="str">
        <x:v>RSN 941.02, Art. 3 Abs. 1 und 2 | Art. 89 Abs. 2 und Art. 90 Abs. 2 | Art. 3</x:v>
      </x:c>
      <x:c r="L179" s="13" t="str">
        <x:v>Erfasste Regelgültigkeiten 2026-01-01 bis offen. Kein neuer Berechnungszeitraum freigegeben.</x:v>
      </x:c>
      <x:c r="M179" s="13" t="str">
        <x:v>Fachliche Freigabe DEC-2026-028. Quellenherkunft gemäss Blatt Quellen.</x:v>
      </x:c>
      <x:c r="N179" s="13" t="str">
        <x:v>Fachliche Freigabe DEC-2026-028 erteilt. Keine technische Aktivierung.</x:v>
      </x:c>
      <x:c r="O179" s="15"/>
    </x:row>
    <x:row r="180" ht="100" customHeight="1">
      <x:c r="A180" s="14" t="str">
        <x:v>AP22-NE-LDJF-BASE-ZPO</x:v>
      </x:c>
      <x:c r="B180" s="14" t="str">
        <x:v>Neuenburg</x:v>
      </x:c>
      <x:c r="C180" s="14" t="str">
        <x:v>ZPO</x:v>
      </x:c>
      <x:c r="D180" s="14" t="str">
        <x:v>NE-LDJF-BASE</x:v>
      </x:c>
      <x:c r="E180" s="14" t="str">
        <x:v>Zuordnung bestimmt</x:v>
      </x:c>
      <x:c r="F180" s="14" t="str">
        <x:v>Verwenden
NE-LDJF-BASE</x:v>
      </x:c>
      <x:c r="G180" s="14" t="str">
        <x:v>Gerichtsort</x:v>
      </x:c>
      <x:c r="H180" s="14" t="str">
        <x:v>Öffentlicher Feiertag</x:v>
      </x:c>
      <x:c r="I180" s="14" t="str">
        <x:v>Kantonal anerkannte Grundliste am rechtlich massgebenden Ort. Übernahme im Umfang von DEC-2026-028. AP18-/MVP-0.6-Quellenstand wiederverwendet, keine vollständige neue Quellenrevision behauptet. Besondere noch nicht erhobene Jahres- und örtliche Beschlüsse bleiben vorbehalten. Ergänzend gilt NE-LPA-ADDITIONAL nach der je Profil eigenen Gleichstellungsnorm.</x:v>
      </x:c>
      <x:c r="J180" s="14" t="str">
        <x:v>SRC-NE-LDJF-94102-20100101
AP22-ZPO
AP22-NE-LDJF</x:v>
      </x:c>
      <x:c r="K180" s="14" t="str">
        <x:v>RSN 941.02, Art. 3 Abs. 1 und 2 | Art. 142 Abs. 1bis und 3, Art. 145 | Art. 3</x:v>
      </x:c>
      <x:c r="L180" s="14" t="str">
        <x:v>Erfasste Regelgültigkeiten 2026-01-01 bis offen. Kein neuer Berechnungszeitraum freigegeben.</x:v>
      </x:c>
      <x:c r="M180" s="14" t="str">
        <x:v>Fachliche Freigabe DEC-2026-028. Quellenherkunft gemäss Blatt Quellen.</x:v>
      </x:c>
      <x:c r="N180" s="14" t="str">
        <x:v>Fachliche Freigabe DEC-2026-028 erteilt. Keine technische Aktivierung.</x:v>
      </x:c>
      <x:c r="O180" s="15"/>
    </x:row>
    <x:row r="181" ht="100" customHeight="1">
      <x:c r="A181" s="13" t="str">
        <x:v>AP22-NE-LDJF-BASE-BGG</x:v>
      </x:c>
      <x:c r="B181" s="13" t="str">
        <x:v>Neuenburg</x:v>
      </x:c>
      <x:c r="C181" s="13" t="str">
        <x:v>BGG</x:v>
      </x:c>
      <x:c r="D181" s="13" t="str">
        <x:v>NE-LDJF-BASE</x:v>
      </x:c>
      <x:c r="E181" s="14" t="str">
        <x:v>Zuordnung bestimmt</x:v>
      </x:c>
      <x:c r="F181" s="13" t="str">
        <x:v>Verwenden
NE-LDJF-BASE</x:v>
      </x:c>
      <x:c r="G181" s="13" t="str">
        <x:v>Rechtlich massgebender Partei- / Vertretungsort</x:v>
      </x:c>
      <x:c r="H181" s="13" t="str">
        <x:v>Öffentlicher Feiertag</x:v>
      </x:c>
      <x:c r="I181" s="13" t="str">
        <x:v>Kantonal anerkannte Grundliste am rechtlich massgebenden Ort. Übernahme im Umfang von DEC-2026-028. AP18-/MVP-0.6-Quellenstand wiederverwendet, keine vollständige neue Quellenrevision behauptet. Besondere noch nicht erhobene Jahres- und örtliche Beschlüsse bleiben vorbehalten. Ergänzend gilt NE-LPA-ADDITIONAL nach der je Profil eigenen Gleichstellungsnorm.</x:v>
      </x:c>
      <x:c r="J181" s="13" t="str">
        <x:v>SRC-NE-LDJF-94102-20100101
AP22-BGG
AP22-NE-LDJF</x:v>
      </x:c>
      <x:c r="K181" s="13" t="str">
        <x:v>RSN 941.02, Art. 3 Abs. 1 und 2 | Art. 45 und 46 | Art. 3</x:v>
      </x:c>
      <x:c r="L181" s="13" t="str">
        <x:v>Erfasste Regelgültigkeiten 2026-01-01 bis offen. Kein neuer Berechnungszeitraum freigegeben.</x:v>
      </x:c>
      <x:c r="M181" s="13" t="str">
        <x:v>Fachliche Freigabe DEC-2026-028. Quellenherkunft gemäss Blatt Quellen.</x:v>
      </x:c>
      <x:c r="N181" s="13" t="str">
        <x:v>Fachliche Freigabe DEC-2026-028 erteilt. Keine technische Aktivierung.</x:v>
      </x:c>
      <x:c r="O181" s="15"/>
    </x:row>
    <x:row r="182" ht="100" customHeight="1">
      <x:c r="A182" s="14" t="str">
        <x:v>AP22-NE-LDJF-BASE-VWVG</x:v>
      </x:c>
      <x:c r="B182" s="14" t="str">
        <x:v>Neuenburg</x:v>
      </x:c>
      <x:c r="C182" s="14" t="str">
        <x:v>VwVG</x:v>
      </x:c>
      <x:c r="D182" s="14" t="str">
        <x:v>NE-LDJF-BASE</x:v>
      </x:c>
      <x:c r="E182" s="14" t="str">
        <x:v>Zuordnung bestimmt</x:v>
      </x:c>
      <x:c r="F182" s="14" t="str">
        <x:v>Verwenden
NE-LDJF-BASE</x:v>
      </x:c>
      <x:c r="G182" s="14" t="str">
        <x:v>Rechtlich massgebender Partei- / Vertretungsort</x:v>
      </x:c>
      <x:c r="H182" s="14" t="str">
        <x:v>Öffentlicher Feiertag</x:v>
      </x:c>
      <x:c r="I182" s="14" t="str">
        <x:v>Kantonal anerkannte Grundliste am rechtlich massgebenden Ort. Übernahme im Umfang von DEC-2026-028. AP18-/MVP-0.6-Quellenstand wiederverwendet, keine vollständige neue Quellenrevision behauptet. Besondere noch nicht erhobene Jahres- und örtliche Beschlüsse bleiben vorbehalten. Ergänzend gilt NE-LPA-ADDITIONAL nach der je Profil eigenen Gleichstellungsnorm.</x:v>
      </x:c>
      <x:c r="J182" s="14" t="str">
        <x:v>SRC-NE-LDJF-94102-20100101
AP22-VWVG
AP22-NE-LDJF</x:v>
      </x:c>
      <x:c r="K182" s="14" t="str">
        <x:v>RSN 941.02, Art. 3 Abs. 1 und 2 | Art. 20 Abs. 3 und Art. 22a | Art. 3</x:v>
      </x:c>
      <x:c r="L182" s="14" t="str">
        <x:v>Erfasste Regelgültigkeiten 2026-01-01 bis offen. Kein neuer Berechnungszeitraum freigegeben.</x:v>
      </x:c>
      <x:c r="M182" s="14" t="str">
        <x:v>Fachliche Freigabe DEC-2026-028. Quellenherkunft gemäss Blatt Quellen.</x:v>
      </x:c>
      <x:c r="N182" s="14" t="str">
        <x:v>Fachliche Freigabe DEC-2026-028 erteilt. Keine technische Aktivierung.</x:v>
      </x:c>
      <x:c r="O182" s="15"/>
    </x:row>
    <x:row r="183" ht="100" customHeight="1">
      <x:c r="A183" s="13" t="str">
        <x:v>AP22-NE-LANDERON-ADDITIONAL-STPO</x:v>
      </x:c>
      <x:c r="B183" s="13" t="str">
        <x:v>Neuenburg</x:v>
      </x:c>
      <x:c r="C183" s="13" t="str">
        <x:v>StPO</x:v>
      </x:c>
      <x:c r="D183" s="13" t="str">
        <x:v>NE-LANDERON-ADDITIONAL</x:v>
      </x:c>
      <x:c r="E183" s="14" t="str">
        <x:v>Zuordnung bestimmt</x:v>
      </x:c>
      <x:c r="F183" s="13" t="str">
        <x:v>Ergänzen
NE-LDJF-BASE + NE-LANDERON-ADDITIONAL</x:v>
      </x:c>
      <x:c r="G183" s="13" t="str">
        <x:v>Rechtlich massgebender Partei- / Vertretungsort</x:v>
      </x:c>
      <x:c r="H183" s="13" t="str">
        <x:v>Öffentlicher Feiertag</x:v>
      </x:c>
      <x:c r="I183" s="13" t="str">
        <x:v>Nur die bezeichneten Zusatztage zur passenden Grundliste. Räumliche und verfahrensrechtliche Bindung beachten, keine freie Vereinigung konkurrierender Listen. DEC-2026-028. Fronleichnam nur Le Landeron, kantonaler Beschluss. Nicht kantonsweit. Besondere noch nicht erhobene Jahres- und örtliche Beschlüsse bleiben vorbehalten.</x:v>
      </x:c>
      <x:c r="J183" s="13" t="str">
        <x:v>SRC-NE-ADJF-941020-20250527
AP22-STPO
AP22-NE-LANDERON</x:v>
      </x:c>
      <x:c r="K183" s="13" t="str">
        <x:v>RSN 941.020, Art. 2 | Art. 89 Abs. 2 und Art. 90 Abs. 2 | Art. 2</x:v>
      </x:c>
      <x:c r="L183" s="13" t="str">
        <x:v>Erfasste Regelgültigkeiten 2026-01-01 bis offen. Kein neuer Berechnungszeitraum freigegeben.</x:v>
      </x:c>
      <x:c r="M183" s="13" t="str">
        <x:v>Fachliche Freigabe DEC-2026-028. Quellenherkunft gemäss Blatt Quellen.</x:v>
      </x:c>
      <x:c r="N183" s="13" t="str">
        <x:v>Fachliche Freigabe DEC-2026-028 erteilt. Keine technische Aktivierung.</x:v>
      </x:c>
      <x:c r="O183" s="15"/>
    </x:row>
    <x:row r="184" ht="100" customHeight="1">
      <x:c r="A184" s="14" t="str">
        <x:v>AP22-NE-LANDERON-ADDITIONAL-ZPO</x:v>
      </x:c>
      <x:c r="B184" s="14" t="str">
        <x:v>Neuenburg</x:v>
      </x:c>
      <x:c r="C184" s="14" t="str">
        <x:v>ZPO</x:v>
      </x:c>
      <x:c r="D184" s="14" t="str">
        <x:v>NE-LANDERON-ADDITIONAL</x:v>
      </x:c>
      <x:c r="E184" s="14" t="str">
        <x:v>Zuordnung bestimmt</x:v>
      </x:c>
      <x:c r="F184" s="14" t="str">
        <x:v>Ergänzen
NE-LDJF-BASE + NE-LANDERON-ADDITIONAL</x:v>
      </x:c>
      <x:c r="G184" s="14" t="str">
        <x:v>Gerichtsort</x:v>
      </x:c>
      <x:c r="H184" s="14" t="str">
        <x:v>Öffentlicher Feiertag</x:v>
      </x:c>
      <x:c r="I184" s="14" t="str">
        <x:v>Nur die bezeichneten Zusatztage zur passenden Grundliste. Räumliche und verfahrensrechtliche Bindung beachten, keine freie Vereinigung konkurrierender Listen. DEC-2026-028. Fronleichnam nur Le Landeron, kantonaler Beschluss. Nicht kantonsweit. Besondere noch nicht erhobene Jahres- und örtliche Beschlüsse bleiben vorbehalten.</x:v>
      </x:c>
      <x:c r="J184" s="14" t="str">
        <x:v>SRC-NE-ADJF-941020-20250527
AP22-ZPO
AP22-NE-LANDERON</x:v>
      </x:c>
      <x:c r="K184" s="14" t="str">
        <x:v>RSN 941.020, Art. 2 | Art. 142 Abs. 1bis und 3, Art. 145 | Art. 2</x:v>
      </x:c>
      <x:c r="L184" s="14" t="str">
        <x:v>Erfasste Regelgültigkeiten 2026-01-01 bis offen. Kein neuer Berechnungszeitraum freigegeben.</x:v>
      </x:c>
      <x:c r="M184" s="14" t="str">
        <x:v>Fachliche Freigabe DEC-2026-028. Quellenherkunft gemäss Blatt Quellen.</x:v>
      </x:c>
      <x:c r="N184" s="14" t="str">
        <x:v>Fachliche Freigabe DEC-2026-028 erteilt. Keine technische Aktivierung.</x:v>
      </x:c>
      <x:c r="O184" s="15"/>
    </x:row>
    <x:row r="185" ht="100" customHeight="1">
      <x:c r="A185" s="13" t="str">
        <x:v>AP22-NE-LANDERON-ADDITIONAL-BGG</x:v>
      </x:c>
      <x:c r="B185" s="13" t="str">
        <x:v>Neuenburg</x:v>
      </x:c>
      <x:c r="C185" s="13" t="str">
        <x:v>BGG</x:v>
      </x:c>
      <x:c r="D185" s="13" t="str">
        <x:v>NE-LANDERON-ADDITIONAL</x:v>
      </x:c>
      <x:c r="E185" s="14" t="str">
        <x:v>Zuordnung bestimmt</x:v>
      </x:c>
      <x:c r="F185" s="13" t="str">
        <x:v>Ergänzen
NE-LDJF-BASE + NE-LANDERON-ADDITIONAL</x:v>
      </x:c>
      <x:c r="G185" s="13" t="str">
        <x:v>Rechtlich massgebender Partei- / Vertretungsort</x:v>
      </x:c>
      <x:c r="H185" s="13" t="str">
        <x:v>Öffentlicher Feiertag</x:v>
      </x:c>
      <x:c r="I185" s="13" t="str">
        <x:v>Nur die bezeichneten Zusatztage zur passenden Grundliste. Räumliche und verfahrensrechtliche Bindung beachten, keine freie Vereinigung konkurrierender Listen. DEC-2026-028. Fronleichnam nur Le Landeron, kantonaler Beschluss. Nicht kantonsweit. Besondere noch nicht erhobene Jahres- und örtliche Beschlüsse bleiben vorbehalten.</x:v>
      </x:c>
      <x:c r="J185" s="13" t="str">
        <x:v>SRC-NE-ADJF-941020-20250527
AP22-BGG
AP22-NE-LANDERON</x:v>
      </x:c>
      <x:c r="K185" s="13" t="str">
        <x:v>RSN 941.020, Art. 2 | Art. 45 und 46 | Art. 2</x:v>
      </x:c>
      <x:c r="L185" s="13" t="str">
        <x:v>Erfasste Regelgültigkeiten 2026-01-01 bis offen. Kein neuer Berechnungszeitraum freigegeben.</x:v>
      </x:c>
      <x:c r="M185" s="13" t="str">
        <x:v>Fachliche Freigabe DEC-2026-028. Quellenherkunft gemäss Blatt Quellen.</x:v>
      </x:c>
      <x:c r="N185" s="13" t="str">
        <x:v>Fachliche Freigabe DEC-2026-028 erteilt. Keine technische Aktivierung.</x:v>
      </x:c>
      <x:c r="O185" s="15"/>
    </x:row>
    <x:row r="186" ht="100" customHeight="1">
      <x:c r="A186" s="14" t="str">
        <x:v>AP22-NE-LANDERON-ADDITIONAL-VWVG</x:v>
      </x:c>
      <x:c r="B186" s="14" t="str">
        <x:v>Neuenburg</x:v>
      </x:c>
      <x:c r="C186" s="14" t="str">
        <x:v>VwVG</x:v>
      </x:c>
      <x:c r="D186" s="14" t="str">
        <x:v>NE-LANDERON-ADDITIONAL</x:v>
      </x:c>
      <x:c r="E186" s="14" t="str">
        <x:v>Zuordnung bestimmt</x:v>
      </x:c>
      <x:c r="F186" s="14" t="str">
        <x:v>Ergänzen
NE-LDJF-BASE + NE-LANDERON-ADDITIONAL</x:v>
      </x:c>
      <x:c r="G186" s="14" t="str">
        <x:v>Rechtlich massgebender Partei- / Vertretungsort</x:v>
      </x:c>
      <x:c r="H186" s="14" t="str">
        <x:v>Öffentlicher Feiertag</x:v>
      </x:c>
      <x:c r="I186" s="14" t="str">
        <x:v>Nur die bezeichneten Zusatztage zur passenden Grundliste. Räumliche und verfahrensrechtliche Bindung beachten, keine freie Vereinigung konkurrierender Listen. DEC-2026-028. Fronleichnam nur Le Landeron, kantonaler Beschluss. Nicht kantonsweit. Besondere noch nicht erhobene Jahres- und örtliche Beschlüsse bleiben vorbehalten.</x:v>
      </x:c>
      <x:c r="J186" s="14" t="str">
        <x:v>SRC-NE-ADJF-941020-20250527
AP22-VWVG
AP22-NE-LANDERON</x:v>
      </x:c>
      <x:c r="K186" s="14" t="str">
        <x:v>RSN 941.020, Art. 2 | Art. 20 Abs. 3 und Art. 22a | Art. 2</x:v>
      </x:c>
      <x:c r="L186" s="14" t="str">
        <x:v>Erfasste Regelgültigkeiten 2026-01-01 bis offen. Kein neuer Berechnungszeitraum freigegeben.</x:v>
      </x:c>
      <x:c r="M186" s="14" t="str">
        <x:v>Fachliche Freigabe DEC-2026-028. Quellenherkunft gemäss Blatt Quellen.</x:v>
      </x:c>
      <x:c r="N186" s="14" t="str">
        <x:v>Fachliche Freigabe DEC-2026-028 erteilt. Keine technische Aktivierung.</x:v>
      </x:c>
      <x:c r="O186" s="15"/>
    </x:row>
    <x:row r="187" ht="86" customHeight="1">
      <x:c r="A187" s="13" t="str">
        <x:v>AP22-NE-LPA-ADDITIONAL-STPO</x:v>
      </x:c>
      <x:c r="B187" s="13" t="str">
        <x:v>Neuenburg</x:v>
      </x:c>
      <x:c r="C187" s="13" t="str">
        <x:v>StPO</x:v>
      </x:c>
      <x:c r="D187" s="13" t="str">
        <x:v>NE-LPA-ADDITIONAL</x:v>
      </x:c>
      <x:c r="E187" s="14" t="str">
        <x:v>Zuordnung bestimmt</x:v>
      </x:c>
      <x:c r="F187" s="13" t="str">
        <x:v>Ergänzen
NE-LDJF-BASE + NE-LPA-ADDITIONAL</x:v>
      </x:c>
      <x:c r="G187" s="13" t="str">
        <x:v>Rechtlich massgebender Partei- / Vertretungsort</x:v>
      </x:c>
      <x:c r="H187" s="13" t="str">
        <x:v>Prozessual gleichgestellter Tag</x:v>
      </x:c>
      <x:c r="I187" s="13" t="str">
        <x:v>Acht wiederkehrende RDF-Ergänzungen zusätzlich zur LDJF-Grundliste. Eigene strafprozessuale Anerkennung durch Art. 9a LI-CPP, nicht durch Übertragung der LPA oder des EuFrÜb. Zusätzliche Jahres- und örtliche Beschlüsse bleiben vorbehalten. Besondere noch nicht erhobene Jahres- und örtliche Beschlüsse bleiben vorbehalten.</x:v>
      </x:c>
      <x:c r="J187" s="13" t="str">
        <x:v>AP22CLOSE-NE-CPP
AP22CLOSE-NE-RDF
AP22CLOSE-BUND-STPO</x:v>
      </x:c>
      <x:c r="K187" s="13" t="str">
        <x:v>RSN 322.0 Art. 9a | RSN 152.512 Art. 11 Abs. 1 und 2 | Stand 01.04.2025, Art. 87, 89 und 90</x:v>
      </x:c>
      <x:c r="L187" s="13" t="str">
        <x:v>Erfasste Regelgültigkeiten 2026-01-01 bis offen. Kein neuer Berechnungszeitraum freigegeben.</x:v>
      </x:c>
      <x:c r="M187" s="13" t="str">
        <x:v>02.10.2026 gezielte Quellenprüfung. Direktbeleg und normative Ableitung siehe Begründung und Fachnachtrag.</x:v>
      </x:c>
      <x:c r="N187" s="13" t="str">
        <x:v>Fachliche Freigabe DEC-2026-028 erteilt. Keine technische Aktivierung.</x:v>
      </x:c>
      <x:c r="O187" s="15"/>
    </x:row>
    <x:row r="188" ht="86" customHeight="1">
      <x:c r="A188" s="14" t="str">
        <x:v>AP22-NE-LPA-ADDITIONAL-ZPO</x:v>
      </x:c>
      <x:c r="B188" s="14" t="str">
        <x:v>Neuenburg</x:v>
      </x:c>
      <x:c r="C188" s="14" t="str">
        <x:v>ZPO</x:v>
      </x:c>
      <x:c r="D188" s="14" t="str">
        <x:v>NE-LPA-ADDITIONAL</x:v>
      </x:c>
      <x:c r="E188" s="14" t="str">
        <x:v>Zuordnung bestimmt</x:v>
      </x:c>
      <x:c r="F188" s="14" t="str">
        <x:v>Ergänzen
NE-LDJF-BASE + NE-LPA-ADDITIONAL</x:v>
      </x:c>
      <x:c r="G188" s="14" t="str">
        <x:v>Gerichtsort</x:v>
      </x:c>
      <x:c r="H188" s="14" t="str">
        <x:v>Prozessual gleichgestellter Tag</x:v>
      </x:c>
      <x:c r="I188" s="14" t="str">
        <x:v>Acht wiederkehrende RDF-Ergänzungen zusätzlich zur LDJF-Grundliste. Eigene zivilprozessuale Anerkennung durch Art. 10a LI-CPC. Zusätzliche Jahres- und örtliche Beschlüsse bleiben vorbehalten. Besondere noch nicht erhobene Jahres- und örtliche Beschlüsse bleiben vorbehalten.</x:v>
      </x:c>
      <x:c r="J188" s="14" t="str">
        <x:v>AP22CLOSE-NE-CPC
AP22CLOSE-NE-RDF
AP22CLOSE-BUND-ZPO</x:v>
      </x:c>
      <x:c r="K188" s="14" t="str">
        <x:v>RSN 251.1 Art. 10a | RSN 152.512 Art. 11 Abs. 1 und 2 | Stand 01.07.2026, Art. 142 und 145</x:v>
      </x:c>
      <x:c r="L188" s="14" t="str">
        <x:v>Erfasste Regelgültigkeiten 2026-01-01 bis offen. Kein neuer Berechnungszeitraum freigegeben.</x:v>
      </x:c>
      <x:c r="M188" s="14" t="str">
        <x:v>02.10.2026 gezielte Quellenprüfung. Direktbeleg und normative Ableitung siehe Begründung und Fachnachtrag.</x:v>
      </x:c>
      <x:c r="N188" s="14" t="str">
        <x:v>Fachliche Freigabe DEC-2026-028 erteilt. Keine technische Aktivierung.</x:v>
      </x:c>
      <x:c r="O188" s="15"/>
    </x:row>
    <x:row r="189" ht="86" customHeight="1">
      <x:c r="A189" s="13" t="str">
        <x:v>AP22-NE-LPA-ADDITIONAL-BGG</x:v>
      </x:c>
      <x:c r="B189" s="13" t="str">
        <x:v>Neuenburg</x:v>
      </x:c>
      <x:c r="C189" s="13" t="str">
        <x:v>BGG</x:v>
      </x:c>
      <x:c r="D189" s="13" t="str">
        <x:v>NE-LPA-ADDITIONAL</x:v>
      </x:c>
      <x:c r="E189" s="14" t="str">
        <x:v>Zuordnung bestimmt</x:v>
      </x:c>
      <x:c r="F189" s="13" t="str">
        <x:v>Ergänzen
NE-LDJF-BASE + NE-LPA-ADDITIONAL</x:v>
      </x:c>
      <x:c r="G189" s="13" t="str">
        <x:v>Rechtlich massgebender Partei- / Vertretungsort</x:v>
      </x:c>
      <x:c r="H189" s="13" t="str">
        <x:v>Prozessual gleichgestellter Tag</x:v>
      </x:c>
      <x:c r="I189" s="13" t="str">
        <x:v>Acht wiederkehrende RDF-Ergänzungen zusätzlich zur LDJF-Grundliste. 9C_396/2018 bestätigt BGG-Gleichstellung, aktuelle gleichlautende Norm Art. 33 Abs. 3 LPA separat geprüft. Zusätzliche Jahres- und örtliche Beschlüsse bleiben vorbehalten. Besondere noch nicht erhobene Jahres- und örtliche Beschlüsse bleiben vorbehalten.</x:v>
      </x:c>
      <x:c r="J189" s="13" t="str">
        <x:v>AP22CLOSE-NE-LPA
AP22CLOSE-NE-RDF
AP22CLOSE-BGER-9C396
AP22CLOSE-BUND-BGG</x:v>
      </x:c>
      <x:c r="K189" s="13" t="str">
        <x:v>RSN 152.130 Art. 33 Abs. 3 | RSN 152.512 Art. 11 Abs. 1 und 2 | E. 2.2 bis 2.4 | Stand 01.04.2026, Art. 45 und 46</x:v>
      </x:c>
      <x:c r="L189" s="13" t="str">
        <x:v>Erfasste Regelgültigkeiten 2026-01-01 bis offen. Kein neuer Berechnungszeitraum freigegeben.</x:v>
      </x:c>
      <x:c r="M189" s="13" t="str">
        <x:v>02.10.2026 gezielte Quellenprüfung. Direktbeleg und normative Ableitung siehe Begründung und Fachnachtrag.</x:v>
      </x:c>
      <x:c r="N189" s="13" t="str">
        <x:v>Fachliche Freigabe DEC-2026-028 erteilt. Keine technische Aktivierung.</x:v>
      </x:c>
      <x:c r="O189" s="15"/>
    </x:row>
    <x:row r="190" ht="100" customHeight="1">
      <x:c r="A190" s="14" t="str">
        <x:v>AP22-NE-LPA-ADDITIONAL-VWVG</x:v>
      </x:c>
      <x:c r="B190" s="14" t="str">
        <x:v>Neuenburg</x:v>
      </x:c>
      <x:c r="C190" s="14" t="str">
        <x:v>VwVG</x:v>
      </x:c>
      <x:c r="D190" s="14" t="str">
        <x:v>NE-LPA-ADDITIONAL</x:v>
      </x:c>
      <x:c r="E190" s="14" t="str">
        <x:v>Zuordnung bestimmt</x:v>
      </x:c>
      <x:c r="F190" s="14" t="str">
        <x:v>Ergänzen
NE-LDJF-BASE + NE-LPA-ADDITIONAL</x:v>
      </x:c>
      <x:c r="G190" s="14" t="str">
        <x:v>Rechtlich massgebender Partei- / Vertretungsort</x:v>
      </x:c>
      <x:c r="H190" s="14" t="str">
        <x:v>Prozessual gleichgestellter Tag</x:v>
      </x:c>
      <x:c r="I190" s="14" t="str">
        <x:v>Acht wiederkehrende RDF-Ergänzungen zusätzlich zur LDJF-Grundliste. Normative Ableitung für Art. 20 Abs. 3 VwVG aus Art. 33 Abs. 3 LPA und Art. 5 EuFrÜb, kein spezifischer VwVG-Direktentscheid. Zusätzliche Jahres- und örtliche Beschlüsse bleiben vorbehalten. Besondere noch nicht erhobene Jahres- und örtliche Beschlüsse bleiben vorbehalten.</x:v>
      </x:c>
      <x:c r="J190" s="14" t="str">
        <x:v>AP22CLOSE-NE-LPA
AP22CLOSE-NE-RDF
AP22CLOSE-EUFRUEB
AP22CLOSE-BGER-9C396
AP22CLOSE-BUND-VWVG</x:v>
      </x:c>
      <x:c r="K190" s="14" t="str">
        <x:v>RSN 152.130 Art. 33 Abs. 3 | RSN 152.512 Art. 11 Abs. 1 und 2 | Art. 1 und 5 | E. 2.2 bis 2.4 | Stand 01.07.2022, Art. 11, 20 und 22a</x:v>
      </x:c>
      <x:c r="L190" s="14" t="str">
        <x:v>Erfasste Regelgültigkeiten 2026-01-01 bis offen. Kein neuer Berechnungszeitraum freigegeben.</x:v>
      </x:c>
      <x:c r="M190" s="14" t="str">
        <x:v>02.10.2026 gezielte Quellenprüfung. Direktbeleg und normative Ableitung siehe Begründung und Fachnachtrag.</x:v>
      </x:c>
      <x:c r="N190" s="14" t="str">
        <x:v>Fachliche Freigabe DEC-2026-028 erteilt. Keine technische Aktivierung.</x:v>
      </x:c>
      <x:c r="O190" s="15"/>
    </x:row>
    <x:row r="191" ht="72" customHeight="1">
      <x:c r="A191" s="13" t="str">
        <x:v>AP22-GE-OFFICIAL-ALL-STPO</x:v>
      </x:c>
      <x:c r="B191" s="13" t="str">
        <x:v>Genf</x:v>
      </x:c>
      <x:c r="C191" s="13" t="str">
        <x:v>StPO</x:v>
      </x:c>
      <x:c r="D191" s="13" t="str">
        <x:v>GE-OFFICIAL-ALL</x:v>
      </x:c>
      <x:c r="E191" s="14" t="str">
        <x:v>Zuordnung bestimmt</x:v>
      </x:c>
      <x:c r="F191" s="13" t="str">
        <x:v>Verwenden
GE-OFFICIAL-ALL</x:v>
      </x:c>
      <x:c r="G191" s="13" t="str">
        <x:v>Rechtlich massgebender Partei- / Vertretungsort</x:v>
      </x:c>
      <x:c r="H191" s="13" t="str">
        <x:v>Öffentlicher Feiertag</x:v>
      </x:c>
      <x:c r="I191" s="13" t="str">
        <x:v>Kantonal anerkannte Grundliste am rechtlich massgebenden Ort. Übernahme im Umfang von DEC-2026-028. AP18-/MVP-0.6-Quellenstand wiederverwendet, keine vollständige neue Quellenrevision behauptet.</x:v>
      </x:c>
      <x:c r="J191" s="13" t="str">
        <x:v>SRC-GE-LJF-J145-19910101
AP22-STPO</x:v>
      </x:c>
      <x:c r="K191" s="13" t="str">
        <x:v>RSG J 1 45, Art. 1 Abs. 1 und 2 sowie Fussnote a zu Bst. g | Art. 89 Abs. 2 und Art. 90 Abs. 2</x:v>
      </x:c>
      <x:c r="L191" s="13" t="str">
        <x:v>Erfasste Regelgültigkeiten 2026-01-01 bis offen. Kein neuer Berechnungszeitraum freigegeben.</x:v>
      </x:c>
      <x:c r="M191" s="13" t="str">
        <x:v>Fachliche Freigabe DEC-2026-028. Quellenherkunft gemäss Blatt Quellen.</x:v>
      </x:c>
      <x:c r="N191" s="13" t="str">
        <x:v>Fachliche Freigabe DEC-2026-028 erteilt. Keine technische Aktivierung.</x:v>
      </x:c>
      <x:c r="O191" s="15"/>
    </x:row>
    <x:row r="192" ht="72" customHeight="1">
      <x:c r="A192" s="14" t="str">
        <x:v>AP22-GE-OFFICIAL-ALL-ZPO</x:v>
      </x:c>
      <x:c r="B192" s="14" t="str">
        <x:v>Genf</x:v>
      </x:c>
      <x:c r="C192" s="14" t="str">
        <x:v>ZPO</x:v>
      </x:c>
      <x:c r="D192" s="14" t="str">
        <x:v>GE-OFFICIAL-ALL</x:v>
      </x:c>
      <x:c r="E192" s="14" t="str">
        <x:v>Zuordnung bestimmt</x:v>
      </x:c>
      <x:c r="F192" s="14" t="str">
        <x:v>Verwenden
GE-OFFICIAL-ALL</x:v>
      </x:c>
      <x:c r="G192" s="14" t="str">
        <x:v>Gerichtsort</x:v>
      </x:c>
      <x:c r="H192" s="14" t="str">
        <x:v>Öffentlicher Feiertag</x:v>
      </x:c>
      <x:c r="I192" s="14" t="str">
        <x:v>Kantonal anerkannte Grundliste am rechtlich massgebenden Ort. Übernahme im Umfang von DEC-2026-028. AP18-/MVP-0.6-Quellenstand wiederverwendet, keine vollständige neue Quellenrevision behauptet.</x:v>
      </x:c>
      <x:c r="J192" s="14" t="str">
        <x:v>SRC-GE-LJF-J145-19910101
AP22-ZPO</x:v>
      </x:c>
      <x:c r="K192" s="14" t="str">
        <x:v>RSG J 1 45, Art. 1 Abs. 1 und 2 sowie Fussnote a zu Bst. g | Art. 142 Abs. 1bis und 3, Art. 145</x:v>
      </x:c>
      <x:c r="L192" s="14" t="str">
        <x:v>Erfasste Regelgültigkeiten 2026-01-01 bis offen. Kein neuer Berechnungszeitraum freigegeben.</x:v>
      </x:c>
      <x:c r="M192" s="14" t="str">
        <x:v>Fachliche Freigabe DEC-2026-028. Quellenherkunft gemäss Blatt Quellen.</x:v>
      </x:c>
      <x:c r="N192" s="14" t="str">
        <x:v>Fachliche Freigabe DEC-2026-028 erteilt. Keine technische Aktivierung.</x:v>
      </x:c>
      <x:c r="O192" s="15"/>
    </x:row>
    <x:row r="193" ht="72" customHeight="1">
      <x:c r="A193" s="13" t="str">
        <x:v>AP22-GE-OFFICIAL-ALL-BGG</x:v>
      </x:c>
      <x:c r="B193" s="13" t="str">
        <x:v>Genf</x:v>
      </x:c>
      <x:c r="C193" s="13" t="str">
        <x:v>BGG</x:v>
      </x:c>
      <x:c r="D193" s="13" t="str">
        <x:v>GE-OFFICIAL-ALL</x:v>
      </x:c>
      <x:c r="E193" s="14" t="str">
        <x:v>Zuordnung bestimmt</x:v>
      </x:c>
      <x:c r="F193" s="13" t="str">
        <x:v>Verwenden
GE-OFFICIAL-ALL</x:v>
      </x:c>
      <x:c r="G193" s="13" t="str">
        <x:v>Rechtlich massgebender Partei- / Vertretungsort</x:v>
      </x:c>
      <x:c r="H193" s="13" t="str">
        <x:v>Öffentlicher Feiertag</x:v>
      </x:c>
      <x:c r="I193" s="13" t="str">
        <x:v>Kantonal anerkannte Grundliste am rechtlich massgebenden Ort. Übernahme im Umfang von DEC-2026-028. AP18-/MVP-0.6-Quellenstand wiederverwendet, keine vollständige neue Quellenrevision behauptet.</x:v>
      </x:c>
      <x:c r="J193" s="13" t="str">
        <x:v>SRC-GE-LJF-J145-19910101
AP22-BGG</x:v>
      </x:c>
      <x:c r="K193" s="13" t="str">
        <x:v>RSG J 1 45, Art. 1 Abs. 1 und 2 sowie Fussnote a zu Bst. g | Art. 45 und 46</x:v>
      </x:c>
      <x:c r="L193" s="13" t="str">
        <x:v>Erfasste Regelgültigkeiten 2026-01-01 bis offen. Kein neuer Berechnungszeitraum freigegeben.</x:v>
      </x:c>
      <x:c r="M193" s="13" t="str">
        <x:v>Fachliche Freigabe DEC-2026-028. Quellenherkunft gemäss Blatt Quellen.</x:v>
      </x:c>
      <x:c r="N193" s="13" t="str">
        <x:v>Fachliche Freigabe DEC-2026-028 erteilt. Keine technische Aktivierung.</x:v>
      </x:c>
      <x:c r="O193" s="15"/>
    </x:row>
    <x:row r="194" ht="72" customHeight="1">
      <x:c r="A194" s="14" t="str">
        <x:v>AP22-GE-OFFICIAL-ALL-VWVG</x:v>
      </x:c>
      <x:c r="B194" s="14" t="str">
        <x:v>Genf</x:v>
      </x:c>
      <x:c r="C194" s="14" t="str">
        <x:v>VwVG</x:v>
      </x:c>
      <x:c r="D194" s="14" t="str">
        <x:v>GE-OFFICIAL-ALL</x:v>
      </x:c>
      <x:c r="E194" s="14" t="str">
        <x:v>Zuordnung bestimmt</x:v>
      </x:c>
      <x:c r="F194" s="14" t="str">
        <x:v>Verwenden
GE-OFFICIAL-ALL</x:v>
      </x:c>
      <x:c r="G194" s="14" t="str">
        <x:v>Rechtlich massgebender Partei- / Vertretungsort</x:v>
      </x:c>
      <x:c r="H194" s="14" t="str">
        <x:v>Öffentlicher Feiertag</x:v>
      </x:c>
      <x:c r="I194" s="14" t="str">
        <x:v>Kantonal anerkannte Grundliste am rechtlich massgebenden Ort. Übernahme im Umfang von DEC-2026-028. AP18-/MVP-0.6-Quellenstand wiederverwendet, keine vollständige neue Quellenrevision behauptet.</x:v>
      </x:c>
      <x:c r="J194" s="14" t="str">
        <x:v>SRC-GE-LJF-J145-19910101
AP22-VWVG</x:v>
      </x:c>
      <x:c r="K194" s="14" t="str">
        <x:v>RSG J 1 45, Art. 1 Abs. 1 und 2 sowie Fussnote a zu Bst. g | Art. 20 Abs. 3 und Art. 22a</x:v>
      </x:c>
      <x:c r="L194" s="14" t="str">
        <x:v>Erfasste Regelgültigkeiten 2026-01-01 bis offen. Kein neuer Berechnungszeitraum freigegeben.</x:v>
      </x:c>
      <x:c r="M194" s="14" t="str">
        <x:v>Fachliche Freigabe DEC-2026-028. Quellenherkunft gemäss Blatt Quellen.</x:v>
      </x:c>
      <x:c r="N194" s="14" t="str">
        <x:v>Fachliche Freigabe DEC-2026-028 erteilt. Keine technische Aktivierung.</x:v>
      </x:c>
      <x:c r="O194" s="15"/>
    </x:row>
    <x:row r="195" ht="72" customHeight="1">
      <x:c r="A195" s="13" t="str">
        <x:v>AP22-JU-LJF-OFFICIAL-STPO</x:v>
      </x:c>
      <x:c r="B195" s="13" t="str">
        <x:v>Jura</x:v>
      </x:c>
      <x:c r="C195" s="13" t="str">
        <x:v>StPO</x:v>
      </x:c>
      <x:c r="D195" s="13" t="str">
        <x:v>JU-LJF-OFFICIAL</x:v>
      </x:c>
      <x:c r="E195" s="14" t="str">
        <x:v>Zuordnung bestimmt</x:v>
      </x:c>
      <x:c r="F195" s="13" t="str">
        <x:v>Verwenden
JU-LJF-OFFICIAL</x:v>
      </x:c>
      <x:c r="G195" s="13" t="str">
        <x:v>Rechtlich massgebender Partei- / Vertretungsort</x:v>
      </x:c>
      <x:c r="H195" s="13" t="str">
        <x:v>Öffentlicher Feiertag</x:v>
      </x:c>
      <x:c r="I195" s="13" t="str">
        <x:v>Kantonal anerkannte Grundliste am rechtlich massgebenden Ort. Übernahme im Umfang von DEC-2026-028. AP18-/MVP-0.6-Quellenstand wiederverwendet, keine vollständige neue Quellenrevision behauptet.</x:v>
      </x:c>
      <x:c r="J195" s="13" t="str">
        <x:v>SRC-JU-LJF-5551-20230101
AP22-STPO</x:v>
      </x:c>
      <x:c r="K195" s="13" t="str">
        <x:v>RSJU 555.1, Art. 3, Art. 4 und Art. 9 | Art. 89 Abs. 2 und Art. 90 Abs. 2</x:v>
      </x:c>
      <x:c r="L195" s="13" t="str">
        <x:v>Erfasste Regelgültigkeiten 2026-01-01 bis offen. Kein neuer Berechnungszeitraum freigegeben.</x:v>
      </x:c>
      <x:c r="M195" s="13" t="str">
        <x:v>Fachliche Freigabe DEC-2026-028. Quellenherkunft gemäss Blatt Quellen.</x:v>
      </x:c>
      <x:c r="N195" s="13" t="str">
        <x:v>Fachliche Freigabe DEC-2026-028 erteilt. Keine technische Aktivierung.</x:v>
      </x:c>
      <x:c r="O195" s="15"/>
    </x:row>
    <x:row r="196" ht="72" customHeight="1">
      <x:c r="A196" s="14" t="str">
        <x:v>AP22-JU-LJF-OFFICIAL-ZPO</x:v>
      </x:c>
      <x:c r="B196" s="14" t="str">
        <x:v>Jura</x:v>
      </x:c>
      <x:c r="C196" s="14" t="str">
        <x:v>ZPO</x:v>
      </x:c>
      <x:c r="D196" s="14" t="str">
        <x:v>JU-LJF-OFFICIAL</x:v>
      </x:c>
      <x:c r="E196" s="14" t="str">
        <x:v>Zuordnung bestimmt</x:v>
      </x:c>
      <x:c r="F196" s="14" t="str">
        <x:v>Verwenden
JU-LJF-OFFICIAL</x:v>
      </x:c>
      <x:c r="G196" s="14" t="str">
        <x:v>Gerichtsort</x:v>
      </x:c>
      <x:c r="H196" s="14" t="str">
        <x:v>Öffentlicher Feiertag</x:v>
      </x:c>
      <x:c r="I196" s="14" t="str">
        <x:v>Kantonal anerkannte Grundliste am rechtlich massgebenden Ort. Übernahme im Umfang von DEC-2026-028. AP18-/MVP-0.6-Quellenstand wiederverwendet, keine vollständige neue Quellenrevision behauptet.</x:v>
      </x:c>
      <x:c r="J196" s="14" t="str">
        <x:v>SRC-JU-LJF-5551-20230101
AP22-ZPO</x:v>
      </x:c>
      <x:c r="K196" s="14" t="str">
        <x:v>RSJU 555.1, Art. 3, Art. 4 und Art. 9 | Art. 142 Abs. 1bis und 3, Art. 145</x:v>
      </x:c>
      <x:c r="L196" s="14" t="str">
        <x:v>Erfasste Regelgültigkeiten 2026-01-01 bis offen. Kein neuer Berechnungszeitraum freigegeben.</x:v>
      </x:c>
      <x:c r="M196" s="14" t="str">
        <x:v>Fachliche Freigabe DEC-2026-028. Quellenherkunft gemäss Blatt Quellen.</x:v>
      </x:c>
      <x:c r="N196" s="14" t="str">
        <x:v>Fachliche Freigabe DEC-2026-028 erteilt. Keine technische Aktivierung.</x:v>
      </x:c>
      <x:c r="O196" s="15"/>
    </x:row>
    <x:row r="197" ht="72" customHeight="1">
      <x:c r="A197" s="13" t="str">
        <x:v>AP22-JU-LJF-OFFICIAL-BGG</x:v>
      </x:c>
      <x:c r="B197" s="13" t="str">
        <x:v>Jura</x:v>
      </x:c>
      <x:c r="C197" s="13" t="str">
        <x:v>BGG</x:v>
      </x:c>
      <x:c r="D197" s="13" t="str">
        <x:v>JU-LJF-OFFICIAL</x:v>
      </x:c>
      <x:c r="E197" s="14" t="str">
        <x:v>Zuordnung bestimmt</x:v>
      </x:c>
      <x:c r="F197" s="13" t="str">
        <x:v>Verwenden
JU-LJF-OFFICIAL</x:v>
      </x:c>
      <x:c r="G197" s="13" t="str">
        <x:v>Rechtlich massgebender Partei- / Vertretungsort</x:v>
      </x:c>
      <x:c r="H197" s="13" t="str">
        <x:v>Öffentlicher Feiertag</x:v>
      </x:c>
      <x:c r="I197" s="13" t="str">
        <x:v>Kantonal anerkannte Grundliste am rechtlich massgebenden Ort. Übernahme im Umfang von DEC-2026-028. AP18-/MVP-0.6-Quellenstand wiederverwendet, keine vollständige neue Quellenrevision behauptet.</x:v>
      </x:c>
      <x:c r="J197" s="13" t="str">
        <x:v>SRC-JU-LJF-5551-20230101
AP22-BGG</x:v>
      </x:c>
      <x:c r="K197" s="13" t="str">
        <x:v>RSJU 555.1, Art. 3, Art. 4 und Art. 9 | Art. 45 und 46</x:v>
      </x:c>
      <x:c r="L197" s="13" t="str">
        <x:v>Erfasste Regelgültigkeiten 2026-01-01 bis offen. Kein neuer Berechnungszeitraum freigegeben.</x:v>
      </x:c>
      <x:c r="M197" s="13" t="str">
        <x:v>Fachliche Freigabe DEC-2026-028. Quellenherkunft gemäss Blatt Quellen.</x:v>
      </x:c>
      <x:c r="N197" s="13" t="str">
        <x:v>Fachliche Freigabe DEC-2026-028 erteilt. Keine technische Aktivierung.</x:v>
      </x:c>
      <x:c r="O197" s="15"/>
    </x:row>
    <x:row r="198" ht="72" customHeight="1">
      <x:c r="A198" s="14" t="str">
        <x:v>AP22-JU-LJF-OFFICIAL-VWVG</x:v>
      </x:c>
      <x:c r="B198" s="14" t="str">
        <x:v>Jura</x:v>
      </x:c>
      <x:c r="C198" s="14" t="str">
        <x:v>VwVG</x:v>
      </x:c>
      <x:c r="D198" s="14" t="str">
        <x:v>JU-LJF-OFFICIAL</x:v>
      </x:c>
      <x:c r="E198" s="14" t="str">
        <x:v>Zuordnung bestimmt</x:v>
      </x:c>
      <x:c r="F198" s="14" t="str">
        <x:v>Verwenden
JU-LJF-OFFICIAL</x:v>
      </x:c>
      <x:c r="G198" s="14" t="str">
        <x:v>Rechtlich massgebender Partei- / Vertretungsort</x:v>
      </x:c>
      <x:c r="H198" s="14" t="str">
        <x:v>Öffentlicher Feiertag</x:v>
      </x:c>
      <x:c r="I198" s="14" t="str">
        <x:v>Kantonal anerkannte Grundliste am rechtlich massgebenden Ort. Übernahme im Umfang von DEC-2026-028. AP18-/MVP-0.6-Quellenstand wiederverwendet, keine vollständige neue Quellenrevision behauptet.</x:v>
      </x:c>
      <x:c r="J198" s="14" t="str">
        <x:v>SRC-JU-LJF-5551-20230101
AP22-VWVG</x:v>
      </x:c>
      <x:c r="K198" s="14" t="str">
        <x:v>RSJU 555.1, Art. 3, Art. 4 und Art. 9 | Art. 20 Abs. 3 und Art. 22a</x:v>
      </x:c>
      <x:c r="L198" s="14" t="str">
        <x:v>Erfasste Regelgültigkeiten 2026-01-01 bis offen. Kein neuer Berechnungszeitraum freigegeben.</x:v>
      </x:c>
      <x:c r="M198" s="14" t="str">
        <x:v>Fachliche Freigabe DEC-2026-028. Quellenherkunft gemäss Blatt Quellen.</x:v>
      </x:c>
      <x:c r="N198" s="14" t="str">
        <x:v>Fachliche Freigabe DEC-2026-028 erteilt. Keine technische Aktivierung.</x:v>
      </x:c>
      <x:c r="O198" s="15"/>
    </x:row>
    <x:row r="199" ht="58" customHeight="1">
      <x:c r="A199" s="13" t="str">
        <x:v>AP22-JU-LJF-LABOUR-STPO</x:v>
      </x:c>
      <x:c r="B199" s="13" t="str">
        <x:v>Jura</x:v>
      </x:c>
      <x:c r="C199" s="13" t="str">
        <x:v>StPO</x:v>
      </x:c>
      <x:c r="D199" s="13" t="str">
        <x:v>JU-LJF-LABOUR</x:v>
      </x:c>
      <x:c r="E199" s="14" t="str">
        <x:v>Nicht übernehmen</x:v>
      </x:c>
      <x:c r="F199" s="13" t="str">
        <x:v>Nicht verwenden</x:v>
      </x:c>
      <x:c r="G199" s="13" t="str">
        <x:v>Rechtlich massgebender Partei- / Vertretungsort</x:v>
      </x:c>
      <x:c r="H199" s="13" t="str">
        <x:v>Arbeitsrechtlicher Feiertag / Öffentlicher Feiertag</x:v>
      </x:c>
      <x:c r="I199" s="13" t="str">
        <x:v>Arbeitsrechtliche Teilmenge ist kein vollständiger Feiertagskalender. Allgemeine Art.-3-Liste separat führen, keine Doppelzählung.</x:v>
      </x:c>
      <x:c r="J199" s="13" t="str">
        <x:v>SRC-JU-LJF-5551-20230101
AP22-STPO</x:v>
      </x:c>
      <x:c r="K199" s="13" t="str">
        <x:v>RSJU 555.1, Art. 3, Art. 4 und Art. 9 | Art. 89 Abs. 2 und Art. 90 Abs. 2</x:v>
      </x:c>
      <x:c r="L199" s="13" t="str">
        <x:v>Erfasste Regelgültigkeiten 2026-01-01 bis offen. Kein neuer Berechnungszeitraum freigegeben.</x:v>
      </x:c>
      <x:c r="M199" s="13" t="str">
        <x:v>Fachliche Freigabe DEC-2026-028. Quellenherkunft gemäss Blatt Quellen.</x:v>
      </x:c>
      <x:c r="N199" s="13" t="str">
        <x:v>Negativer Verwendungsentscheid bleibt</x:v>
      </x:c>
      <x:c r="O199" s="15"/>
    </x:row>
    <x:row r="200" ht="58" customHeight="1">
      <x:c r="A200" s="14" t="str">
        <x:v>AP22-JU-LJF-LABOUR-ZPO</x:v>
      </x:c>
      <x:c r="B200" s="14" t="str">
        <x:v>Jura</x:v>
      </x:c>
      <x:c r="C200" s="14" t="str">
        <x:v>ZPO</x:v>
      </x:c>
      <x:c r="D200" s="14" t="str">
        <x:v>JU-LJF-LABOUR</x:v>
      </x:c>
      <x:c r="E200" s="14" t="str">
        <x:v>Nicht übernehmen</x:v>
      </x:c>
      <x:c r="F200" s="14" t="str">
        <x:v>Nicht verwenden</x:v>
      </x:c>
      <x:c r="G200" s="14" t="str">
        <x:v>Gerichtsort</x:v>
      </x:c>
      <x:c r="H200" s="14" t="str">
        <x:v>Arbeitsrechtlicher Feiertag / Öffentlicher Feiertag</x:v>
      </x:c>
      <x:c r="I200" s="14" t="str">
        <x:v>Arbeitsrechtliche Teilmenge ist kein vollständiger Feiertagskalender. Allgemeine Art.-3-Liste separat führen, keine Doppelzählung.</x:v>
      </x:c>
      <x:c r="J200" s="14" t="str">
        <x:v>SRC-JU-LJF-5551-20230101
AP22-ZPO</x:v>
      </x:c>
      <x:c r="K200" s="14" t="str">
        <x:v>RSJU 555.1, Art. 3, Art. 4 und Art. 9 | Art. 142 Abs. 1bis und 3, Art. 145</x:v>
      </x:c>
      <x:c r="L200" s="14" t="str">
        <x:v>Erfasste Regelgültigkeiten 2026-01-01 bis offen. Kein neuer Berechnungszeitraum freigegeben.</x:v>
      </x:c>
      <x:c r="M200" s="14" t="str">
        <x:v>Fachliche Freigabe DEC-2026-028. Quellenherkunft gemäss Blatt Quellen.</x:v>
      </x:c>
      <x:c r="N200" s="14" t="str">
        <x:v>Negativer Verwendungsentscheid bleibt</x:v>
      </x:c>
      <x:c r="O200" s="15"/>
    </x:row>
    <x:row r="201" ht="58" customHeight="1">
      <x:c r="A201" s="13" t="str">
        <x:v>AP22-JU-LJF-LABOUR-BGG</x:v>
      </x:c>
      <x:c r="B201" s="13" t="str">
        <x:v>Jura</x:v>
      </x:c>
      <x:c r="C201" s="13" t="str">
        <x:v>BGG</x:v>
      </x:c>
      <x:c r="D201" s="13" t="str">
        <x:v>JU-LJF-LABOUR</x:v>
      </x:c>
      <x:c r="E201" s="14" t="str">
        <x:v>Nicht übernehmen</x:v>
      </x:c>
      <x:c r="F201" s="13" t="str">
        <x:v>Nicht verwenden</x:v>
      </x:c>
      <x:c r="G201" s="13" t="str">
        <x:v>Rechtlich massgebender Partei- / Vertretungsort</x:v>
      </x:c>
      <x:c r="H201" s="13" t="str">
        <x:v>Arbeitsrechtlicher Feiertag / Öffentlicher Feiertag</x:v>
      </x:c>
      <x:c r="I201" s="13" t="str">
        <x:v>Arbeitsrechtliche Teilmenge ist kein vollständiger Feiertagskalender. Allgemeine Art.-3-Liste separat führen, keine Doppelzählung.</x:v>
      </x:c>
      <x:c r="J201" s="13" t="str">
        <x:v>SRC-JU-LJF-5551-20230101
AP22-BGG</x:v>
      </x:c>
      <x:c r="K201" s="13" t="str">
        <x:v>RSJU 555.1, Art. 3, Art. 4 und Art. 9 | Art. 45 und 46</x:v>
      </x:c>
      <x:c r="L201" s="13" t="str">
        <x:v>Erfasste Regelgültigkeiten 2026-01-01 bis offen. Kein neuer Berechnungszeitraum freigegeben.</x:v>
      </x:c>
      <x:c r="M201" s="13" t="str">
        <x:v>Fachliche Freigabe DEC-2026-028. Quellenherkunft gemäss Blatt Quellen.</x:v>
      </x:c>
      <x:c r="N201" s="13" t="str">
        <x:v>Negativer Verwendungsentscheid bleibt</x:v>
      </x:c>
      <x:c r="O201" s="15"/>
    </x:row>
    <x:row r="202" ht="58" customHeight="1">
      <x:c r="A202" s="14" t="str">
        <x:v>AP22-JU-LJF-LABOUR-VWVG</x:v>
      </x:c>
      <x:c r="B202" s="14" t="str">
        <x:v>Jura</x:v>
      </x:c>
      <x:c r="C202" s="14" t="str">
        <x:v>VwVG</x:v>
      </x:c>
      <x:c r="D202" s="14" t="str">
        <x:v>JU-LJF-LABOUR</x:v>
      </x:c>
      <x:c r="E202" s="14" t="str">
        <x:v>Nicht übernehmen</x:v>
      </x:c>
      <x:c r="F202" s="14" t="str">
        <x:v>Nicht verwenden</x:v>
      </x:c>
      <x:c r="G202" s="14" t="str">
        <x:v>Rechtlich massgebender Partei- / Vertretungsort</x:v>
      </x:c>
      <x:c r="H202" s="14" t="str">
        <x:v>Arbeitsrechtlicher Feiertag / Öffentlicher Feiertag</x:v>
      </x:c>
      <x:c r="I202" s="14" t="str">
        <x:v>Arbeitsrechtliche Teilmenge ist kein vollständiger Feiertagskalender. Allgemeine Art.-3-Liste separat führen, keine Doppelzählung.</x:v>
      </x:c>
      <x:c r="J202" s="14" t="str">
        <x:v>SRC-JU-LJF-5551-20230101
AP22-VWVG</x:v>
      </x:c>
      <x:c r="K202" s="14" t="str">
        <x:v>RSJU 555.1, Art. 3, Art. 4 und Art. 9 | Art. 20 Abs. 3 und Art. 22a</x:v>
      </x:c>
      <x:c r="L202" s="14" t="str">
        <x:v>Erfasste Regelgültigkeiten 2026-01-01 bis offen. Kein neuer Berechnungszeitraum freigegeben.</x:v>
      </x:c>
      <x:c r="M202" s="14" t="str">
        <x:v>Fachliche Freigabe DEC-2026-028. Quellenherkunft gemäss Blatt Quellen.</x:v>
      </x:c>
      <x:c r="N202" s="14" t="str">
        <x:v>Negativer Verwendungsentscheid bleibt</x:v>
      </x:c>
      <x:c r="O202" s="15"/>
    </x:row>
    <x:row r="203" ht="58" customHeight="1">
      <x:c r="A203" s="13" t="str">
        <x:v>AP22-SO-PROCEDURAL-DRAFT-STPO</x:v>
      </x:c>
      <x:c r="B203" s="13" t="str">
        <x:v>Solothurn</x:v>
      </x:c>
      <x:c r="C203" s="13" t="str">
        <x:v>StPO</x:v>
      </x:c>
      <x:c r="D203" s="13" t="str">
        <x:v>SO-PROCEDURAL-DRAFT</x:v>
      </x:c>
      <x:c r="E203" s="15" t="str">
        <x:v>Katalogergänzung nötig</x:v>
      </x:c>
      <x:c r="F203" s="13" t="str">
        <x:v>Neue Prozessliste erfassen
CH-ALL + SO-PROCEDURAL-DRAFT</x:v>
      </x:c>
      <x:c r="G203" s="13" t="str">
        <x:v>Rechtlich massgebender Partei- / Vertretungsort</x:v>
      </x:c>
      <x:c r="H203" s="13" t="str">
        <x:v>Prozessual gleichgestellter Tag</x:v>
      </x:c>
      <x:c r="I203" s="13" t="str">
        <x:v>Zwölf ganztägige kantonale Verfahrenstage plus Bundesfeier, ohne Bucheggberg-Ausnahme. Fachlich nach DEC-2026-028 freigegeben. Technische Erfassung in AP22B/C, kein Umdeuten des RTG-Halbtags.</x:v>
      </x:c>
      <x:c r="J203" s="13" t="str">
        <x:v>AP22-STPO
AP22-SO-STPO
AP22-SO-GS201463</x:v>
      </x:c>
      <x:c r="K203" s="13" t="str">
        <x:v>Art. 89 Abs. 2 und Art. 90 Abs. 2 | § 10bis | Änderungen § 22 EG ZPO, § 10bis EG StPO und § 9 VRG</x:v>
      </x:c>
      <x:c r="L203" s="13" t="str">
        <x:v>Norm seit 01.03.2015. Kein neuer Produktzeitraum freigegeben.</x:v>
      </x:c>
      <x:c r="M203" s="13" t="str">
        <x:v>Fachliche Freigabe DEC-2026-028. Quellenherkunft gemäss Blatt Quellen.</x:v>
      </x:c>
      <x:c r="N203" s="13" t="str">
        <x:v>Fachliche Freigabe DEC-2026-028 erteilt. Keine technische Aktivierung.</x:v>
      </x:c>
      <x:c r="O203" s="15"/>
    </x:row>
    <x:row r="204" ht="58" customHeight="1">
      <x:c r="A204" s="14" t="str">
        <x:v>AP22-SO-PROCEDURAL-DRAFT-ZPO</x:v>
      </x:c>
      <x:c r="B204" s="14" t="str">
        <x:v>Solothurn</x:v>
      </x:c>
      <x:c r="C204" s="14" t="str">
        <x:v>ZPO</x:v>
      </x:c>
      <x:c r="D204" s="14" t="str">
        <x:v>SO-PROCEDURAL-DRAFT</x:v>
      </x:c>
      <x:c r="E204" s="15" t="str">
        <x:v>Katalogergänzung nötig</x:v>
      </x:c>
      <x:c r="F204" s="14" t="str">
        <x:v>Neue Prozessliste erfassen
CH-ALL + SO-PROCEDURAL-DRAFT</x:v>
      </x:c>
      <x:c r="G204" s="14" t="str">
        <x:v>Gerichtsort</x:v>
      </x:c>
      <x:c r="H204" s="14" t="str">
        <x:v>Prozessual gleichgestellter Tag</x:v>
      </x:c>
      <x:c r="I204" s="14" t="str">
        <x:v>Zwölf ganztägige kantonale Verfahrenstage plus Bundesfeier, ohne Bucheggberg-Ausnahme. Fachlich nach DEC-2026-028 freigegeben. Technische Erfassung in AP22B/C, kein Umdeuten des RTG-Halbtags.</x:v>
      </x:c>
      <x:c r="J204" s="14" t="str">
        <x:v>AP22-ZPO
AP22-SO-ZPO
AP22-SO-GS201463</x:v>
      </x:c>
      <x:c r="K204" s="14" t="str">
        <x:v>Art. 142 Abs. 1bis und 3, Art. 145 | § 22 Abs. 2 | Änderungen § 22 EG ZPO, § 10bis EG StPO und § 9 VRG</x:v>
      </x:c>
      <x:c r="L204" s="14" t="str">
        <x:v>Norm seit 01.03.2015. Kein neuer Produktzeitraum freigegeben.</x:v>
      </x:c>
      <x:c r="M204" s="14" t="str">
        <x:v>Fachliche Freigabe DEC-2026-028. Quellenherkunft gemäss Blatt Quellen.</x:v>
      </x:c>
      <x:c r="N204" s="14" t="str">
        <x:v>Fachliche Freigabe DEC-2026-028 erteilt. Keine technische Aktivierung.</x:v>
      </x:c>
      <x:c r="O204" s="15"/>
    </x:row>
  </x:sheetData>
  <x:mergeCells>
    <x:mergeCell ref="A1:F2"/>
    <x:mergeCell ref="A3:F4"/>
  </x:mergeCells>
  <x:pageMargins left="0.7" right="0.7" top="0.75" bottom="0.75" header="0.3" footer="0.3"/>
  <x:tableParts count="1">
    <x:tablePart xmlns:r="http://schemas.openxmlformats.org/officeDocument/2006/relationships" r:id="R98d8acdd27014eca"/>
  </x:tableParts>
</x:worksheet>
</file>

<file path=xl/worksheets/sheet3.xml><?xml version="1.0" encoding="utf-8"?>
<x:worksheet xmlns:x="http://schemas.openxmlformats.org/spreadsheetml/2006/main">
  <x:sheetViews>
    <x:sheetView showGridLines="0" workbookViewId="0">
      <x:pane xSplit="1" ySplit="6" topLeftCell="B7" activePane="bottomRight" state="frozen"/>
    </x:sheetView>
  </x:sheetViews>
  <x:sheetFormatPr baseColWidth="10" defaultColWidth="8.83203125" defaultRowHeight="14"/>
  <x:cols>
    <x:col min="1" max="1" width="37" customWidth="1"/>
    <x:col min="2" max="5" width="49" customWidth="1"/>
    <x:col min="6" max="6" width="20" customWidth="1"/>
    <x:col min="7" max="7" width="23" customWidth="1"/>
    <x:col min="8" max="8" width="80" customWidth="1"/>
    <x:col min="9" max="9" width="70" customWidth="1"/>
    <x:col min="10" max="10" width="45" customWidth="1"/>
    <x:col min="11" max="11" width="47" customWidth="1"/>
    <x:col min="12" max="12" width="28" customWidth="1"/>
    <x:col min="13" max="13" width="43" customWidth="1"/>
    <x:col min="14" max="14" width="16" customWidth="1"/>
    <x:col min="15" max="15" width="55" customWidth="1"/>
  </x:cols>
  <x:sheetData>
    <x:row r="1" ht="24" customHeight="1">
      <x:c r="A1" s="11" t="s">
        <x:v>19</x:v>
      </x:c>
      <x:c r="B1" s="11"/>
      <x:c r="C1" s="11"/>
      <x:c r="D1" s="11"/>
      <x:c r="E1" s="11"/>
      <x:c r="F1" s="11"/>
      <x:c r="G1" s="1"/>
      <x:c r="H1" s="1"/>
      <x:c r="I1" s="1"/>
      <x:c r="J1" s="1"/>
      <x:c r="K1" s="1"/>
      <x:c r="L1" s="1"/>
      <x:c r="M1" s="1"/>
      <x:c r="N1" s="1"/>
      <x:c r="O1" s="1"/>
    </x:row>
    <x:row r="2" ht="24" customHeight="1">
      <x:c r="A2" s="11"/>
      <x:c r="B2" s="11"/>
      <x:c r="C2" s="11"/>
      <x:c r="D2" s="11"/>
      <x:c r="E2" s="11"/>
      <x:c r="F2" s="11"/>
      <x:c r="G2" s="1"/>
      <x:c r="H2" s="1"/>
      <x:c r="I2" s="1"/>
      <x:c r="J2" s="1"/>
      <x:c r="K2" s="1"/>
      <x:c r="L2" s="1"/>
      <x:c r="M2" s="1"/>
      <x:c r="N2" s="1"/>
      <x:c r="O2" s="1"/>
    </x:row>
    <x:row r="3" ht="24" customHeight="1">
      <x:c r="A3" s="12" t="s">
        <x:v>20</x:v>
      </x:c>
      <x:c r="B3" s="12"/>
      <x:c r="C3" s="12"/>
      <x:c r="D3" s="12"/>
      <x:c r="E3" s="12"/>
      <x:c r="F3" s="12"/>
      <x:c r="G3" s="1"/>
      <x:c r="H3" s="1"/>
      <x:c r="I3" s="1"/>
      <x:c r="J3" s="1"/>
      <x:c r="K3" s="1"/>
      <x:c r="L3" s="1"/>
      <x:c r="M3" s="1"/>
      <x:c r="N3" s="1"/>
      <x:c r="O3" s="1"/>
    </x:row>
    <x:row r="4" ht="24" customHeight="1">
      <x:c r="A4" s="12"/>
      <x:c r="B4" s="12"/>
      <x:c r="C4" s="12"/>
      <x:c r="D4" s="12"/>
      <x:c r="E4" s="12"/>
      <x:c r="F4" s="12"/>
      <x:c r="G4" s="1"/>
      <x:c r="H4" s="1"/>
      <x:c r="I4" s="1"/>
      <x:c r="J4" s="1"/>
      <x:c r="K4" s="1"/>
      <x:c r="L4" s="1"/>
      <x:c r="M4" s="1"/>
      <x:c r="N4" s="1"/>
      <x:c r="O4" s="1"/>
    </x:row>
    <x:row r="5" ht="10" customHeight="1">
      <x:c r="A5" s="1"/>
      <x:c r="B5" s="1"/>
      <x:c r="C5" s="1"/>
      <x:c r="D5" s="1"/>
      <x:c r="E5" s="1"/>
      <x:c r="F5" s="1"/>
      <x:c r="G5" s="1"/>
      <x:c r="H5" s="1"/>
      <x:c r="I5" s="1"/>
      <x:c r="J5" s="1"/>
      <x:c r="K5" s="1"/>
      <x:c r="L5" s="1"/>
      <x:c r="M5" s="1"/>
      <x:c r="N5" s="1"/>
      <x:c r="O5" s="1"/>
    </x:row>
    <x:row r="6" ht="38" customHeight="1">
      <x:c r="A6" s="4" t="s">
        <x:v>21</x:v>
      </x:c>
      <x:c r="B6" s="4" t="s">
        <x:v>22</x:v>
      </x:c>
      <x:c r="C6" s="4" t="s">
        <x:v>23</x:v>
      </x:c>
      <x:c r="D6" s="4" t="s">
        <x:v>24</x:v>
      </x:c>
      <x:c r="E6" s="4" t="s">
        <x:v>25</x:v>
      </x:c>
      <x:c r="F6" s="4" t="s">
        <x:v>9</x:v>
      </x:c>
      <x:c r="G6" s="4" t="s">
        <x:v>26</x:v>
      </x:c>
      <x:c r="H6" s="4" t="s">
        <x:v>27</x:v>
      </x:c>
      <x:c r="I6" s="4" t="s">
        <x:v>28</x:v>
      </x:c>
      <x:c r="J6" s="4" t="s">
        <x:v>29</x:v>
      </x:c>
      <x:c r="K6" s="4" t="s">
        <x:v>30</x:v>
      </x:c>
      <x:c r="L6" s="4" t="s">
        <x:v>31</x:v>
      </x:c>
      <x:c r="M6" s="4" t="s">
        <x:v>32</x:v>
      </x:c>
      <x:c r="N6" s="4" t="s">
        <x:v>33</x:v>
      </x:c>
      <x:c r="O6" s="4" t="s">
        <x:v>18</x:v>
      </x:c>
    </x:row>
    <x:row r="7" ht="36" customHeight="1">
      <x:c r="A7" s="5" t="s">
        <x:v>34</x:v>
      </x:c>
      <x:c r="B7" s="5" t="s">
        <x:v>35</x:v>
      </x:c>
      <x:c r="C7" s="5" t="s">
        <x:v>36</x:v>
      </x:c>
      <x:c r="D7" s="5" t="s">
        <x:v>37</x:v>
      </x:c>
      <x:c r="E7" s="5" t="s">
        <x:v>38</x:v>
      </x:c>
      <x:c r="F7" s="5" t="s">
        <x:v>39</x:v>
      </x:c>
      <x:c r="G7" s="5" t="s">
        <x:v>40</x:v>
      </x:c>
      <x:c r="H7" s="5" t="s">
        <x:v>35</x:v>
      </x:c>
      <x:c r="I7" s="5" t="s">
        <x:v>39</x:v>
      </x:c>
      <x:c r="J7" s="5" t="s">
        <x:v>41</x:v>
      </x:c>
      <x:c r="K7" s="5" t="s">
        <x:v>42</x:v>
      </x:c>
      <x:c r="L7" s="5" t="s">
        <x:v>43</x:v>
      </x:c>
      <x:c r="M7" s="5" t="s">
        <x:v>44</x:v>
      </x:c>
      <x:c r="N7" s="5">
        <x:v>1</x:v>
      </x:c>
      <x:c r="O7" s="7"/>
    </x:row>
    <x:row r="8" ht="36" customHeight="1">
      <x:c r="A8" s="2" t="s">
        <x:v>45</x:v>
      </x:c>
      <x:c r="B8" s="2" t="s">
        <x:v>46</x:v>
      </x:c>
      <x:c r="C8" s="2" t="s">
        <x:v>47</x:v>
      </x:c>
      <x:c r="D8" s="2" t="s">
        <x:v>48</x:v>
      </x:c>
      <x:c r="E8" s="2" t="s">
        <x:v>49</x:v>
      </x:c>
      <x:c r="F8" s="2" t="s">
        <x:v>50</x:v>
      </x:c>
      <x:c r="G8" s="2" t="s">
        <x:v>51</x:v>
      </x:c>
      <x:c r="H8" s="2" t="s">
        <x:v>52</x:v>
      </x:c>
      <x:c r="I8" s="2" t="s">
        <x:v>50</x:v>
      </x:c>
      <x:c r="J8" s="2" t="s">
        <x:v>53</x:v>
      </x:c>
      <x:c r="K8" s="2" t="s">
        <x:v>54</x:v>
      </x:c>
      <x:c r="L8" s="2" t="s">
        <x:v>55</x:v>
      </x:c>
      <x:c r="M8" s="2" t="s">
        <x:v>44</x:v>
      </x:c>
      <x:c r="N8" s="2">
        <x:v>11</x:v>
      </x:c>
      <x:c r="O8" s="7"/>
    </x:row>
    <x:row r="9" ht="38" customHeight="1">
      <x:c r="A9" s="5" t="s">
        <x:v>56</x:v>
      </x:c>
      <x:c r="B9" s="5" t="s">
        <x:v>57</x:v>
      </x:c>
      <x:c r="C9" s="5" t="s">
        <x:v>58</x:v>
      </x:c>
      <x:c r="D9" s="5" t="s">
        <x:v>59</x:v>
      </x:c>
      <x:c r="E9" s="5" t="s">
        <x:v>60</x:v>
      </x:c>
      <x:c r="F9" s="5" t="s">
        <x:v>61</x:v>
      </x:c>
      <x:c r="G9" s="5" t="s">
        <x:v>62</x:v>
      </x:c>
      <x:c r="H9" s="5" t="s">
        <x:v>63</x:v>
      </x:c>
      <x:c r="I9" s="5" t="s">
        <x:v>64</x:v>
      </x:c>
      <x:c r="J9" s="5" t="s">
        <x:v>65</x:v>
      </x:c>
      <x:c r="K9" s="5" t="s">
        <x:v>66</x:v>
      </x:c>
      <x:c r="L9" s="5" t="s">
        <x:v>55</x:v>
      </x:c>
      <x:c r="M9" s="5" t="s">
        <x:v>67</x:v>
      </x:c>
      <x:c r="N9" s="5">
        <x:v>8</x:v>
      </x:c>
      <x:c r="O9" s="7"/>
    </x:row>
    <x:row r="10" ht="36" customHeight="1">
      <x:c r="A10" s="2" t="s">
        <x:v>68</x:v>
      </x:c>
      <x:c r="B10" s="2" t="s">
        <x:v>69</x:v>
      </x:c>
      <x:c r="C10" s="2" t="s">
        <x:v>70</x:v>
      </x:c>
      <x:c r="D10" s="2" t="s">
        <x:v>71</x:v>
      </x:c>
      <x:c r="E10" s="2" t="s">
        <x:v>72</x:v>
      </x:c>
      <x:c r="F10" s="2" t="s">
        <x:v>61</x:v>
      </x:c>
      <x:c r="G10" s="2" t="s">
        <x:v>73</x:v>
      </x:c>
      <x:c r="H10" s="2" t="s">
        <x:v>74</x:v>
      </x:c>
      <x:c r="I10" s="2" t="s">
        <x:v>69</x:v>
      </x:c>
      <x:c r="J10" s="2" t="s">
        <x:v>65</x:v>
      </x:c>
      <x:c r="K10" s="2" t="s">
        <x:v>75</x:v>
      </x:c>
      <x:c r="L10" s="2" t="s">
        <x:v>55</x:v>
      </x:c>
      <x:c r="M10" s="2" t="s">
        <x:v>67</x:v>
      </x:c>
      <x:c r="N10" s="2">
        <x:v>8</x:v>
      </x:c>
      <x:c r="O10" s="7"/>
    </x:row>
    <x:row r="11" ht="36" customHeight="1">
      <x:c r="A11" s="5" t="s">
        <x:v>76</x:v>
      </x:c>
      <x:c r="B11" s="5" t="s">
        <x:v>77</x:v>
      </x:c>
      <x:c r="C11" s="5" t="s">
        <x:v>78</x:v>
      </x:c>
      <x:c r="D11" s="5" t="s">
        <x:v>79</x:v>
      </x:c>
      <x:c r="E11" s="5" t="s">
        <x:v>80</x:v>
      </x:c>
      <x:c r="F11" s="5" t="s">
        <x:v>61</x:v>
      </x:c>
      <x:c r="G11" s="5" t="s">
        <x:v>51</x:v>
      </x:c>
      <x:c r="H11" s="5" t="s">
        <x:v>81</x:v>
      </x:c>
      <x:c r="I11" s="5" t="s">
        <x:v>61</x:v>
      </x:c>
      <x:c r="J11" s="5" t="s">
        <x:v>82</x:v>
      </x:c>
      <x:c r="K11" s="5" t="s">
        <x:v>83</x:v>
      </x:c>
      <x:c r="L11" s="5" t="s">
        <x:v>55</x:v>
      </x:c>
      <x:c r="M11" s="5" t="s">
        <x:v>84</x:v>
      </x:c>
      <x:c r="N11" s="5">
        <x:v>14</x:v>
      </x:c>
      <x:c r="O11" s="7"/>
    </x:row>
    <x:row r="12" ht="77" customHeight="1">
      <x:c r="A12" s="2" t="s">
        <x:v>85</x:v>
      </x:c>
      <x:c r="B12" s="2" t="s">
        <x:v>86</x:v>
      </x:c>
      <x:c r="C12" s="2" t="s">
        <x:v>87</x:v>
      </x:c>
      <x:c r="D12" s="2" t="s">
        <x:v>88</x:v>
      </x:c>
      <x:c r="E12" s="2" t="s">
        <x:v>89</x:v>
      </x:c>
      <x:c r="F12" s="2" t="s">
        <x:v>61</x:v>
      </x:c>
      <x:c r="G12" s="2" t="s">
        <x:v>90</x:v>
      </x:c>
      <x:c r="H12" s="2" t="s">
        <x:v>91</x:v>
      </x:c>
      <x:c r="I12" s="2" t="s">
        <x:v>92</x:v>
      </x:c>
      <x:c r="J12" s="2" t="s">
        <x:v>65</x:v>
      </x:c>
      <x:c r="K12" s="2" t="s">
        <x:v>93</x:v>
      </x:c>
      <x:c r="L12" s="2" t="s">
        <x:v>55</x:v>
      </x:c>
      <x:c r="M12" s="2" t="s">
        <x:v>67</x:v>
      </x:c>
      <x:c r="N12" s="2">
        <x:v>8</x:v>
      </x:c>
      <x:c r="O12" s="7"/>
    </x:row>
    <x:row r="13" ht="38" customHeight="1">
      <x:c r="A13" s="5" t="s">
        <x:v>94</x:v>
      </x:c>
      <x:c r="B13" s="5" t="s">
        <x:v>95</x:v>
      </x:c>
      <x:c r="C13" s="5" t="s">
        <x:v>96</x:v>
      </x:c>
      <x:c r="D13" s="5" t="s">
        <x:v>97</x:v>
      </x:c>
      <x:c r="E13" s="5" t="s">
        <x:v>98</x:v>
      </x:c>
      <x:c r="F13" s="5" t="s">
        <x:v>61</x:v>
      </x:c>
      <x:c r="G13" s="5" t="s">
        <x:v>99</x:v>
      </x:c>
      <x:c r="H13" s="5" t="s">
        <x:v>100</x:v>
      </x:c>
      <x:c r="I13" s="5" t="s">
        <x:v>95</x:v>
      </x:c>
      <x:c r="J13" s="5" t="s">
        <x:v>65</x:v>
      </x:c>
      <x:c r="K13" s="5" t="s">
        <x:v>101</x:v>
      </x:c>
      <x:c r="L13" s="5" t="s">
        <x:v>55</x:v>
      </x:c>
      <x:c r="M13" s="5" t="s">
        <x:v>67</x:v>
      </x:c>
      <x:c r="N13" s="5">
        <x:v>8</x:v>
      </x:c>
      <x:c r="O13" s="7"/>
    </x:row>
    <x:row r="14" ht="38" customHeight="1">
      <x:c r="A14" s="2" t="s">
        <x:v>102</x:v>
      </x:c>
      <x:c r="B14" s="2" t="s">
        <x:v>103</x:v>
      </x:c>
      <x:c r="C14" s="2" t="s">
        <x:v>104</x:v>
      </x:c>
      <x:c r="D14" s="2" t="s">
        <x:v>105</x:v>
      </x:c>
      <x:c r="E14" s="2" t="s">
        <x:v>106</x:v>
      </x:c>
      <x:c r="F14" s="2" t="s">
        <x:v>61</x:v>
      </x:c>
      <x:c r="G14" s="2" t="s">
        <x:v>90</x:v>
      </x:c>
      <x:c r="H14" s="2" t="s">
        <x:v>107</x:v>
      </x:c>
      <x:c r="I14" s="2" t="s">
        <x:v>108</x:v>
      </x:c>
      <x:c r="J14" s="2" t="s">
        <x:v>65</x:v>
      </x:c>
      <x:c r="K14" s="2" t="s">
        <x:v>109</x:v>
      </x:c>
      <x:c r="L14" s="2" t="s">
        <x:v>55</x:v>
      </x:c>
      <x:c r="M14" s="2" t="s">
        <x:v>67</x:v>
      </x:c>
      <x:c r="N14" s="2">
        <x:v>8</x:v>
      </x:c>
      <x:c r="O14" s="7"/>
    </x:row>
    <x:row r="15" ht="90" customHeight="1">
      <x:c r="A15" s="5" t="s">
        <x:v>110</x:v>
      </x:c>
      <x:c r="B15" s="5" t="s">
        <x:v>111</x:v>
      </x:c>
      <x:c r="C15" s="5" t="s">
        <x:v>112</x:v>
      </x:c>
      <x:c r="D15" s="5" t="s">
        <x:v>113</x:v>
      </x:c>
      <x:c r="E15" s="5" t="s">
        <x:v>114</x:v>
      </x:c>
      <x:c r="F15" s="5" t="s">
        <x:v>61</x:v>
      </x:c>
      <x:c r="G15" s="5" t="s">
        <x:v>90</x:v>
      </x:c>
      <x:c r="H15" s="5" t="s">
        <x:v>115</x:v>
      </x:c>
      <x:c r="I15" s="5" t="s">
        <x:v>116</x:v>
      </x:c>
      <x:c r="J15" s="5" t="s">
        <x:v>65</x:v>
      </x:c>
      <x:c r="K15" s="5" t="s">
        <x:v>117</x:v>
      </x:c>
      <x:c r="L15" s="5" t="s">
        <x:v>55</x:v>
      </x:c>
      <x:c r="M15" s="5" t="s">
        <x:v>67</x:v>
      </x:c>
      <x:c r="N15" s="5">
        <x:v>8</x:v>
      </x:c>
      <x:c r="O15" s="7"/>
    </x:row>
    <x:row r="16" ht="116" customHeight="1">
      <x:c r="A16" s="2" t="s">
        <x:v>118</x:v>
      </x:c>
      <x:c r="B16" s="2" t="s">
        <x:v>119</x:v>
      </x:c>
      <x:c r="C16" s="2" t="s">
        <x:v>120</x:v>
      </x:c>
      <x:c r="D16" s="2" t="s">
        <x:v>121</x:v>
      </x:c>
      <x:c r="E16" s="2" t="s">
        <x:v>122</x:v>
      </x:c>
      <x:c r="F16" s="2" t="s">
        <x:v>61</x:v>
      </x:c>
      <x:c r="G16" s="2" t="s">
        <x:v>90</x:v>
      </x:c>
      <x:c r="H16" s="2" t="s">
        <x:v>123</x:v>
      </x:c>
      <x:c r="I16" s="2" t="s">
        <x:v>124</x:v>
      </x:c>
      <x:c r="J16" s="2" t="s">
        <x:v>65</x:v>
      </x:c>
      <x:c r="K16" s="2" t="s">
        <x:v>125</x:v>
      </x:c>
      <x:c r="L16" s="2" t="s">
        <x:v>55</x:v>
      </x:c>
      <x:c r="M16" s="2" t="s">
        <x:v>67</x:v>
      </x:c>
      <x:c r="N16" s="2">
        <x:v>8</x:v>
      </x:c>
      <x:c r="O16" s="7"/>
    </x:row>
    <x:row r="17" ht="38" customHeight="1">
      <x:c r="A17" s="5" t="s">
        <x:v>126</x:v>
      </x:c>
      <x:c r="B17" s="5" t="s">
        <x:v>127</x:v>
      </x:c>
      <x:c r="C17" s="5" t="s">
        <x:v>128</x:v>
      </x:c>
      <x:c r="D17" s="5" t="s">
        <x:v>129</x:v>
      </x:c>
      <x:c r="E17" s="5" t="s">
        <x:v>130</x:v>
      </x:c>
      <x:c r="F17" s="5" t="s">
        <x:v>61</x:v>
      </x:c>
      <x:c r="G17" s="5" t="s">
        <x:v>99</x:v>
      </x:c>
      <x:c r="H17" s="5" t="s">
        <x:v>131</x:v>
      </x:c>
      <x:c r="I17" s="5" t="s">
        <x:v>127</x:v>
      </x:c>
      <x:c r="J17" s="5" t="s">
        <x:v>65</x:v>
      </x:c>
      <x:c r="K17" s="5" t="s">
        <x:v>132</x:v>
      </x:c>
      <x:c r="L17" s="5" t="s">
        <x:v>55</x:v>
      </x:c>
      <x:c r="M17" s="5" t="s">
        <x:v>67</x:v>
      </x:c>
      <x:c r="N17" s="5">
        <x:v>8</x:v>
      </x:c>
      <x:c r="O17" s="7"/>
    </x:row>
    <x:row r="18" ht="38" customHeight="1">
      <x:c r="A18" s="2" t="s">
        <x:v>133</x:v>
      </x:c>
      <x:c r="B18" s="2" t="s">
        <x:v>134</x:v>
      </x:c>
      <x:c r="C18" s="2" t="s">
        <x:v>135</x:v>
      </x:c>
      <x:c r="D18" s="2" t="s">
        <x:v>136</x:v>
      </x:c>
      <x:c r="E18" s="2" t="s">
        <x:v>137</x:v>
      </x:c>
      <x:c r="F18" s="2" t="s">
        <x:v>138</x:v>
      </x:c>
      <x:c r="G18" s="2" t="s">
        <x:v>51</x:v>
      </x:c>
      <x:c r="H18" s="2" t="s">
        <x:v>139</x:v>
      </x:c>
      <x:c r="I18" s="2" t="s">
        <x:v>138</x:v>
      </x:c>
      <x:c r="J18" s="2" t="s">
        <x:v>140</x:v>
      </x:c>
      <x:c r="K18" s="2" t="s">
        <x:v>42</x:v>
      </x:c>
      <x:c r="L18" s="2" t="s">
        <x:v>55</x:v>
      </x:c>
      <x:c r="M18" s="2" t="s">
        <x:v>44</x:v>
      </x:c>
      <x:c r="N18" s="2">
        <x:v>15</x:v>
      </x:c>
      <x:c r="O18" s="7"/>
    </x:row>
    <x:row r="19" ht="51" customHeight="1">
      <x:c r="A19" s="5" t="s">
        <x:v>141</x:v>
      </x:c>
      <x:c r="B19" s="5" t="s">
        <x:v>142</x:v>
      </x:c>
      <x:c r="C19" s="5" t="s">
        <x:v>143</x:v>
      </x:c>
      <x:c r="D19" s="5" t="s">
        <x:v>144</x:v>
      </x:c>
      <x:c r="E19" s="5" t="s">
        <x:v>145</x:v>
      </x:c>
      <x:c r="F19" s="5" t="s">
        <x:v>146</x:v>
      </x:c>
      <x:c r="G19" s="5" t="s">
        <x:v>51</x:v>
      </x:c>
      <x:c r="H19" s="5" t="s">
        <x:v>147</x:v>
      </x:c>
      <x:c r="I19" s="5" t="s">
        <x:v>146</x:v>
      </x:c>
      <x:c r="J19" s="5" t="s">
        <x:v>148</x:v>
      </x:c>
      <x:c r="K19" s="5" t="s">
        <x:v>149</x:v>
      </x:c>
      <x:c r="L19" s="5" t="s">
        <x:v>55</x:v>
      </x:c>
      <x:c r="M19" s="5" t="s">
        <x:v>44</x:v>
      </x:c>
      <x:c r="N19" s="5">
        <x:v>11</x:v>
      </x:c>
      <x:c r="O19" s="7"/>
    </x:row>
    <x:row r="20" ht="51" customHeight="1">
      <x:c r="A20" s="2" t="s">
        <x:v>150</x:v>
      </x:c>
      <x:c r="B20" s="2" t="s">
        <x:v>151</x:v>
      </x:c>
      <x:c r="C20" s="2" t="s">
        <x:v>152</x:v>
      </x:c>
      <x:c r="D20" s="2" t="s">
        <x:v>153</x:v>
      </x:c>
      <x:c r="E20" s="2" t="s">
        <x:v>154</x:v>
      </x:c>
      <x:c r="F20" s="2" t="s">
        <x:v>155</x:v>
      </x:c>
      <x:c r="G20" s="2" t="s">
        <x:v>51</x:v>
      </x:c>
      <x:c r="H20" s="2" t="s">
        <x:v>156</x:v>
      </x:c>
      <x:c r="I20" s="2" t="s">
        <x:v>155</x:v>
      </x:c>
      <x:c r="J20" s="2" t="s">
        <x:v>157</x:v>
      </x:c>
      <x:c r="K20" s="2" t="s">
        <x:v>42</x:v>
      </x:c>
      <x:c r="L20" s="2" t="s">
        <x:v>55</x:v>
      </x:c>
      <x:c r="M20" s="2" t="s">
        <x:v>44</x:v>
      </x:c>
      <x:c r="N20" s="2">
        <x:v>9</x:v>
      </x:c>
      <x:c r="O20" s="7"/>
    </x:row>
    <x:row r="21" ht="51" customHeight="1">
      <x:c r="A21" s="5" t="s">
        <x:v>158</x:v>
      </x:c>
      <x:c r="B21" s="5" t="s">
        <x:v>159</x:v>
      </x:c>
      <x:c r="C21" s="5" t="s">
        <x:v>160</x:v>
      </x:c>
      <x:c r="D21" s="5" t="s">
        <x:v>161</x:v>
      </x:c>
      <x:c r="E21" s="5" t="s">
        <x:v>162</x:v>
      </x:c>
      <x:c r="F21" s="5" t="s">
        <x:v>155</x:v>
      </x:c>
      <x:c r="G21" s="5" t="s">
        <x:v>51</x:v>
      </x:c>
      <x:c r="H21" s="5" t="s">
        <x:v>163</x:v>
      </x:c>
      <x:c r="I21" s="5" t="s">
        <x:v>155</x:v>
      </x:c>
      <x:c r="J21" s="5" t="s">
        <x:v>164</x:v>
      </x:c>
      <x:c r="K21" s="5" t="s">
        <x:v>165</x:v>
      </x:c>
      <x:c r="L21" s="5" t="s">
        <x:v>55</x:v>
      </x:c>
      <x:c r="M21" s="5" t="s">
        <x:v>84</x:v>
      </x:c>
      <x:c r="N21" s="5">
        <x:v>4</x:v>
      </x:c>
      <x:c r="O21" s="7"/>
    </x:row>
    <x:row r="22" ht="38" customHeight="1">
      <x:c r="A22" s="2" t="s">
        <x:v>166</x:v>
      </x:c>
      <x:c r="B22" s="2" t="s">
        <x:v>167</x:v>
      </x:c>
      <x:c r="C22" s="2" t="s">
        <x:v>168</x:v>
      </x:c>
      <x:c r="D22" s="2" t="s">
        <x:v>169</x:v>
      </x:c>
      <x:c r="E22" s="2" t="s">
        <x:v>170</x:v>
      </x:c>
      <x:c r="F22" s="2" t="s">
        <x:v>171</x:v>
      </x:c>
      <x:c r="G22" s="2" t="s">
        <x:v>51</x:v>
      </x:c>
      <x:c r="H22" s="2" t="s">
        <x:v>172</x:v>
      </x:c>
      <x:c r="I22" s="2" t="s">
        <x:v>171</x:v>
      </x:c>
      <x:c r="J22" s="2" t="s">
        <x:v>173</x:v>
      </x:c>
      <x:c r="K22" s="2" t="s">
        <x:v>174</x:v>
      </x:c>
      <x:c r="L22" s="2" t="s">
        <x:v>55</x:v>
      </x:c>
      <x:c r="M22" s="2" t="s">
        <x:v>44</x:v>
      </x:c>
      <x:c r="N22" s="2">
        <x:v>9</x:v>
      </x:c>
      <x:c r="O22" s="7"/>
    </x:row>
    <x:row r="23" ht="194" customHeight="1">
      <x:c r="A23" s="5" t="s">
        <x:v>175</x:v>
      </x:c>
      <x:c r="B23" s="5" t="s">
        <x:v>176</x:v>
      </x:c>
      <x:c r="C23" s="5" t="s">
        <x:v>177</x:v>
      </x:c>
      <x:c r="D23" s="5" t="s">
        <x:v>178</x:v>
      </x:c>
      <x:c r="E23" s="5" t="s">
        <x:v>179</x:v>
      </x:c>
      <x:c r="F23" s="5" t="s">
        <x:v>180</x:v>
      </x:c>
      <x:c r="G23" s="5" t="s">
        <x:v>90</x:v>
      </x:c>
      <x:c r="H23" s="5" t="s">
        <x:v>181</x:v>
      </x:c>
      <x:c r="I23" s="5" t="s">
        <x:v>182</x:v>
      </x:c>
      <x:c r="J23" s="5" t="s">
        <x:v>183</x:v>
      </x:c>
      <x:c r="K23" s="5" t="s">
        <x:v>184</x:v>
      </x:c>
      <x:c r="L23" s="5" t="s">
        <x:v>55</x:v>
      </x:c>
      <x:c r="M23" s="5" t="s">
        <x:v>185</x:v>
      </x:c>
      <x:c r="N23" s="5">
        <x:v>9</x:v>
      </x:c>
      <x:c r="O23" s="7"/>
    </x:row>
    <x:row r="24" ht="168" customHeight="1">
      <x:c r="A24" s="2" t="s">
        <x:v>186</x:v>
      </x:c>
      <x:c r="B24" s="2" t="s">
        <x:v>187</x:v>
      </x:c>
      <x:c r="C24" s="2" t="s">
        <x:v>188</x:v>
      </x:c>
      <x:c r="D24" s="2" t="s">
        <x:v>189</x:v>
      </x:c>
      <x:c r="E24" s="2" t="s">
        <x:v>190</x:v>
      </x:c>
      <x:c r="F24" s="2" t="s">
        <x:v>180</x:v>
      </x:c>
      <x:c r="G24" s="2" t="s">
        <x:v>90</x:v>
      </x:c>
      <x:c r="H24" s="2" t="s">
        <x:v>191</x:v>
      </x:c>
      <x:c r="I24" s="2" t="s">
        <x:v>192</x:v>
      </x:c>
      <x:c r="J24" s="2" t="s">
        <x:v>183</x:v>
      </x:c>
      <x:c r="K24" s="2" t="s">
        <x:v>193</x:v>
      </x:c>
      <x:c r="L24" s="2" t="s">
        <x:v>55</x:v>
      </x:c>
      <x:c r="M24" s="2" t="s">
        <x:v>185</x:v>
      </x:c>
      <x:c r="N24" s="2">
        <x:v>9</x:v>
      </x:c>
      <x:c r="O24" s="7"/>
    </x:row>
    <x:row r="25" ht="51" customHeight="1">
      <x:c r="A25" s="5" t="s">
        <x:v>194</x:v>
      </x:c>
      <x:c r="B25" s="5" t="s">
        <x:v>195</x:v>
      </x:c>
      <x:c r="C25" s="5" t="s">
        <x:v>196</x:v>
      </x:c>
      <x:c r="D25" s="5" t="s">
        <x:v>197</x:v>
      </x:c>
      <x:c r="E25" s="5" t="s">
        <x:v>198</x:v>
      </x:c>
      <x:c r="F25" s="5" t="s">
        <x:v>180</x:v>
      </x:c>
      <x:c r="G25" s="5" t="s">
        <x:v>51</x:v>
      </x:c>
      <x:c r="H25" s="5" t="s">
        <x:v>199</x:v>
      </x:c>
      <x:c r="I25" s="5" t="s">
        <x:v>180</x:v>
      </x:c>
      <x:c r="J25" s="5" t="s">
        <x:v>200</x:v>
      </x:c>
      <x:c r="K25" s="5" t="s">
        <x:v>201</x:v>
      </x:c>
      <x:c r="L25" s="5" t="s">
        <x:v>55</x:v>
      </x:c>
      <x:c r="M25" s="5" t="s">
        <x:v>84</x:v>
      </x:c>
      <x:c r="N25" s="5">
        <x:v>15</x:v>
      </x:c>
      <x:c r="O25" s="7"/>
    </x:row>
    <x:row r="26" ht="51" customHeight="1">
      <x:c r="A26" s="2" t="s">
        <x:v>202</x:v>
      </x:c>
      <x:c r="B26" s="2" t="s">
        <x:v>203</x:v>
      </x:c>
      <x:c r="C26" s="2" t="s">
        <x:v>204</x:v>
      </x:c>
      <x:c r="D26" s="2" t="s">
        <x:v>205</x:v>
      </x:c>
      <x:c r="E26" s="2" t="s">
        <x:v>206</x:v>
      </x:c>
      <x:c r="F26" s="2" t="s">
        <x:v>207</x:v>
      </x:c>
      <x:c r="G26" s="2" t="s">
        <x:v>90</x:v>
      </x:c>
      <x:c r="H26" s="2" t="s">
        <x:v>208</x:v>
      </x:c>
      <x:c r="I26" s="2" t="s">
        <x:v>209</x:v>
      </x:c>
      <x:c r="J26" s="2" t="s">
        <x:v>210</x:v>
      </x:c>
      <x:c r="K26" s="2" t="s">
        <x:v>211</x:v>
      </x:c>
      <x:c r="L26" s="2" t="s">
        <x:v>55</x:v>
      </x:c>
      <x:c r="M26" s="2" t="s">
        <x:v>44</x:v>
      </x:c>
      <x:c r="N26" s="2">
        <x:v>12</x:v>
      </x:c>
      <x:c r="O26" s="7"/>
    </x:row>
    <x:row r="27" ht="64" customHeight="1">
      <x:c r="A27" s="5" t="s">
        <x:v>212</x:v>
      </x:c>
      <x:c r="B27" s="5" t="s">
        <x:v>213</x:v>
      </x:c>
      <x:c r="C27" s="5" t="s">
        <x:v>214</x:v>
      </x:c>
      <x:c r="D27" s="5" t="s">
        <x:v>215</x:v>
      </x:c>
      <x:c r="E27" s="5" t="s">
        <x:v>216</x:v>
      </x:c>
      <x:c r="F27" s="5" t="s">
        <x:v>207</x:v>
      </x:c>
      <x:c r="G27" s="5" t="s">
        <x:v>99</x:v>
      </x:c>
      <x:c r="H27" s="5" t="s">
        <x:v>217</x:v>
      </x:c>
      <x:c r="I27" s="5" t="s">
        <x:v>218</x:v>
      </x:c>
      <x:c r="J27" s="5" t="s">
        <x:v>210</x:v>
      </x:c>
      <x:c r="K27" s="5" t="s">
        <x:v>211</x:v>
      </x:c>
      <x:c r="L27" s="5" t="s">
        <x:v>55</x:v>
      </x:c>
      <x:c r="M27" s="5" t="s">
        <x:v>44</x:v>
      </x:c>
      <x:c r="N27" s="5">
        <x:v>9</x:v>
      </x:c>
      <x:c r="O27" s="7"/>
    </x:row>
    <x:row r="28" ht="51" customHeight="1">
      <x:c r="A28" s="2" t="s">
        <x:v>219</x:v>
      </x:c>
      <x:c r="B28" s="2" t="s">
        <x:v>220</x:v>
      </x:c>
      <x:c r="C28" s="2" t="s">
        <x:v>221</x:v>
      </x:c>
      <x:c r="D28" s="2" t="s">
        <x:v>222</x:v>
      </x:c>
      <x:c r="E28" s="2" t="s">
        <x:v>223</x:v>
      </x:c>
      <x:c r="F28" s="2" t="s">
        <x:v>224</x:v>
      </x:c>
      <x:c r="G28" s="2" t="s">
        <x:v>51</x:v>
      </x:c>
      <x:c r="H28" s="2" t="s">
        <x:v>225</x:v>
      </x:c>
      <x:c r="I28" s="2" t="s">
        <x:v>224</x:v>
      </x:c>
      <x:c r="J28" s="2" t="s">
        <x:v>226</x:v>
      </x:c>
      <x:c r="K28" s="2" t="s">
        <x:v>227</x:v>
      </x:c>
      <x:c r="L28" s="2" t="s">
        <x:v>55</x:v>
      </x:c>
      <x:c r="M28" s="2" t="s">
        <x:v>44</x:v>
      </x:c>
      <x:c r="N28" s="2">
        <x:v>12</x:v>
      </x:c>
      <x:c r="O28" s="7"/>
    </x:row>
    <x:row r="29" ht="51" customHeight="1">
      <x:c r="A29" s="5" t="s">
        <x:v>228</x:v>
      </x:c>
      <x:c r="B29" s="5" t="s">
        <x:v>229</x:v>
      </x:c>
      <x:c r="C29" s="5" t="s">
        <x:v>230</x:v>
      </x:c>
      <x:c r="D29" s="5" t="s">
        <x:v>231</x:v>
      </x:c>
      <x:c r="E29" s="5" t="s">
        <x:v>232</x:v>
      </x:c>
      <x:c r="F29" s="5" t="s">
        <x:v>224</x:v>
      </x:c>
      <x:c r="G29" s="5" t="s">
        <x:v>51</x:v>
      </x:c>
      <x:c r="H29" s="5" t="s">
        <x:v>233</x:v>
      </x:c>
      <x:c r="I29" s="5" t="s">
        <x:v>224</x:v>
      </x:c>
      <x:c r="J29" s="5" t="s">
        <x:v>234</x:v>
      </x:c>
      <x:c r="K29" s="5" t="s">
        <x:v>235</x:v>
      </x:c>
      <x:c r="L29" s="5" t="s">
        <x:v>55</x:v>
      </x:c>
      <x:c r="M29" s="5" t="s">
        <x:v>84</x:v>
      </x:c>
      <x:c r="N29" s="5">
        <x:v>10</x:v>
      </x:c>
      <x:c r="O29" s="7"/>
    </x:row>
    <x:row r="30" ht="38" customHeight="1">
      <x:c r="A30" s="2" t="s">
        <x:v>236</x:v>
      </x:c>
      <x:c r="B30" s="2" t="s">
        <x:v>237</x:v>
      </x:c>
      <x:c r="C30" s="2" t="s">
        <x:v>238</x:v>
      </x:c>
      <x:c r="D30" s="2" t="s">
        <x:v>239</x:v>
      </x:c>
      <x:c r="E30" s="2" t="s">
        <x:v>240</x:v>
      </x:c>
      <x:c r="F30" s="2" t="s">
        <x:v>241</x:v>
      </x:c>
      <x:c r="G30" s="2" t="s">
        <x:v>51</x:v>
      </x:c>
      <x:c r="H30" s="2" t="s">
        <x:v>242</x:v>
      </x:c>
      <x:c r="I30" s="2" t="s">
        <x:v>241</x:v>
      </x:c>
      <x:c r="J30" s="2" t="s">
        <x:v>243</x:v>
      </x:c>
      <x:c r="K30" s="2" t="s">
        <x:v>244</x:v>
      </x:c>
      <x:c r="L30" s="2" t="s">
        <x:v>55</x:v>
      </x:c>
      <x:c r="M30" s="2" t="s">
        <x:v>44</x:v>
      </x:c>
      <x:c r="N30" s="2">
        <x:v>12</x:v>
      </x:c>
      <x:c r="O30" s="7"/>
    </x:row>
    <x:row r="31" ht="51" customHeight="1">
      <x:c r="A31" s="5" t="s">
        <x:v>245</x:v>
      </x:c>
      <x:c r="B31" s="5" t="s">
        <x:v>246</x:v>
      </x:c>
      <x:c r="C31" s="5" t="s">
        <x:v>247</x:v>
      </x:c>
      <x:c r="D31" s="5" t="s">
        <x:v>248</x:v>
      </x:c>
      <x:c r="E31" s="5" t="s">
        <x:v>249</x:v>
      </x:c>
      <x:c r="F31" s="5" t="s">
        <x:v>241</x:v>
      </x:c>
      <x:c r="G31" s="5" t="s">
        <x:v>51</x:v>
      </x:c>
      <x:c r="H31" s="5" t="s">
        <x:v>250</x:v>
      </x:c>
      <x:c r="I31" s="5" t="s">
        <x:v>241</x:v>
      </x:c>
      <x:c r="J31" s="5" t="s">
        <x:v>251</x:v>
      </x:c>
      <x:c r="K31" s="5" t="s">
        <x:v>252</x:v>
      </x:c>
      <x:c r="L31" s="5" t="s">
        <x:v>55</x:v>
      </x:c>
      <x:c r="M31" s="5" t="s">
        <x:v>84</x:v>
      </x:c>
      <x:c r="N31" s="5">
        <x:v>1</x:v>
      </x:c>
      <x:c r="O31" s="7"/>
    </x:row>
    <x:row r="32" ht="51" customHeight="1">
      <x:c r="A32" s="2" t="s">
        <x:v>253</x:v>
      </x:c>
      <x:c r="B32" s="2" t="s">
        <x:v>254</x:v>
      </x:c>
      <x:c r="C32" s="2" t="s">
        <x:v>255</x:v>
      </x:c>
      <x:c r="D32" s="2" t="s">
        <x:v>256</x:v>
      </x:c>
      <x:c r="E32" s="2" t="s">
        <x:v>257</x:v>
      </x:c>
      <x:c r="F32" s="2" t="s">
        <x:v>258</x:v>
      </x:c>
      <x:c r="G32" s="2" t="s">
        <x:v>51</x:v>
      </x:c>
      <x:c r="H32" s="2" t="s">
        <x:v>259</x:v>
      </x:c>
      <x:c r="I32" s="2" t="s">
        <x:v>258</x:v>
      </x:c>
      <x:c r="J32" s="2" t="s">
        <x:v>260</x:v>
      </x:c>
      <x:c r="K32" s="2" t="s">
        <x:v>261</x:v>
      </x:c>
      <x:c r="L32" s="2" t="s">
        <x:v>55</x:v>
      </x:c>
      <x:c r="M32" s="2" t="s">
        <x:v>44</x:v>
      </x:c>
      <x:c r="N32" s="2">
        <x:v>13</x:v>
      </x:c>
      <x:c r="O32" s="7"/>
    </x:row>
    <x:row r="33" ht="51" customHeight="1">
      <x:c r="A33" s="5" t="s">
        <x:v>262</x:v>
      </x:c>
      <x:c r="B33" s="5" t="s">
        <x:v>263</x:v>
      </x:c>
      <x:c r="C33" s="5" t="s">
        <x:v>264</x:v>
      </x:c>
      <x:c r="D33" s="5" t="s">
        <x:v>265</x:v>
      </x:c>
      <x:c r="E33" s="5" t="s">
        <x:v>266</x:v>
      </x:c>
      <x:c r="F33" s="5" t="s">
        <x:v>267</x:v>
      </x:c>
      <x:c r="G33" s="5" t="s">
        <x:v>51</x:v>
      </x:c>
      <x:c r="H33" s="5" t="s">
        <x:v>268</x:v>
      </x:c>
      <x:c r="I33" s="5" t="s">
        <x:v>267</x:v>
      </x:c>
      <x:c r="J33" s="5" t="s">
        <x:v>269</x:v>
      </x:c>
      <x:c r="K33" s="5" t="s">
        <x:v>270</x:v>
      </x:c>
      <x:c r="L33" s="5" t="s">
        <x:v>55</x:v>
      </x:c>
      <x:c r="M33" s="5" t="s">
        <x:v>44</x:v>
      </x:c>
      <x:c r="N33" s="5">
        <x:v>12</x:v>
      </x:c>
      <x:c r="O33" s="7"/>
    </x:row>
    <x:row r="34" ht="51" customHeight="1">
      <x:c r="A34" s="2" t="s">
        <x:v>271</x:v>
      </x:c>
      <x:c r="B34" s="2" t="s">
        <x:v>272</x:v>
      </x:c>
      <x:c r="C34" s="2" t="s">
        <x:v>273</x:v>
      </x:c>
      <x:c r="D34" s="2" t="s">
        <x:v>274</x:v>
      </x:c>
      <x:c r="E34" s="2" t="s">
        <x:v>275</x:v>
      </x:c>
      <x:c r="F34" s="2" t="s">
        <x:v>267</x:v>
      </x:c>
      <x:c r="G34" s="2" t="s">
        <x:v>51</x:v>
      </x:c>
      <x:c r="H34" s="2" t="s">
        <x:v>276</x:v>
      </x:c>
      <x:c r="I34" s="2" t="s">
        <x:v>267</x:v>
      </x:c>
      <x:c r="J34" s="2" t="s">
        <x:v>277</x:v>
      </x:c>
      <x:c r="K34" s="2" t="s">
        <x:v>278</x:v>
      </x:c>
      <x:c r="L34" s="2" t="s">
        <x:v>55</x:v>
      </x:c>
      <x:c r="M34" s="2" t="s">
        <x:v>84</x:v>
      </x:c>
      <x:c r="N34" s="2">
        <x:v>1</x:v>
      </x:c>
      <x:c r="O34" s="7"/>
    </x:row>
    <x:row r="35" ht="51" customHeight="1">
      <x:c r="A35" s="5" t="s">
        <x:v>279</x:v>
      </x:c>
      <x:c r="B35" s="5" t="s">
        <x:v>280</x:v>
      </x:c>
      <x:c r="C35" s="5" t="s">
        <x:v>281</x:v>
      </x:c>
      <x:c r="D35" s="5" t="s">
        <x:v>282</x:v>
      </x:c>
      <x:c r="E35" s="5" t="s">
        <x:v>283</x:v>
      </x:c>
      <x:c r="F35" s="5" t="s">
        <x:v>284</x:v>
      </x:c>
      <x:c r="G35" s="5" t="s">
        <x:v>51</x:v>
      </x:c>
      <x:c r="H35" s="5" t="s">
        <x:v>285</x:v>
      </x:c>
      <x:c r="I35" s="5" t="s">
        <x:v>284</x:v>
      </x:c>
      <x:c r="J35" s="5" t="s">
        <x:v>286</x:v>
      </x:c>
      <x:c r="K35" s="5" t="s">
        <x:v>287</x:v>
      </x:c>
      <x:c r="L35" s="5" t="s">
        <x:v>55</x:v>
      </x:c>
      <x:c r="M35" s="5" t="s">
        <x:v>185</x:v>
      </x:c>
      <x:c r="N35" s="5">
        <x:v>8</x:v>
      </x:c>
      <x:c r="O35" s="7"/>
    </x:row>
    <x:row r="36" ht="64" customHeight="1">
      <x:c r="A36" s="2" t="s">
        <x:v>288</x:v>
      </x:c>
      <x:c r="B36" s="2" t="s">
        <x:v>289</x:v>
      </x:c>
      <x:c r="C36" s="2" t="s">
        <x:v>290</x:v>
      </x:c>
      <x:c r="D36" s="2" t="s">
        <x:v>291</x:v>
      </x:c>
      <x:c r="E36" s="2" t="s">
        <x:v>292</x:v>
      </x:c>
      <x:c r="F36" s="2" t="s">
        <x:v>293</x:v>
      </x:c>
      <x:c r="G36" s="2" t="s">
        <x:v>51</x:v>
      </x:c>
      <x:c r="H36" s="2" t="s">
        <x:v>294</x:v>
      </x:c>
      <x:c r="I36" s="2" t="s">
        <x:v>293</x:v>
      </x:c>
      <x:c r="J36" s="2" t="s">
        <x:v>295</x:v>
      </x:c>
      <x:c r="K36" s="2" t="s">
        <x:v>296</x:v>
      </x:c>
      <x:c r="L36" s="2" t="s">
        <x:v>55</x:v>
      </x:c>
      <x:c r="M36" s="2" t="s">
        <x:v>44</x:v>
      </x:c>
      <x:c r="N36" s="2">
        <x:v>15</x:v>
      </x:c>
      <x:c r="O36" s="7"/>
    </x:row>
    <x:row r="37" ht="64" customHeight="1">
      <x:c r="A37" s="5" t="s">
        <x:v>297</x:v>
      </x:c>
      <x:c r="B37" s="5" t="s">
        <x:v>298</x:v>
      </x:c>
      <x:c r="C37" s="5" t="s">
        <x:v>299</x:v>
      </x:c>
      <x:c r="D37" s="5" t="s">
        <x:v>300</x:v>
      </x:c>
      <x:c r="E37" s="5" t="s">
        <x:v>301</x:v>
      </x:c>
      <x:c r="F37" s="5" t="s">
        <x:v>293</x:v>
      </x:c>
      <x:c r="G37" s="5" t="s">
        <x:v>90</x:v>
      </x:c>
      <x:c r="H37" s="5" t="s">
        <x:v>302</x:v>
      </x:c>
      <x:c r="I37" s="5" t="s">
        <x:v>303</x:v>
      </x:c>
      <x:c r="J37" s="5" t="s">
        <x:v>295</x:v>
      </x:c>
      <x:c r="K37" s="5" t="s">
        <x:v>304</x:v>
      </x:c>
      <x:c r="L37" s="5" t="s">
        <x:v>55</x:v>
      </x:c>
      <x:c r="M37" s="5" t="s">
        <x:v>44</x:v>
      </x:c>
      <x:c r="N37" s="5">
        <x:v>1</x:v>
      </x:c>
      <x:c r="O37" s="7"/>
    </x:row>
    <x:row r="38" ht="51" customHeight="1">
      <x:c r="A38" s="2" t="s">
        <x:v>305</x:v>
      </x:c>
      <x:c r="B38" s="2" t="s">
        <x:v>306</x:v>
      </x:c>
      <x:c r="C38" s="2" t="s">
        <x:v>307</x:v>
      </x:c>
      <x:c r="D38" s="2" t="s">
        <x:v>308</x:v>
      </x:c>
      <x:c r="E38" s="2" t="s">
        <x:v>309</x:v>
      </x:c>
      <x:c r="F38" s="2" t="s">
        <x:v>310</x:v>
      </x:c>
      <x:c r="G38" s="2" t="s">
        <x:v>51</x:v>
      </x:c>
      <x:c r="H38" s="2" t="s">
        <x:v>311</x:v>
      </x:c>
      <x:c r="I38" s="2" t="s">
        <x:v>310</x:v>
      </x:c>
      <x:c r="J38" s="2" t="s">
        <x:v>312</x:v>
      </x:c>
      <x:c r="K38" s="2" t="s">
        <x:v>313</x:v>
      </x:c>
      <x:c r="L38" s="2" t="s">
        <x:v>55</x:v>
      </x:c>
      <x:c r="M38" s="2" t="s">
        <x:v>44</x:v>
      </x:c>
      <x:c r="N38" s="2">
        <x:v>13</x:v>
      </x:c>
      <x:c r="O38" s="7"/>
    </x:row>
    <x:row r="39" ht="51" customHeight="1">
      <x:c r="A39" s="5" t="s">
        <x:v>314</x:v>
      </x:c>
      <x:c r="B39" s="5" t="s">
        <x:v>315</x:v>
      </x:c>
      <x:c r="C39" s="5" t="s">
        <x:v>316</x:v>
      </x:c>
      <x:c r="D39" s="5" t="s">
        <x:v>317</x:v>
      </x:c>
      <x:c r="E39" s="5" t="s">
        <x:v>318</x:v>
      </x:c>
      <x:c r="F39" s="5" t="s">
        <x:v>310</x:v>
      </x:c>
      <x:c r="G39" s="5" t="s">
        <x:v>51</x:v>
      </x:c>
      <x:c r="H39" s="5" t="s">
        <x:v>319</x:v>
      </x:c>
      <x:c r="I39" s="5" t="s">
        <x:v>310</x:v>
      </x:c>
      <x:c r="J39" s="5" t="s">
        <x:v>320</x:v>
      </x:c>
      <x:c r="K39" s="5" t="s">
        <x:v>321</x:v>
      </x:c>
      <x:c r="L39" s="5" t="s">
        <x:v>55</x:v>
      </x:c>
      <x:c r="M39" s="5" t="s">
        <x:v>84</x:v>
      </x:c>
      <x:c r="N39" s="5">
        <x:v>13</x:v>
      </x:c>
      <x:c r="O39" s="7"/>
    </x:row>
    <x:row r="40" ht="51" customHeight="1">
      <x:c r="A40" s="2" t="s">
        <x:v>322</x:v>
      </x:c>
      <x:c r="B40" s="2" t="s">
        <x:v>323</x:v>
      </x:c>
      <x:c r="C40" s="2" t="s">
        <x:v>324</x:v>
      </x:c>
      <x:c r="D40" s="2" t="s">
        <x:v>325</x:v>
      </x:c>
      <x:c r="E40" s="2" t="s">
        <x:v>326</x:v>
      </x:c>
      <x:c r="F40" s="2" t="s">
        <x:v>310</x:v>
      </x:c>
      <x:c r="G40" s="2" t="s">
        <x:v>51</x:v>
      </x:c>
      <x:c r="H40" s="2" t="s">
        <x:v>327</x:v>
      </x:c>
      <x:c r="I40" s="2" t="s">
        <x:v>310</x:v>
      </x:c>
      <x:c r="J40" s="2" t="s">
        <x:v>328</x:v>
      </x:c>
      <x:c r="K40" s="2" t="s">
        <x:v>329</x:v>
      </x:c>
      <x:c r="L40" s="2" t="s">
        <x:v>55</x:v>
      </x:c>
      <x:c r="M40" s="2" t="s">
        <x:v>84</x:v>
      </x:c>
      <x:c r="N40" s="2">
        <x:v>3</x:v>
      </x:c>
      <x:c r="O40" s="7"/>
    </x:row>
    <x:row r="41" ht="51" customHeight="1">
      <x:c r="A41" s="5" t="s">
        <x:v>330</x:v>
      </x:c>
      <x:c r="B41" s="5" t="s">
        <x:v>331</x:v>
      </x:c>
      <x:c r="C41" s="5" t="s">
        <x:v>332</x:v>
      </x:c>
      <x:c r="D41" s="5" t="s">
        <x:v>333</x:v>
      </x:c>
      <x:c r="E41" s="5" t="s">
        <x:v>334</x:v>
      </x:c>
      <x:c r="F41" s="5" t="s">
        <x:v>335</x:v>
      </x:c>
      <x:c r="G41" s="5" t="s">
        <x:v>51</x:v>
      </x:c>
      <x:c r="H41" s="5" t="s">
        <x:v>336</x:v>
      </x:c>
      <x:c r="I41" s="5" t="s">
        <x:v>335</x:v>
      </x:c>
      <x:c r="J41" s="5" t="s">
        <x:v>337</x:v>
      </x:c>
      <x:c r="K41" s="5" t="s">
        <x:v>338</x:v>
      </x:c>
      <x:c r="L41" s="5" t="s">
        <x:v>55</x:v>
      </x:c>
      <x:c r="M41" s="5" t="s">
        <x:v>44</x:v>
      </x:c>
      <x:c r="N41" s="5">
        <x:v>14</x:v>
      </x:c>
      <x:c r="O41" s="7"/>
    </x:row>
    <x:row r="42" ht="51" customHeight="1">
      <x:c r="A42" s="2" t="s">
        <x:v>339</x:v>
      </x:c>
      <x:c r="B42" s="2" t="s">
        <x:v>340</x:v>
      </x:c>
      <x:c r="C42" s="2" t="s">
        <x:v>341</x:v>
      </x:c>
      <x:c r="D42" s="2" t="s">
        <x:v>342</x:v>
      </x:c>
      <x:c r="E42" s="2" t="s">
        <x:v>343</x:v>
      </x:c>
      <x:c r="F42" s="2" t="s">
        <x:v>344</x:v>
      </x:c>
      <x:c r="G42" s="2" t="s">
        <x:v>51</x:v>
      </x:c>
      <x:c r="H42" s="2" t="s">
        <x:v>345</x:v>
      </x:c>
      <x:c r="I42" s="2" t="s">
        <x:v>344</x:v>
      </x:c>
      <x:c r="J42" s="2" t="s">
        <x:v>346</x:v>
      </x:c>
      <x:c r="K42" s="2" t="s">
        <x:v>347</x:v>
      </x:c>
      <x:c r="L42" s="2" t="s">
        <x:v>55</x:v>
      </x:c>
      <x:c r="M42" s="2" t="s">
        <x:v>44</x:v>
      </x:c>
      <x:c r="N42" s="2">
        <x:v>17</x:v>
      </x:c>
      <x:c r="O42" s="7"/>
    </x:row>
    <x:row r="43" ht="51" customHeight="1">
      <x:c r="A43" s="5" t="s">
        <x:v>348</x:v>
      </x:c>
      <x:c r="B43" s="5" t="s">
        <x:v>349</x:v>
      </x:c>
      <x:c r="C43" s="5" t="s">
        <x:v>350</x:v>
      </x:c>
      <x:c r="D43" s="5" t="s">
        <x:v>351</x:v>
      </x:c>
      <x:c r="E43" s="5" t="s">
        <x:v>352</x:v>
      </x:c>
      <x:c r="F43" s="5" t="s">
        <x:v>353</x:v>
      </x:c>
      <x:c r="G43" s="5" t="s">
        <x:v>51</x:v>
      </x:c>
      <x:c r="H43" s="5" t="s">
        <x:v>354</x:v>
      </x:c>
      <x:c r="I43" s="5" t="s">
        <x:v>353</x:v>
      </x:c>
      <x:c r="J43" s="5" t="s">
        <x:v>355</x:v>
      </x:c>
      <x:c r="K43" s="5" t="s">
        <x:v>356</x:v>
      </x:c>
      <x:c r="L43" s="5" t="s">
        <x:v>55</x:v>
      </x:c>
      <x:c r="M43" s="5" t="s">
        <x:v>44</x:v>
      </x:c>
      <x:c r="N43" s="5">
        <x:v>13</x:v>
      </x:c>
      <x:c r="O43" s="7"/>
    </x:row>
    <x:row r="44" ht="51" customHeight="1">
      <x:c r="A44" s="2" t="s">
        <x:v>357</x:v>
      </x:c>
      <x:c r="B44" s="2" t="s">
        <x:v>358</x:v>
      </x:c>
      <x:c r="C44" s="2" t="s">
        <x:v>359</x:v>
      </x:c>
      <x:c r="D44" s="2" t="s">
        <x:v>360</x:v>
      </x:c>
      <x:c r="E44" s="2" t="s">
        <x:v>361</x:v>
      </x:c>
      <x:c r="F44" s="2" t="s">
        <x:v>362</x:v>
      </x:c>
      <x:c r="G44" s="2" t="s">
        <x:v>51</x:v>
      </x:c>
      <x:c r="H44" s="2" t="s">
        <x:v>363</x:v>
      </x:c>
      <x:c r="I44" s="2" t="s">
        <x:v>362</x:v>
      </x:c>
      <x:c r="J44" s="2" t="s">
        <x:v>364</x:v>
      </x:c>
      <x:c r="K44" s="2" t="s">
        <x:v>365</x:v>
      </x:c>
      <x:c r="L44" s="2" t="s">
        <x:v>55</x:v>
      </x:c>
      <x:c r="M44" s="2" t="s">
        <x:v>44</x:v>
      </x:c>
      <x:c r="N44" s="2">
        <x:v>13</x:v>
      </x:c>
      <x:c r="O44" s="7"/>
    </x:row>
    <x:row r="45" ht="51" customHeight="1">
      <x:c r="A45" s="5" t="s">
        <x:v>366</x:v>
      </x:c>
      <x:c r="B45" s="5" t="s">
        <x:v>367</x:v>
      </x:c>
      <x:c r="C45" s="5" t="s">
        <x:v>368</x:v>
      </x:c>
      <x:c r="D45" s="5" t="s">
        <x:v>369</x:v>
      </x:c>
      <x:c r="E45" s="5" t="s">
        <x:v>370</x:v>
      </x:c>
      <x:c r="F45" s="5" t="s">
        <x:v>371</x:v>
      </x:c>
      <x:c r="G45" s="5" t="s">
        <x:v>51</x:v>
      </x:c>
      <x:c r="H45" s="5" t="s">
        <x:v>372</x:v>
      </x:c>
      <x:c r="I45" s="5" t="s">
        <x:v>371</x:v>
      </x:c>
      <x:c r="J45" s="5" t="s">
        <x:v>373</x:v>
      </x:c>
      <x:c r="K45" s="5" t="s">
        <x:v>374</x:v>
      </x:c>
      <x:c r="L45" s="5" t="s">
        <x:v>55</x:v>
      </x:c>
      <x:c r="M45" s="5" t="s">
        <x:v>44</x:v>
      </x:c>
      <x:c r="N45" s="5">
        <x:v>12</x:v>
      </x:c>
      <x:c r="O45" s="7"/>
    </x:row>
    <x:row r="46" ht="51" customHeight="1">
      <x:c r="A46" s="2" t="s">
        <x:v>375</x:v>
      </x:c>
      <x:c r="B46" s="2" t="s">
        <x:v>376</x:v>
      </x:c>
      <x:c r="C46" s="2" t="s">
        <x:v>377</x:v>
      </x:c>
      <x:c r="D46" s="2" t="s">
        <x:v>378</x:v>
      </x:c>
      <x:c r="E46" s="2" t="s">
        <x:v>379</x:v>
      </x:c>
      <x:c r="F46" s="2" t="s">
        <x:v>371</x:v>
      </x:c>
      <x:c r="G46" s="2" t="s">
        <x:v>51</x:v>
      </x:c>
      <x:c r="H46" s="2" t="s">
        <x:v>380</x:v>
      </x:c>
      <x:c r="I46" s="2" t="s">
        <x:v>371</x:v>
      </x:c>
      <x:c r="J46" s="2" t="s">
        <x:v>381</x:v>
      </x:c>
      <x:c r="K46" s="2" t="s">
        <x:v>382</x:v>
      </x:c>
      <x:c r="L46" s="2" t="s">
        <x:v>55</x:v>
      </x:c>
      <x:c r="M46" s="2" t="s">
        <x:v>84</x:v>
      </x:c>
      <x:c r="N46" s="2">
        <x:v>16</x:v>
      </x:c>
      <x:c r="O46" s="7"/>
    </x:row>
    <x:row r="47" ht="51" customHeight="1">
      <x:c r="A47" s="5" t="s">
        <x:v>383</x:v>
      </x:c>
      <x:c r="B47" s="5" t="s">
        <x:v>384</x:v>
      </x:c>
      <x:c r="C47" s="5" t="s">
        <x:v>385</x:v>
      </x:c>
      <x:c r="D47" s="5" t="s">
        <x:v>386</x:v>
      </x:c>
      <x:c r="E47" s="5" t="s">
        <x:v>387</x:v>
      </x:c>
      <x:c r="F47" s="5" t="s">
        <x:v>388</x:v>
      </x:c>
      <x:c r="G47" s="5" t="s">
        <x:v>51</x:v>
      </x:c>
      <x:c r="H47" s="5" t="s">
        <x:v>389</x:v>
      </x:c>
      <x:c r="I47" s="5" t="s">
        <x:v>388</x:v>
      </x:c>
      <x:c r="J47" s="5" t="s">
        <x:v>390</x:v>
      </x:c>
      <x:c r="K47" s="5" t="s">
        <x:v>391</x:v>
      </x:c>
      <x:c r="L47" s="5" t="s">
        <x:v>55</x:v>
      </x:c>
      <x:c r="M47" s="5" t="s">
        <x:v>44</x:v>
      </x:c>
      <x:c r="N47" s="5">
        <x:v>13</x:v>
      </x:c>
      <x:c r="O47" s="7"/>
    </x:row>
    <x:row r="48" ht="38" customHeight="1">
      <x:c r="A48" s="2" t="s">
        <x:v>392</x:v>
      </x:c>
      <x:c r="B48" s="2" t="s">
        <x:v>393</x:v>
      </x:c>
      <x:c r="C48" s="2" t="s">
        <x:v>394</x:v>
      </x:c>
      <x:c r="D48" s="2" t="s">
        <x:v>395</x:v>
      </x:c>
      <x:c r="E48" s="2" t="s">
        <x:v>396</x:v>
      </x:c>
      <x:c r="F48" s="2" t="s">
        <x:v>397</x:v>
      </x:c>
      <x:c r="G48" s="2" t="s">
        <x:v>51</x:v>
      </x:c>
      <x:c r="H48" s="2" t="s">
        <x:v>398</x:v>
      </x:c>
      <x:c r="I48" s="2" t="s">
        <x:v>397</x:v>
      </x:c>
      <x:c r="J48" s="2" t="s">
        <x:v>399</x:v>
      </x:c>
      <x:c r="K48" s="2" t="s">
        <x:v>400</x:v>
      </x:c>
      <x:c r="L48" s="2" t="s">
        <x:v>55</x:v>
      </x:c>
      <x:c r="M48" s="2" t="s">
        <x:v>44</x:v>
      </x:c>
      <x:c r="N48" s="2">
        <x:v>12</x:v>
      </x:c>
      <x:c r="O48" s="7"/>
    </x:row>
    <x:row r="49" ht="38" customHeight="1">
      <x:c r="A49" s="5" t="s">
        <x:v>401</x:v>
      </x:c>
      <x:c r="B49" s="5" t="s">
        <x:v>402</x:v>
      </x:c>
      <x:c r="C49" s="5" t="s">
        <x:v>403</x:v>
      </x:c>
      <x:c r="D49" s="5" t="s">
        <x:v>404</x:v>
      </x:c>
      <x:c r="E49" s="5" t="s">
        <x:v>405</x:v>
      </x:c>
      <x:c r="F49" s="5" t="s">
        <x:v>406</x:v>
      </x:c>
      <x:c r="G49" s="5" t="s">
        <x:v>51</x:v>
      </x:c>
      <x:c r="H49" s="5" t="s">
        <x:v>407</x:v>
      </x:c>
      <x:c r="I49" s="5" t="s">
        <x:v>406</x:v>
      </x:c>
      <x:c r="J49" s="5" t="s">
        <x:v>408</x:v>
      </x:c>
      <x:c r="K49" s="5" t="s">
        <x:v>211</x:v>
      </x:c>
      <x:c r="L49" s="5" t="s">
        <x:v>55</x:v>
      </x:c>
      <x:c r="M49" s="5" t="s">
        <x:v>44</x:v>
      </x:c>
      <x:c r="N49" s="5">
        <x:v>12</x:v>
      </x:c>
      <x:c r="O49" s="7"/>
    </x:row>
    <x:row r="50" ht="51" customHeight="1">
      <x:c r="A50" s="2" t="s">
        <x:v>409</x:v>
      </x:c>
      <x:c r="B50" s="2" t="s">
        <x:v>410</x:v>
      </x:c>
      <x:c r="C50" s="2" t="s">
        <x:v>411</x:v>
      </x:c>
      <x:c r="D50" s="2" t="s">
        <x:v>412</x:v>
      </x:c>
      <x:c r="E50" s="2" t="s">
        <x:v>413</x:v>
      </x:c>
      <x:c r="F50" s="2" t="s">
        <x:v>414</x:v>
      </x:c>
      <x:c r="G50" s="2" t="s">
        <x:v>51</x:v>
      </x:c>
      <x:c r="H50" s="2" t="s">
        <x:v>415</x:v>
      </x:c>
      <x:c r="I50" s="2" t="s">
        <x:v>414</x:v>
      </x:c>
      <x:c r="J50" s="2" t="s">
        <x:v>416</x:v>
      </x:c>
      <x:c r="K50" s="2" t="s">
        <x:v>417</x:v>
      </x:c>
      <x:c r="L50" s="2" t="s">
        <x:v>55</x:v>
      </x:c>
      <x:c r="M50" s="2" t="s">
        <x:v>185</x:v>
      </x:c>
      <x:c r="N50" s="2">
        <x:v>9</x:v>
      </x:c>
      <x:c r="O50" s="7"/>
    </x:row>
    <x:row r="51" ht="51" customHeight="1">
      <x:c r="A51" s="5" t="s">
        <x:v>418</x:v>
      </x:c>
      <x:c r="B51" s="5" t="s">
        <x:v>419</x:v>
      </x:c>
      <x:c r="C51" s="5" t="s">
        <x:v>420</x:v>
      </x:c>
      <x:c r="D51" s="5" t="s">
        <x:v>421</x:v>
      </x:c>
      <x:c r="E51" s="5" t="s">
        <x:v>422</x:v>
      </x:c>
      <x:c r="F51" s="5" t="s">
        <x:v>423</x:v>
      </x:c>
      <x:c r="G51" s="5" t="s">
        <x:v>51</x:v>
      </x:c>
      <x:c r="H51" s="5" t="s">
        <x:v>424</x:v>
      </x:c>
      <x:c r="I51" s="5" t="s">
        <x:v>423</x:v>
      </x:c>
      <x:c r="J51" s="5" t="s">
        <x:v>425</x:v>
      </x:c>
      <x:c r="K51" s="5" t="s">
        <x:v>426</x:v>
      </x:c>
      <x:c r="L51" s="5" t="s">
        <x:v>55</x:v>
      </x:c>
      <x:c r="M51" s="5" t="s">
        <x:v>44</x:v>
      </x:c>
      <x:c r="N51" s="5">
        <x:v>9</x:v>
      </x:c>
      <x:c r="O51" s="7"/>
    </x:row>
    <x:row r="52" ht="51" customHeight="1">
      <x:c r="A52" s="2" t="s">
        <x:v>427</x:v>
      </x:c>
      <x:c r="B52" s="2" t="s">
        <x:v>428</x:v>
      </x:c>
      <x:c r="C52" s="2" t="s">
        <x:v>429</x:v>
      </x:c>
      <x:c r="D52" s="2" t="s">
        <x:v>430</x:v>
      </x:c>
      <x:c r="E52" s="2" t="s">
        <x:v>431</x:v>
      </x:c>
      <x:c r="F52" s="2" t="s">
        <x:v>423</x:v>
      </x:c>
      <x:c r="G52" s="2" t="s">
        <x:v>73</x:v>
      </x:c>
      <x:c r="H52" s="2" t="s">
        <x:v>432</x:v>
      </x:c>
      <x:c r="I52" s="2" t="s">
        <x:v>433</x:v>
      </x:c>
      <x:c r="J52" s="2" t="s">
        <x:v>434</x:v>
      </x:c>
      <x:c r="K52" s="2" t="s">
        <x:v>149</x:v>
      </x:c>
      <x:c r="L52" s="2" t="s">
        <x:v>55</x:v>
      </x:c>
      <x:c r="M52" s="2" t="s">
        <x:v>44</x:v>
      </x:c>
      <x:c r="N52" s="2">
        <x:v>1</x:v>
      </x:c>
      <x:c r="O52" s="7"/>
    </x:row>
    <x:row r="53" ht="77" customHeight="1">
      <x:c r="A53" s="5" t="s">
        <x:v>435</x:v>
      </x:c>
      <x:c r="B53" s="5" t="s">
        <x:v>436</x:v>
      </x:c>
      <x:c r="C53" s="5" t="s">
        <x:v>437</x:v>
      </x:c>
      <x:c r="D53" s="5" t="s">
        <x:v>438</x:v>
      </x:c>
      <x:c r="E53" s="5" t="s">
        <x:v>439</x:v>
      </x:c>
      <x:c r="F53" s="5" t="s">
        <x:v>423</x:v>
      </x:c>
      <x:c r="G53" s="5" t="s">
        <x:v>51</x:v>
      </x:c>
      <x:c r="H53" s="5" t="s">
        <x:v>440</x:v>
      </x:c>
      <x:c r="I53" s="5" t="s">
        <x:v>423</x:v>
      </x:c>
      <x:c r="J53" s="5" t="s">
        <x:v>441</x:v>
      </x:c>
      <x:c r="K53" s="5" t="s">
        <x:v>442</x:v>
      </x:c>
      <x:c r="L53" s="5" t="s">
        <x:v>55</x:v>
      </x:c>
      <x:c r="M53" s="5" t="s">
        <x:v>84</x:v>
      </x:c>
      <x:c r="N53" s="5">
        <x:v>8</x:v>
      </x:c>
      <x:c r="O53" s="7"/>
    </x:row>
    <x:row r="54" ht="51" customHeight="1">
      <x:c r="A54" s="2" t="s">
        <x:v>443</x:v>
      </x:c>
      <x:c r="B54" s="2" t="s">
        <x:v>444</x:v>
      </x:c>
      <x:c r="C54" s="2" t="s">
        <x:v>445</x:v>
      </x:c>
      <x:c r="D54" s="2" t="s">
        <x:v>446</x:v>
      </x:c>
      <x:c r="E54" s="2" t="s">
        <x:v>447</x:v>
      </x:c>
      <x:c r="F54" s="2" t="s">
        <x:v>448</x:v>
      </x:c>
      <x:c r="G54" s="2" t="s">
        <x:v>51</x:v>
      </x:c>
      <x:c r="H54" s="2" t="s">
        <x:v>449</x:v>
      </x:c>
      <x:c r="I54" s="2" t="s">
        <x:v>448</x:v>
      </x:c>
      <x:c r="J54" s="2" t="s">
        <x:v>450</x:v>
      </x:c>
      <x:c r="K54" s="2" t="s">
        <x:v>451</x:v>
      </x:c>
      <x:c r="L54" s="2" t="s">
        <x:v>55</x:v>
      </x:c>
      <x:c r="M54" s="2" t="s">
        <x:v>44</x:v>
      </x:c>
      <x:c r="N54" s="2">
        <x:v>15</x:v>
      </x:c>
      <x:c r="O54" s="7"/>
    </x:row>
    <x:row r="55" ht="38" customHeight="1">
      <x:c r="A55" s="5" t="s">
        <x:v>452</x:v>
      </x:c>
      <x:c r="B55" s="5" t="s">
        <x:v>453</x:v>
      </x:c>
      <x:c r="C55" s="5" t="s">
        <x:v>454</x:v>
      </x:c>
      <x:c r="D55" s="5" t="s">
        <x:v>455</x:v>
      </x:c>
      <x:c r="E55" s="5" t="s">
        <x:v>456</x:v>
      </x:c>
      <x:c r="F55" s="5" t="s">
        <x:v>448</x:v>
      </x:c>
      <x:c r="G55" s="5" t="s">
        <x:v>51</x:v>
      </x:c>
      <x:c r="H55" s="5" t="s">
        <x:v>457</x:v>
      </x:c>
      <x:c r="I55" s="5" t="s">
        <x:v>448</x:v>
      </x:c>
      <x:c r="J55" s="5" t="s">
        <x:v>450</x:v>
      </x:c>
      <x:c r="K55" s="5" t="s">
        <x:v>458</x:v>
      </x:c>
      <x:c r="L55" s="5" t="s">
        <x:v>55</x:v>
      </x:c>
      <x:c r="M55" s="5" t="s">
        <x:v>185</x:v>
      </x:c>
      <x:c r="N55" s="5">
        <x:v>9</x:v>
      </x:c>
      <x:c r="O55" s="7"/>
    </x:row>
  </x:sheetData>
  <x:mergeCells>
    <x:mergeCell ref="A1:F2"/>
    <x:mergeCell ref="A3:F4"/>
  </x:mergeCells>
  <x:pageMargins left="0.7" right="0.7" top="0.75" bottom="0.75" header="0.3" footer="0.3"/>
  <x:tableParts count="1">
    <x:tablePart xmlns:r="http://schemas.openxmlformats.org/officeDocument/2006/relationships" r:id="Rde2720565dc342cc"/>
  </x:tableParts>
</x:worksheet>
</file>

<file path=xl/worksheets/sheet4.xml><?xml version="1.0" encoding="utf-8"?>
<x:worksheet xmlns:x="http://schemas.openxmlformats.org/spreadsheetml/2006/main">
  <x:sheetViews>
    <x:sheetView showGridLines="0" workbookViewId="0">
      <x:pane xSplit="1" ySplit="6" topLeftCell="B7" activePane="bottomRight" state="frozen"/>
    </x:sheetView>
  </x:sheetViews>
  <x:sheetFormatPr baseColWidth="10" defaultColWidth="8.83203125" defaultRowHeight="14"/>
  <x:cols>
    <x:col min="1" max="1" width="14" customWidth="1"/>
    <x:col min="2" max="2" width="25" customWidth="1"/>
    <x:col min="3" max="3" width="52" customWidth="1"/>
    <x:col min="4" max="4" width="43" customWidth="1"/>
    <x:col min="5" max="5" width="76" customWidth="1"/>
    <x:col min="6" max="6" width="58" customWidth="1"/>
    <x:col min="7" max="7" width="35" customWidth="1"/>
    <x:col min="8" max="8" width="52" customWidth="1"/>
    <x:col min="9" max="9" width="55" customWidth="1"/>
  </x:cols>
  <x:sheetData>
    <x:row r="1" ht="24" customHeight="1">
      <x:c r="A1" s="11" t="s">
        <x:v>459</x:v>
      </x:c>
      <x:c r="B1" s="11"/>
      <x:c r="C1" s="11"/>
      <x:c r="D1" s="11"/>
      <x:c r="E1" s="11"/>
      <x:c r="F1" s="11"/>
      <x:c r="G1" s="1"/>
      <x:c r="H1" s="1"/>
      <x:c r="I1" s="1"/>
    </x:row>
    <x:row r="2" ht="24" customHeight="1">
      <x:c r="A2" s="11"/>
      <x:c r="B2" s="11"/>
      <x:c r="C2" s="11"/>
      <x:c r="D2" s="11"/>
      <x:c r="E2" s="11"/>
      <x:c r="F2" s="11"/>
      <x:c r="G2" s="1"/>
      <x:c r="H2" s="1"/>
      <x:c r="I2" s="1"/>
    </x:row>
    <x:row r="3" ht="24" customHeight="1">
      <x:c r="A3" s="12" t="str">
        <x:v>22 konkrete Prüfaufträge. Datierte Sollwerte sind von tatsächlich ausgeführten Modell- und Bestandsprüfungen getrennt.</x:v>
      </x:c>
      <x:c r="B3" s="12"/>
      <x:c r="C3" s="12"/>
      <x:c r="D3" s="12"/>
      <x:c r="E3" s="12"/>
      <x:c r="F3" s="12"/>
      <x:c r="G3" s="1"/>
      <x:c r="H3" s="1"/>
      <x:c r="I3" s="1"/>
    </x:row>
    <x:row r="4" ht="24" customHeight="1">
      <x:c r="A4" s="12"/>
      <x:c r="B4" s="12"/>
      <x:c r="C4" s="12"/>
      <x:c r="D4" s="12"/>
      <x:c r="E4" s="12"/>
      <x:c r="F4" s="12"/>
      <x:c r="G4" s="1"/>
      <x:c r="H4" s="1"/>
      <x:c r="I4" s="1"/>
    </x:row>
    <x:row r="5" ht="10" customHeight="1">
      <x:c r="A5" s="1"/>
      <x:c r="B5" s="1"/>
      <x:c r="C5" s="1"/>
      <x:c r="D5" s="1"/>
      <x:c r="E5" s="1"/>
      <x:c r="F5" s="1"/>
      <x:c r="G5" s="1"/>
      <x:c r="H5" s="1"/>
      <x:c r="I5" s="1"/>
    </x:row>
    <x:row r="6" ht="38" customHeight="1">
      <x:c r="A6" s="4" t="s">
        <x:v>460</x:v>
      </x:c>
      <x:c r="B6" s="4" t="s">
        <x:v>10</x:v>
      </x:c>
      <x:c r="C6" s="4" t="s">
        <x:v>461</x:v>
      </x:c>
      <x:c r="D6" s="4" t="s">
        <x:v>462</x:v>
      </x:c>
      <x:c r="E6" s="4" t="s">
        <x:v>463</x:v>
      </x:c>
      <x:c r="F6" s="4" t="s">
        <x:v>14</x:v>
      </x:c>
      <x:c r="G6" s="4" t="s">
        <x:v>464</x:v>
      </x:c>
      <x:c r="H6" s="4" t="s">
        <x:v>465</x:v>
      </x:c>
      <x:c r="I6" s="4" t="s">
        <x:v>18</x:v>
      </x:c>
    </x:row>
    <x:row r="7" ht="48" customHeight="1">
      <x:c r="A7" s="13" t="str">
        <x:v>R01</x:v>
      </x:c>
      <x:c r="B7" s="13" t="str">
        <x:v>BGG</x:v>
      </x:c>
      <x:c r="C7" s="13" t="str">
        <x:v>Partei SH, Vertretung mit Zustelldomizil GE</x:v>
      </x:c>
      <x:c r="D7" s="13" t="str">
        <x:v>07.07.–08.09.2023</x:v>
      </x:c>
      <x:c r="E7" s="13" t="str">
        <x:v>BGG-Ende 08.09.2023 mit GE-Zustellvertretung, Genfer Bettag am 07.09.2023. Kein zusätzlicher SH-Kalender.</x:v>
      </x:c>
      <x:c r="F7" s="13" t="str">
        <x:v>AP22CLOSE-BUND-4A434</x:v>
      </x:c>
      <x:c r="G7" s="13" t="str">
        <x:v>Fachlicher Sollfall bestimmt</x:v>
      </x:c>
      <x:c r="H7" s="13" t="str">
        <x:v>Produkttest in AP22C. Kein bereits ausgeführter neuer End-to-End-Nachweis.</x:v>
      </x:c>
      <x:c r="I7" s="15"/>
    </x:row>
    <x:row r="8" ht="48" customHeight="1">
      <x:c r="A8" s="14" t="str">
        <x:v>R02</x:v>
      </x:c>
      <x:c r="B8" s="14" t="str">
        <x:v>BGG</x:v>
      </x:c>
      <x:c r="C8" s="14" t="str">
        <x:v>Partei an Fronleichnam-Feiertagsort, Vertretung VD</x:v>
      </x:c>
      <x:c r="D8" s="14" t="str">
        <x:v>20.05.–19.06.2025</x:v>
      </x:c>
      <x:c r="E8" s="14" t="str">
        <x:v>BGG-Ende 19.06.2025 bei Vertreter VD. Fronleichnam am Parteiort verlängert nicht.</x:v>
      </x:c>
      <x:c r="F8" s="14" t="str">
        <x:v>AP22CLOSE-BUND-7B561</x:v>
      </x:c>
      <x:c r="G8" s="14" t="str">
        <x:v>Fachlicher Sollfall bestimmt</x:v>
      </x:c>
      <x:c r="H8" s="14" t="str">
        <x:v>Produkttest in AP22C. Kein bereits ausgeführter neuer End-to-End-Nachweis.</x:v>
      </x:c>
      <x:c r="I8" s="15"/>
    </x:row>
    <x:row r="9" ht="58" customHeight="1">
      <x:c r="A9" s="13" t="str">
        <x:v>R03</x:v>
      </x:c>
      <x:c r="B9" s="13" t="str">
        <x:v>ZPO</x:v>
      </x:c>
      <x:c r="C9" s="13" t="str">
        <x:v>Gericht AG, Partei/Vertretung anderer Kanton</x:v>
      </x:c>
      <x:c r="D9" s="13" t="str">
        <x:v>Nomineller Endtag 02.01.2029</x:v>
      </x:c>
      <x:c r="E9" s="13" t="str">
        <x:v>AG-ZPO-Liste: 2. Januar positiv, nächster Werktag 03.01.2029. Feiertagsauswahl, kein eigenständiger Test des Weihnachtsstillstands.</x:v>
      </x:c>
      <x:c r="F9" s="13" t="str">
        <x:v>AP22-AG-ZPO | AP22-ZPO</x:v>
      </x:c>
      <x:c r="G9" s="13" t="str">
        <x:v>Fachlicher Sollfall bestimmt</x:v>
      </x:c>
      <x:c r="H9" s="13" t="str">
        <x:v>Produkttest in AP22C. Kein bereits ausgeführter neuer End-to-End-Nachweis.</x:v>
      </x:c>
      <x:c r="I9" s="15"/>
    </x:row>
    <x:row r="10" ht="48" customHeight="1">
      <x:c r="A10" s="14" t="str">
        <x:v>R04</x:v>
      </x:c>
      <x:c r="B10" s="14" t="str">
        <x:v>BGG</x:v>
      </x:c>
      <x:c r="C10" s="14" t="str">
        <x:v>BGG, Lenzburg AG</x:v>
      </x:c>
      <x:c r="D10" s="14" t="str">
        <x:v>02.10.–02.11.2023</x:v>
      </x:c>
      <x:c r="E10" s="14" t="str">
        <x:v>Korrigierter Sollwert 02.11.2023. EG ZPO gilt kantonsweit. Frühere regionale Einschränkung aus 4A_538/2023 nicht fortschreiben.</x:v>
      </x:c>
      <x:c r="F10" s="14" t="str">
        <x:v>AP22CLOSE-BGER-2E8</x:v>
      </x:c>
      <x:c r="G10" s="14" t="str">
        <x:v>Fachlicher Sollfall bestimmt</x:v>
      </x:c>
      <x:c r="H10" s="14" t="str">
        <x:v>Produkttest in AP22C. Kein bereits ausgeführter neuer End-to-End-Nachweis.</x:v>
      </x:c>
      <x:c r="I10" s="15"/>
    </x:row>
    <x:row r="11" ht="58" customHeight="1">
      <x:c r="A11" s="13" t="str">
        <x:v>R05</x:v>
      </x:c>
      <x:c r="B11" s="13" t="str">
        <x:v>ZPO / StPO</x:v>
      </x:c>
      <x:c r="C11" s="13" t="str">
        <x:v>SO, auch Bucheggberg</x:v>
      </x:c>
      <x:c r="D11" s="13" t="str">
        <x:v>1. Mai 2026</x:v>
      </x:c>
      <x:c r="E11" s="13" t="str">
        <x:v>01.05.2026 ist ganztägiger Prozessfeiertag, nominelles Ende verschiebt sich auf 04.05.2026. SO-Prozessliste noch technisch zu erfassen.</x:v>
      </x:c>
      <x:c r="F11" s="13" t="str">
        <x:v>AP22-SO-STPO | AP22-SO-ZPO | AP22-SO-GS201463</x:v>
      </x:c>
      <x:c r="G11" s="13" t="str">
        <x:v>Fachlicher Sollfall bestimmt</x:v>
      </x:c>
      <x:c r="H11" s="13" t="str">
        <x:v>Produkttest in AP22C. Kein bereits ausgeführter neuer End-to-End-Nachweis.</x:v>
      </x:c>
      <x:c r="I11" s="15"/>
    </x:row>
    <x:row r="12" ht="48" customHeight="1">
      <x:c r="A12" s="14" t="str">
        <x:v>R06</x:v>
      </x:c>
      <x:c r="B12" s="14" t="str">
        <x:v>ZPO / StPO</x:v>
      </x:c>
      <x:c r="C12" s="14" t="str">
        <x:v>FR, verschiedene BAMG-Regionalgruppen</x:v>
      </x:c>
      <x:c r="D12" s="14" t="str">
        <x:v>Nomineller Endtag 25.05.2026</x:v>
      </x:c>
      <x:c r="E12" s="14" t="str">
        <x:v>JG-Liste kantonsweit, Pfingstmontag positiv, nächster Werktag 26.05.2026. Stundenfrist bleibt ausserhalb.</x:v>
      </x:c>
      <x:c r="F12" s="14" t="str">
        <x:v>AP22CLOSE-FR-JG</x:v>
      </x:c>
      <x:c r="G12" s="14" t="str">
        <x:v>Fachlicher Sollfall bestimmt</x:v>
      </x:c>
      <x:c r="H12" s="14" t="str">
        <x:v>Produkttest in AP22C. Kein bereits ausgeführter neuer End-to-End-Nachweis.</x:v>
      </x:c>
      <x:c r="I12" s="15"/>
    </x:row>
    <x:row r="13" ht="58" customHeight="1">
      <x:c r="A13" s="13" t="str">
        <x:v>R07</x:v>
      </x:c>
      <x:c r="B13" s="13" t="str">
        <x:v>Alle vier</x:v>
      </x:c>
      <x:c r="C13" s="13" t="str">
        <x:v>GR, zusätzlicher lokaler Feiertag unbekannt</x:v>
      </x:c>
      <x:c r="D13" s="13" t="str">
        <x:v>Örtlicher Zusatztag</x:v>
      </x:c>
      <x:c r="E13" s="13" t="str">
        <x:v>GR-Grundkatalog plus Bundesfeier, sichtbarer Hinweis auf bewusst nicht berücksichtigte lokale Ruhetage. Kein Vollständigkeitsversprechen.</x:v>
      </x:c>
      <x:c r="F13" s="13" t="str">
        <x:v>AP22-GR</x:v>
      </x:c>
      <x:c r="G13" s="13" t="str">
        <x:v>DEC-2026-028 beschlossen</x:v>
      </x:c>
      <x:c r="H13" s="13" t="str">
        <x:v>Warnung und Rechenspur in AP22C testen</x:v>
      </x:c>
      <x:c r="I13" s="15"/>
    </x:row>
    <x:row r="14" ht="48" customHeight="1">
      <x:c r="A14" s="14" t="str">
        <x:v>R08</x:v>
      </x:c>
      <x:c r="B14" s="14" t="str">
        <x:v>Kalenderarithmetik</x:v>
      </x:c>
      <x:c r="C14" s="14" t="str">
        <x:v>AR und AI</x:v>
      </x:c>
      <x:c r="D14" s="14" t="str">
        <x:v>26.12.2026 / 26.12.2027 / 26.12.2028</x:v>
      </x:c>
      <x:c r="E14" s="14" t="str">
        <x:v>2026 kein Stephanstag-Ereignis, 2027 Ereignis am Sonntag, 2028 kein Ereignis. Wochenende getrennt behandeln.</x:v>
      </x:c>
      <x:c r="F14" s="14" t="str">
        <x:v>SRC-AR-ARGV-82211-V1058 | SRC-AI-RTG-822200-V1327</x:v>
      </x:c>
      <x:c r="G14" s="14" t="str">
        <x:v>Datumsregel in Modellproben geprüft</x:v>
      </x:c>
      <x:c r="H14" s="14" t="str">
        <x:v>Produkttest in AP22C. Kein bereits ausgeführter neuer End-to-End-Nachweis.</x:v>
      </x:c>
      <x:c r="I14" s="15"/>
    </x:row>
    <x:row r="15" ht="48" customHeight="1">
      <x:c r="A15" s="13" t="str">
        <x:v>R09</x:v>
      </x:c>
      <x:c r="B15" s="13" t="str">
        <x:v>Kalenderarithmetik</x:v>
      </x:c>
      <x:c r="C15" s="13" t="str">
        <x:v>GL</x:v>
      </x:c>
      <x:c r="D15" s="13" t="str">
        <x:v>02.04.2026 / 09.04.2026</x:v>
      </x:c>
      <x:c r="E15" s="13" t="str">
        <x:v>Näfelser Fahrt am 09.04.2026 wegen Karwochenverschiebung, nicht 02.04.2026.</x:v>
      </x:c>
      <x:c r="F15" s="13" t="str">
        <x:v>SRC-GL-RTG-IXB211-20190701</x:v>
      </x:c>
      <x:c r="G15" s="13" t="str">
        <x:v>Datumsregel in Modellproben geprüft</x:v>
      </x:c>
      <x:c r="H15" s="13" t="str">
        <x:v>Produkttest in AP22C. Kein bereits ausgeführter neuer End-to-End-Nachweis.</x:v>
      </x:c>
      <x:c r="I15" s="15"/>
    </x:row>
    <x:row r="16" ht="48" customHeight="1">
      <x:c r="A16" s="14" t="str">
        <x:v>R10</x:v>
      </x:c>
      <x:c r="B16" s="14" t="str">
        <x:v>Kalenderarithmetik</x:v>
      </x:c>
      <x:c r="C16" s="14" t="str">
        <x:v>NE</x:v>
      </x:c>
      <x:c r="D16" s="14" t="str">
        <x:v>02.01.2026 / 02.01.2029 / 02.01.2034</x:v>
      </x:c>
      <x:c r="E16" s="14" t="str">
        <x:v>Nur 02.01.2034 Ersatz nach Sonntag. 2026/2029 keine Ersatzereignisse aus LDJF. LPA getrennt.</x:v>
      </x:c>
      <x:c r="F16" s="14" t="str">
        <x:v>AP22-NE-LDJF</x:v>
      </x:c>
      <x:c r="G16" s="14" t="str">
        <x:v>Datumsregel in Modellproben geprüft</x:v>
      </x:c>
      <x:c r="H16" s="14" t="str">
        <x:v>Produkttest in AP22C. Kein bereits ausgeführter neuer End-to-End-Nachweis.</x:v>
      </x:c>
      <x:c r="I16" s="15"/>
    </x:row>
    <x:row r="17" ht="48" customHeight="1">
      <x:c r="A17" s="13" t="str">
        <x:v>R11</x:v>
      </x:c>
      <x:c r="B17" s="13" t="str">
        <x:v>Kalenderarithmetik</x:v>
      </x:c>
      <x:c r="C17" s="13" t="str">
        <x:v>NE</x:v>
      </x:c>
      <x:c r="D17" s="13" t="str">
        <x:v>26.12.2026 / 26.12.2033</x:v>
      </x:c>
      <x:c r="E17" s="13" t="str">
        <x:v>2033 Ersatz nach Sonntag, 2026 kein Ersatzereignis. Samstagwirkung bleibt separat.</x:v>
      </x:c>
      <x:c r="F17" s="13" t="str">
        <x:v>AP22-NE-LDJF</x:v>
      </x:c>
      <x:c r="G17" s="13" t="str">
        <x:v>Datumsregel in Modellproben geprüft</x:v>
      </x:c>
      <x:c r="H17" s="13" t="str">
        <x:v>Produkttest in AP22C. Kein bereits ausgeführter neuer End-to-End-Nachweis.</x:v>
      </x:c>
      <x:c r="I17" s="15"/>
    </x:row>
    <x:row r="18" ht="48" customHeight="1">
      <x:c r="A18" s="14" t="str">
        <x:v>R12</x:v>
      </x:c>
      <x:c r="B18" s="14" t="str">
        <x:v>Alle vier</x:v>
      </x:c>
      <x:c r="C18" s="14" t="str">
        <x:v>NE, Le Landeron gegenüber übrigen Orten</x:v>
      </x:c>
      <x:c r="D18" s="14" t="str">
        <x:v>Nomineller Endtag 04.06.2026</x:v>
      </x:c>
      <x:c r="E18" s="14" t="str">
        <x:v>Le Landeron: Fronleichnam positiv, Ende 05.06.2026. Neuchâtel: keine Verschiebung aus bekannten Regeln. Örtliche Grenze explizit.</x:v>
      </x:c>
      <x:c r="F18" s="14" t="str">
        <x:v>AP22-NE-LANDERON</x:v>
      </x:c>
      <x:c r="G18" s="14" t="str">
        <x:v>Fachlicher Sollfall bestimmt</x:v>
      </x:c>
      <x:c r="H18" s="14" t="str">
        <x:v>Produkttest in AP22C. Kein bereits ausgeführter neuer End-to-End-Nachweis.</x:v>
      </x:c>
      <x:c r="I18" s="15"/>
    </x:row>
    <x:row r="19" ht="58" customHeight="1">
      <x:c r="A19" s="13" t="str">
        <x:v>R13</x:v>
      </x:c>
      <x:c r="B19" s="13" t="str">
        <x:v>BGG</x:v>
      </x:c>
      <x:c r="C19" s="13" t="str">
        <x:v>NE, aktuelle LPA gegenüber früherer LPJA</x:v>
      </x:c>
      <x:c r="D19" s="13" t="str">
        <x:v>Nomineller Endtag 25.05.2026</x:v>
      </x:c>
      <x:c r="E19" s="13" t="str">
        <x:v>Pfingstmontag positiv aus wiederkehrender RDF-Regel, Ende 26.05.2026. Besonderer Jahresvorbehalt separat. Aktuelle LPA-Gleichstellung geprüft.</x:v>
      </x:c>
      <x:c r="F19" s="13" t="str">
        <x:v>AP22CLOSE-NE-LPA | AP22CLOSE-NE-RDF | AP22CLOSE-BGER-9C396</x:v>
      </x:c>
      <x:c r="G19" s="13" t="str">
        <x:v>Fachlicher Sollfall bestimmt</x:v>
      </x:c>
      <x:c r="H19" s="13" t="str">
        <x:v>Produkttest in AP22C. Kein bereits ausgeführter neuer End-to-End-Nachweis.</x:v>
      </x:c>
      <x:c r="I19" s="15"/>
    </x:row>
    <x:row r="20" ht="48" customHeight="1">
      <x:c r="A20" s="14" t="str">
        <x:v>R14</x:v>
      </x:c>
      <x:c r="B20" s="14" t="str">
        <x:v>ZPO</x:v>
      </x:c>
      <x:c r="C20" s="14" t="str">
        <x:v>Gewöhnliche Post am Gerichtsort an Feiertag</x:v>
      </x:c>
      <x:c r="D20" s="14" t="str">
        <x:v>Gewöhnliche Post, 01.05.2026, SO</x:v>
      </x:c>
      <x:c r="E20" s="14" t="str">
        <x:v>Art. 142 Abs. 1bis: gesetzlicher Empfangstag 04.05.2026 bei massgebendem SO-Gerichtsort. Keine neue Zustellartfreigabe.</x:v>
      </x:c>
      <x:c r="F20" s="14" t="str">
        <x:v>AP22-ZPO</x:v>
      </x:c>
      <x:c r="G20" s="14" t="str">
        <x:v>Fachlicher Sollfall bestimmt</x:v>
      </x:c>
      <x:c r="H20" s="14" t="str">
        <x:v>Produkttest in AP22C. Kein bereits ausgeführter neuer End-to-End-Nachweis.</x:v>
      </x:c>
      <x:c r="I20" s="15"/>
    </x:row>
    <x:row r="21" ht="58" customHeight="1">
      <x:c r="A21" s="13" t="str">
        <x:v>R15</x:v>
      </x:c>
      <x:c r="B21" s="13" t="str">
        <x:v>ZPO / StPO / BGG / VwVG</x:v>
      </x:c>
      <x:c r="C21" s="13" t="str">
        <x:v>Gleicher Kalender, verschiedene Verfahrensarten</x:v>
      </x:c>
      <x:c r="D21" s="13" t="str">
        <x:v>Empfang 14.07.2026, zehn Tage</x:v>
      </x:c>
      <x:c r="E21" s="13" t="str">
        <x:v>StPO: 24.07.2026. ZPO ordentlich mit Sommerstillstand: 25.08.2026. BGG-Beschaffung ohne Stillstand: 24.07.2026. Gleiche Datumsbasis, unterschiedliche Verfahren.</x:v>
      </x:c>
      <x:c r="F21" s="13" t="str">
        <x:v>AP22-STPO | AP22-ZPO | AP22-BGG | AP22-VWVG</x:v>
      </x:c>
      <x:c r="G21" s="13" t="str">
        <x:v>Fachlicher Sollfall bestimmt</x:v>
      </x:c>
      <x:c r="H21" s="13" t="str">
        <x:v>Produkttest in AP22C. Kein bereits ausgeführter neuer End-to-End-Nachweis.</x:v>
      </x:c>
      <x:c r="I21" s="15"/>
    </x:row>
    <x:row r="22" ht="48" customHeight="1">
      <x:c r="A22" s="14" t="str">
        <x:v>R16</x:v>
      </x:c>
      <x:c r="B22" s="14" t="str">
        <x:v>Alle vier</x:v>
      </x:c>
      <x:c r="C22" s="14" t="str">
        <x:v>Eigenständiges kommunales Recht oder Personalurlaub</x:v>
      </x:c>
      <x:c r="D22" s="14" t="str">
        <x:v>GE, 23.12.2022, zehn StPO-Tage</x:v>
      </x:c>
      <x:c r="E22" s="14" t="str">
        <x:v>Fristende 02.01.2023. Personalersatzurlaub und geschlossene Schalter machen diesen Tag nicht zum Prozessfeiertag.</x:v>
      </x:c>
      <x:c r="F22" s="14" t="str">
        <x:v>AP22CLOSE-BUND-7B32</x:v>
      </x:c>
      <x:c r="G22" s="14" t="str">
        <x:v>Fachlicher Sollfall bestimmt</x:v>
      </x:c>
      <x:c r="H22" s="14" t="str">
        <x:v>Produkttest in AP22C. Kein bereits ausgeführter neuer End-to-End-Nachweis.</x:v>
      </x:c>
      <x:c r="I22" s="15"/>
    </x:row>
    <x:row r="23" ht="58" customHeight="1">
      <x:c r="A23" s="13" t="str">
        <x:v>R17</x:v>
      </x:c>
      <x:c r="B23" s="13" t="str">
        <x:v>Alle vier</x:v>
      </x:c>
      <x:c r="C23" s="13" t="str">
        <x:v>Bundesbehörde mit Partei-/Vertretungsort BE, bei ZPO separat Gerichtsort prüfen</x:v>
      </x:c>
      <x:c r="D23" s="13" t="str">
        <x:v>Bund und Kanton nicht verwechseln</x:v>
      </x:c>
      <x:c r="E23" s="13" t="str">
        <x:v>Behördenebene Bund ist kein vollständiger Feiertagsort. CH-ALL enthält nur die Bundesregel. ZPO bleibt am Gerichtsort, nicht am Partei-/Vertretungsort.</x:v>
      </x:c>
      <x:c r="F23" s="13" t="str">
        <x:v>AP22-STPO | AP22-ZPO | AP22-BGG | AP22-VWVG</x:v>
      </x:c>
      <x:c r="G23" s="13" t="str">
        <x:v>Fachlicher Sollfall bestimmt</x:v>
      </x:c>
      <x:c r="H23" s="13" t="str">
        <x:v>Produkttest in AP22C. Kein bereits ausgeführter neuer End-to-End-Nachweis.</x:v>
      </x:c>
      <x:c r="I23" s="15"/>
    </x:row>
    <x:row r="24" ht="58" customHeight="1">
      <x:c r="A24" s="14" t="str">
        <x:v>R18</x:v>
      </x:c>
      <x:c r="B24" s="14" t="str">
        <x:v>VwVG</x:v>
      </x:c>
      <x:c r="C24" s="14" t="str">
        <x:v>Anwendungsdatum ab 2027</x:v>
      </x:c>
      <x:c r="D24" s="14" t="str">
        <x:v>Künftige Konsolidierung</x:v>
      </x:c>
      <x:c r="E24" s="14" t="str">
        <x:v>Art. 20 und 22a der amtlichen Konsolidierungen 2022 und 2027 sind inhaltlich gleich. Spezifischer Aktualitätsprüfpunkt erledigt, kein unbegrenzter Releasehorizont.</x:v>
      </x:c>
      <x:c r="F24" s="14" t="str">
        <x:v>AP22CLOSE-BUND-VWVG2027</x:v>
      </x:c>
      <x:c r="G24" s="14" t="str">
        <x:v>Amtlicher Textvergleich durchgeführt</x:v>
      </x:c>
      <x:c r="H24" s="14" t="str">
        <x:v>Releasezeitraum in AP22B gesondert binden</x:v>
      </x:c>
      <x:c r="I24" s="15"/>
    </x:row>
    <x:row r="25" ht="94" customHeight="1">
      <x:c r="A25" s="13" t="str">
        <x:v>R19</x:v>
      </x:c>
      <x:c r="B25" s="13" t="str">
        <x:v>SG StPO/BGG/VwVG und SH StPO</x:v>
      </x:c>
      <x:c r="C25" s="13" t="str">
        <x:v>2. Januar entscheidungsrelevant</x:v>
      </x:c>
      <x:c r="D25" s="13" t="str">
        <x:v>Nomineller Endtag 02.01.2026</x:v>
      </x:c>
      <x:c r="E25" s="13" t="str">
        <x:v>Beschlossen: Einzelfallklärung und kein definitives automatisches Fristresultat, wenn die unterschiedliche Behandlung des 2. Januar das Ergebnis verändert. Sonst keine Sperre.</x:v>
      </x:c>
      <x:c r="F25" s="13" t="str">
        <x:v>AP22CLOSE-PROC-SG-POS | AP22CLOSE-PROC-SG-NEG | AP22CLOSE-PROC-SH</x:v>
      </x:c>
      <x:c r="G25" s="13" t="str">
        <x:v>DEC-2026-029 am 08.10.2026 beschlossen</x:v>
      </x:c>
      <x:c r="H25" s="13" t="str">
        <x:v>Beide Ergebnisvarianten, Folgeverschiebung und unverändertes Ergebnis in AP22C testen.</x:v>
      </x:c>
      <x:c r="I25" s="15" t="str"/>
    </x:row>
    <x:row r="26" ht="48" customHeight="1">
      <x:c r="A26" s="14" t="str">
        <x:v>R20</x:v>
      </x:c>
      <x:c r="B26" s="14" t="str">
        <x:v>StPO / BGG / VwVG</x:v>
      </x:c>
      <x:c r="C26" s="14" t="str">
        <x:v>Nur Behördenebene Bund bekannt</x:v>
      </x:c>
      <x:c r="D26" s="14" t="str">
        <x:v>Fehlender massgebender Ort</x:v>
      </x:c>
      <x:c r="E26" s="14" t="str">
        <x:v>Kein stiller Bund-/BE-Ersatzkalender. Fehlende Rolle und nötigen Ort erfragen.</x:v>
      </x:c>
      <x:c r="F26" s="14" t="str">
        <x:v>AP22CLOSE-BUND-STPO | AP22CLOSE-BUND-BGG | AP22CLOSE-BUND-VWVG</x:v>
      </x:c>
      <x:c r="G26" s="14" t="str">
        <x:v>Negativbedingung bestimmt</x:v>
      </x:c>
      <x:c r="H26" s="14" t="str">
        <x:v>Resolver- und UI-Gegenprobe in AP22C</x:v>
      </x:c>
      <x:c r="I26" s="15" t="str"/>
    </x:row>
    <x:row r="27" ht="48" customHeight="1">
      <x:c r="A27" s="13" t="str">
        <x:v>R21</x:v>
      </x:c>
      <x:c r="B27" s="13" t="str">
        <x:v>VwVG</x:v>
      </x:c>
      <x:c r="C27" s="13" t="str">
        <x:v>Nichtprofessionelle Vertretung oder Mandatswechsel</x:v>
      </x:c>
      <x:c r="D27" s="13" t="str">
        <x:v>Unaufgelöste Ortskollision</x:v>
      </x:c>
      <x:c r="E27" s="13" t="str">
        <x:v>Nicht automatisch Partei- und Vertreterkalender vereinigen. Historische Mehrortausnahme nicht als allgemeine Regel ausgeben.</x:v>
      </x:c>
      <x:c r="F27" s="13" t="str">
        <x:v>AP22CLOSE-BUND-D6953 | AP22CLOSE-BUND-F10031</x:v>
      </x:c>
      <x:c r="G27" s="13" t="str">
        <x:v>Bewusst ausserhalb des Einort-Standardpfads</x:v>
      </x:c>
      <x:c r="H27" s="13" t="str">
        <x:v>Passende Hinweise und gezielte Klärung implementieren</x:v>
      </x:c>
      <x:c r="I27" s="15" t="str"/>
    </x:row>
    <x:row r="28" ht="48" customHeight="1">
      <x:c r="A28" s="14" t="str">
        <x:v>R22</x:v>
      </x:c>
      <x:c r="B28" s="14" t="str">
        <x:v>ATSG / Sozialverfahren</x:v>
      </x:c>
      <x:c r="C28" s="14" t="str">
        <x:v>Nicht-BE-Anbindung</x:v>
      </x:c>
      <x:c r="D28" s="14" t="str">
        <x:v>Kalenderaktivierung allein</x:v>
      </x:c>
      <x:c r="E28" s="14" t="str">
        <x:v>Keine zusätzliche Sozialanbindung durch die vier Bundesprofile. Separate Modellierung und Freigabe, #35 bleibt abgegrenzt.</x:v>
      </x:c>
      <x:c r="F28" s="14" t="str">
        <x:v>AP22CLOSE-BUND-STPO</x:v>
      </x:c>
      <x:c r="G28" s="14" t="str">
        <x:v>Bestehende Umfangsgrenze</x:v>
      </x:c>
      <x:c r="H28" s="14" t="str">
        <x:v>Negativtest gegen stillschweigende Ausweitung</x:v>
      </x:c>
      <x:c r="I28" s="15" t="str"/>
    </x:row>
  </x:sheetData>
  <x:mergeCells>
    <x:mergeCell ref="A1:F2"/>
    <x:mergeCell ref="A3:F4"/>
  </x:mergeCells>
  <x:pageMargins left="0.7" right="0.7" top="0.75" bottom="0.75" header="0.3" footer="0.3"/>
  <x:tableParts count="1">
    <x:tablePart xmlns:r="http://schemas.openxmlformats.org/officeDocument/2006/relationships" r:id="Rbad6bee09cf74813"/>
  </x:tableParts>
</x:worksheet>
</file>

<file path=xl/worksheets/sheet5.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baseColWidth="10" defaultColWidth="8.83203125" defaultRowHeight="14"/>
  <cols>
    <col min="1" max="1" width="43" customWidth="1"/>
    <col min="2" max="2" width="18" customWidth="1"/>
    <col min="3" max="3" width="60" customWidth="1"/>
    <col min="4" max="4" width="54" customWidth="1"/>
    <col min="5" max="5" width="85" customWidth="1"/>
    <col min="6" max="7" width="22" customWidth="1"/>
    <col min="8" max="8" width="33" customWidth="1"/>
    <col min="9" max="9" width="78" customWidth="1"/>
    <col min="10" max="10" width="55" customWidth="1"/>
  </cols>
  <sheetData>
    <row r="1" ht="24" customHeight="1">
      <c r="A1" s="11" t="s">
        <v>466</v>
      </c>
      <c r="B1" s="11"/>
      <c r="C1" s="11"/>
      <c r="D1" s="11"/>
      <c r="E1" s="11"/>
      <c r="F1" s="11"/>
      <c r="G1" s="1"/>
      <c r="H1" s="1"/>
      <c r="I1" s="1"/>
      <c r="J1" s="1"/>
    </row>
    <row r="2" ht="24" customHeight="1">
      <c r="A2" s="11"/>
      <c r="B2" s="11"/>
      <c r="C2" s="11"/>
      <c r="D2" s="11"/>
      <c r="E2" s="11"/>
      <c r="F2" s="11"/>
      <c r="G2" s="1"/>
      <c r="H2" s="1"/>
      <c r="I2" s="1"/>
      <c r="J2" s="1"/>
    </row>
    <row r="3" ht="24" customHeight="1">
      <c r="A3" s="12" t="str">
        <v>157 Quellenverweise. Alte Quellen und ihre Prüftiefe bewahrt, neue gezielte Abschlussnachweise angefügt. Keine vollständige neue Quellenrevision.</v>
      </c>
      <c r="B3" s="12"/>
      <c r="C3" s="12"/>
      <c r="D3" s="12"/>
      <c r="E3" s="12"/>
      <c r="F3" s="12"/>
      <c r="G3" s="1"/>
      <c r="H3" s="1"/>
      <c r="I3" s="1"/>
      <c r="J3" s="1"/>
    </row>
    <row r="4" ht="24" customHeight="1">
      <c r="A4" s="12"/>
      <c r="B4" s="12"/>
      <c r="C4" s="12"/>
      <c r="D4" s="12"/>
      <c r="E4" s="12"/>
      <c r="F4" s="12"/>
      <c r="G4" s="1"/>
      <c r="H4" s="1"/>
      <c r="I4" s="1"/>
      <c r="J4" s="1"/>
    </row>
    <row r="5" ht="10" customHeight="1">
      <c r="A5" s="1"/>
      <c r="B5" s="1"/>
      <c r="C5" s="1"/>
      <c r="D5" s="1"/>
      <c r="E5" s="1"/>
      <c r="F5" s="1"/>
      <c r="G5" s="1"/>
      <c r="H5" s="1"/>
      <c r="I5" s="1"/>
      <c r="J5" s="1"/>
    </row>
    <row r="6" ht="38" customHeight="1">
      <c r="A6" s="4" t="s">
        <v>29</v>
      </c>
      <c r="B6" s="4" t="s">
        <v>467</v>
      </c>
      <c r="C6" s="4" t="s">
        <v>468</v>
      </c>
      <c r="D6" s="4" t="s">
        <v>30</v>
      </c>
      <c r="E6" s="4" t="s">
        <v>469</v>
      </c>
      <c r="F6" s="4" t="s">
        <v>470</v>
      </c>
      <c r="G6" s="4" t="s">
        <v>471</v>
      </c>
      <c r="H6" s="4" t="s">
        <v>472</v>
      </c>
      <c r="I6" s="4" t="s">
        <v>473</v>
      </c>
      <c r="J6" s="4" t="s">
        <v>18</v>
      </c>
    </row>
    <row r="7" ht="48" customHeight="1">
      <c r="A7" s="13" t="str">
        <v>SRC-BUNDESFEIERTAG-19940701</v>
      </c>
      <c r="B7" s="13" t="str">
        <v>CH</v>
      </c>
      <c r="C7" s="13" t="str">
        <v>Verordnung über den Bundesfeiertag, SR 116</v>
      </c>
      <c r="D7" s="13" t="str">
        <v>SR 116, Art. 1</v>
      </c>
      <c r="E7" s="29" t="str">
        <v>https://www.fedlex.admin.ch/eli/cc/1994/1340_1340_1340/de</v>
      </c>
      <c r="F7" s="13" t="str">
        <v>1994-07-01</v>
      </c>
      <c r="G7" s="13" t="str">
        <v>2026-09-13</v>
      </c>
      <c r="H7" s="13" t="str">
        <v>AP18/MVP0.6 wiederverwendet</v>
      </c>
      <c r="I7" s="13" t="str">
        <v>Originaltext geöffnet</v>
      </c>
      <c r="J7" s="15"/>
    </row>
    <row r="8" ht="48" customHeight="1">
      <c r="A8" s="14" t="str">
        <v>SRC-FRG-BE-20210401</v>
      </c>
      <c r="B8" s="14" t="str">
        <v>CH-BE</v>
      </c>
      <c r="C8" s="14" t="str">
        <v>Gesetz über die Ruhe an öffentlichen Feiertagen, BSG 555.1</v>
      </c>
      <c r="D8" s="14" t="str">
        <v>BSG 555.1, Art. 2</v>
      </c>
      <c r="E8" s="30" t="str">
        <v>https://www.belex.sites.be.ch/app/de/texts_of_law/555.1</v>
      </c>
      <c r="F8" s="14" t="str">
        <v>2021-04-01</v>
      </c>
      <c r="G8" s="14" t="str">
        <v>2026-09-13</v>
      </c>
      <c r="H8" s="14" t="str">
        <v>AP18/MVP0.6 wiederverwendet</v>
      </c>
      <c r="I8" s="14" t="str">
        <v>Originaltext geöffnet</v>
      </c>
      <c r="J8" s="15"/>
    </row>
    <row r="9" ht="48" customHeight="1">
      <c r="A9" s="13" t="str">
        <v>SRC-AG-EGARR-20250901</v>
      </c>
      <c r="B9" s="13" t="str">
        <v>CH-AG</v>
      </c>
      <c r="C9" s="13" t="str">
        <v>Einführungsgesetz zum Arbeitsrecht</v>
      </c>
      <c r="D9" s="13" t="str">
        <v>SAR 961.200, § 6</v>
      </c>
      <c r="E9" s="29" t="str">
        <v>https://gesetzessammlungen.ag.ch/app/de/texts_of_law/961.200</v>
      </c>
      <c r="F9" s="13" t="str">
        <v>2025-09-01</v>
      </c>
      <c r="G9" s="13" t="str">
        <v>2026-09-13</v>
      </c>
      <c r="H9" s="13" t="str">
        <v>AP18/MVP0.6 wiederverwendet</v>
      </c>
      <c r="I9" s="13" t="str">
        <v>Alle acht Normzweige von § 6 Abs. 1 am 13.09.2026 vollständig abgeglichen, Fachabnahme offen</v>
      </c>
      <c r="J9" s="15"/>
    </row>
    <row r="10" ht="48" customHeight="1">
      <c r="A10" s="14" t="str">
        <v>SRC-AG-EGZPO</v>
      </c>
      <c r="B10" s="14" t="str">
        <v>CH-AG</v>
      </c>
      <c r="C10" s="14" t="str">
        <v>Einführungsgesetz zur Schweizerischen Zivilprozessordnung</v>
      </c>
      <c r="D10" s="14" t="str">
        <v>SAR 221.200, § 21 Abs. 1</v>
      </c>
      <c r="E10" s="30" t="str">
        <v>https://gesetzessammlungen.ag.ch/app/de/texts_of_law/221.200</v>
      </c>
      <c r="F10" s="14" t="str">
        <v>2022-01-01</v>
      </c>
      <c r="G10" s="14" t="str">
        <v>2026-09-13</v>
      </c>
      <c r="H10" s="14" t="str">
        <v>AP18/MVP0.6 wiederverwendet</v>
      </c>
      <c r="I10" s="14" t="str">
        <v>Alle 14 Tage von § 21 Abs. 1 am 13.09.2026 vollständig abgeglichen, Orts-/Profilanknüpfung und Freigabe offen</v>
      </c>
      <c r="J10" s="15"/>
    </row>
    <row r="11" ht="48" customHeight="1">
      <c r="A11" s="13" t="str">
        <v>SRC-BJ-FRISTENHINWEISE-20121217</v>
      </c>
      <c r="B11" s="13" t="str">
        <v>CH</v>
      </c>
      <c r="C11" s="13" t="str">
        <v>Hinweise zum Verzeichnis gesetzlicher Feiertage und gleichgestellter Tage</v>
      </c>
      <c r="D11" s="13" t="str">
        <v>Ziff. 1–3, Stand 17.12.2012</v>
      </c>
      <c r="E11" s="29" t="str">
        <v>https://www.bj.admin.ch/dam/de/sd-web/4Ad6GMn8rA0i/hinweise-kant-feiertage.pdf</v>
      </c>
      <c r="F11" s="13" t="str">
        <v>2012-12-17</v>
      </c>
      <c r="G11" s="13" t="str">
        <v>2026-09-13</v>
      </c>
      <c r="H11" s="13" t="str">
        <v>AP18/MVP0.6 wiederverwendet</v>
      </c>
      <c r="I11" s="13" t="str">
        <v>Methodische Abgrenzung, keine aktuelle Feiertagsvollerhebung</v>
      </c>
      <c r="J11" s="15"/>
    </row>
    <row r="12" ht="48" customHeight="1">
      <c r="A12" s="14" t="str">
        <v>SRC-AG-AWA-FEIERTAGE</v>
      </c>
      <c r="B12" s="14" t="str">
        <v>CH-AG</v>
      </c>
      <c r="C12" s="14" t="str">
        <v>Gesetzliche Feiertage im Kanton Aargau, AWA-Übersicht</v>
      </c>
      <c r="D12" s="14" t="str">
        <v>Amtliche Übersicht zu Art. 20a ArG und § 6 EG ArR</v>
      </c>
      <c r="E12" s="30" t="str">
        <v>https://www.ag.ch/media/kanton-aargau/dvi/dokumente/awa/awa/arbeitnehmerschutz-im-betrieb/feiertage.pdf</v>
      </c>
      <c r="F12" s="14"/>
      <c r="G12" s="14" t="str">
        <v>2026-09-13</v>
      </c>
      <c r="H12" s="14" t="str">
        <v>AP18/MVP0.6 wiederverwendet</v>
      </c>
      <c r="I12" s="14" t="str">
        <v>Undatiertes amtliches Merkblatt, am 13.09.2026 mit § 6 EG ArR abgeglichen</v>
      </c>
      <c r="J12" s="15"/>
    </row>
    <row r="13" ht="58" customHeight="1">
      <c r="A13" s="13" t="str">
        <v>SRC-TI-FEIERTAGE-843200</v>
      </c>
      <c r="B13" s="13" t="str">
        <v>CH-TI</v>
      </c>
      <c r="C13" s="13" t="str">
        <v>Legge concernente i giorni festivi ufficiali nel Cantone Ticino</v>
      </c>
      <c r="D13" s="13" t="str">
        <v>RL 843.200, Art. 1</v>
      </c>
      <c r="E13" s="29" t="str">
        <v>https://www3.ti.ch/CAN/RLeggi/public/index.php/raccolta-leggi/legge/num/568</v>
      </c>
      <c r="F13" s="13"/>
      <c r="G13" s="13" t="str">
        <v>2026-09-13</v>
      </c>
      <c r="H13" s="13" t="str">
        <v>AP18/MVP0.6 wiederverwendet</v>
      </c>
      <c r="I13" s="13" t="str">
        <v>15 offizielle Tage. IT amtlich, DE/FR Produktübersetzungen. Acht RG-Namen provisorisch ergänzt, keine amtliche TI-Sprachfassung. Kein gesonderter Fassungsstand, Inkrafttreten 09.02.2010.</v>
      </c>
      <c r="J13" s="15"/>
    </row>
    <row r="14" ht="58" customHeight="1">
      <c r="A14" s="14" t="str">
        <v>SRC-TI-LALL-843100</v>
      </c>
      <c r="B14" s="14" t="str">
        <v>CH-TI</v>
      </c>
      <c r="C14" s="14" t="str">
        <v>Legge di applicazione della legge federale sul lavoro, LALL</v>
      </c>
      <c r="D14" s="14" t="str">
        <v>RL 843.100, Art. 6 lit. a und b</v>
      </c>
      <c r="E14" s="30" t="str">
        <v>https://m3.ti.ch/CAN/RLeggi/public/index.php/raccolta-leggi/legge/num/569</v>
      </c>
      <c r="F14" s="14"/>
      <c r="G14" s="14" t="str">
        <v>2026-09-13</v>
      </c>
      <c r="H14" s="14" t="str">
        <v>AP18/MVP0.6 wiederverwendet</v>
      </c>
      <c r="I14" s="14" t="str">
        <v>Arbeitsrechtliche Gruppen 9/6 separat. Alle 15 bleiben offiziell. Kein Ausschluss der sechs Tage aus LPAmm. Kein gesonderter Fassungsstand ausgewiesen, Inkrafttreten 01.06.2011.</v>
      </c>
      <c r="J14" s="15"/>
    </row>
    <row r="15" ht="58" customHeight="1">
      <c r="A15" s="13" t="str">
        <v>SRC-TI-LPAMM-165100-20250601</v>
      </c>
      <c r="B15" s="13" t="str">
        <v>CH-TI</v>
      </c>
      <c r="C15" s="13" t="str">
        <v>Legge sulla procedura amministrativa, LPAmm</v>
      </c>
      <c r="D15" s="13" t="str">
        <v>RL 165.100, Art. 1 und Art. 13 Abs. 3</v>
      </c>
      <c r="E15" s="29" t="str">
        <v>https://www3.ti.ch/CAN/RLeggi/public/index.php/raccolta-leggi/legge/num/151</v>
      </c>
      <c r="F15" s="13" t="str">
        <v>2025-06-01</v>
      </c>
      <c r="G15" s="13" t="str">
        <v>2026-09-13</v>
      </c>
      <c r="H15" s="13" t="str">
        <v>AP18/MVP0.6 wiederverwendet</v>
      </c>
      <c r="I15" s="13" t="str">
        <v>Art. 13 Abs. 3 erfasst offiziell anerkannte Feiertage. Sonderrecht Art. 1 Abs. 2 und Ausschluss von Titel II nach Art. 1 Abs. 3 bleiben vorbehalten.</v>
      </c>
      <c r="J15" s="15"/>
    </row>
    <row r="16" ht="58" customHeight="1">
      <c r="A16" s="14" t="str">
        <v>SRC-GR-RUHETAGE-520100-20160101</v>
      </c>
      <c r="B16" s="14" t="str">
        <v>CH-GR</v>
      </c>
      <c r="C16" s="14" t="str">
        <v>Gesetz über die öffentlichen Ruhetage, Ruhetagsgesetz</v>
      </c>
      <c r="D16" s="14" t="str">
        <v>BR 520.100, Art. 2–4</v>
      </c>
      <c r="E16" s="30" t="str">
        <v>https://www.gr-lex.gr.ch/api/de/versions/2604/pdf_file</v>
      </c>
      <c r="F16" s="14" t="str">
        <v>2016-01-01</v>
      </c>
      <c r="G16" s="14" t="str">
        <v>2026-09-13</v>
      </c>
      <c r="H16" s="14" t="str">
        <v>AP18/MVP0.6 wiederverwendet</v>
      </c>
      <c r="I16" s="14" t="str">
        <v>DE amtlich. IT/RM separat belegt, FR Produktübersetzung. Art. 2 Abs. 2: hohe Tage samt drei benannten Sonntagen. Bundesfeier aus Bundesregel, lokale Ruhetage nicht erfasst.</v>
      </c>
      <c r="J16" s="15"/>
    </row>
    <row r="17" ht="72" customHeight="1">
      <c r="A17" s="13" t="str">
        <v>SRC-GR-VRG-370100-V3521</v>
      </c>
      <c r="B17" s="13" t="str">
        <v>CH-GR</v>
      </c>
      <c r="C17" s="13" t="str">
        <v>Gesetz über die Verwaltungsrechtspflege, VRG</v>
      </c>
      <c r="D17" s="13" t="str">
        <v>BR 370.100, Art. 1, 2 und 7 Abs. 2, Version 3521</v>
      </c>
      <c r="E17" s="29" t="str">
        <v>https://www.gr-lex.gr.ch/api/de/versions/3521/pdf_file</v>
      </c>
      <c r="F17" s="13" t="str">
        <v>2025-01-01</v>
      </c>
      <c r="G17" s="13" t="str">
        <v>2026-09-13</v>
      </c>
      <c r="H17" s="13" t="str">
        <v>AP18/MVP0.6 wiederverwendet</v>
      </c>
      <c r="I17" s="13" t="str">
        <v>Bestätigte Projektannahme nur für Art.-1-VRG-Kontext vor kantonalen Behörden: zusätzliche lokale Ruhetage werden nicht erhoben. Art. 7 Abs. 2 schliesst sie nicht ausdrücklich aus. Örtliche Fristenwirkung bleibt OF-008, keine automatische Berechenbarkeit.</v>
      </c>
      <c r="J17" s="15"/>
    </row>
    <row r="18" ht="58" customHeight="1">
      <c r="A18" s="14" t="str">
        <v>SRC-GR-RUHETAGE-520100-IT-V2604</v>
      </c>
      <c r="B18" s="14" t="str">
        <v>CH-GR</v>
      </c>
      <c r="C18" s="14" t="str">
        <v>Legge sui giorni di riposo pubblici, amtliche italienische Sprachfassung</v>
      </c>
      <c r="D18" s="14" t="str">
        <v>BR 520.100, Art. 2, Version 2604, IT</v>
      </c>
      <c r="E18" s="30" t="str">
        <v>https://www.gr-lex.gr.ch/app/it/texts_of_law/520.100/versions/2604</v>
      </c>
      <c r="F18" s="14" t="str">
        <v>2016-01-01</v>
      </c>
      <c r="G18" s="14" t="str">
        <v>2026-09-13</v>
      </c>
      <c r="H18" s="14" t="str">
        <v>AP18/MVP0.6 wiederverwendet</v>
      </c>
      <c r="I18" s="14" t="str">
        <v>Sprachbeleg IT: unter anderem Domenica di Pasqua, Domenica di Pentecoste und Festa federale di preghiera. Keine zusätzliche Rechtswirkung durch Sprachübernahme.</v>
      </c>
      <c r="J18" s="15"/>
    </row>
    <row r="19" ht="58" customHeight="1">
      <c r="A19" s="13" t="str">
        <v>SRC-GR-RUHETAGE-520100-RM-V2604</v>
      </c>
      <c r="B19" s="13" t="str">
        <v>CH-GR</v>
      </c>
      <c r="C19" s="13" t="str">
        <v>Lescha davart ils dis da paus publics, amtliche rätoromanische Sprachfassung</v>
      </c>
      <c r="D19" s="13" t="str">
        <v>BR 520.100, Art. 2, Version 2604, RM</v>
      </c>
      <c r="E19" s="29" t="str">
        <v>https://www.gr-lex.gr.ch/api/rm/versions/2604/pdf_file</v>
      </c>
      <c r="F19" s="13" t="str">
        <v>2016-01-01</v>
      </c>
      <c r="G19" s="13" t="str">
        <v>2026-09-13</v>
      </c>
      <c r="H19" s="13" t="str">
        <v>AP18/MVP0.6 wiederverwendet</v>
      </c>
      <c r="I19" s="13" t="str">
        <v>Amtliche RG-Namen. Anzeige teilweise ohne Satzartikel und mit grossem Anfangsbuchstaben. Gemeinsame TI-Namen übernehmen nur diesen Sprachbeleg, nicht GR-Recht.</v>
      </c>
      <c r="J19" s="15"/>
    </row>
    <row r="20" ht="48" customHeight="1">
      <c r="A20" s="14" t="str">
        <v>SRC-GR-VRG-370100-RM-V3521</v>
      </c>
      <c r="B20" s="14" t="str">
        <v>CH-GR</v>
      </c>
      <c r="C20" s="14" t="str">
        <v>Lescha davart la giurisdicziun administrativa, rätoromanischer Namensbeleg</v>
      </c>
      <c r="D20" s="14" t="str">
        <v>BR 370.100, Präambel, Version 3521, RM</v>
      </c>
      <c r="E20" s="30" t="str">
        <v>https://www.gr-lex.gr.ch/api/rm/versions/3521/pdf_file</v>
      </c>
      <c r="F20" s="14" t="str">
        <v>2025-01-01</v>
      </c>
      <c r="G20" s="14" t="str">
        <v>2026-09-13</v>
      </c>
      <c r="H20" s="14" t="str">
        <v>AP18/MVP0.6 wiederverwendet</v>
      </c>
      <c r="I20" s="14" t="str">
        <v>Amtlicher Beleg des Kantonsnamens Grischun. Eigenständiger Sprachbeleg, keine zusätzliche Freigabe der Verfahrenszuordnung.</v>
      </c>
      <c r="J20" s="15"/>
    </row>
    <row r="21" ht="48" customHeight="1">
      <c r="A21" s="13" t="str">
        <v>SRC-TI-UIL-FEIERTAGE-2026-2027</v>
      </c>
      <c r="B21" s="13" t="str">
        <v>CH-TI</v>
      </c>
      <c r="C21" s="13" t="str">
        <v>Giorni festivi in Ticino, amtlicher UIL-Kalender 2026/2027</v>
      </c>
      <c r="D21" s="13" t="str">
        <v>Amtliche Informationsseite und Jahreslisten 2026/2027</v>
      </c>
      <c r="E21" s="29" t="str">
        <v>https://www4.ti.ch/dfe/de/uil/legge-lavoro/giorni-festivi-in-ticino-1</v>
      </c>
      <c r="F21" s="13"/>
      <c r="G21" s="13" t="str">
        <v>2026-09-13</v>
      </c>
      <c r="H21" s="13" t="str">
        <v>AP18/MVP0.6 wiederverwendet</v>
      </c>
      <c r="I21" s="13" t="str">
        <v>Datumskontrolle 2026/2027. Die Ausprägung 2028 ist regelbasiert abgeleitet, keine behauptete amtliche Jahresliste 2028.</v>
      </c>
      <c r="J21" s="15"/>
    </row>
    <row r="22" ht="58" customHeight="1">
      <c r="A22" s="14" t="str">
        <v>SRC-CH-PARL-BUNDESFEIER-RM-2026</v>
      </c>
      <c r="B22" s="14" t="str">
        <v>CH</v>
      </c>
      <c r="C22" s="14" t="str">
        <v>Parlamentsagenda, Bundesfeier 2026, rätoromanischer Sprachbeleg</v>
      </c>
      <c r="D22" s="14" t="str">
        <v>Agendaeintrag: festa naziunala svizra</v>
      </c>
      <c r="E22" s="30" t="str">
        <v>https://www.parlament.ch/agenda/Pages/agenda-1-august-2026.aspx?lang=1047</v>
      </c>
      <c r="F22" s="14"/>
      <c r="G22" s="14" t="str">
        <v>2026-09-13</v>
      </c>
      <c r="H22" s="14" t="str">
        <v>AP18/MVP0.6 wiederverwendet</v>
      </c>
      <c r="I22" s="14" t="str">
        <v>Nur Sprachbeleg für Festa naziunala svizra. Der Veranstaltungsbezug 2026 ist kein Normstand. Rechtsgrundlage bleibt die bestehende Bundesquelle.</v>
      </c>
      <c r="J22" s="15"/>
    </row>
    <row r="23" ht="48" customHeight="1">
      <c r="A23" s="13" t="str">
        <v>SRC-TI-KANTONSNAME-RM</v>
      </c>
      <c r="B23" s="13" t="str">
        <v>CH-TI</v>
      </c>
      <c r="C23" s="13" t="str">
        <v>Kanton Tessin, Föderalismusdarstellung in Rumantsch Grischun</v>
      </c>
      <c r="D23" s="13" t="str">
        <v>Infurmaziuns generalas: chantun Tessin</v>
      </c>
      <c r="E23" s="29" t="str">
        <v>https://www4.ti.ch/generale/foederalismus11/rumantsch/foederalismus/preschentaziun</v>
      </c>
      <c r="F23" s="13"/>
      <c r="G23" s="13" t="str">
        <v>2026-09-13</v>
      </c>
      <c r="H23" s="13" t="str">
        <v>AP18/MVP0.6 wiederverwendet</v>
      </c>
      <c r="I23" s="13" t="str">
        <v>Amtlicher Beleg des Kantonsnamens Tessin. Undatierte Webseite, nur Namensbeleg, keine Feiertagsnorm.</v>
      </c>
      <c r="J23" s="15"/>
    </row>
    <row r="24" ht="58" customHeight="1">
      <c r="A24" s="14" t="str">
        <v>SRC-VS-RUHE-8222-20130301</v>
      </c>
      <c r="B24" s="14" t="str">
        <v>CH-VS</v>
      </c>
      <c r="C24" s="14" t="str">
        <v>Gesetz über die Ruhe an Sonn- und Feiertagen</v>
      </c>
      <c r="D24" s="14" t="str">
        <v>SGS 822.2, Art. 1 und 2</v>
      </c>
      <c r="E24" s="30" t="str">
        <v>https://lex.vs.ch/api/de/versions/2105/pdf_file</v>
      </c>
      <c r="F24" s="14" t="str">
        <v>2013-03-01</v>
      </c>
      <c r="G24" s="14" t="str">
        <v>2026-09-13</v>
      </c>
      <c r="H24" s="14" t="str">
        <v>AP18/MVP0.6 wiederverwendet</v>
      </c>
      <c r="I24" s="14" t="str">
        <v>Kantonales Ruhegesetz. Gebotene Feiertage über Diözese und Reglement bestimmt. Keine Personalurlaubsliste und keine universelle Prozesszuordnung.</v>
      </c>
      <c r="J24" s="15"/>
    </row>
    <row r="25" ht="72" customHeight="1">
      <c r="A25" s="13" t="str">
        <v>SRC-VS-RUHEREG-822200-19661202</v>
      </c>
      <c r="B25" s="13" t="str">
        <v>CH-VS</v>
      </c>
      <c r="C25" s="13" t="str">
        <v>Ausführungsreglement zur Sonn- und Feiertagsruhe / Règlement d’exécution</v>
      </c>
      <c r="D25" s="13" t="str">
        <v>SGS 822.200, Art. 1</v>
      </c>
      <c r="E25" s="29" t="str">
        <v>https://lex.vs.ch/api/fr/versions/2108/pdf_file</v>
      </c>
      <c r="F25" s="13" t="str">
        <v>1966-12-02</v>
      </c>
      <c r="G25" s="13" t="str">
        <v>2026-09-13</v>
      </c>
      <c r="H25" s="13" t="str">
        <v>AP18/MVP0.6 wiederverwendet</v>
      </c>
      <c r="I25" s="13" t="str">
        <v>Acht namentliche Tage erhoben. Das französische notamment wird nicht als abschliessende diözesane Feiertagsvollerhebung umgedeutet. Bundesfeier separat aus SR 116. IT/RM nur provisorische gemeinsame Produktnamen.</v>
      </c>
      <c r="J25" s="15"/>
    </row>
    <row r="26" ht="58" customHeight="1">
      <c r="A26" s="14" t="str">
        <v>SRC-VS-VEKARG-822100-20161001</v>
      </c>
      <c r="B26" s="14" t="str">
        <v>CH-VS</v>
      </c>
      <c r="C26" s="14" t="str">
        <v>Verordnung zum kantonalen Arbeitsgesetz, VEkArG</v>
      </c>
      <c r="D26" s="14" t="str">
        <v>SGS 822.100, Art. 7 Abs. 1</v>
      </c>
      <c r="E26" s="30" t="str">
        <v>https://lex.vs.ch/api/de/versions/2103/pdf_file</v>
      </c>
      <c r="F26" s="14" t="str">
        <v>2016-10-01</v>
      </c>
      <c r="G26" s="14" t="str">
        <v>2026-09-13</v>
      </c>
      <c r="H26" s="14" t="str">
        <v>AP18/MVP0.6 wiederverwendet</v>
      </c>
      <c r="I26" s="14" t="str">
        <v>Acht kantonale Sonntagsgleichstellungen im Sinne von Art. 20a ArG. Datumsgegenkontrolle der Grundliste, kein eigenständiger Nachweis der Prozesswirkung.</v>
      </c>
      <c r="J26" s="15"/>
    </row>
    <row r="27" ht="58" customHeight="1">
      <c r="A27" s="13" t="str">
        <v>SRC-VS-RPFLG-1731-20240101</v>
      </c>
      <c r="B27" s="13" t="str">
        <v>CH-VS</v>
      </c>
      <c r="C27" s="13" t="str">
        <v>Gesetz über die Rechtspflege, RPflG / Loi sur l’organisation de la Justice, LOJ</v>
      </c>
      <c r="D27" s="13" t="str">
        <v>SGS 173.1, Art. 37 Abs. 1 Bst. a–c</v>
      </c>
      <c r="E27" s="29" t="str">
        <v>https://lex.vs.ch/api/fr/versions/3260/pdf_file</v>
      </c>
      <c r="F27" s="13" t="str">
        <v>2024-01-01</v>
      </c>
      <c r="G27" s="13" t="str">
        <v>2026-09-13</v>
      </c>
      <c r="H27" s="13" t="str">
        <v>AP18/MVP0.6 wiederverwendet</v>
      </c>
      <c r="I27" s="13" t="str">
        <v>Aktuelle Version 3260, Änderung beschlossen 07.09.2023. Vier zusätzliche Tage nach Bst. c getrennt erfasst. Behörden-/Verfahrensbezug und Bundesrechtsvorrang bleiben vor Automatik zu prüfen.</v>
      </c>
      <c r="J27" s="15"/>
    </row>
    <row r="28" ht="58" customHeight="1">
      <c r="A28" s="14" t="str">
        <v>SRC-VS-PERSONALBEZUEGE-1724-20260501</v>
      </c>
      <c r="B28" s="14" t="str">
        <v>CH-VS</v>
      </c>
      <c r="C28" s="14" t="str">
        <v>Loi fixant le traitement des employés de l’Etat du Valais</v>
      </c>
      <c r="D28" s="14" t="str">
        <v>SGS 172.4, Art. 1 und 29</v>
      </c>
      <c r="E28" s="30" t="str">
        <v>https://lex.vs.ch/data/172.4/fr</v>
      </c>
      <c r="F28" s="14" t="str">
        <v>2026-05-01</v>
      </c>
      <c r="G28" s="14" t="str">
        <v>2026-09-13</v>
      </c>
      <c r="H28" s="14" t="str">
        <v>AP18/MVP0.6 wiederverwendet</v>
      </c>
      <c r="I28" s="14" t="str">
        <v>Nur Abgrenzungsbeleg aus dem Personalbesoldungsrecht. Karfreitag, Personalhalbtage und zusätzliche arbeitsfreie Tage werden nicht als allgemeine Feiertage oder Prozessergänzungen übernommen.</v>
      </c>
      <c r="J28" s="15"/>
    </row>
    <row r="29" ht="72" customHeight="1">
      <c r="A29" s="13" t="str">
        <v>SRC-GE-LJF-J145-19910101</v>
      </c>
      <c r="B29" s="13" t="str">
        <v>CH-GE</v>
      </c>
      <c r="C29" s="13" t="str">
        <v>Loi sur les jours fériés, LJF</v>
      </c>
      <c r="D29" s="13" t="str">
        <v>RSG J 1 45, Art. 1 Abs. 1 und 2 sowie Fussnote a zu Bst. g</v>
      </c>
      <c r="E29" s="29" t="str">
        <v>https://silgeneve.ch/legis/data/rsg_j1_45.htm</v>
      </c>
      <c r="F29" s="13" t="str">
        <v>1991-01-01</v>
      </c>
      <c r="G29" s="13" t="str">
        <v>2026-09-13</v>
      </c>
      <c r="H29" s="13" t="str">
        <v>AP18/MVP0.6 wiederverwendet</v>
      </c>
      <c r="I29" s="13" t="str">
        <v>Neun gesetzliche Feiertage. Sonntagsfolgetag nach Abs. 2 nur für nicht dem ArG unterstellte Unternehmen. Keine allgemeine Folgetagsautomatik. FR-Namen normnah, DE Produktnamen, IT/RM gemeinsame Namen nur provisorisch.</v>
      </c>
      <c r="J29" s="15"/>
    </row>
    <row r="30" ht="58" customHeight="1">
      <c r="A30" s="14" t="str">
        <v>SRC-GE-FEIERTAGE-INFO-20260429</v>
      </c>
      <c r="B30" s="14" t="str">
        <v>CH-GE</v>
      </c>
      <c r="C30" s="14" t="str">
        <v>Jours fériés officiels, amtliche Jahresübersicht</v>
      </c>
      <c r="D30" s="14" t="str">
        <v>Jahreslisten 2026, 2027 und 2028, Informationsseite</v>
      </c>
      <c r="E30" s="30" t="str">
        <v>https://www.ge.ch/vacances-scolaires-jours-feries/jours-feries-officiels</v>
      </c>
      <c r="F30" s="14" t="str">
        <v>2026-04-29</v>
      </c>
      <c r="G30" s="14" t="str">
        <v>2026-09-13</v>
      </c>
      <c r="H30" s="14" t="str">
        <v>AP18/MVP0.6 wiederverwendet</v>
      </c>
      <c r="I30" s="14" t="str">
        <v>Datumskontrolle, kein Normfassungsdatum. Textliche Folgetagshinweise nicht über den begrenzten Anwendungsbereich von Art. 1 Abs. 2 LJF hinaus verallgemeinern.</v>
      </c>
      <c r="J30" s="15"/>
    </row>
    <row r="31" ht="86" customHeight="1">
      <c r="A31" s="13" t="str">
        <v>SRC-BGER-7B32-2023-20230906</v>
      </c>
      <c r="B31" s="13" t="str">
        <v>CH</v>
      </c>
      <c r="C31" s="13" t="str">
        <v>Bundesgericht, Urteil 7B_32/2023 vom 6. September 2023</v>
      </c>
      <c r="D31" s="13" t="str">
        <v>E. 4.3.2, 4.4 und 5.2</v>
      </c>
      <c r="E31" s="29" t="str">
        <v>https://search.bger.ch/ext/eurospider/live/it/php/aza/http/index.php?highlight_docid=aza%3A%2F%2F06-09-2023-7B_32-2023&amp;lang=it&amp;type=show_document&amp;zoom=NO</v>
      </c>
      <c r="F31" s="13" t="str">
        <v>2023-09-06</v>
      </c>
      <c r="G31" s="13" t="str">
        <v>2026-09-13</v>
      </c>
      <c r="H31" s="13" t="str">
        <v>AP18/MVP0.6 wiederverwendet</v>
      </c>
      <c r="I31" s="13" t="str">
        <v>Entscheiddatum, kein Normstand. Im vorgängigen Modellcheck amtlich abgeglichener Volltext. Erneuter Entscheidsuche-Abruf im Erfassungsteil toolseitig gesperrt. Konkreter StPO-Fall, kantonale Auslegung unter Willkürmassstab, keine Aussage zu sämtlichen Prozessordnungen.</v>
      </c>
      <c r="J31" s="15"/>
    </row>
    <row r="32" ht="58" customHeight="1">
      <c r="A32" s="14" t="str">
        <v>SRC-AP18B03-VSGE-KANTONSNAMEN-IT</v>
      </c>
      <c r="B32" s="14" t="str">
        <v>CH</v>
      </c>
      <c r="C32" s="14" t="str">
        <v>swisstopo, Scambio di geodati tra le autorità</v>
      </c>
      <c r="D32" s="14" t="str">
        <v>Liste der Kantone: Ginevra und Vallese</v>
      </c>
      <c r="E32" s="30" t="str">
        <v>https://www.swisstopo.admin.ch/it/scambio-di-geodati-tra-le-autorita</v>
      </c>
      <c r="F32" s="14" t="str">
        <v>2024-01-08</v>
      </c>
      <c r="G32" s="14" t="str">
        <v>2026-09-13</v>
      </c>
      <c r="H32" s="14" t="str">
        <v>AP18/MVP0.6 wiederverwendet</v>
      </c>
      <c r="I32" s="14" t="str">
        <v>Publikationsdatum der Informationsseite, kein Normstand. Amtlicher IT-Sprachbeleg ausschliesslich für die Kantonsnamen, keine Feiertags- oder Prozessgrundlage.</v>
      </c>
      <c r="J32" s="15"/>
    </row>
    <row r="33" ht="58" customHeight="1">
      <c r="A33" s="13" t="str">
        <v>SRC-AP18B03-VSGE-KANTONSNAMEN-RM</v>
      </c>
      <c r="B33" s="13" t="str">
        <v>CH-GR</v>
      </c>
      <c r="C33" s="13" t="str">
        <v>Kanton Graubünden, Epocas en chartas geograficas</v>
      </c>
      <c r="D33" s="13" t="str">
        <v>Abschnitt 1814/1815: chantuns Genevra, Vallais e Neuchâtel</v>
      </c>
      <c r="E33" s="29" t="str">
        <v>https://www.gr.ch/RM/chantun/175-Jahre/Seiten/Epochen-in-Karten.aspx</v>
      </c>
      <c r="F33" s="13"/>
      <c r="G33" s="13" t="str">
        <v>2026-09-13</v>
      </c>
      <c r="H33" s="13" t="str">
        <v>AP18/MVP0.6 wiederverwendet</v>
      </c>
      <c r="I33" s="13" t="str">
        <v>Amtlicher RG-Sprachbeleg ausschliesslich für die Kantonsnamen Genevra und Vallais. Historische Kartendarstellung, kein Feiertagsrecht und kein normativer Fassungsstand.</v>
      </c>
      <c r="J33" s="15"/>
    </row>
    <row r="34" ht="114" customHeight="1">
      <c r="A34" s="14" t="str">
        <v>SRC-FR-BAMG-866111-V8126</v>
      </c>
      <c r="B34" s="14" t="str">
        <v>CH-FR</v>
      </c>
      <c r="C34" s="14" t="str">
        <v>Gesetz über die Beschäftigung und den Arbeitsmarkt, BAMG</v>
      </c>
      <c r="D34" s="14" t="str">
        <v>SGF 866.1.1, Art. 49 Abs. 1–5, Version 8126</v>
      </c>
      <c r="E34" s="30" t="str">
        <v>https://bdlf.fr.ch/api/de/versions/8126/pdf_file</v>
      </c>
      <c r="F34" s="14" t="str">
        <v>2020-01-01</v>
      </c>
      <c r="G34" s="14" t="str">
        <v>2026-09-13</v>
      </c>
      <c r="H34" s="14" t="str">
        <v>AP18/MVP0.6 wiederverwendet</v>
      </c>
      <c r="I34" s="14" t="str">
        <v>Erlass 06.10.2010. Geltende Fassung seit 01.01.2020. Vier gemeinsame und je vier regionale arbeitsrechtliche Tage. Bundesanwendung separat offen. Gebietsliste amtlicher Seite über geprüfte Quellenbeziehung. Sprachprüfung offen. Gemeinsame IT/RM-Namen aus dem geprüften TI/GR-Bestand nur als provisorische Produktnamen übernommen. Keine amtliche FR-/SO-Sprachfassung behauptet. Berchtold IT/RM und Scope-Übersetzungen sind eigene provisorische Vorschläge.</v>
      </c>
      <c r="J34" s="15"/>
    </row>
    <row r="35" ht="58" customHeight="1">
      <c r="A35" s="13" t="str">
        <v>SRC-FR-LEMT-866111-FR-V8126</v>
      </c>
      <c r="B35" s="13" t="str">
        <v>CH-FR</v>
      </c>
      <c r="C35" s="13" t="str">
        <v>Loi sur l’emploi et le marché du travail, LEMT, französische Sprachfassung</v>
      </c>
      <c r="D35" s="13" t="str">
        <v>RSF 866.1.1, art. 49, version 8126, FR</v>
      </c>
      <c r="E35" s="29" t="str">
        <v>https://bdlf.fr.ch/api/fr/versions/8126/pdf_file</v>
      </c>
      <c r="F35" s="13" t="str">
        <v>2020-01-01</v>
      </c>
      <c r="G35" s="13" t="str">
        <v>2026-09-13</v>
      </c>
      <c r="H35" s="13" t="str">
        <v>AP18/MVP0.6 wiederverwendet</v>
      </c>
      <c r="I35" s="13" t="str">
        <v>Amtlicher FR-Sprachabgleich. Produktanzeige normalisiert Schreibweisen. Lendemain du Nouvel-An und lendemain de Noël werden nicht als zusätzliche Tage erfasst.</v>
      </c>
      <c r="J35" s="15"/>
    </row>
    <row r="36" ht="128" customHeight="1">
      <c r="A36" s="14" t="str">
        <v>SRC-FR-JG-1301-V7926</v>
      </c>
      <c r="B36" s="14" t="str">
        <v>CH-FR</v>
      </c>
      <c r="C36" s="14" t="str">
        <v>Justizgesetz, JG</v>
      </c>
      <c r="D36" s="14" t="str">
        <v>SGF 130.1, Art. 121 Abs. 1–3, Version 7926</v>
      </c>
      <c r="E36" s="30" t="str">
        <v>https://bdlf.fr.ch/api/de/versions/7926/pdf_file</v>
      </c>
      <c r="F36" s="14" t="str">
        <v>2024-01-01</v>
      </c>
      <c r="G36" s="14" t="str">
        <v>2026-09-13</v>
      </c>
      <c r="H36" s="14" t="str">
        <v>AP18/MVP0.6 wiederverwendet</v>
      </c>
      <c r="I36" s="14" t="str">
        <v>Erlass 31.05.2010. Fassung seit 01.01.2024. Eigene kantonsweite Liste von 15 Tagen einschliesslich Ostern, Pfingsten und 1. August. Strafrechtliche Stundenfristen nach Abs. 3 ausgenommen. Keine pauschale Bundesverfahrensfreigabe. Sprachprüfung offen. Gemeinsame IT/RM-Namen aus dem geprüften TI/GR-Bestand nur als provisorische Produktnamen übernommen. Keine amtliche FR-/SO-Sprachfassung behauptet. Berchtold IT/RM und Scope-Übersetzungen sind eigene provisorische Vorschläge.</v>
      </c>
      <c r="J36" s="15"/>
    </row>
    <row r="37" ht="58" customHeight="1">
      <c r="A37" s="13" t="str">
        <v>SRC-FR-LJ-1301-FR-V7926</v>
      </c>
      <c r="B37" s="13" t="str">
        <v>CH-FR</v>
      </c>
      <c r="C37" s="13" t="str">
        <v>Loi sur la justice, LJ, französische Sprachfassung</v>
      </c>
      <c r="D37" s="13" t="str">
        <v>RSF 130.1, art. 121, version 7926, FR</v>
      </c>
      <c r="E37" s="29" t="str">
        <v>https://bdlf.fr.ch/api/fr/versions/7926/pdf_file</v>
      </c>
      <c r="F37" s="13" t="str">
        <v>2024-01-01</v>
      </c>
      <c r="G37" s="13" t="str">
        <v>2026-09-13</v>
      </c>
      <c r="H37" s="13" t="str">
        <v>AP18/MVP0.6 wiederverwendet</v>
      </c>
      <c r="I37" s="13" t="str">
        <v>Amtlicher FR-Sprachabgleich der eigenen Liste. Vier Feiertag-/Folgetagspaare plus sieben weitere Tage, zusammen 15. Kalendertagsnamen für numerisch genannte Daten sind Produktbezeichnungen.</v>
      </c>
      <c r="J37" s="15"/>
    </row>
    <row r="38" ht="86" customHeight="1">
      <c r="A38" s="14" t="str">
        <v>SRC-FR-AMA-FEIERTAGE-2026</v>
      </c>
      <c r="B38" s="14" t="str">
        <v>CH-FR</v>
      </c>
      <c r="C38" s="14" t="str">
        <v>Amt für den Arbeitsmarkt, Feiertage 2026 und regionale Gebietsliste</v>
      </c>
      <c r="D38" s="14" t="str">
        <v>Feiertage 2026, Fussnote zu reformierten Gemeinden</v>
      </c>
      <c r="E38" s="30" t="str">
        <v>https://www.fr.ch/de/arbeit-und-unternehmen/arbeitnehmer/feiertage</v>
      </c>
      <c r="F38" s="14"/>
      <c r="G38" s="14" t="str">
        <v>2026-09-13</v>
      </c>
      <c r="H38" s="14" t="str">
        <v>AP18/MVP0.6 wiederverwendet</v>
      </c>
      <c r="I38" s="14" t="str">
        <v>Seitenänderung 06.07.2026, kein Normversionsdatum. Zehn Gemeinden und nur Flamatt/Sensebrügg in Wünnewil-Flamatt. Anwendungsbeleg zu Art. 49 BAMG, kein separat verifizierter Staatsratsbeschluss. 18 Datumswerte 2026 abgeglichen. Freiwillige arbeitsfreie Tage ausgeschlossen.</v>
      </c>
      <c r="J38" s="15"/>
    </row>
    <row r="39" ht="114" customHeight="1">
      <c r="A39" s="13" t="str">
        <v>SRC-SO-RTG-51241-V4319</v>
      </c>
      <c r="B39" s="13" t="str">
        <v>CH-SO</v>
      </c>
      <c r="C39" s="13" t="str">
        <v>Gesetz über die öffentlichen Ruhetage, Ruhetagsgesetz RTG</v>
      </c>
      <c r="D39" s="13" t="str">
        <v>BGS 512.41, § 1, § 2 Abs. 1 und 2, § 3, Version 4319</v>
      </c>
      <c r="E39" s="29" t="str">
        <v>https://bgs.so.ch/api/de/versions/4319/pdf_file</v>
      </c>
      <c r="F39" s="13" t="str">
        <v>2014-09-01</v>
      </c>
      <c r="G39" s="13" t="str">
        <v>2026-09-13</v>
      </c>
      <c r="H39" s="13" t="str">
        <v>AP18/MVP0.6 wiederverwendet</v>
      </c>
      <c r="I39" s="13" t="str">
        <v>Erlass 18.05.2014, seit 01.09.2014 geltend. Aktuelle Liste in § 2, nicht alter § 1. 1. Mai ab 12.00 Uhr. Drei Tage ausser Bezirk Bucheggberg. Kommunale Ruhetage nach § 2 Abs. 2 nicht erhoben. Sprachprüfung offen. Gemeinsame IT/RM-Namen aus dem geprüften TI/GR-Bestand nur als provisorische Produktnamen übernommen. Keine amtliche FR-/SO-Sprachfassung behauptet. Berchtold IT/RM und Scope-Übersetzungen sind eigene provisorische Vorschläge.</v>
      </c>
      <c r="J39" s="15"/>
    </row>
    <row r="40" ht="72" customHeight="1">
      <c r="A40" s="14" t="str">
        <v>SRC-SO-FRISTENKALENDER-2026</v>
      </c>
      <c r="B40" s="14" t="str">
        <v>CH-SO</v>
      </c>
      <c r="C40" s="14" t="str">
        <v>Kanton Solothurn, gesetzliche Feiertage für die Berechnung rechtlicher Fristen 2026</v>
      </c>
      <c r="D40" s="14" t="str">
        <v>Jahresliste 2026 und Hinweis zum Bezirk Bucheggberg</v>
      </c>
      <c r="E40" s="30" t="str">
        <v>https://so.ch/allgemeine-informationen/gesetzliche-feiertage/</v>
      </c>
      <c r="F40" s="14"/>
      <c r="G40" s="14" t="str">
        <v>2026-09-13</v>
      </c>
      <c r="H40" s="14" t="str">
        <v>AP18/MVP0.6 wiederverwendet</v>
      </c>
      <c r="I40" s="14" t="str">
        <v>Aktuelle amtliche Informationsseite, ohne eigenen Normstand. Nennt 1. Mai ab 12.00 Uhr ausdrücklich im Fristenkontext. Keine Freigabe einer ganztägigen Verschiebung für alle Verfahren. Nicht als Arbeits-/Ladenöffnungskalender verwenden.</v>
      </c>
      <c r="J40" s="15"/>
    </row>
    <row r="41" ht="86" customHeight="1">
      <c r="A41" s="13" t="str">
        <v>SRC-SO-BJ-FEIERTAGSVERZEICHNIS-20110101</v>
      </c>
      <c r="B41" s="13" t="str">
        <v>CH</v>
      </c>
      <c r="C41" s="13" t="str">
        <v>BJ-Verzeichnis gesetzlicher Feiertage, historische auf so.ch verlinkte Fassung</v>
      </c>
      <c r="D41" s="13" t="str">
        <v>Stand 01.01.2011, Solothurn, S. 15–16</v>
      </c>
      <c r="E41" s="29" t="str">
        <v>https://so.ch/fileadmin/internet/administrator/dokumente/Gesetzliche_Feiertage.pdf</v>
      </c>
      <c r="F41" s="13" t="str">
        <v>2011-01-01</v>
      </c>
      <c r="G41" s="13" t="str">
        <v>2026-09-13</v>
      </c>
      <c r="H41" s="13" t="str">
        <v>AP18/MVP0.6 wiederverwendet</v>
      </c>
      <c r="I41" s="13" t="str">
        <v>Historisch, nicht geltender RTG-Stand. Feiertage und gleichbehandelte Tage im Kontext des Europäischen Fristenübereinkommens unterscheiden. 1. Mai und regionale Gleichstellungen nicht als universelle heutige Freigabe übernehmen. Hinweise Stand 17.12.2012 begrenzen den Kontext.</v>
      </c>
      <c r="J41" s="15"/>
    </row>
    <row r="42" ht="48" customHeight="1">
      <c r="A42" s="14" t="str">
        <v>SRC-CH-ESTV-KANTONSNAMEN-IT-AP18B03</v>
      </c>
      <c r="B42" s="14" t="str">
        <v>CH</v>
      </c>
      <c r="C42" s="14" t="str">
        <v>ESTV, italienische Kantonsnamen</v>
      </c>
      <c r="D42" s="14" t="str">
        <v>Link alle autorità cantonali per l’imposta alla fonte</v>
      </c>
      <c r="E42" s="30" t="str">
        <v>https://www.estv.admin.ch/it/imposta-alla-fonte-link-amministrazioni-cantonale</v>
      </c>
      <c r="F42" s="14"/>
      <c r="G42" s="14" t="str">
        <v>2026-09-13</v>
      </c>
      <c r="H42" s="14" t="str">
        <v>AP18/MVP0.6 wiederverwendet</v>
      </c>
      <c r="I42" s="14" t="str">
        <v>Amtlicher Namensbeleg für Friburgo und Soletta. Undatierte Linkliste, keine Feiertagsnorm oder sprachliche Fachabnahme des Produkts.</v>
      </c>
      <c r="J42" s="15"/>
    </row>
    <row r="43" ht="48" customHeight="1">
      <c r="A43" s="13" t="str">
        <v>SRC-CH-BK-KANTONSNAMEN-RM-2025-AP18B03</v>
      </c>
      <c r="B43" s="13" t="str">
        <v>CH</v>
      </c>
      <c r="C43" s="13" t="str">
        <v>Bundeskanzlei, La Confederaziun 2025, rätoromanische Kantonsnamen</v>
      </c>
      <c r="D43" s="13" t="str">
        <v>Ausgabe 2025, S. 8, Kantonskarte</v>
      </c>
      <c r="E43" s="29" t="str">
        <v>https://www.bk.admin.ch/dam/bk/de/dokumente/komm-ue/Buku2025/BUKU_2025_RM.pdf.download.pdf/BUKU_2025_RM.pdf</v>
      </c>
      <c r="F43" s="13"/>
      <c r="G43" s="13" t="str">
        <v>2026-09-13</v>
      </c>
      <c r="H43" s="13" t="str">
        <v>AP18/MVP0.6 wiederverwendet</v>
      </c>
      <c r="I43" s="13" t="str">
        <v>Amtlicher Namensbeleg Friburg und Soloturn. Publikationsjahr 2025, kein präzises Versionsdatum und keine Feiertagsnorm.</v>
      </c>
      <c r="J43" s="15"/>
    </row>
    <row r="44" ht="114" customHeight="1">
      <c r="A44" s="14" t="str">
        <v>SRC-ZH-RLG-8224-N045</v>
      </c>
      <c r="B44" s="14" t="str">
        <v>CH-ZH</v>
      </c>
      <c r="C44" s="14" t="str">
        <v>Ruhetags- und Ladenöffnungsgesetz, RLG</v>
      </c>
      <c r="D44" s="14" t="str">
        <v>LS 822.4, § 1, Nachtrag 045</v>
      </c>
      <c r="E44" s="30" t="str">
        <v>https://www.notes.zh.ch/appl/zhlex_r.nsf/WebView/663A7F8F1929F218C1256EB7002E6A05/%24File/822.4_26.6.00_45.pdf</v>
      </c>
      <c r="F44" s="14" t="str">
        <v>2004-07-01</v>
      </c>
      <c r="G44" s="14" t="str">
        <v>2026-09-13</v>
      </c>
      <c r="H44" s="14" t="str">
        <v>AP18/MVP0.6 wiederverwendet</v>
      </c>
      <c r="I44" s="14" t="str">
        <v>Erlass 26.06.2000. Aktueller Nachtrag 045 laut ZH-Lex, Publikationsstand 01.07.2004, einzelne letzte Inkraftsetzung 01.05.2004. Drei hohe Sonntage ergänzen die neun Nichtsonntagstage. DE-Normbegriffe normalisiert. Gemeinsame FR/IT/RM-Produktnamen aus Vorbestand, neue Bereichs- und Kantonsübersetzungen sowie St. Mauritius provisorisch. Keine neue amtliche Sprachfassung oder Sprachabnahme behauptet.</v>
      </c>
      <c r="J44" s="15"/>
    </row>
    <row r="45" ht="100" customHeight="1">
      <c r="A45" s="13" t="str">
        <v>SRC-ZH-GOG-2111-N131</v>
      </c>
      <c r="B45" s="13" t="str">
        <v>CH-ZH</v>
      </c>
      <c r="C45" s="13" t="str">
        <v>Gesetz über die Gerichts- und Behördenorganisation im Zivil- und Strafprozess, GOG</v>
      </c>
      <c r="D45" s="13" t="str">
        <v>LS 211.1, § 122, Nachtrag 131</v>
      </c>
      <c r="E45" s="29" t="str">
        <v>https://www.notes.zh.ch/appl/zhlex_r.nsf/WebView/43B3BDA36DB02CBDC1258D4C004EC591/%24File/211.1_10.5.10_131.pdf</v>
      </c>
      <c r="F45" s="13" t="str">
        <v>2026-01-01</v>
      </c>
      <c r="G45" s="13" t="str">
        <v>2026-09-13</v>
      </c>
      <c r="H45" s="13" t="str">
        <v>AP18/MVP0.6 wiederverwendet</v>
      </c>
      <c r="I45" s="13" t="str">
        <v>Erlass 10.05.2010. Aktueller Nachtrag 131 und zehn Tage unmittelbar im geltenden PDF gelesen. GOG-Berchtoldstag nicht in die RLG-Arbeitsfeiertagsliste übertragen. DE-Normbegriffe normalisiert. Gemeinsame FR/IT/RM-Produktnamen aus Vorbestand, neue Bereichs- und Kantonsübersetzungen sowie St. Mauritius provisorisch. Keine neue amtliche Sprachfassung oder Sprachabnahme behauptet.</v>
      </c>
      <c r="J45" s="15"/>
    </row>
    <row r="46" ht="114" customHeight="1">
      <c r="A46" s="14" t="str">
        <v>SRC-ZH-AWA-FEIERTAGE-2026</v>
      </c>
      <c r="B46" s="14" t="str">
        <v>CH-ZH</v>
      </c>
      <c r="C46" s="14" t="str">
        <v>Amt für Wirtschaft, Feiertage</v>
      </c>
      <c r="D46" s="14" t="str">
        <v>Gesetzliche Feiertage 2025/2026 und Abgrenzung lokaler Tage</v>
      </c>
      <c r="E46" s="30" t="str">
        <v>https://www.zh.ch/de/wirtschaft-arbeit/arbeitsbedingungen/arbeitsssicherheit-gesundheitsschutz/arbeits-ruhezeiten/feiertage.html</v>
      </c>
      <c r="F46" s="14"/>
      <c r="G46" s="14" t="str">
        <v>2026-09-13</v>
      </c>
      <c r="H46" s="14" t="str">
        <v>AP18/MVP0.6 wiederverwendet</v>
      </c>
      <c r="I46" s="14" t="str">
        <v>Neun arbeitsrechtliche Feiertage, Datumsvergleich 2026. Die Seite warnt ausdrücklich vor Verwechslung mit BJ-Fristenverzeichnis. Berchtoldstag, Sechseläuten und Knabenschiessen arbeitsrechtlich nicht allgemein gesetzlich. DE-Normbegriffe normalisiert. Gemeinsame FR/IT/RM-Produktnamen aus Vorbestand, neue Bereichs- und Kantonsübersetzungen sowie St. Mauritius provisorisch. Keine neue amtliche Sprachfassung oder Sprachabnahme behauptet.</v>
      </c>
      <c r="J46" s="15"/>
    </row>
    <row r="47" ht="114" customHeight="1">
      <c r="A47" s="13" t="str">
        <v>SRC-SH-RTG-900200-V1886</v>
      </c>
      <c r="B47" s="13" t="str">
        <v>CH-SH</v>
      </c>
      <c r="C47" s="13" t="str">
        <v>Gesetz betreffend die öffentlichen Ruhetage und den Ladenschluss, Ruhetagsgesetz</v>
      </c>
      <c r="D47" s="13" t="str">
        <v>SHR 900.200, Art. 1 und 2, Version 1886</v>
      </c>
      <c r="E47" s="29" t="str">
        <v>https://rechtsbuch.sh.ch/api/de/versions/1886/pdf_file</v>
      </c>
      <c r="F47" s="13" t="str">
        <v>2007-01-01</v>
      </c>
      <c r="G47" s="13" t="str">
        <v>2026-09-13</v>
      </c>
      <c r="H47" s="13" t="str">
        <v>AP18/MVP0.6 wiederverwendet</v>
      </c>
      <c r="I47" s="13" t="str">
        <v>Erlass 05.12.1977. Neun Nichtsonntagstage einschliesslich 1. Mai, drei benannte hohe Sonntage. Art. 1 Abs. 2 verweist für arbeitsrechtliche Gleichstellung auf separate Verordnung, kein personeller Kalender. DE-Normbegriffe normalisiert. Gemeinsame FR/IT/RM-Produktnamen aus Vorbestand, neue Bereichs- und Kantonsübersetzungen sowie St. Mauritius provisorisch. Keine neue amtliche Sprachfassung oder Sprachabnahme behauptet.</v>
      </c>
      <c r="J47" s="15"/>
    </row>
    <row r="48" ht="114" customHeight="1">
      <c r="A48" s="14" t="str">
        <v>SRC-SH-OGE-4020181K-20180824</v>
      </c>
      <c r="B48" s="14" t="str">
        <v>CH-SH</v>
      </c>
      <c r="C48" s="14" t="str">
        <v>Obergericht, OGE 40/2018/1/K vom 24.08.2018</v>
      </c>
      <c r="D48" s="14" t="str">
        <v>Amtsbericht 2018, S. 84–87, E. 2.1.1–2.1.4</v>
      </c>
      <c r="E48" s="30" t="str">
        <v>https://sh.ch/CMS/get/file/771a1a2e-4ef2-47bb-9b04-f4afc5aed3ea</v>
      </c>
      <c r="F48" s="14" t="str">
        <v>2018-08-24</v>
      </c>
      <c r="G48" s="14" t="str">
        <v>2026-09-13</v>
      </c>
      <c r="H48" s="14" t="str">
        <v>AP18/MVP0.6 wiederverwendet</v>
      </c>
      <c r="I48" s="14" t="str">
        <v>Entscheidsdatum, kein Normversionsdatum. Amtlicher Volltext plus Entscheidsuche und OpenCaseLaw abgeglichen. Berchtoldstag für Art. 142 Abs. 3 ZPO anerkannt. Publikationsdatum 02.02.2021 nicht als Entscheidsdatum übernehmen. DE-Normbegriffe normalisiert. Gemeinsame FR/IT/RM-Produktnamen aus Vorbestand, neue Bereichs- und Kantonsübersetzungen sowie St. Mauritius provisorisch. Keine neue amtliche Sprachfassung oder Sprachabnahme behauptet.</v>
      </c>
      <c r="J48" s="15"/>
    </row>
    <row r="49" ht="100" customHeight="1">
      <c r="A49" s="13" t="str">
        <v>SRC-TG-RTG-8229-V2949</v>
      </c>
      <c r="B49" s="13" t="str">
        <v>CH-TG</v>
      </c>
      <c r="C49" s="13" t="str">
        <v>Ruhetagsgesetz, RTG</v>
      </c>
      <c r="D49" s="13" t="str">
        <v>RB 822.9, § 1 und 2, Version 2949</v>
      </c>
      <c r="E49" s="29" t="str">
        <v>https://www.rechtsbuch.tg.ch/api/de/versions/2949/pdf_file</v>
      </c>
      <c r="F49" s="13" t="str">
        <v>2026-01-01</v>
      </c>
      <c r="G49" s="13" t="str">
        <v>2026-09-13</v>
      </c>
      <c r="H49" s="13" t="str">
        <v>AP18/MVP0.6 wiederverwendet</v>
      </c>
      <c r="I49" s="13" t="str">
        <v>Neuer Erlass vom 05.02.2025, in Kraft 01.01.2026. Zehn namentliche Nichtsonntagstage einschliesslich 2. Januar und 1. Mai. Hohe Sonntage einzeln, keine Sonntagsserie. DE-Normbegriffe normalisiert. Gemeinsame FR/IT/RM-Produktnamen aus Vorbestand, neue Bereichs- und Kantonsübersetzungen sowie St. Mauritius provisorisch. Keine neue amtliche Sprachfassung oder Sprachabnahme behauptet.</v>
      </c>
      <c r="J49" s="15"/>
    </row>
    <row r="50" ht="100" customHeight="1">
      <c r="A50" s="14" t="str">
        <v>SRC-SG-RLG-5521-V228</v>
      </c>
      <c r="B50" s="14" t="str">
        <v>CH-SG</v>
      </c>
      <c r="C50" s="14" t="str">
        <v>Gesetz über Ruhetag und Ladenöffnung, RLG</v>
      </c>
      <c r="D50" s="14" t="str">
        <v>sGS 552.1, Art. 2 und 3, Version 228</v>
      </c>
      <c r="E50" s="30" t="str">
        <v>https://www.gesetzessammlung.sg.ch/api/de/versions/228/pdf_file</v>
      </c>
      <c r="F50" s="14" t="str">
        <v>2008-01-22</v>
      </c>
      <c r="G50" s="14" t="str">
        <v>2026-09-13</v>
      </c>
      <c r="H50" s="14" t="str">
        <v>AP18/MVP0.6 wiederverwendet</v>
      </c>
      <c r="I50" s="14" t="str">
        <v>Erlass 29.06.2004, PDF-Stand 22.01.2008. Neun namentliche Nichtsonntagstage plus drei hohe Sonntage. Allerheiligen enthalten, Berchtoldstag fehlt in der RLG-Liste. DE-Normbegriffe normalisiert. Gemeinsame FR/IT/RM-Produktnamen aus Vorbestand, neue Bereichs- und Kantonsübersetzungen sowie St. Mauritius provisorisch. Keine neue amtliche Sprachfassung oder Sprachabnahme behauptet.</v>
      </c>
      <c r="J50" s="15"/>
    </row>
    <row r="51" ht="128" customHeight="1">
      <c r="A51" s="13" t="str">
        <v>SRC-SG-KGER-FS20121-20120329</v>
      </c>
      <c r="B51" s="13" t="str">
        <v>CH-SG</v>
      </c>
      <c r="C51" s="13" t="str">
        <v>Kantonsgericht, Einzelrichter im Familienrecht, FS.2012.1 vom 29.03.2012</v>
      </c>
      <c r="D51" s="13" t="str">
        <v>Erwägungen zur Fristwahrung am Berchtoldstag, Publikation 18.02.2020</v>
      </c>
      <c r="E51" s="29" t="str">
        <v>https://publikationen.sg.ch/rechtsprechung-gerichte-detail/6031/</v>
      </c>
      <c r="F51" s="13" t="str">
        <v>2012-03-29</v>
      </c>
      <c r="G51" s="13" t="str">
        <v>2026-09-13</v>
      </c>
      <c r="H51" s="13" t="str">
        <v>AP18/MVP0.6 wiederverwendet</v>
      </c>
      <c r="I51" s="13" t="str">
        <v>Entscheidsdatum, kein Normversionsdatum. Volltext via OpenCaseLaw und amtliche Publikationsmetadaten/Entscheidsuche. Ein OpenCaseLaw-Datensatz ordnet fälschlich das Vorinstanzdatum 24.11.2011 zu, Titel und Volltext nennen 29.03.2012. Nur ZPO-Ergänzung, keine allgemeine Feiertagsfreigabe. DE-Normbegriffe normalisiert. Gemeinsame FR/IT/RM-Produktnamen aus Vorbestand, neue Bereichs- und Kantonsübersetzungen sowie St. Mauritius provisorisch. Keine neue amtliche Sprachfassung oder Sprachabnahme behauptet.</v>
      </c>
      <c r="J51" s="15"/>
    </row>
    <row r="52" ht="72" customHeight="1">
      <c r="A52" s="14" t="str">
        <v>SRC-AR-ARGV-82211-V1058</v>
      </c>
      <c r="B52" s="14" t="str">
        <v>CH-AR</v>
      </c>
      <c r="C52" s="14" t="str">
        <v>Verordnung zum Bundesgesetz über die Arbeit in Industrie, Gewerbe und Handel</v>
      </c>
      <c r="D52" s="14" t="str">
        <v>bGS 822.11, Art. 7, Version 1058</v>
      </c>
      <c r="E52" s="30" t="str">
        <v>https://ar.clex.ch/api/de/versions/1058/pdf_file</v>
      </c>
      <c r="F52" s="14" t="str">
        <v>2016-01-01</v>
      </c>
      <c r="G52" s="14" t="str">
        <v>2026-09-22</v>
      </c>
      <c r="H52" s="14" t="str">
        <v>AP18/MVP0.6 wiederverwendet</v>
      </c>
      <c r="I52" s="14" t="str">
        <v>Stephanstag nach Art. 7 Abs. 1 Arbeitsverordnung: 26. Dezember ausser Dienstag oder Samstag. Fachlich bestätigt am 22.09.2026, als bedingte Regel ergänzt. Keine pauschale Freigabe einer Fristwirkung. Sprachergänzungen bleiben provisorische Produktbezeichnungen.</v>
      </c>
      <c r="J52" s="15"/>
    </row>
    <row r="53" ht="86" customHeight="1">
      <c r="A53" s="13" t="str">
        <v>SRC-AI-RTG-822200-V1327</v>
      </c>
      <c r="B53" s="13" t="str">
        <v>CH-AI</v>
      </c>
      <c r="C53" s="13" t="str">
        <v>Gesetz über die öffentlichen Ruhetage, Ruhetagsgesetz</v>
      </c>
      <c r="D53" s="13" t="str">
        <v>GS 822.200, Art. 2 und 3, Version 1327</v>
      </c>
      <c r="E53" s="29" t="str">
        <v>https://ai.clex.ch/api/de/versions/1327/pdf_file</v>
      </c>
      <c r="F53" s="13" t="str">
        <v>2011-01-01</v>
      </c>
      <c r="G53" s="13" t="str">
        <v>2026-09-22</v>
      </c>
      <c r="H53" s="13" t="str">
        <v>AP18/MVP0.6 wiederverwendet</v>
      </c>
      <c r="I53" s="13" t="str">
        <v>Stephanstag nach Art. 2 Abs. 1 Bst. b RTG: 26. Dezember ausser Dienstag oder Samstag. David Steimer entscheidet am 22.09.2026 zugunsten der Norm. Die abweichende amtliche Liste für 26.12.2026 bleibt als Quellenabweichung dokumentiert, nicht als amtlich korrigiert. Sprachergänzungen bleiben provisorische Produktbezeichnungen.</v>
      </c>
      <c r="J53" s="15"/>
    </row>
    <row r="54" ht="128" customHeight="1">
      <c r="A54" s="14" t="str">
        <v>SRC-AI-RUHETAGE-INFO-2026</v>
      </c>
      <c r="B54" s="14" t="str">
        <v>CH-AI</v>
      </c>
      <c r="C54" s="14" t="str">
        <v>Kantonale Informationsseite Feiertage / Ruhetage</v>
      </c>
      <c r="D54" s="14" t="str">
        <v>Öffentliche Ruhetage und geschlossene Verwaltungstage</v>
      </c>
      <c r="E54" s="30" t="str">
        <v>https://ai.ch/themen/wirtschaft-und-arbeit/feiertage-ruhetage</v>
      </c>
      <c r="F54" s="14"/>
      <c r="G54" s="14" t="str">
        <v>2026-09-13</v>
      </c>
      <c r="H54" s="14" t="str">
        <v>AP18/MVP0.6 wiederverwendet</v>
      </c>
      <c r="I54" s="14" t="str">
        <v>Amtliche Erläuterung bestätigt Bedingung des Stephanstags und Unterschied kantonaler lokaler Ruhetage zur arbeitsrechtlichen Gleichstellung. 2. Januar, Freitag nach Auffahrt, 24. und 31. Dezember sind gesonderte Schliessungstage und werden nicht als allgemeine Feiertage erzeugt. DE-Normbegriffe normalisiert. Gemeinsame FR/IT/RM-Produktnamen aus Vorbestand, neue Bereichs- und Kantonsübersetzungen sowie St. Mauritius provisorisch. Keine neue amtliche Sprachfassung oder Sprachabnahme behauptet.</v>
      </c>
      <c r="J54" s="15"/>
    </row>
    <row r="55" ht="86" customHeight="1">
      <c r="A55" s="13" t="str">
        <v>SRC-AI-RUHETAGE-LISTE-2026</v>
      </c>
      <c r="B55" s="13" t="str">
        <v>CH-AI</v>
      </c>
      <c r="C55" s="13" t="str">
        <v>Kantonale Auflistung der bevorstehenden Feiertage</v>
      </c>
      <c r="D55" s="13" t="str">
        <v>St. Mauritius 22.09.2026 und Stephanstag 26.12.2026</v>
      </c>
      <c r="E55" s="29" t="str">
        <v>https://ai.ch/themen/wirtschaft-und-arbeit/feiertage-ruhetage/feiertage</v>
      </c>
      <c r="F55" s="13"/>
      <c r="G55" s="13" t="str">
        <v>2026-09-22</v>
      </c>
      <c r="H55" s="13" t="str">
        <v>AP18/MVP0.6 wiederverwendet</v>
      </c>
      <c r="I55" s="13" t="str">
        <v>Stephanstag nach Art. 2 Abs. 1 Bst. b RTG: 26. Dezember ausser Dienstag oder Samstag. David Steimer entscheidet am 22.09.2026 zugunsten der Norm. Die abweichende amtliche Liste für 26.12.2026 bleibt als Quellenabweichung dokumentiert, nicht als amtlich korrigiert. Sprachergänzungen bleiben provisorische Produktbezeichnungen.</v>
      </c>
      <c r="J55" s="15"/>
    </row>
    <row r="56" ht="128" customHeight="1">
      <c r="A56" s="14" t="str">
        <v>SRC-AI-INNERRHODEN-ZAHLEN-2025</v>
      </c>
      <c r="B56" s="14" t="str">
        <v>CH-AI</v>
      </c>
      <c r="C56" s="14" t="str">
        <v>Innerrhoden in Zahlen, amtlicher Einwohnerbestand</v>
      </c>
      <c r="D56" s="14" t="str">
        <v>Gebietstabelle Stand 31.12.2025, Quelle Einwohnerkontrolle</v>
      </c>
      <c r="E56" s="30" t="str">
        <v>https://ai.ch/land-und-leute/innerrhoden-in-zahlen</v>
      </c>
      <c r="F56" s="14"/>
      <c r="G56" s="14" t="str">
        <v>2026-09-13</v>
      </c>
      <c r="H56" s="14" t="str">
        <v>AP18/MVP0.6 wiederverwendet</v>
      </c>
      <c r="I56" s="14" t="str">
        <v>Territorialer Beleg für inneren Landesteil: Appenzell, Schwende-Rüte, Schlatt-Haslen und Gonten. Oberegg separat. Fussnoten ordnen Wonnenstein statistisch Schlatt-Haslen, Grimmenstein Oberegg zu, keine eigene Normauslegung zur Feiertagsgeltung auf Klosterparzellen. DE-Normbegriffe normalisiert. Gemeinsame FR/IT/RM-Produktnamen aus Vorbestand, neue Bereichs- und Kantonsübersetzungen sowie St. Mauritius provisorisch. Keine neue amtliche Sprachfassung oder Sprachabnahme behauptet.</v>
      </c>
      <c r="J56" s="15"/>
    </row>
    <row r="57" ht="86" customHeight="1">
      <c r="A57" s="13" t="str">
        <v>SRC-AI-STK-FEIERTAGE-20150929</v>
      </c>
      <c r="B57" s="13" t="str">
        <v>CH-AI</v>
      </c>
      <c r="C57" s="13" t="str">
        <v>Standeskommission, Überprüfung der Feiertage im Kanton</v>
      </c>
      <c r="D57" s="13" t="str">
        <v>Bericht 29.09.2015, Ziff. 2, 3 und 4.3, S. 3–4 und 7</v>
      </c>
      <c r="E57" s="29" t="str">
        <v>https://ai.ch/themen/wirtschaft-und-arbeit/feiertage-ruhetage/dokumente/20150929-stk-bericht-feiertage.pdf</v>
      </c>
      <c r="F57" s="13" t="str">
        <v>2015-09-29</v>
      </c>
      <c r="G57" s="13" t="str">
        <v>2026-09-22</v>
      </c>
      <c r="H57" s="13" t="str">
        <v>AP18/MVP0.6 wiederverwendet</v>
      </c>
      <c r="I57" s="13" t="str">
        <v>Stephanstag nach Art. 2 Abs. 1 Bst. b RTG: 26. Dezember ausser Dienstag oder Samstag. David Steimer entscheidet am 22.09.2026 zugunsten der Norm. Die abweichende amtliche Liste für 26.12.2026 bleibt als Quellenabweichung dokumentiert, nicht als amtlich korrigiert. Sprachergänzungen bleiben provisorische Produktbezeichnungen.</v>
      </c>
      <c r="J57" s="15"/>
    </row>
    <row r="58" ht="100" customHeight="1">
      <c r="A58" s="14" t="str">
        <v>SRC-LU-RLG-855-20200501</v>
      </c>
      <c r="B58" s="14" t="str">
        <v>CH-LU</v>
      </c>
      <c r="C58" s="14" t="str">
        <v>Ruhetags- und Ladenschlussgesetz, RLG</v>
      </c>
      <c r="D58" s="14" t="str">
        <v>SRL 855, § 1a Abs. 1–3 und § 2</v>
      </c>
      <c r="E58" s="30" t="str">
        <v>https://srl.lu.ch/data/855/de</v>
      </c>
      <c r="F58" s="14" t="str">
        <v>2020-05-01</v>
      </c>
      <c r="G58" s="14" t="str">
        <v>2026-09-13</v>
      </c>
      <c r="H58" s="14" t="str">
        <v>AP18/MVP0.6 wiederverwendet</v>
      </c>
      <c r="I58" s="14" t="str">
        <v>Erlass 23.11.1987. Aktiver Stand über amtliche Sammlung und LexFind/Swiss Caselaw abgeglichen. Kommunale Erklärungen nach § 1a Abs. 1c ausgeschlossen. IT/RM-Namen aus dem bestehenden Bestand provisorisch übernommen. Neue Scope-Namen, Kantonsnamen und Bruderklausenfest-Übersetzungen sind provisorische Produkttexte, keine amtlichen Sprachfassungen. Sprachabnahme offen.</v>
      </c>
      <c r="J58" s="15"/>
    </row>
    <row r="59" ht="100" customHeight="1">
      <c r="A59" s="13" t="str">
        <v>SRC-LU-VRG-40-20210901</v>
      </c>
      <c r="B59" s="13" t="str">
        <v>CH-LU</v>
      </c>
      <c r="C59" s="13" t="str">
        <v>Gesetz über die Verwaltungsrechtspflege, VRG</v>
      </c>
      <c r="D59" s="13" t="str">
        <v>SRL 40, § 34 Abs. 1 und 2</v>
      </c>
      <c r="E59" s="29" t="str">
        <v>https://srl.lu.ch/data/40/de</v>
      </c>
      <c r="F59" s="13" t="str">
        <v>2021-09-01</v>
      </c>
      <c r="G59" s="13" t="str">
        <v>2026-09-13</v>
      </c>
      <c r="H59" s="13" t="str">
        <v>AP18/MVP0.6 wiederverwendet</v>
      </c>
      <c r="I59" s="13" t="str">
        <v>Drei zusätzliche Tage. Öffentliche Ruhetage gelten unter ausdrücklicher Ausnahme Josefstag/Patrozinium. Rückwärtszählung gesondert. Erhebung aktiviert keinen VRG-LU-Rechner. IT/RM-Namen aus dem bestehenden Bestand provisorisch übernommen. Neue Scope-Namen, Kantonsnamen und Bruderklausenfest-Übersetzungen sind provisorische Produkttexte, keine amtlichen Sprachfassungen. Sprachabnahme offen.</v>
      </c>
      <c r="J59" s="15"/>
    </row>
    <row r="60" ht="100" customHeight="1">
      <c r="A60" s="14" t="str">
        <v>SRC-LU-JUSG-260-20260101</v>
      </c>
      <c r="B60" s="14" t="str">
        <v>CH-LU</v>
      </c>
      <c r="C60" s="14" t="str">
        <v>Justizgesetz, JusG</v>
      </c>
      <c r="D60" s="14" t="str">
        <v>SRL 260, § 76</v>
      </c>
      <c r="E60" s="30" t="str">
        <v>https://srl.lu.ch/data/260/de</v>
      </c>
      <c r="F60" s="14" t="str">
        <v>2026-01-01</v>
      </c>
      <c r="G60" s="14" t="str">
        <v>2026-09-13</v>
      </c>
      <c r="H60" s="14" t="str">
        <v>AP18/MVP0.6 wiederverwendet</v>
      </c>
      <c r="I60" s="14" t="str">
        <v>Eigene Liste von 13 Tagen für ZPO/StPO. Geltende Fassung mit Beschluss 20.10.2025 geprüft. Keine allgemeine ArG-Liste. IT/RM-Namen aus dem bestehenden Bestand provisorisch übernommen. Neue Scope-Namen, Kantonsnamen und Bruderklausenfest-Übersetzungen sind provisorische Produkttexte, keine amtlichen Sprachfassungen. Sprachabnahme offen.</v>
      </c>
      <c r="J60" s="15"/>
    </row>
    <row r="61" ht="100" customHeight="1">
      <c r="A61" s="13" t="str">
        <v>SRC-UR-LSG-701421-20030101</v>
      </c>
      <c r="B61" s="13" t="str">
        <v>CH-UR</v>
      </c>
      <c r="C61" s="13" t="str">
        <v>Gesetz über den Ladenschluss und die Sonntagsruhe, LSG</v>
      </c>
      <c r="D61" s="13" t="str">
        <v>RB 70.1421, Art. 9 und 10</v>
      </c>
      <c r="E61" s="29" t="str">
        <v>https://rechtsbuch.ur.ch/api/de/versions/963/pdf_file</v>
      </c>
      <c r="F61" s="13" t="str">
        <v>2003-01-01</v>
      </c>
      <c r="G61" s="13" t="str">
        <v>2026-09-13</v>
      </c>
      <c r="H61" s="13" t="str">
        <v>AP18/MVP0.6 wiederverwendet</v>
      </c>
      <c r="I61" s="13" t="str">
        <v>Amtlicher Text nennt Erlass 09.02.2003 und Stand/Inkrafttreten 01.01.2003. Datierung unverändert wiedergegeben. 14 kantonsweite Tage, Gemeindefeiertage separat ausgeschlossen. IT/RM-Namen aus dem bestehenden Bestand provisorisch übernommen. Neue Scope-Namen, Kantonsnamen und Bruderklausenfest-Übersetzungen sind provisorische Produkttexte, keine amtlichen Sprachfassungen. Sprachabnahme offen.</v>
      </c>
      <c r="J61" s="15"/>
    </row>
    <row r="62" ht="100" customHeight="1">
      <c r="A62" s="14" t="str">
        <v>SRC-UR-KAV-201111-20020201</v>
      </c>
      <c r="B62" s="14" t="str">
        <v>CH-UR</v>
      </c>
      <c r="C62" s="14" t="str">
        <v>Kantonale Arbeitsverordnung, KAV</v>
      </c>
      <c r="D62" s="14" t="str">
        <v>RB 20.1111, Art. 6</v>
      </c>
      <c r="E62" s="30" t="str">
        <v>https://rechtsbuch.ur.ch/data/20.1111/de</v>
      </c>
      <c r="F62" s="14" t="str">
        <v>2002-02-01</v>
      </c>
      <c r="G62" s="14" t="str">
        <v>2026-09-13</v>
      </c>
      <c r="H62" s="14" t="str">
        <v>AP18/MVP0.6 wiederverwendet</v>
      </c>
      <c r="I62" s="14" t="str">
        <v>Acht kantonale arbeitsgesetzliche Feiertage. LSG Art. 10 verweist darauf. Keine Übernahme sämtlicher 14 LSG-Tage in ArG. IT/RM-Namen aus dem bestehenden Bestand provisorisch übernommen. Neue Scope-Namen, Kantonsnamen und Bruderklausenfest-Übersetzungen sind provisorische Produkttexte, keine amtlichen Sprachfassungen. Sprachabnahme offen.</v>
      </c>
      <c r="J62" s="15"/>
    </row>
    <row r="63" ht="100" customHeight="1">
      <c r="A63" s="13" t="str">
        <v>SRC-UR-FEIERTAGE-20230406</v>
      </c>
      <c r="B63" s="13" t="str">
        <v>CH-UR</v>
      </c>
      <c r="C63" s="13" t="str">
        <v>Amt für Arbeit und Migration, Feiertage im Kanton Uri</v>
      </c>
      <c r="D63" s="13" t="str">
        <v>Ausgabe 04/2023, Stand 06.04.2023, S. 1</v>
      </c>
      <c r="E63" s="29" t="str">
        <v>https://www.ur.ch/publikationen/6581</v>
      </c>
      <c r="F63" s="13"/>
      <c r="G63" s="13" t="str">
        <v>2026-09-13</v>
      </c>
      <c r="H63" s="13" t="str">
        <v>AP18/MVP0.6 wiederverwendet</v>
      </c>
      <c r="I63" s="13" t="str">
        <v>Amtlicher Listenabgleich 14 LSG-Tage versus neun sonntagsgleiche Tage einschliesslich Bundesfeier. Publikationsstand ist kein eigener Normstand. IT/RM-Namen aus dem bestehenden Bestand provisorisch übernommen. Neue Scope-Namen, Kantonsnamen und Bruderklausenfest-Übersetzungen sind provisorische Produkttexte, keine amtlichen Sprachfassungen. Sprachabnahme offen.</v>
      </c>
      <c r="J63" s="15"/>
    </row>
    <row r="64" ht="100" customHeight="1">
      <c r="A64" s="14" t="str">
        <v>SRC-SZ-RTG-545110-20180701</v>
      </c>
      <c r="B64" s="14" t="str">
        <v>CH-SZ</v>
      </c>
      <c r="C64" s="14" t="str">
        <v>Ruhetagsgesetz</v>
      </c>
      <c r="D64" s="14" t="str">
        <v>SRSZ 545.110, § 2 Abs. 1 und 2</v>
      </c>
      <c r="E64" s="30" t="str">
        <v>https://www.sz.ch/public/upload/assets/28055/545_110.pdf</v>
      </c>
      <c r="F64" s="14" t="str">
        <v>2018-07-01</v>
      </c>
      <c r="G64" s="14" t="str">
        <v>2026-09-13</v>
      </c>
      <c r="H64" s="14" t="str">
        <v>AP18/MVP0.6 wiederverwendet</v>
      </c>
      <c r="I64" s="14" t="str">
        <v>Erlass 21.11.2001. Letzte im PDF belegte Änderung in Kraft 01.07.2018, PDF-Ausgabe SRSZ 01.02.2019 ist kein neues Inkrafttreten. 17 kantonsweite benannte Tage. IT/RM-Namen aus dem bestehenden Bestand provisorisch übernommen. Neue Scope-Namen, Kantonsnamen und Bruderklausenfest-Übersetzungen sind provisorische Produkttexte, keine amtlichen Sprachfassungen. Sprachabnahme offen.</v>
      </c>
      <c r="J64" s="15"/>
    </row>
    <row r="65" ht="100" customHeight="1">
      <c r="A65" s="13" t="str">
        <v>SRC-SZ-FEIERTAGSREGELUNG-AP18B04</v>
      </c>
      <c r="B65" s="13" t="str">
        <v>CH-SZ</v>
      </c>
      <c r="C65" s="13" t="str">
        <v>Amt für Arbeit, Feiertagsregelung Kanton Schwyz</v>
      </c>
      <c r="D65" s="13" t="str">
        <v>Ziff. 1–4</v>
      </c>
      <c r="E65" s="29" t="str">
        <v>https://www.sz.ch/public/upload/assets/36693/Feiertagsregelung_Kanton_Schwyz.pdf?fp=6</v>
      </c>
      <c r="F65" s="13"/>
      <c r="G65" s="13" t="str">
        <v>2026-09-13</v>
      </c>
      <c r="H65" s="13" t="str">
        <v>AP18/MVP0.6 wiederverwendet</v>
      </c>
      <c r="I65" s="13" t="str">
        <v>Aktuell verlinktes amtliches Merkblatt. Interner Dateiname enthält 20251211, kein eigener Normstand abgeleitet. Kommunal festgelegte Patronstage ausdrücklich nicht übernommen. IT/RM-Namen aus dem bestehenden Bestand provisorisch übernommen. Neue Scope-Namen, Kantonsnamen und Bruderklausenfest-Übersetzungen sind provisorische Produkttexte, keine amtlichen Sprachfassungen. Sprachabnahme offen.</v>
      </c>
      <c r="J65" s="15"/>
    </row>
    <row r="66" ht="100" customHeight="1">
      <c r="A66" s="14" t="str">
        <v>SRC-OW-RTG-9752-20090801</v>
      </c>
      <c r="B66" s="14" t="str">
        <v>CH-OW</v>
      </c>
      <c r="C66" s="14" t="str">
        <v>Gesetz über die öffentlichen Ruhetage, Ruhetagsgesetz</v>
      </c>
      <c r="D66" s="14" t="str">
        <v>GDB 975.2, Art. 2 Abs. 1–3</v>
      </c>
      <c r="E66" s="30" t="str">
        <v>https://gdb.ow.ch/api/de/versions/103/pdf_file</v>
      </c>
      <c r="F66" s="14" t="str">
        <v>2009-08-01</v>
      </c>
      <c r="G66" s="14" t="str">
        <v>2026-09-13</v>
      </c>
      <c r="H66" s="14" t="str">
        <v>AP18/MVP0.6 wiederverwendet</v>
      </c>
      <c r="I66" s="14" t="str">
        <v>Erlass 27.04.2007, geltender Stand 01.08.2009. Bruderklausenfest 25.09. ausdrücklich in Abs. 1b. Abs. 3 enthält engere ArG-Liste. IT/RM-Namen aus dem bestehenden Bestand provisorisch übernommen. Neue Scope-Namen, Kantonsnamen und Bruderklausenfest-Übersetzungen sind provisorische Produkttexte, keine amtlichen Sprachfassungen. Sprachabnahme offen.</v>
      </c>
      <c r="J66" s="15"/>
    </row>
    <row r="67" ht="100" customHeight="1">
      <c r="A67" s="13" t="str">
        <v>SRC-NW-RTG-9211-20160101</v>
      </c>
      <c r="B67" s="13" t="str">
        <v>CH-NW</v>
      </c>
      <c r="C67" s="13" t="str">
        <v>Gesetz über die öffentlichen Ruhetage, RTG</v>
      </c>
      <c r="D67" s="13" t="str">
        <v>NG 921.1, Art. 2 Abs. 1 und 2</v>
      </c>
      <c r="E67" s="29" t="str">
        <v>https://gesetze.nw.ch/app/de/texts_of_law/921.1</v>
      </c>
      <c r="F67" s="13" t="str">
        <v>2016-01-01</v>
      </c>
      <c r="G67" s="13" t="str">
        <v>2026-09-13</v>
      </c>
      <c r="H67" s="13" t="str">
        <v>AP18/MVP0.6 wiederverwendet</v>
      </c>
      <c r="I67" s="13" t="str">
        <v>Erlass 01.06.2005, geltender Stand 01.01.2016. Dreizehn benannte Tage. Kommunale Reglemente nach Abs. 1 Ziff. 4 sind ausserhalb Erhebung. IT/RM-Namen aus dem bestehenden Bestand provisorisch übernommen. Neue Scope-Namen, Kantonsnamen und Bruderklausenfest-Übersetzungen sind provisorische Produkttexte, keine amtlichen Sprachfassungen. Sprachabnahme offen.</v>
      </c>
      <c r="J67" s="15"/>
    </row>
    <row r="68" ht="100" customHeight="1">
      <c r="A68" s="14" t="str">
        <v>SRC-ZG-RLG-94231-20250822</v>
      </c>
      <c r="B68" s="14" t="str">
        <v>CH-ZG</v>
      </c>
      <c r="C68" s="14" t="str">
        <v>Ruhetags- und Ladenöffnungsgesetz</v>
      </c>
      <c r="D68" s="14" t="str">
        <v>BGS 942.31, § 1 und § 5 Abs. 2</v>
      </c>
      <c r="E68" s="30" t="str">
        <v>https://bgs.zg.ch/app/de/texts_of_law/942.31</v>
      </c>
      <c r="F68" s="14" t="str">
        <v>2025-08-22</v>
      </c>
      <c r="G68" s="14" t="str">
        <v>2026-09-13</v>
      </c>
      <c r="H68" s="14" t="str">
        <v>AP18/MVP0.6 wiederverwendet</v>
      </c>
      <c r="I68" s="14" t="str">
        <v>Erlass 28.08.2003. Aktuelle Fassung Stand 22.08.2025. Neun Feiertage plus drei namentliche Sonntage im Ladenöffnungs-Ausnahmekatalog. Kein gleichlautender VRG-Katalog. IT/RM-Namen aus dem bestehenden Bestand provisorisch übernommen. Neue Scope-Namen, Kantonsnamen und Bruderklausenfest-Übersetzungen sind provisorische Produkttexte, keine amtlichen Sprachfassungen. Sprachabnahme offen.</v>
      </c>
      <c r="J68" s="15"/>
    </row>
    <row r="69" ht="100" customHeight="1">
      <c r="A69" s="13" t="str">
        <v>SRC-ZG-VRG-1621-20251017</v>
      </c>
      <c r="B69" s="13" t="str">
        <v>CH-ZG</v>
      </c>
      <c r="C69" s="13" t="str">
        <v>Gesetz über den Rechtsschutz in Verwaltungssachen, VRG</v>
      </c>
      <c r="D69" s="13" t="str">
        <v>BGS 162.1, § 1 Abs. 2 und § 10 Abs. 3–4</v>
      </c>
      <c r="E69" s="29" t="str">
        <v>https://bgs.zg.ch/app/de/texts_of_law/162.1/versions/2740</v>
      </c>
      <c r="F69" s="13" t="str">
        <v>2025-10-17</v>
      </c>
      <c r="G69" s="13" t="str">
        <v>2026-09-13</v>
      </c>
      <c r="H69" s="13" t="str">
        <v>AP18/MVP0.6 wiederverwendet</v>
      </c>
      <c r="I69" s="13" t="str">
        <v>Erlass 01.04.1976. Eigene Fristenliste mit 16 Tagen. Aktueller Stand über LexFind/Swiss Caselaw und amtlichen Normtext verifiziert. IT/RM-Namen aus dem bestehenden Bestand provisorisch übernommen. Neue Scope-Namen, Kantonsnamen und Bruderklausenfest-Übersetzungen sind provisorische Produkttexte, keine amtlichen Sprachfassungen. Sprachabnahme offen.</v>
      </c>
      <c r="J69" s="15"/>
    </row>
    <row r="70" ht="114" customHeight="1">
      <c r="A70" s="14" t="str">
        <v>SRC-ZG-FEIERTAGE-2026-2027</v>
      </c>
      <c r="B70" s="14" t="str">
        <v>CH-ZG</v>
      </c>
      <c r="C70" s="14" t="str">
        <v>Amt für Wirtschaft und Arbeit, Feiertage 2026 und 2027</v>
      </c>
      <c r="D70" s="14" t="str">
        <v>Jahreslisten 2026/2027 und Hinweis zu feiertagsähnlichen Tagen</v>
      </c>
      <c r="E70" s="30" t="str">
        <v>https://zg.ch/dam/jcr:d241f3f6-4c0c-4bb2-9096-b53dd371501c/Feiertage_2026_2027_Kt-ZG_Daten.pdf</v>
      </c>
      <c r="F70" s="14"/>
      <c r="G70" s="14" t="str">
        <v>2026-09-13</v>
      </c>
      <c r="H70" s="14" t="str">
        <v>AP18/MVP0.6 wiederverwendet</v>
      </c>
      <c r="I70" s="14" t="str">
        <v>18 amtliche Datumswerte zur Neuner-Grundliste geprüft. Berchtold, Oster-/Pfingstmontag und Stephanstag sind arbeitsrechtlich nicht automatisch frei. Daraus folgt kein Ausschluss ihrer ausdrücklichen VRG-Fristwirkung. IT/RM-Namen aus dem bestehenden Bestand provisorisch übernommen. Neue Scope-Namen, Kantonsnamen und Bruderklausenfest-Übersetzungen sind provisorische Produkttexte, keine amtlichen Sprachfassungen. Sprachabnahme offen.</v>
      </c>
      <c r="J70" s="15"/>
    </row>
    <row r="71" ht="86" customHeight="1">
      <c r="A71" s="13" t="str">
        <v>SRC-GL-RTG-IXB211-20190701</v>
      </c>
      <c r="B71" s="13" t="str">
        <v>CH-GL</v>
      </c>
      <c r="C71" s="13" t="str">
        <v>Gesetz über die öffentlichen Ruhetage, Ruhetagsgesetz</v>
      </c>
      <c r="D71" s="13" t="str">
        <v>GS IX B/21/1, Art. 2 Abs. 1 und 5 / Art. 7</v>
      </c>
      <c r="E71" s="29" t="str">
        <v>https://gesetze.gl.ch/api/de/versions/2110/pdf_file</v>
      </c>
      <c r="F71" s="13" t="str">
        <v>2019-07-01</v>
      </c>
      <c r="G71" s="13" t="str">
        <v>2026-09-22</v>
      </c>
      <c r="H71" s="13" t="str">
        <v>AP18/MVP0.6 wiederverwendet</v>
      </c>
      <c r="I71" s="13" t="str">
        <v>Näfelser Fahrt: erster Donnerstag im April, bei Gründonnerstag sieben Tage später. Amtliche Regierungsratsmitteilung 06.01.2026 und Fachbestätigung 22.09.2026. 2026: 09.04.2026. Keine jährlichen Scheinfixdaten. Sprachergänzungen bleiben provisorische Produktbezeichnungen.</v>
      </c>
      <c r="J71" s="15"/>
    </row>
    <row r="72" ht="114" customHeight="1">
      <c r="A72" s="14" t="str">
        <v>SRC-GL-FAHRT-IA31-18350524</v>
      </c>
      <c r="B72" s="14" t="str">
        <v>CH-GL</v>
      </c>
      <c r="C72" s="14" t="str">
        <v>Gesetz betreffend die Feier der Näfelser Fahrt</v>
      </c>
      <c r="D72" s="14" t="str">
        <v>GS I A/3/1, Art. 7</v>
      </c>
      <c r="E72" s="30" t="str">
        <v>https://gesetze.gl.ch/data/I-A.3.1/de</v>
      </c>
      <c r="F72" s="14" t="str">
        <v>1835-05-24</v>
      </c>
      <c r="G72" s="14" t="str">
        <v>2026-09-13</v>
      </c>
      <c r="H72" s="14" t="str">
        <v>AP18/MVP0.6 wiederverwendet</v>
      </c>
      <c r="I72" s="14" t="str">
        <v>Art. 7 beauftragt den Regierungsrat mit dem jährlichen Programm. Das Gesetz enthält keine ausformulierte April-/Karwochen-Datumsformel. Keine solche Formel als Gesetzeszitat ausgeben. IT/RM-Namen aus dem bestehenden Bestand provisorisch übernommen. Neue Scope-Namen, Kantonsnamen und Bruderklausenfest-Übersetzungen sind provisorische Produkttexte, keine amtlichen Sprachfassungen. Sprachabnahme offen.</v>
      </c>
      <c r="J72" s="15"/>
    </row>
    <row r="73" ht="86" customHeight="1">
      <c r="A73" s="13" t="str">
        <v>SRC-GL-FAHRT-RR-20260106</v>
      </c>
      <c r="B73" s="13" t="str">
        <v>CH-GL</v>
      </c>
      <c r="C73" s="13" t="str">
        <v>Regierungsrat, Näfelser Fahrt 2026</v>
      </c>
      <c r="D73" s="13" t="str">
        <v>Regierungsratssitzung 06.01.2026, Termin und Karwochen-Ausnahme</v>
      </c>
      <c r="E73" s="29" t="str">
        <v>https://www.gl.ch/public-newsroom.html/31/newsroomnews/14237/title/n%C3%A4felser-fahrt</v>
      </c>
      <c r="F73" s="13"/>
      <c r="G73" s="13" t="str">
        <v>2026-09-22</v>
      </c>
      <c r="H73" s="13" t="str">
        <v>AP18/MVP0.6 wiederverwendet</v>
      </c>
      <c r="I73" s="13" t="str">
        <v>Näfelser Fahrt: erster Donnerstag im April, bei Gründonnerstag sieben Tage später. Amtliche Regierungsratsmitteilung 06.01.2026 und Fachbestätigung 22.09.2026. 2026: 09.04.2026. Keine jährlichen Scheinfixdaten. Sprachergänzungen bleiben provisorische Produktbezeichnungen.</v>
      </c>
      <c r="J73" s="15"/>
    </row>
    <row r="74" ht="86" customHeight="1">
      <c r="A74" s="14" t="str">
        <v>SRC-BS-RLG-811100-20200701</v>
      </c>
      <c r="B74" s="14" t="str">
        <v>CH-BS</v>
      </c>
      <c r="C74" s="14" t="str">
        <v>Gesetz über öffentliche Ruhetage und Ladenöffnung, RLG</v>
      </c>
      <c r="D74" s="14" t="str">
        <v>SG 811.100, § 2 Abs. 1, Version 4927</v>
      </c>
      <c r="E74" s="30" t="str">
        <v>https://www.gesetzessammlung.bs.ch/frontend/versions/4927/download_pdf_file?locale=de</v>
      </c>
      <c r="F74" s="14" t="str">
        <v>2020-07-01</v>
      </c>
      <c r="G74" s="14" t="str">
        <v>2026-09-13</v>
      </c>
      <c r="H74" s="14" t="str">
        <v>AP18/MVP0.6 wiederverwendet</v>
      </c>
      <c r="I74" s="14" t="str">
        <v>Zwölf namentliche Tage, davon vier hohe Feiertage. Bettag seit 2013 übriger Feiertag. Alte Suchtreffer mit fünf hohen Feiertagen verworfen. DE/FR normnahe Produktnamen. IT/RM aus vorhandenen gemeinsamen Namen übernommen oder provisorisch übersetzt. Sprachabnahme offen, keine amtliche IT/RM-Fassung dieser Norm behauptet.</v>
      </c>
      <c r="J74" s="15"/>
    </row>
    <row r="75" ht="58" customHeight="1">
      <c r="A75" s="13" t="str">
        <v>SRC-BS-FEIERTAGE-2026-2028</v>
      </c>
      <c r="B75" s="13" t="str">
        <v>CH-BS</v>
      </c>
      <c r="C75" s="13" t="str">
        <v>Feiertage im Kanton Basel-Stadt</v>
      </c>
      <c r="D75" s="13" t="str">
        <v>Amtliche Jahreslisten 2026 bis 2028</v>
      </c>
      <c r="E75" s="29" t="str">
        <v>https://www.bs.ch/themen/arbeit-und-steuern/feiertage-im-kanton-basel-stadt</v>
      </c>
      <c r="F75" s="13"/>
      <c r="G75" s="13" t="str">
        <v>2026-09-13</v>
      </c>
      <c r="H75" s="13" t="str">
        <v>AP18/MVP0.6 wiederverwendet</v>
      </c>
      <c r="I75" s="13" t="str">
        <v>Je neun Datumswerte abgeglichen. Die Jahresliste lässt die drei stets sonntäglichen namentlichen RLG-Tage weg. Kein Widerspruch zur Zwölferliste und keine neue Fristenfreigabe.</v>
      </c>
      <c r="J75" s="15"/>
    </row>
    <row r="76" ht="100" customHeight="1">
      <c r="A76" s="14" t="str">
        <v>SRC-BL-RTG-547-20191201</v>
      </c>
      <c r="B76" s="14" t="str">
        <v>CH-BL</v>
      </c>
      <c r="C76" s="14" t="str">
        <v>Gesetz über die öffentlichen Ruhetage und den Sonntagsverkauf, RTG</v>
      </c>
      <c r="D76" s="14" t="str">
        <v>SGS 547, § 2, § 3 und § 10, Version 2507</v>
      </c>
      <c r="E76" s="30" t="str">
        <v>https://bl.clex.ch/api/versions/2507/pdf_file_with_annexes</v>
      </c>
      <c r="F76" s="14" t="str">
        <v>2019-12-01</v>
      </c>
      <c r="G76" s="14" t="str">
        <v>2026-09-13</v>
      </c>
      <c r="H76" s="14" t="str">
        <v>AP18/MVP0.6 wiederverwendet</v>
      </c>
      <c r="I76" s="14" t="str">
        <v>Zwölf namentliche kantonale Tage. 1. Mai ganztägig. Selbständige kommunale Feiertage nach § 3 nicht erhoben. Arbeitsrecht und Ruheordnung nicht gleichsetzen. DE/FR normnahe Produktnamen. IT/RM aus vorhandenen gemeinsamen Namen übernommen oder provisorisch übersetzt. Sprachabnahme offen, keine amtliche IT/RM-Fassung dieser Norm behauptet.</v>
      </c>
      <c r="J76" s="15"/>
    </row>
    <row r="77" ht="86" customHeight="1">
      <c r="A77" s="13" t="str">
        <v>SRC-BL-PERSONAL-FEIERTAGE-2026</v>
      </c>
      <c r="B77" s="13" t="str">
        <v>CH-BL</v>
      </c>
      <c r="C77" s="13" t="str">
        <v>Personalamt, Feiertage, arbeitsfreie Tage und Kompensationstage 2026</v>
      </c>
      <c r="D77" s="13" t="str">
        <v>Nur als gesetzliche Feiertage bezeichnete Zeilen zum Datumsabgleich</v>
      </c>
      <c r="E77" s="29" t="str">
        <v>https://bl-api.webcloud7.ch/politik-und-behorden/direktionen/finanz-und-kirchendirektion/personalamt/arbeitszeiten/dateien_arbeitszeiten/2026_ubersicht-feiertage-arbeitsfreie-tage-kompensationstage-und-netto-sollarbeitszeit.pdf/%40%40download/file/2026_U%CC%88bersicht%20Feiertage%20arbeitsfreie%20Tage%20Kompensationstage%20und%20Netto-Sollarbeitszeit.pdf</v>
      </c>
      <c r="F77" s="13"/>
      <c r="G77" s="13" t="str">
        <v>2026-09-13</v>
      </c>
      <c r="H77" s="13" t="str">
        <v>AP18/MVP0.6 wiederverwendet</v>
      </c>
      <c r="I77" s="13" t="str">
        <v>Personalquelle nur ergänzend. Fasnacht, Gründonnerstag, Freitag nach Auffahrt, Kompensation und Schliessungen nicht als allgemeine Feiertage übernommen. Gesetz bleibt Primärbeleg.</v>
      </c>
      <c r="J77" s="15"/>
    </row>
    <row r="78" ht="114" customHeight="1">
      <c r="A78" s="14" t="str">
        <v>SRC-VD-LEMP-82211-20120401</v>
      </c>
      <c r="B78" s="14" t="str">
        <v>CH-VD</v>
      </c>
      <c r="C78" s="14" t="str">
        <v>Loi sur l’emploi, LEmp</v>
      </c>
      <c r="D78" s="14" t="str">
        <v>BLV 822.11, Art. 47 Abs. 1 und 2</v>
      </c>
      <c r="E78" s="30" t="str">
        <v>https://prestations.vd.ch/pub/blv-publication/actes/consolide/822.11?id=c3ef83f5-e736-490d-90a7-1753b31d5ef3</v>
      </c>
      <c r="F78" s="14" t="str">
        <v>2012-04-01</v>
      </c>
      <c r="G78" s="14" t="str">
        <v>2026-09-13</v>
      </c>
      <c r="H78" s="14" t="str">
        <v>AP18/MVP0.6 wiederverwendet</v>
      </c>
      <c r="I78" s="14" t="str">
        <v>Neun arbeitsrechtlich sonntagsgleiche Tage. Direktportal lieferte keinen auslesbaren Volltext. Aktiver LexFind-Bestand 20296, amtlicher PDF-Spiegel Version 107233 und DGEM-FAQ 2026 abgeglichen. Kein historischer Siebentage-Stand. DE/FR normnahe Produktnamen. IT/RM aus vorhandenen gemeinsamen Namen übernommen oder provisorisch übersetzt. Sprachabnahme offen, keine amtliche IT/RM-Fassung dieser Norm behauptet.</v>
      </c>
      <c r="J78" s="15"/>
    </row>
    <row r="79" ht="72" customHeight="1">
      <c r="A79" s="13" t="str">
        <v>SRC-VD-DGEM-FAQ-2026</v>
      </c>
      <c r="B79" s="13" t="str">
        <v>CH-VD</v>
      </c>
      <c r="C79" s="13" t="str">
        <v>DGEM, FAQ en droit du travail, Ausgabe 2026</v>
      </c>
      <c r="D79" s="13" t="str">
        <v>S. 32, Art. 47 LEmp / Art. 20a LTr</v>
      </c>
      <c r="E79" s="29" t="str">
        <v>https://www.vd.ch/fileadmin/user_upload/themes/economie_emploi/emploi/fichiers_pdf/FAQ-droit_du_travail-DGEM.pdf</v>
      </c>
      <c r="F79" s="13"/>
      <c r="G79" s="13" t="str">
        <v>2026-09-13</v>
      </c>
      <c r="H79" s="13" t="str">
        <v>AP18/MVP0.6 wiederverwendet</v>
      </c>
      <c r="I79" s="13" t="str">
        <v>Jahresausgabe 2026, kein genaues Normdatum. Amtliche aktuelle Neunerliste einschliesslich 2. Januar und Pfingstmontag. Weder der 26. Dezember noch zusätzliche vertragliche freie Tage sind Teil von Art. 47 Abs. 1.</v>
      </c>
      <c r="J79" s="15"/>
    </row>
    <row r="80" ht="58" customHeight="1">
      <c r="A80" s="14" t="str">
        <v>SRC-VD-FEIERTAGE-2026</v>
      </c>
      <c r="B80" s="14" t="str">
        <v>CH-VD</v>
      </c>
      <c r="C80" s="14" t="str">
        <v>Vaud, jours fériés officiels 2026</v>
      </c>
      <c r="D80" s="14" t="str">
        <v>Abschnitt Jours fériés officiels</v>
      </c>
      <c r="E80" s="30" t="str">
        <v>https://www.vd.ch/formation/jours-feries-et-vacances-scolaires/jours-feries-et-vacances-scolaires-2026</v>
      </c>
      <c r="F80" s="14"/>
      <c r="G80" s="14" t="str">
        <v>2026-09-13</v>
      </c>
      <c r="H80" s="14" t="str">
        <v>AP18/MVP0.6 wiederverwendet</v>
      </c>
      <c r="I80" s="14" t="str">
        <v>Amtlicher Datumsabgleich der neun Feiertage. Schulferien und zusätzliche verschiebbare Personalferien nach Art. 123 RLPers ausdrücklich nicht übernommen.</v>
      </c>
      <c r="J80" s="15"/>
    </row>
    <row r="81" ht="58" customHeight="1">
      <c r="A81" s="13" t="str">
        <v>SRC-VD-FEIERTAGE-2027</v>
      </c>
      <c r="B81" s="13" t="str">
        <v>CH-VD</v>
      </c>
      <c r="C81" s="13" t="str">
        <v>Vaud, jours fériés officiels 2027</v>
      </c>
      <c r="D81" s="13" t="str">
        <v>Abschnitt Jours fériés officiels</v>
      </c>
      <c r="E81" s="29" t="str">
        <v>https://www.vd.ch/formation/jours-feries-et-vacances-scolaires/jours-feries-et-vacances-scolaires-2027</v>
      </c>
      <c r="F81" s="13"/>
      <c r="G81" s="13" t="str">
        <v>2026-09-13</v>
      </c>
      <c r="H81" s="13" t="str">
        <v>AP18/MVP0.6 wiederverwendet</v>
      </c>
      <c r="I81" s="13" t="str">
        <v>Amtlicher Datumsabgleich der neun Feiertage. Schulferien und zusätzliche verschiebbare Personalferien nach Art. 123 RLPers ausdrücklich nicht übernommen.</v>
      </c>
      <c r="J81" s="15"/>
    </row>
    <row r="82" ht="58" customHeight="1">
      <c r="A82" s="14" t="str">
        <v>SRC-VD-FEIERTAGE-2028</v>
      </c>
      <c r="B82" s="14" t="str">
        <v>CH-VD</v>
      </c>
      <c r="C82" s="14" t="str">
        <v>Vaud, jours fériés officiels 2028</v>
      </c>
      <c r="D82" s="14" t="str">
        <v>Abschnitt Jours fériés officiels</v>
      </c>
      <c r="E82" s="30" t="str">
        <v>https://www.vd.ch/formation/jours-feries-et-vacances-scolaires/jours-feries-et-vacances-scolaires-2028</v>
      </c>
      <c r="F82" s="14"/>
      <c r="G82" s="14" t="str">
        <v>2026-09-13</v>
      </c>
      <c r="H82" s="14" t="str">
        <v>AP18/MVP0.6 wiederverwendet</v>
      </c>
      <c r="I82" s="14" t="str">
        <v>Amtlicher Datumsabgleich der neun Feiertage. Schulferien und zusätzliche verschiebbare Personalferien nach Art. 123 RLPers ausdrücklich nicht übernommen.</v>
      </c>
      <c r="J82" s="15"/>
    </row>
    <row r="83" ht="86" customHeight="1">
      <c r="A83" s="13" t="str">
        <v>SRC-NE-LDJF-94102-20100101</v>
      </c>
      <c r="B83" s="13" t="str">
        <v>CH-NE</v>
      </c>
      <c r="C83" s="13" t="str">
        <v>Loi sur le dimanche et les jours fériés, LDJF</v>
      </c>
      <c r="D83" s="13" t="str">
        <v>RSN 941.02, Art. 3 Abs. 1 und 2</v>
      </c>
      <c r="E83" s="29" t="str">
        <v>https://rsn.ne.ch/DATA/program/books/rsne/pdf/941.02.pdf</v>
      </c>
      <c r="F83" s="13" t="str">
        <v>2010-01-01</v>
      </c>
      <c r="G83" s="13" t="str">
        <v>2026-09-22</v>
      </c>
      <c r="H83" s="13" t="str">
        <v>AP18/MVP0.6 wiederverwendet</v>
      </c>
      <c r="I83" s="13" t="str">
        <v>Allgemeine Ersatzfeiertage: 2. Januar bzw. 26. Dezember nur am Montag nach Sonntags-Neujahr bzw. Sonntags-Weihnachten. Fachlich bestätigt am 22.09.2026. Feste LPA-Verwaltungsergänzungen bleiben davon unabhängig. Sprachergänzungen bleiben provisorische Produktbezeichnungen.</v>
      </c>
      <c r="J83" s="15"/>
    </row>
    <row r="84" ht="58" customHeight="1">
      <c r="A84" s="14" t="str">
        <v>SRC-NE-ADJF-941020-20250527</v>
      </c>
      <c r="B84" s="14" t="str">
        <v>CH-NE</v>
      </c>
      <c r="C84" s="14" t="str">
        <v>Arrêté d’application de la loi sur le dimanche et les jours fériés</v>
      </c>
      <c r="D84" s="14" t="str">
        <v>RSN 941.020, Art. 2</v>
      </c>
      <c r="E84" s="30" t="str">
        <v>https://rsn.ne.ch/DATA/program/books/rsne/pdf/941.020.pdf</v>
      </c>
      <c r="F84" s="14" t="str">
        <v>2025-05-27</v>
      </c>
      <c r="G84" s="14" t="str">
        <v>2026-09-13</v>
      </c>
      <c r="H84" s="14" t="str">
        <v>AP18/MVP0.6 wiederverwendet</v>
      </c>
      <c r="I84" s="14" t="str">
        <v>Kantonaler Erlass bezeichnet ausschliesslich Le Landeron für Fronleichnam. Erfasst als örtliche Ergänzung, nicht als eigener vollständiger Kantonskalender. Keine kommunale Norm verwendet.</v>
      </c>
      <c r="J84" s="15"/>
    </row>
    <row r="85" ht="72" customHeight="1">
      <c r="A85" s="13" t="str">
        <v>SRC-NE-LPA-152130-20260101</v>
      </c>
      <c r="B85" s="13" t="str">
        <v>CH-NE</v>
      </c>
      <c r="C85" s="13" t="str">
        <v>Loi sur la procédure administrative, LPA</v>
      </c>
      <c r="D85" s="13" t="str">
        <v>RSN 152.130, Art. 1–3 und Art. 33 Abs. 2 und 3</v>
      </c>
      <c r="E85" s="29" t="str">
        <v>https://rsn.ne.ch/DATA/program/books/rsne/pdf/152.130.pdf</v>
      </c>
      <c r="F85" s="13" t="str">
        <v>2026-01-01</v>
      </c>
      <c r="G85" s="13" t="str">
        <v>2026-09-13</v>
      </c>
      <c r="H85" s="13" t="str">
        <v>AP18/MVP0.6 wiederverwendet</v>
      </c>
      <c r="I85" s="13" t="str">
        <v>Gesetz vom 18.03.2025, ersetzt LPJA seit 01.01.2026. Mindestens halbtägige Schliessung der kantonalen Verwaltung ausdrücklich gleichgestellt. Konkrete acht RDF-Ergänzungen separat, Bundesverfahren nicht pauschal zugeordnet.</v>
      </c>
      <c r="J85" s="15"/>
    </row>
    <row r="86" ht="100" customHeight="1">
      <c r="A86" s="14" t="str">
        <v>SRC-NE-RDF-152512-20230101</v>
      </c>
      <c r="B86" s="14" t="str">
        <v>CH-NE</v>
      </c>
      <c r="C86" s="14" t="str">
        <v>Règlement des fonctionnaires, RDF</v>
      </c>
      <c r="D86" s="14" t="str">
        <v>RSN 152.512, Art. 11 Abs. 1 und 2</v>
      </c>
      <c r="E86" s="30" t="str">
        <v>https://rsn.ne.ch/DATA/program/books/rsne/pdf/152.512.pdf</v>
      </c>
      <c r="F86" s="14" t="str">
        <v>2023-01-01</v>
      </c>
      <c r="G86" s="14" t="str">
        <v>2026-09-22</v>
      </c>
      <c r="H86" s="14" t="str">
        <v>AP18/MVP0.6 wiederverwendet</v>
      </c>
      <c r="I86" s="14" t="str">
        <v>Vorbehalt: gesondert festgelegte zusätzliche regionale Feiertage nach LDJF Art. 3 Abs. 2 sowie zusätzliche Verwaltungsschliesstage nach RDF Art. 11 Abs. 2 / LPA Art. 33 Abs. 3 werden nicht automatisch erzeugt. Konkrete Fristenwirkung separat prüfen. Le Landeron und die acht festen LPA-Ergänzungen bleiben erfasst. Sprachergänzungen bleiben provisorische Produktbezeichnungen.</v>
      </c>
      <c r="J86" s="15"/>
    </row>
    <row r="87" ht="86" customHeight="1">
      <c r="A87" s="13" t="str">
        <v>SRC-NE-DELAIS-CIRCULAIRE-20260101</v>
      </c>
      <c r="B87" s="13" t="str">
        <v>CH-NE</v>
      </c>
      <c r="C87" s="13" t="str">
        <v>Service de l’aménagement du territoire, Computation des délais en procédure administrative</v>
      </c>
      <c r="D87" s="13" t="str">
        <v>Circulaire 01.01.2026, S. 1</v>
      </c>
      <c r="E87" s="29" t="str">
        <v>https://www.ne.ch/sites/default/files/migration/autorites/DDTE/SCAT/Documents/06_07_Documents_communs/PConstr_CirculaireComputationDelais.pdf</v>
      </c>
      <c r="F87" s="13" t="str">
        <v>2026-01-01</v>
      </c>
      <c r="G87" s="13" t="str">
        <v>2026-09-13</v>
      </c>
      <c r="H87" s="13" t="str">
        <v>AP18/MVP0.6 wiederverwendet</v>
      </c>
      <c r="I87" s="13" t="str">
        <v>Amtliche aktuelle Bestätigung von LPA Art. 33, sieben allgemeinen Tagen, acht Verwaltungsergänzungen und Le Landeron. 2026-Ausgabe statt historischer LPJA-Circulaire verwendet. Baurechtliche Sonderregeln und Fristenstillstände sind nicht Teil dieser Feiertagserfassung.</v>
      </c>
      <c r="J87" s="15"/>
    </row>
    <row r="88" ht="58" customHeight="1">
      <c r="A88" s="14" t="str">
        <v>SRC-NE-FEIERTAGE-2026-2027</v>
      </c>
      <c r="B88" s="14" t="str">
        <v>CH-NE</v>
      </c>
      <c r="C88" s="14" t="str">
        <v>Neuchâtel, jours fériés officiels et dans l’administration cantonale</v>
      </c>
      <c r="D88" s="14" t="str">
        <v>Getrennte Jahreslisten 2026 und 2027</v>
      </c>
      <c r="E88" s="30" t="str">
        <v>https://www.ne.ch/themes/economie-et-emploi/jours-feries-officiels</v>
      </c>
      <c r="F88" s="14"/>
      <c r="G88" s="14" t="str">
        <v>2026-09-13</v>
      </c>
      <c r="H88" s="14" t="str">
        <v>AP18/MVP0.6 wiederverwendet</v>
      </c>
      <c r="I88" s="14" t="str">
        <v>Allgemeine Feiertage und Verwaltungstage getrennt. 2026/2027 beide bedingten allgemeinen Zusatzfeiertage nicht anwendbar. Ladenöffnungsschliessungen nicht als allgemeine Feiertage übernommen.</v>
      </c>
      <c r="J88" s="15"/>
    </row>
    <row r="89" ht="86" customHeight="1">
      <c r="A89" s="13" t="str">
        <v>SRC-JU-LJF-5551-20230101</v>
      </c>
      <c r="B89" s="13" t="str">
        <v>CH-JU</v>
      </c>
      <c r="C89" s="13" t="str">
        <v>Loi sur les jours fériés officiels et le repos dominical</v>
      </c>
      <c r="D89" s="13" t="str">
        <v>RSJU 555.1, Art. 3, Art. 4 und Art. 9</v>
      </c>
      <c r="E89" s="29" t="str">
        <v>https://rsju.jura.ch/Htdocs/Files/v/38948.pdf</v>
      </c>
      <c r="F89" s="13" t="str">
        <v>2023-01-01</v>
      </c>
      <c r="G89" s="13" t="str">
        <v>2026-09-13</v>
      </c>
      <c r="H89" s="13" t="str">
        <v>AP18/MVP0.6 wiederverwendet</v>
      </c>
      <c r="I89" s="13" t="str">
        <v>Gesetz vom 31.08.2022. Art. 3 nennt 15 Tage, Art. 4 eigenständig neun arbeitsrechtliche Tage. Altes Gesetz und Dekret 555.10 aufgehoben. DE/FR normnahe Produktnamen. IT/RM aus vorhandenen gemeinsamen Namen übernommen oder provisorisch übersetzt. Sprachabnahme offen, keine amtliche IT/RM-Fassung dieser Norm behauptet.</v>
      </c>
      <c r="J89" s="15"/>
    </row>
    <row r="90" ht="72" customHeight="1">
      <c r="A90" s="14" t="str">
        <v>SRC-JU-FEIERTAGE-2026-2027</v>
      </c>
      <c r="B90" s="14" t="str">
        <v>CH-JU</v>
      </c>
      <c r="C90" s="14" t="str">
        <v>Jura, jours fériés officiels 2026–2027</v>
      </c>
      <c r="D90" s="14" t="str">
        <v>Amtliche Jahrestabelle mit 13 datierten Tagen, ohne Ostern/Pfingstsonntag</v>
      </c>
      <c r="E90" s="30" t="str">
        <v>https://www.jura.ch/Htdocs/Files/v/7818f8eb129d227f2892b240cfbf77d3597c47169f83a6d57891c45fbd7b66df.pdf/2026-2027.pdf?download=1</v>
      </c>
      <c r="F90" s="14"/>
      <c r="G90" s="14" t="str">
        <v>2026-09-13</v>
      </c>
      <c r="H90" s="14" t="str">
        <v>AP18/MVP0.6 wiederverwendet</v>
      </c>
      <c r="I90" s="14" t="str">
        <v>Nur Datumsabgleich. Formatierungen der arbeitsrechtlichen Untergruppe nicht aus einer linearen Textextraktion ableiten, dafür Art. 4 verwenden. Lundi de Saint-Martin ist ausdrücklich kein Feiertag. Quellenseite verlinkt noch das aufgehobene Dekret 555.10.</v>
      </c>
      <c r="J90" s="15"/>
    </row>
    <row r="91" ht="48" customHeight="1">
      <c r="A91" s="13" t="str">
        <v>AP22-STPO</v>
      </c>
      <c r="B91" s="13" t="str">
        <v>CH</v>
      </c>
      <c r="C91" s="13" t="str">
        <v>Schweizerische Strafprozessordnung</v>
      </c>
      <c r="D91" s="13" t="str">
        <v>Art. 89 Abs. 2 und Art. 90 Abs. 2</v>
      </c>
      <c r="E91" s="29" t="str">
        <v>https://www.fedlex.admin.ch/eli/cc/2010/267/de#art_90</v>
      </c>
      <c r="F91" s="13" t="str">
        <v>2025-04-01</v>
      </c>
      <c r="G91" s="13" t="str">
        <v>2026-10-02</v>
      </c>
      <c r="H91" s="13" t="str">
        <v>Gezielt neu geprüft</v>
      </c>
      <c r="I91" s="13" t="str">
        <v>Gesetzestext über Swiss Caselaw / Fedlex. Keine Gerichtsferien. Gesetzliche Anknüpfung Partei oder Rechtsbeistand.</v>
      </c>
      <c r="J91" s="15"/>
    </row>
    <row r="92" ht="48" customHeight="1">
      <c r="A92" s="14" t="str">
        <v>AP22-ZPO</v>
      </c>
      <c r="B92" s="14" t="str">
        <v>CH</v>
      </c>
      <c r="C92" s="14" t="str">
        <v>Schweizerische Zivilprozessordnung</v>
      </c>
      <c r="D92" s="14" t="str">
        <v>Art. 142 Abs. 1bis und 3, Art. 145</v>
      </c>
      <c r="E92" s="30" t="str">
        <v>https://www.fedlex.admin.ch/eli/cc/2010/262/de#art_142</v>
      </c>
      <c r="F92" s="14" t="str">
        <v>2026-07-01</v>
      </c>
      <c r="G92" s="14" t="str">
        <v>2026-10-02</v>
      </c>
      <c r="H92" s="14" t="str">
        <v>Gezielt neu geprüft</v>
      </c>
      <c r="I92" s="14" t="str">
        <v>Gerichtsort. Art. 142 Abs. 1bis betrifft zusätzlich die Zustellung gewöhnlicher Post. Keine Freigabe neuer Zustellarten.</v>
      </c>
      <c r="J92" s="15"/>
    </row>
    <row r="93" ht="48" customHeight="1">
      <c r="A93" s="13" t="str">
        <v>AP22-BGG</v>
      </c>
      <c r="B93" s="13" t="str">
        <v>CH</v>
      </c>
      <c r="C93" s="13" t="str">
        <v>Bundesgerichtsgesetz</v>
      </c>
      <c r="D93" s="13" t="str">
        <v>Art. 45 und 46</v>
      </c>
      <c r="E93" s="29" t="str">
        <v>https://www.fedlex.admin.ch/eli/cc/2006/218/de#art_45</v>
      </c>
      <c r="F93" s="13" t="str">
        <v>2026-04-01</v>
      </c>
      <c r="G93" s="13" t="str">
        <v>2026-10-02</v>
      </c>
      <c r="H93" s="13" t="str">
        <v>Gezielt neu geprüft</v>
      </c>
      <c r="I93" s="13" t="str">
        <v>Partei-/Vertretungsort durch Rechtsprechung zu qualifizieren. Friststillstand mit Ausnahmen getrennt.</v>
      </c>
      <c r="J93" s="15"/>
    </row>
    <row r="94" ht="48" customHeight="1">
      <c r="A94" s="14" t="str">
        <v>AP22-VWVG</v>
      </c>
      <c r="B94" s="14" t="str">
        <v>CH</v>
      </c>
      <c r="C94" s="14" t="str">
        <v>Verwaltungsverfahrensgesetz</v>
      </c>
      <c r="D94" s="14" t="str">
        <v>Art. 20 Abs. 3 und Art. 22a</v>
      </c>
      <c r="E94" s="30" t="str">
        <v>https://www.fedlex.admin.ch/eli/cc/1969/737_757_755/de#art_20</v>
      </c>
      <c r="F94" s="14" t="str">
        <v>2022-07-01</v>
      </c>
      <c r="G94" s="14" t="str">
        <v>2026-10-02</v>
      </c>
      <c r="H94" s="14" t="str">
        <v>Gezielt neu geprüft</v>
      </c>
      <c r="I94" s="14" t="str">
        <v>Lookup meldet künftige Konsolidierung 01.01.2027. Kein Beleg einer Änderung dieser Artikel. Vor späterer Freigabe erneut prüfen.</v>
      </c>
      <c r="J94" s="15"/>
    </row>
    <row r="95" ht="48" customHeight="1">
      <c r="A95" s="13" t="str">
        <v>AP22-EUFRUEB</v>
      </c>
      <c r="B95" s="13" t="str">
        <v>CH</v>
      </c>
      <c r="C95" s="13" t="str">
        <v>Europäisches Übereinkommen über die Berechnung von Fristen</v>
      </c>
      <c r="D95" s="13" t="str">
        <v>Art. 5</v>
      </c>
      <c r="E95" s="29" t="str">
        <v>https://www.fedlex.admin.ch/eli/cc/1983/500_500_500/de#art_5</v>
      </c>
      <c r="F95" s="13" t="str">
        <v>2011-01-01</v>
      </c>
      <c r="G95" s="13" t="str">
        <v>2026-10-02</v>
      </c>
      <c r="H95" s="13" t="str">
        <v>Gezielt neu geprüft</v>
      </c>
      <c r="I95" s="13" t="str">
        <v>Gleichgestellte Tage nach einschlägiger Rechtsprechung berücksichtigen. Keine globale Kategorienfreigabe.</v>
      </c>
      <c r="J95" s="15"/>
    </row>
    <row r="96" ht="58" customHeight="1">
      <c r="A96" s="14" t="str">
        <v>AP22-4A434</v>
      </c>
      <c r="B96" s="14" t="str">
        <v>CH</v>
      </c>
      <c r="C96" s="14" t="str">
        <v>BGer 4A_434/2023</v>
      </c>
      <c r="D96" s="14" t="str">
        <v>E. 1.1</v>
      </c>
      <c r="E96" s="30" t="str">
        <v>https://www.bger.ch/ext/eurospider/live/de/php/aza/http/index.php?highlight_docid=aza%3A%2F%2F05-09-2024-4A_434-2023&amp;lang=de&amp;type=show_document&amp;zoom=</v>
      </c>
      <c r="F96" s="14" t="str">
        <v>2024-09-05</v>
      </c>
      <c r="G96" s="14" t="str">
        <v>2026-10-02</v>
      </c>
      <c r="H96" s="14" t="str">
        <v>Gezielt neu geprüft</v>
      </c>
      <c r="I96" s="14" t="str">
        <v>Volltext. BGG: selbst handelnde Partei, sonst Vertretung mit dortigem Zustelldomizil. Keine alternative günstigste Wahl.</v>
      </c>
      <c r="J96" s="15"/>
    </row>
    <row r="97" ht="58" customHeight="1">
      <c r="A97" s="13" t="str">
        <v>AP22-7B561</v>
      </c>
      <c r="B97" s="13" t="str">
        <v>CH</v>
      </c>
      <c r="C97" s="13" t="str">
        <v>BGer 7B_561/2025</v>
      </c>
      <c r="D97" s="13" t="str">
        <v>E. 1.2</v>
      </c>
      <c r="E97" s="29" t="str">
        <v>https://search.bger.ch/ext/eurospider/live/fr/php/aza/http/index.php?highlight_docid=aza%3A%2F%2F01-07-2025-7B_561-2025&amp;lang=fr&amp;type=show_document&amp;zoom=NO</v>
      </c>
      <c r="F97" s="13" t="str">
        <v>2025-07-01</v>
      </c>
      <c r="G97" s="13" t="str">
        <v>2026-10-02</v>
      </c>
      <c r="H97" s="13" t="str">
        <v>Gezielt neu geprüft</v>
      </c>
      <c r="I97" s="13" t="str">
        <v>Volltext. BGG: Fronleichnam am anonymisierten Parteiwohnort hilft bei Zustelldomizil der Vertretung in VD nicht. Parteiwohnkanton nicht ergänzt.</v>
      </c>
      <c r="J97" s="15"/>
    </row>
    <row r="98" ht="48" customHeight="1">
      <c r="A98" s="14" t="str">
        <v>AP22-BGE124II527</v>
      </c>
      <c r="B98" s="14" t="str">
        <v>CH</v>
      </c>
      <c r="C98" s="14" t="str">
        <v>BGE 124 II 527</v>
      </c>
      <c r="D98" s="14" t="str">
        <v>E. 2b</v>
      </c>
      <c r="E98" s="30" t="str">
        <v>https://entscheidsuche.ch/docs/CH_BGE/CH_BGE_004_BGE-124-II-527_1998-06-11.html</v>
      </c>
      <c r="F98" s="14" t="str">
        <v>1998-06-11</v>
      </c>
      <c r="G98" s="14" t="str">
        <v>2026-10-02</v>
      </c>
      <c r="H98" s="14" t="str">
        <v>Gezielt neu geprüft</v>
      </c>
      <c r="I98" s="14" t="str">
        <v>Historischer FR-Fall: prozessual gleichgestellter Pfingstmontag. Prinzip, kein aktueller Vollständigkeitsnachweis.</v>
      </c>
      <c r="J98" s="15"/>
    </row>
    <row r="99" ht="58" customHeight="1">
      <c r="A99" s="13" t="str">
        <v>AP22-9C396</v>
      </c>
      <c r="B99" s="13" t="str">
        <v>CH</v>
      </c>
      <c r="C99" s="13" t="str">
        <v>BGer 9C_396/2018</v>
      </c>
      <c r="D99" s="13" t="str">
        <v>E. 2.2–2.4</v>
      </c>
      <c r="E99" s="29" t="str">
        <v>https://www.bger.ch/ext/eurospider/live/de/php/aza/http/index.php?highlight_docid=aza%3A%2F%2Faza%3A%2F%2F20-12-2018-9C_396-2018&amp;lang=de&amp;type=show_document&amp;zoom=NO</v>
      </c>
      <c r="F99" s="13" t="str">
        <v>2018-12-20</v>
      </c>
      <c r="G99" s="13" t="str">
        <v>2026-10-02</v>
      </c>
      <c r="H99" s="13" t="str">
        <v>Gezielt neu geprüft</v>
      </c>
      <c r="I99" s="13" t="str">
        <v>Damals Art. 20 Abs. 2 LPJA-NE. Pfingstmontag als Schliesstag für BGG anerkannt. Übertragung auf LPA ab 2026 gesondert offen.</v>
      </c>
      <c r="J99" s="15"/>
    </row>
    <row r="100" ht="72" customHeight="1">
      <c r="A100" s="14" t="str">
        <v>AP22-4A538</v>
      </c>
      <c r="B100" s="14" t="str">
        <v>CH</v>
      </c>
      <c r="C100" s="14" t="str">
        <v>BGer 4A_538/2023</v>
      </c>
      <c r="D100" s="14" t="str">
        <v>E. 2</v>
      </c>
      <c r="E100" s="30" t="str">
        <v>https://search.bger.ch/ext/eurospider/live/de/php/aza/http/index.php?highlight_docid=aza%3A%2F%2F03-01-2024-4A_538-2023&amp;lang=de&amp;type=show_document</v>
      </c>
      <c r="F100" s="14" t="str">
        <v>2024-01-03</v>
      </c>
      <c r="G100" s="14" t="str">
        <v>2026-10-02</v>
      </c>
      <c r="H100" s="14" t="str">
        <v>Gezielt neu geprüft</v>
      </c>
      <c r="I100" s="14" t="str">
        <v>Historischer Erstbefund, am 02.10.2026 korrigiert: Die damalige Fristberechnung ist gemäss 2E_8/2024 E. 6.5 fehlerhaft. Keine operative Begründung für eine regionale BGG-Beschränkung. Siehe AP22CLOSE-BGER-2E8.</v>
      </c>
      <c r="J100" s="15"/>
    </row>
    <row r="101" ht="58" customHeight="1">
      <c r="A101" s="13" t="str">
        <v>AP22-BGE115IV266</v>
      </c>
      <c r="B101" s="13" t="str">
        <v>CH</v>
      </c>
      <c r="C101" s="13" t="str">
        <v>BGE 115 IV 266</v>
      </c>
      <c r="D101" s="13" t="str">
        <v>kantonale Anerkennung und kommunales Patrozinium</v>
      </c>
      <c r="E101" s="29" t="str">
        <v>https://search.bger.ch/ext/eurospider/live/de/php/aza/http/index.php?azaclir=clir&amp;highlight_docid=atf%3A%2F%2F115-IV-266%3Ade&amp;lang=de&amp;type=show_document</v>
      </c>
      <c r="F101" s="13" t="str">
        <v>1989-11-22</v>
      </c>
      <c r="G101" s="13" t="str">
        <v>2026-10-02</v>
      </c>
      <c r="H101" s="13" t="str">
        <v>Gezielt neu geprüft</v>
      </c>
      <c r="I101" s="13" t="str">
        <v>Historischer LU-Fall. Rein tatsächliche Arbeitsruhe genügt nicht. Keine umfassende heutige Delegationsprüfung.</v>
      </c>
      <c r="J101" s="15"/>
    </row>
    <row r="102" ht="48" customHeight="1">
      <c r="A102" s="14" t="str">
        <v>AP22-AG-ZPO</v>
      </c>
      <c r="B102" s="14" t="str">
        <v>CH-AG</v>
      </c>
      <c r="C102" s="14" t="str">
        <v>EG ZPO Aargau</v>
      </c>
      <c r="D102" s="14" t="str">
        <v>§ 21</v>
      </c>
      <c r="E102" s="30" t="str">
        <v>https://gesetzessammlungen.ag.ch/api/de/versions/3615/pdf_file</v>
      </c>
      <c r="F102" s="14" t="str">
        <v>2022-01-01</v>
      </c>
      <c r="G102" s="14" t="str">
        <v>2026-10-02</v>
      </c>
      <c r="H102" s="14" t="str">
        <v>Gezielt neu geprüft</v>
      </c>
      <c r="I102" s="14" t="str">
        <v>Amtlicher Volltext, PDF-S. 8. Eigene kantonsweite Liste für Art. 142 Abs. 3 ZPO.</v>
      </c>
      <c r="J102" s="15"/>
    </row>
    <row r="103" ht="48" customHeight="1">
      <c r="A103" s="13" t="str">
        <v>AP22-AG-ARR</v>
      </c>
      <c r="B103" s="13" t="str">
        <v>CH-AG</v>
      </c>
      <c r="C103" s="13" t="str">
        <v>EG ArR Aargau</v>
      </c>
      <c r="D103" s="13" t="str">
        <v>§ 6</v>
      </c>
      <c r="E103" s="29" t="str">
        <v>https://www.lexfind.ch/fe/de/tol/1582</v>
      </c>
      <c r="F103" s="13" t="str">
        <v>2025-09-01</v>
      </c>
      <c r="G103" s="13" t="str">
        <v>2026-10-02</v>
      </c>
      <c r="H103" s="13" t="str">
        <v>Gezielt neu geprüft</v>
      </c>
      <c r="I103" s="13" t="str">
        <v>Swiss-Caselaw-Artikelvolltext. Regionale Listen für Art. 20a ArG, keine pauschale Fristenzuordnung.</v>
      </c>
      <c r="J103" s="15"/>
    </row>
    <row r="104" ht="48" customHeight="1">
      <c r="A104" s="14" t="str">
        <v>AP22-FR-JG</v>
      </c>
      <c r="B104" s="14" t="str">
        <v>CH-FR</v>
      </c>
      <c r="C104" s="14" t="str">
        <v>Justizgesetz Freiburg</v>
      </c>
      <c r="D104" s="14" t="str">
        <v>Art. 1 und 121</v>
      </c>
      <c r="E104" s="30" t="str">
        <v>https://bdlf.fr.ch/api/de/versions/7926/pdf_file</v>
      </c>
      <c r="F104" s="14" t="str">
        <v>2024-01-01</v>
      </c>
      <c r="G104" s="14" t="str">
        <v>2026-10-02</v>
      </c>
      <c r="H104" s="14" t="str">
        <v>Gezielt neu geprüft</v>
      </c>
      <c r="I104" s="14" t="str">
        <v>Amtlicher Volltext. ZPO/StPO-Kandidat, Tagesfristen. Stundenfristen ausdrücklich ausgenommen.</v>
      </c>
      <c r="J104" s="15"/>
    </row>
    <row r="105" ht="48" customHeight="1">
      <c r="A105" s="13" t="str">
        <v>AP22-FR-PRAXIS</v>
      </c>
      <c r="B105" s="13" t="str">
        <v>CH-FR</v>
      </c>
      <c r="C105" s="13" t="str">
        <v>TC FR 101 2012 89</v>
      </c>
      <c r="D105" s="13" t="str">
        <v>Erwägung zu Art. 142 Abs. 3 ZPO und Art. 121 Abs. 2 JG</v>
      </c>
      <c r="E105" s="29" t="str">
        <v>https://entscheidsuche.ch/docs/FR_Gerichte/FR_TC_001_101-2012-89_2012-04-25.pdf</v>
      </c>
      <c r="F105" s="13" t="str">
        <v>2012-04-25</v>
      </c>
      <c r="G105" s="13" t="str">
        <v>2026-10-02</v>
      </c>
      <c r="H105" s="13" t="str">
        <v>Gezielt neu geprüft</v>
      </c>
      <c r="I105" s="13" t="str">
        <v>Nur zusammenhängender Suchauszug gelesen. Unterstützende Praxis, kein vollständiger aktueller Freigabenachweis.</v>
      </c>
      <c r="J105" s="15"/>
    </row>
    <row r="106" ht="48" customHeight="1">
      <c r="A106" s="14" t="str">
        <v>AP22-SO-STPO</v>
      </c>
      <c r="B106" s="14" t="str">
        <v>CH-SO</v>
      </c>
      <c r="C106" s="14" t="str">
        <v>EG StPO Solothurn</v>
      </c>
      <c r="D106" s="14" t="str">
        <v>§ 10bis</v>
      </c>
      <c r="E106" s="30" t="str">
        <v>https://bgs.so.ch/app/de/texts_of_law/321.3</v>
      </c>
      <c r="F106" s="14" t="str">
        <v>2024-01-01</v>
      </c>
      <c r="G106" s="14" t="str">
        <v>2026-10-02</v>
      </c>
      <c r="H106" s="14" t="str">
        <v>Gezielt neu geprüft</v>
      </c>
      <c r="I106" s="14" t="str">
        <v>Aktueller Swiss-Caselaw-Artikelvolltext. Zwölf kantonale Tage ausdrücklich für Art. 90 Abs. 2 StPO.</v>
      </c>
      <c r="J106" s="15"/>
    </row>
    <row r="107" ht="58" customHeight="1">
      <c r="A107" s="13" t="str">
        <v>AP22-SO-ZPO</v>
      </c>
      <c r="B107" s="13" t="str">
        <v>CH-SO</v>
      </c>
      <c r="C107" s="13" t="str">
        <v>EG ZPO Solothurn</v>
      </c>
      <c r="D107" s="13" t="str">
        <v>§ 22 Abs. 2</v>
      </c>
      <c r="E107" s="29" t="str">
        <v>https://bgs.so.ch/api/de/versions/5488/pdf_file</v>
      </c>
      <c r="F107" s="13" t="str">
        <v>2025-01-01</v>
      </c>
      <c r="G107" s="13" t="str">
        <v>2026-10-02</v>
      </c>
      <c r="H107" s="13" t="str">
        <v>Gezielt neu geprüft</v>
      </c>
      <c r="I107" s="13" t="str">
        <v>Aktuelles amtliches PDF Version 5488 vollständig gelesen, Liste auf S. 6. Letzte Änderung von § 22 per 01.03.2015. Zwölf kantonale Tage ohne Halbtag oder Bucheggberg-Ausnahme.</v>
      </c>
      <c r="J107" s="15"/>
    </row>
    <row r="108" ht="58" customHeight="1">
      <c r="A108" s="14" t="str">
        <v>AP22-SO-GS201463</v>
      </c>
      <c r="B108" s="14" t="str">
        <v>CH-SO</v>
      </c>
      <c r="C108" s="14" t="str">
        <v>Solothurn GS 2014, 63</v>
      </c>
      <c r="D108" s="14" t="str">
        <v>Änderungen § 22 EG ZPO, § 10bis EG StPO und § 9 VRG</v>
      </c>
      <c r="E108" s="30" t="str">
        <v>https://bgs.so.ch/api/de/change_documents/file_dictionaries/1025/pdf_file</v>
      </c>
      <c r="F108" s="14" t="str">
        <v>2015-03-01</v>
      </c>
      <c r="G108" s="14" t="str">
        <v>2026-10-02</v>
      </c>
      <c r="H108" s="14" t="str">
        <v>Gezielt neu geprüft</v>
      </c>
      <c r="I108" s="14" t="str">
        <v>Amtliches Änderungsrecht vollständig gelesen. Inkrafttreten 01.03.2015. Kein Halbtag und keine Bucheggberg-Ausnahme in diesen Listen.</v>
      </c>
      <c r="J108" s="15"/>
    </row>
    <row r="109" ht="48" customHeight="1">
      <c r="A109" s="13" t="str">
        <v>AP22-SO-ZPO2015</v>
      </c>
      <c r="B109" s="13" t="str">
        <v>CH-SO</v>
      </c>
      <c r="C109" s="13" t="str">
        <v>EG ZPO Solothurn historische Konsolidierung</v>
      </c>
      <c r="D109" s="13" t="str">
        <v>§ 22 Abs. 2</v>
      </c>
      <c r="E109" s="29" t="str">
        <v>https://bgs.so.ch/api/de/versions/4366/pdf_file</v>
      </c>
      <c r="F109" s="13" t="str">
        <v>2015-03-01</v>
      </c>
      <c r="G109" s="13" t="str">
        <v>2026-10-02</v>
      </c>
      <c r="H109" s="13" t="str">
        <v>Gezielt neu geprüft</v>
      </c>
      <c r="I109" s="13" t="str">
        <v>Amtliches PDF vollständig an massgebender Stelle gelesen. Nicht als aktuelle 2025-Fassung ausgeben.</v>
      </c>
      <c r="J109" s="15"/>
    </row>
    <row r="110" ht="48" customHeight="1">
      <c r="A110" s="14" t="str">
        <v>AP22-GR</v>
      </c>
      <c r="B110" s="14" t="str">
        <v>CH-GR</v>
      </c>
      <c r="C110" s="14" t="str">
        <v>Ruhetagsgesetz Graubünden</v>
      </c>
      <c r="D110" s="14" t="str">
        <v>Art. 2 und 3</v>
      </c>
      <c r="E110" s="30" t="str">
        <v>https://www.gr-lex.gr.ch/api/de/versions/2604/pdf_file</v>
      </c>
      <c r="F110" s="14" t="str">
        <v>2016-01-01</v>
      </c>
      <c r="G110" s="14" t="str">
        <v>2026-10-02</v>
      </c>
      <c r="H110" s="14" t="str">
        <v>Gezielt neu geprüft</v>
      </c>
      <c r="I110" s="14" t="str">
        <v>Amtliches PDF. Grundliste und Kompetenz für zusätzliche lokale Tage getrennt. VRG-Annahme nicht auf Bundesprofile übertragen.</v>
      </c>
      <c r="J110" s="15"/>
    </row>
    <row r="111" ht="58" customHeight="1">
      <c r="A111" s="13" t="str">
        <v>AP22-NE-LPA</v>
      </c>
      <c r="B111" s="13" t="str">
        <v>CH-NE</v>
      </c>
      <c r="C111" s="13" t="str">
        <v>Loi sur la procédure administrative Neuchâtel</v>
      </c>
      <c r="D111" s="13" t="str">
        <v>Art. 33 Abs. 3</v>
      </c>
      <c r="E111" s="29" t="str">
        <v>https://rsn.ne.ch/DATA/program/books/rsne/pdf/152.130.pdf</v>
      </c>
      <c r="F111" s="13" t="str">
        <v>2026-01-01</v>
      </c>
      <c r="G111" s="13" t="str">
        <v>2026-10-02</v>
      </c>
      <c r="H111" s="13" t="str">
        <v>Gezielt neu geprüft</v>
      </c>
      <c r="I111" s="13" t="str">
        <v>Swiss-Caselaw-Artikelvolltext. Verwaltungsschliessung mindestens halbtägig im LPA-Kontext. Bundeswirkung mit aktueller Norm gesondert prüfen.</v>
      </c>
      <c r="J111" s="15"/>
    </row>
    <row r="112" ht="48" customHeight="1">
      <c r="A112" s="14" t="str">
        <v>AP22-NE-LDJF</v>
      </c>
      <c r="B112" s="14" t="str">
        <v>CH-NE</v>
      </c>
      <c r="C112" s="14" t="str">
        <v>Loi sur le dimanche et les jours fériés</v>
      </c>
      <c r="D112" s="14" t="str">
        <v>Art. 3</v>
      </c>
      <c r="E112" s="30" t="str">
        <v>https://rsn.ne.ch/DATA/program/books/rsne/pdf/941.02.pdf</v>
      </c>
      <c r="F112" s="14" t="str">
        <v>2010-01-01</v>
      </c>
      <c r="G112" s="14" t="str">
        <v>2026-10-02</v>
      </c>
      <c r="H112" s="14" t="str">
        <v>Gezielt neu geprüft</v>
      </c>
      <c r="I112" s="14" t="str">
        <v>Artikeltext und amtliche Jahresübersicht neu gelesen. Bedingte Ersatzfeiertage bleiben bereits abgenommene Datumsregeln.</v>
      </c>
      <c r="J112" s="15"/>
    </row>
    <row r="113" ht="48" customHeight="1">
      <c r="A113" s="13" t="str">
        <v>AP22-NE-LANDERON</v>
      </c>
      <c r="B113" s="13" t="str">
        <v>CH-NE</v>
      </c>
      <c r="C113" s="13" t="str">
        <v>Arrêté concernant le dimanche et les jours fériés</v>
      </c>
      <c r="D113" s="13" t="str">
        <v>Art. 2</v>
      </c>
      <c r="E113" s="29" t="str">
        <v>https://rsn.ne.ch/DATA/program/books/rsne/pdf/941.020.pdf</v>
      </c>
      <c r="F113" s="13" t="str">
        <v>2025-05-27</v>
      </c>
      <c r="G113" s="13" t="str">
        <v>2026-10-02</v>
      </c>
      <c r="H113" s="13" t="str">
        <v>Gezielt neu geprüft</v>
      </c>
      <c r="I113" s="13" t="str">
        <v>Artikeltext neu gelesen. Fronleichnam Le Landeron ist kantonal angeordnet, kein eigenständiges kommunales Recht.</v>
      </c>
      <c r="J113" s="15"/>
    </row>
    <row r="114" ht="48" customHeight="1">
      <c r="A114" s="14" t="str">
        <v>AP22-NE-RDF</v>
      </c>
      <c r="B114" s="14" t="str">
        <v>CH-NE</v>
      </c>
      <c r="C114" s="14" t="str">
        <v>Règlement fixant la durée du travail</v>
      </c>
      <c r="D114" s="14" t="str">
        <v>Art. 11</v>
      </c>
      <c r="E114" s="30" t="str">
        <v>https://rsn.ne.ch/DATA/program/books/rsne/pdf/152.512.pdf</v>
      </c>
      <c r="F114" s="14" t="str">
        <v>2023-01-01</v>
      </c>
      <c r="G114" s="14" t="str">
        <v>2026-10-02</v>
      </c>
      <c r="H114" s="14" t="str">
        <v>Gezielt neu geprüft</v>
      </c>
      <c r="I114" s="14" t="str">
        <v>Artikeltext neu gelesen. Feste Schliesstage von jährlich festzulegenden Ausgleichstagen trennen.</v>
      </c>
      <c r="J114" s="15"/>
    </row>
    <row r="115" ht="86" customHeight="1">
      <c r="A115" s="13" t="str">
        <v>AP22CLOSE-AG-STPO</v>
      </c>
      <c r="B115" s="13" t="str">
        <v>Siehe Titel</v>
      </c>
      <c r="C115" s="13" t="str">
        <v>AG Einführungsgesetz zur Schweizerischen Strafprozessordnung</v>
      </c>
      <c r="D115" s="13" t="str">
        <v>SAR 251.200 § 26</v>
      </c>
      <c r="E115" s="29" t="str">
        <v>https://gesetzessammlungen.ag.ch/api/de/versions/3617/pdf_file</v>
      </c>
      <c r="F115" s="13" t="str">
        <v>2024-07-01</v>
      </c>
      <c r="G115" s="13" t="str">
        <v>2026-10-02</v>
      </c>
      <c r="H115" s="13" t="str">
        <v>2026-10-02: aktueller amtlicher Browsertext, Fassung und PDF-Link sowie Artikelvolltext im Swiss-Caselaw-Mirror geprüft</v>
      </c>
      <c r="I115" s="13" t="str">
        <v>Direkte eigene Liste von 14 Feiertagen für Art. 90 Abs. 2 StPO, keine Übertragung aus ZPO.</v>
      </c>
      <c r="J115" s="15" t="str"/>
    </row>
    <row r="116" ht="58" customHeight="1">
      <c r="A116" s="14" t="str">
        <v>AP22CLOSE-AG-ZPO</v>
      </c>
      <c r="B116" s="14" t="str">
        <v>Siehe Titel</v>
      </c>
      <c r="C116" s="14" t="str">
        <v>AG Einführungsgesetz zur Schweizerischen Zivilprozessordnung</v>
      </c>
      <c r="D116" s="14" t="str">
        <v>SAR 221.200 § 21</v>
      </c>
      <c r="E116" s="30" t="str">
        <v>https://gesetzessammlungen.ag.ch/api/de/versions/3615/pdf_file</v>
      </c>
      <c r="F116" s="14" t="str">
        <v>2022-01-01</v>
      </c>
      <c r="G116" s="14" t="str">
        <v>2026-10-02</v>
      </c>
      <c r="H116" s="14" t="str">
        <v>2026-10-02: amtliches PDF und Swiss-Caselaw-Artikelvolltext geprüft</v>
      </c>
      <c r="I116" s="14" t="str">
        <v>14 kantonsweite Feiertage ausdrücklich für Art. 142 Abs. 3 ZPO.</v>
      </c>
      <c r="J116" s="15" t="str"/>
    </row>
    <row r="117" ht="72" customHeight="1">
      <c r="A117" s="13" t="str">
        <v>AP22CLOSE-AG-VRPG</v>
      </c>
      <c r="B117" s="13" t="str">
        <v>Siehe Titel</v>
      </c>
      <c r="C117" s="13" t="str">
        <v>AG Gesetz über die Verwaltungsrechtspflege</v>
      </c>
      <c r="D117" s="13" t="str">
        <v>SAR 271.200 § 28 Abs. 1 und 2</v>
      </c>
      <c r="E117" s="29" t="str">
        <v>https://gesetzessammlungen.ag.ch/api/de/versions/3449/pdf_file</v>
      </c>
      <c r="F117" s="13" t="str">
        <v>2024-07-01</v>
      </c>
      <c r="G117" s="13" t="str">
        <v>2026-10-02</v>
      </c>
      <c r="H117" s="13" t="str">
        <v>2026-10-02: aktueller amtlicher Browsertext mit Fassung und PDF-Link, Swiss-Caselaw-Artikelvolltext geprüft</v>
      </c>
      <c r="I117" s="13" t="str">
        <v>Kantonales Verwaltungsverfahrensrecht verweist für Fristberechnung auf ZPO. Keine unmittelbare Geltung dieses Gesetzes im VwVG-Verfahren behauptet.</v>
      </c>
      <c r="J117" s="15" t="str"/>
    </row>
    <row r="118" ht="72" customHeight="1">
      <c r="A118" s="14" t="str">
        <v>AP22CLOSE-BGER-2E8</v>
      </c>
      <c r="B118" s="14" t="str">
        <v>Siehe Titel</v>
      </c>
      <c r="C118" s="14" t="str">
        <v>BGer 2E_8/2024</v>
      </c>
      <c r="D118" s="14" t="str">
        <v>E. 6.2 bis 6.9, insbesondere E. 6.5</v>
      </c>
      <c r="E118" s="30" t="str">
        <v>https://www.bger.ch/ext/eurospider/live/de/php/aza/http/index.php?highlight_docid=aza%3A%2F%2F13-02-2026-2E_8-2024&amp;lang=de&amp;type=show_document&amp;zoom=</v>
      </c>
      <c r="F118" s="14" t="str">
        <v>2026-02-13</v>
      </c>
      <c r="G118" s="14" t="str">
        <v>2026-10-02</v>
      </c>
      <c r="H118" s="14" t="str">
        <v>2026-10-02: Swiss-Caselaw-Entscheidvolltext geprüft, amtlicher Volltext zusätzlich durch Hauptagent gelesen</v>
      </c>
      <c r="I118" s="14" t="str">
        <v>E. 6.5 erkennt materielle Fristbeurteilung von 4A_538/2023 als falsch. § 21 EG ZPO/AG ist für Art. 45 BGG massgebend. Haftung gleichwohl mangels wesentlicher Amtspflichtverletzung verneint.</v>
      </c>
      <c r="J118" s="15" t="str"/>
    </row>
    <row r="119" ht="58" customHeight="1">
      <c r="A119" s="13" t="str">
        <v>AP22CLOSE-FR-JG</v>
      </c>
      <c r="B119" s="13" t="str">
        <v>Siehe Titel</v>
      </c>
      <c r="C119" s="13" t="str">
        <v>FR Justizgesetz</v>
      </c>
      <c r="D119" s="13" t="str">
        <v>SGF 130.1 Art. 1 und Art. 121 Abs. 1 bis 3</v>
      </c>
      <c r="E119" s="29" t="str">
        <v>https://bdlf.fr.ch/api/de/versions/7926/pdf_file</v>
      </c>
      <c r="F119" s="13" t="str">
        <v>2024-01-01</v>
      </c>
      <c r="G119" s="13" t="str">
        <v>2026-10-02</v>
      </c>
      <c r="H119" s="13" t="str">
        <v>2026-10-02: amtliches PDF, insbesondere Seite 35, geprüft</v>
      </c>
      <c r="I119" s="13" t="str">
        <v>15 benannte Tage im ganzen Kanton. Strafrechtliche Stundenfristen ausdrücklich abgegrenzt.</v>
      </c>
      <c r="J119" s="15" t="str"/>
    </row>
    <row r="120" ht="58" customHeight="1">
      <c r="A120" s="14" t="str">
        <v>AP22CLOSE-BGE124II527</v>
      </c>
      <c r="B120" s="14" t="str">
        <v>Siehe Titel</v>
      </c>
      <c r="C120" s="14" t="str">
        <v>BGE 124 II 527</v>
      </c>
      <c r="D120" s="14" t="str">
        <v>E. 2b</v>
      </c>
      <c r="E120" s="30" t="str">
        <v>https://entscheidsuche.ch/docs/CH_BGE/CH_BGE_004_BGE-124-II-527_1998-06-11.html</v>
      </c>
      <c r="F120" s="14" t="str">
        <v>1998-06-11</v>
      </c>
      <c r="G120" s="14" t="str">
        <v>2026-10-02</v>
      </c>
      <c r="H120" s="14" t="str">
        <v>2026-10-02: Entscheidvolltext via Swiss Caselaw gelesen</v>
      </c>
      <c r="I120" s="14" t="str">
        <v>Historischer FR-Pfingstmontag für Bundesverwaltungsgerichtsbeschwerde nach OG als prozessual gleichgestellter Feiertag anerkannt. Heutige Liste gesondert mit Art. 121 JG verifiziert.</v>
      </c>
      <c r="J120" s="15" t="str"/>
    </row>
    <row r="121" ht="72" customHeight="1">
      <c r="A121" s="13" t="str">
        <v>AP22CLOSE-SO-VRG</v>
      </c>
      <c r="B121" s="13" t="str">
        <v>Siehe Titel</v>
      </c>
      <c r="C121" s="13" t="str">
        <v>SO Verwaltungsrechtspflegegesetz</v>
      </c>
      <c r="D121" s="13" t="str">
        <v>BGS 124.11 § 9 Abs. 1</v>
      </c>
      <c r="E121" s="29" t="str">
        <v>https://bgs.so.ch/api/de/versions/5523/pdf_file</v>
      </c>
      <c r="F121" s="13" t="str">
        <v>2025-08-01</v>
      </c>
      <c r="G121" s="13" t="str">
        <v>2026-10-02</v>
      </c>
      <c r="H121" s="13" t="str">
        <v>2026-10-02: aktive Fassung im amtlichen Portal und PDF Seite 2 sowie Swiss-Caselaw-Artikelvolltext geprüft</v>
      </c>
      <c r="I121" s="13" t="str">
        <v>Zwölf kantonale Fristtage, keine Bucheggberg-Ausnahme, 1. Mai ohne Halbtagsgrenze. Bundesfeiertag zusätzlich aus Bundesrecht.</v>
      </c>
      <c r="J121" s="15" t="str"/>
    </row>
    <row r="122" ht="72" customHeight="1">
      <c r="A122" s="14" t="str">
        <v>AP22CLOSE-SO-ZPO</v>
      </c>
      <c r="B122" s="14" t="str">
        <v>Siehe Titel</v>
      </c>
      <c r="C122" s="14" t="str">
        <v>SO Einführungsgesetz zur Schweizerischen Zivilprozessordnung</v>
      </c>
      <c r="D122" s="14" t="str">
        <v>BGS 221.2 § 22 Abs. 2</v>
      </c>
      <c r="E122" s="30" t="str">
        <v>https://bgs.so.ch/api/de/versions/5488/pdf_file</v>
      </c>
      <c r="F122" s="14" t="str">
        <v>2025-01-01</v>
      </c>
      <c r="G122" s="14" t="str">
        <v>2026-10-02</v>
      </c>
      <c r="H122" s="14" t="str">
        <v>2026-10-02: aktuelle Fassung aus amtlichem Portal, vollständiges zehnseitiges PDF gelesen</v>
      </c>
      <c r="I122" s="14" t="str">
        <v>Zwölferliste auf Seite 6. Nicht die historische Version 4366 aus 2015 verwenden.</v>
      </c>
      <c r="J122" s="15" t="str"/>
    </row>
    <row r="123" ht="72" customHeight="1">
      <c r="A123" s="13" t="str">
        <v>AP22CLOSE-SO-STPO</v>
      </c>
      <c r="B123" s="13" t="str">
        <v>Siehe Titel</v>
      </c>
      <c r="C123" s="13" t="str">
        <v>SO Einführungsgesetz zur StPO und JStPO</v>
      </c>
      <c r="D123" s="13" t="str">
        <v>BGS 321.3 § 10bis</v>
      </c>
      <c r="E123" s="29" t="str">
        <v>https://bgs.so.ch/app/de/texts_of_law/321.3</v>
      </c>
      <c r="F123" s="13" t="str">
        <v>2024-01-01</v>
      </c>
      <c r="G123" s="13" t="str">
        <v>2026-10-02</v>
      </c>
      <c r="H123" s="13" t="str">
        <v>2026-10-02: Swiss-Caselaw-Artikelvolltext und amtlicher Änderungsbeleg GS 2014, 63 geprüft</v>
      </c>
      <c r="I123" s="13" t="str">
        <v>Gleiche Zwölferliste ausdrücklich für Art. 90 Abs. 2 StPO.</v>
      </c>
      <c r="J123" s="15" t="str"/>
    </row>
    <row r="124" ht="72" customHeight="1">
      <c r="A124" s="14" t="str">
        <v>AP22CLOSE-NE-LPA</v>
      </c>
      <c r="B124" s="14" t="str">
        <v>Siehe Titel</v>
      </c>
      <c r="C124" s="14" t="str">
        <v>NE Loi sur la procédure administrative</v>
      </c>
      <c r="D124" s="14" t="str">
        <v>RSN 152.130 Art. 33 Abs. 3</v>
      </c>
      <c r="E124" s="30" t="str">
        <v>https://rsn.ne.ch/DATA/program/books/rsne/pdf/152.130.pdf</v>
      </c>
      <c r="F124" s="14" t="str">
        <v>2026-01-01</v>
      </c>
      <c r="G124" s="14" t="str">
        <v>2026-10-02</v>
      </c>
      <c r="H124" s="14" t="str">
        <v>2026-10-02: aktuelles amtliches PDF Seite 7 und Swiss-Caselaw-Artikelvolltext geprüft</v>
      </c>
      <c r="I124" s="14" t="str">
        <v>Gleichstellung mindestens halbtägiger Schliessung der kantonalen Verwaltungsbüros. Inhaltlich gleiche Anerkennungsregel wie frühere LPJA Art. 20 Abs. 2.</v>
      </c>
      <c r="J124" s="15" t="str"/>
    </row>
    <row r="125" ht="58" customHeight="1">
      <c r="A125" s="13" t="str">
        <v>AP22CLOSE-NE-CPC</v>
      </c>
      <c r="B125" s="13" t="str">
        <v>Siehe Titel</v>
      </c>
      <c r="C125" s="13" t="str">
        <v>NE Loi d'introduction du code de procédure civile</v>
      </c>
      <c r="D125" s="13" t="str">
        <v>RSN 251.1 Art. 10a</v>
      </c>
      <c r="E125" s="29" t="str">
        <v>https://rsn.ne.ch/DATA/program/books/rsne/pdf/251.1.pdf</v>
      </c>
      <c r="F125" s="13" t="str">
        <v>2019-07-01</v>
      </c>
      <c r="G125" s="13" t="str">
        <v>2026-10-02</v>
      </c>
      <c r="H125" s="13" t="str">
        <v>2026-10-02: aktuelle amtliche PDF-Fassung, Seiten 1 und 2 geprüft</v>
      </c>
      <c r="I125" s="13" t="str">
        <v>Eigene Gleichstellung für Art. 142 ZPO. Art. 10a seit 01.04.2015. Kein Rückgriff auf LPA zur Begründung der ZPO-Anerkennung nötig.</v>
      </c>
      <c r="J125" s="15" t="str"/>
    </row>
    <row r="126" ht="58" customHeight="1">
      <c r="A126" s="14" t="str">
        <v>AP22CLOSE-NE-CPP</v>
      </c>
      <c r="B126" s="14" t="str">
        <v>Siehe Titel</v>
      </c>
      <c r="C126" s="14" t="str">
        <v>NE Loi d’introduction du Code de procédure pénale suisse</v>
      </c>
      <c r="D126" s="14" t="str">
        <v>RSN 322.0 Art. 9a</v>
      </c>
      <c r="E126" s="30" t="str">
        <v>https://rsn.ne.ch/DATA/program/books/rsne/pdf/322.0.pdf</v>
      </c>
      <c r="F126" s="14" t="str">
        <v>2024-03-13</v>
      </c>
      <c r="G126" s="14" t="str">
        <v>2026-10-02</v>
      </c>
      <c r="H126" s="14" t="str">
        <v>2026-10-02: aktuelle amtliche PDF-Fassung, Seiten 1 und 3 geprüft</v>
      </c>
      <c r="I126" s="14" t="str">
        <v>Eigene Gleichstellung für Art. 90 StPO. Art. 9a seit 01.04.2015. Das EuFrÜb wird nicht auf Strafverfahren ausgedehnt.</v>
      </c>
      <c r="J126" s="15" t="str"/>
    </row>
    <row r="127" ht="100" customHeight="1">
      <c r="A127" s="13" t="str">
        <v>AP22CLOSE-NE-RDF</v>
      </c>
      <c r="B127" s="13" t="str">
        <v>Siehe Titel</v>
      </c>
      <c r="C127" s="13" t="str">
        <v>NE Règlement des fonctionnaires</v>
      </c>
      <c r="D127" s="13" t="str">
        <v>RSN 152.512 Art. 11 Abs. 1 und 2</v>
      </c>
      <c r="E127" s="29" t="str">
        <v>https://rsn.ne.ch/DATA/program/books/rsne/htm/152.512.htm</v>
      </c>
      <c r="F127" s="13" t="str">
        <v>2023-01-01</v>
      </c>
      <c r="G127" s="13" t="str">
        <v>2026-10-02</v>
      </c>
      <c r="H127" s="13" t="str">
        <v>2026-10-02: amtliches HTML, Swiss-Caselaw-Artikelvolltext und amtliches PDF unter ne.ch/sites/default/files/2025-10/Règlement des fonctionnaires (RDF).pdf geprüft</v>
      </c>
      <c r="I127" s="13" t="str">
        <v>Wiederkehrende Büroschliesstage nach Abs. 1 sind regelbasiert bestimmbar. Zusätzliche Ausgleichsentscheidungen nach Abs. 2 bleiben gesondert.</v>
      </c>
      <c r="J127" s="15" t="str"/>
    </row>
    <row r="128" ht="58" customHeight="1">
      <c r="A128" s="14" t="str">
        <v>AP22CLOSE-BGER-9C396</v>
      </c>
      <c r="B128" s="14" t="str">
        <v>Siehe Titel</v>
      </c>
      <c r="C128" s="14" t="str">
        <v>BGer 9C_396/2018</v>
      </c>
      <c r="D128" s="14" t="str">
        <v>E. 2.2 bis 2.4</v>
      </c>
      <c r="E128" s="30" t="str">
        <v>https://www.bger.ch/ext/eurospider/live/de/php/aza/http/index.php?highlight_docid=aza%3A%2F%2F20-12-2018-9C_396-2018&amp;lang=de&amp;type=show_document&amp;zoom=NO</v>
      </c>
      <c r="F128" s="14" t="str">
        <v>2018-12-20</v>
      </c>
      <c r="G128" s="14" t="str">
        <v>2026-10-02</v>
      </c>
      <c r="H128" s="14" t="str">
        <v>2026-10-02: Entscheidvolltext via Swiss Caselaw gelesen</v>
      </c>
      <c r="I128" s="14" t="str">
        <v>NE-Pfingstmontag ist trotz unvollständiger damaliger BJ-Liste Feiertag für Art. 45 BGG. Gleichstellungsnorm damals LPJA Art. 20 Abs. 2.</v>
      </c>
      <c r="J128" s="15" t="str"/>
    </row>
    <row r="129" ht="72" customHeight="1">
      <c r="A129" s="13" t="str">
        <v>AP22CLOSE-EUFRUEB</v>
      </c>
      <c r="B129" s="13" t="str">
        <v>Siehe Titel</v>
      </c>
      <c r="C129" s="13" t="str">
        <v>Europäisches Übereinkommen über die Berechnung von Fristen</v>
      </c>
      <c r="D129" s="13" t="str">
        <v>Art. 1 und 5</v>
      </c>
      <c r="E129" s="29" t="str">
        <v>https://www.fedlex.admin.ch/eli/cc/1983/500_500_500/de#art_5</v>
      </c>
      <c r="F129" s="13" t="str">
        <v>2011-01-01</v>
      </c>
      <c r="G129" s="13" t="str">
        <v>2026-10-02</v>
      </c>
      <c r="H129" s="13" t="str">
        <v>2026-10-02: Art. 5 via Fedlex-Mirror gelesen, Art. 1 und Verfahrensgrenzen im parallelen Bundesanker geprüft</v>
      </c>
      <c r="I129" s="13" t="str">
        <v>Gleichgestellte Tage im Zivil-, Handels- und Verwaltungsrecht, keine allgemeine StPO-Brücke.</v>
      </c>
      <c r="J129" s="15" t="str"/>
    </row>
    <row r="130" ht="58" customHeight="1">
      <c r="A130" s="14" t="str">
        <v>AP22CLOSE-NE-LANDERON</v>
      </c>
      <c r="B130" s="14" t="str">
        <v>Siehe Titel</v>
      </c>
      <c r="C130" s="14" t="str">
        <v>NE Arrêté d'application de la loi sur le dimanche et les jours fériés</v>
      </c>
      <c r="D130" s="14" t="str">
        <v>RSN 941.020 Art. 2</v>
      </c>
      <c r="E130" s="30" t="str">
        <v>https://rsn.ne.ch/DATA/program/books/rsne/pdf/941.020.pdf</v>
      </c>
      <c r="F130" s="14" t="str">
        <v>2025-05-27</v>
      </c>
      <c r="G130" s="14" t="str">
        <v>2026-10-02</v>
      </c>
      <c r="H130" s="14" t="str">
        <v>2026-10-02: vollständiges einseitiges amtliches PDF gelesen</v>
      </c>
      <c r="I130" s="14" t="str">
        <v>Fronleichnam auf dem Gemeindegebiet Le Landeron kraft kantonalen Rechts. Kein kantonsweiter Feiertag.</v>
      </c>
      <c r="J130" s="15" t="str"/>
    </row>
    <row r="131" ht="58" customHeight="1">
      <c r="A131" s="13" t="str">
        <v>AP22CLOSE-PROC-SH</v>
      </c>
      <c r="B131" s="13" t="str">
        <v>Siehe Titel</v>
      </c>
      <c r="C131" s="13" t="str">
        <v>Obergericht SH, OGE 40/2018/1/K</v>
      </c>
      <c r="D131" s="13" t="str">
        <v>Amtsbericht 2018, S. 84–87, E. 2.1.1–2.1.4</v>
      </c>
      <c r="E131" s="29" t="str">
        <v>https://sh.ch/CMS/get/file/771a1a2e-4ef2-47bb-9b04-f4afc5aed3ea</v>
      </c>
      <c r="F131" s="13" t="str">
        <v>2018-08-24</v>
      </c>
      <c r="G131" s="13" t="str">
        <v>2026-10-02</v>
      </c>
      <c r="H131" s="13" t="str">
        <v>Am 02.10.2026 wurde der amtliche Entscheidvolltext gelesen.</v>
      </c>
      <c r="I131" s="13" t="str">
        <v>Der Entscheid anerkennt den 2. Januar direkt für die ZPO. Eine direkte StPO-Bestätigung liegt damit nicht vor. Die Übertragung auf BGG und VwVG wird als Inferenz gekennzeichnet.</v>
      </c>
      <c r="J131" s="15" t="str"/>
    </row>
    <row r="132" ht="86" customHeight="1">
      <c r="A132" s="14" t="str">
        <v>AP22CLOSE-PROC-SG-POS</v>
      </c>
      <c r="B132" s="14" t="str">
        <v>Siehe Titel</v>
      </c>
      <c r="C132" s="14" t="str">
        <v>Kantonsgericht SG, FS.2012.1</v>
      </c>
      <c r="D132" s="14" t="str">
        <v>Erwägungen zur Fristwahrung</v>
      </c>
      <c r="E132" s="30" t="str">
        <v>https://publikationen.sg.ch/rechtsprechung-gerichte-detail/6031/</v>
      </c>
      <c r="F132" s="14" t="str">
        <v>2012-03-29</v>
      </c>
      <c r="G132" s="14" t="str">
        <v>2026-10-02</v>
      </c>
      <c r="H132" s="14" t="str">
        <v>Am 02.10.2026 wurde der amtliche Entscheid im PDF-Spiegel von Entscheidsuche gelesen.</v>
      </c>
      <c r="I132" s="14" t="str">
        <v>Das Direktportal war nicht auslesbar. Der gelesene PDF-Spiegel liegt unter https://entscheidsuche.ch/docs/SG_Gerichte/SG_KG_002_FS-2012-1_2012-03-29.pdf. Der Entscheid bejaht die Wirkung unter ZPO. Sein Datum darf nicht mit dem Datum des vorinstanzlichen Entscheids vom 24.11.2011 verwechselt werden.</v>
      </c>
      <c r="J132" s="15" t="str"/>
    </row>
    <row r="133" ht="86" customHeight="1">
      <c r="A133" s="13" t="str">
        <v>AP22CLOSE-PROC-SG-NEG</v>
      </c>
      <c r="B133" s="13" t="str">
        <v>Siehe Titel</v>
      </c>
      <c r="C133" s="13" t="str">
        <v>Verwaltungsgericht SG, B 2023/3 und B 2023/4</v>
      </c>
      <c r="D133" s="13" t="str">
        <v>Erwägungen zur Fristwahrung, insbesondere E. 2.5 ff.</v>
      </c>
      <c r="E133" s="29" t="str">
        <v>https://publikationen.sg.ch/rechtsprechung-gerichte-detail/11795/</v>
      </c>
      <c r="F133" s="13" t="str">
        <v>2023-05-19</v>
      </c>
      <c r="G133" s="13" t="str">
        <v>2026-10-02</v>
      </c>
      <c r="H133" s="13" t="str">
        <v>Am 02.10.2026 wurde der amtliche Entscheidvolltext im OpenCaseLaw-Spiegel gelesen. Das Direktportal verweigerte den Abruf mit HTTP 403.</v>
      </c>
      <c r="I133" s="13" t="str">
        <v>Der Entscheid verneint die Feiertagswirkung des 2. Januar für VRP/DBG trotz sachgemässer ZPO-Anwendung und Art. 59 der Personalverordnung. Er entscheidet nicht unmittelbar über StPO, BGG oder VwVG.</v>
      </c>
      <c r="J133" s="15" t="str"/>
    </row>
    <row r="134" ht="58" customHeight="1">
      <c r="A134" s="14" t="str">
        <v>AP22CLOSE-PROC-AR</v>
      </c>
      <c r="B134" s="14" t="str">
        <v>Siehe Titel</v>
      </c>
      <c r="C134" s="14" t="str">
        <v>AR Verordnung zum Bundesarbeitsgesetz</v>
      </c>
      <c r="D134" s="14" t="str">
        <v>bGS 822.11 Art. 7</v>
      </c>
      <c r="E134" s="30" t="str">
        <v>https://ar.clex.ch/api/de/versions/1058/pdf_file</v>
      </c>
      <c r="F134" s="14" t="str">
        <v>2016-01-01</v>
      </c>
      <c r="G134" s="14" t="str">
        <v>2026-10-02</v>
      </c>
      <c r="H134" s="14" t="str">
        <v>Am 02.10.2026 wurde die Feiertagsnorm im amtlichen PDF gelesen.</v>
      </c>
      <c r="I134" s="14" t="str">
        <v>Die Norm stellt sieben Tage gesetzlich den Sonntagen gleich. Der 26. Dezember gilt nur unter der festgelegten Bedingung. Der 1. August ist separat aufgrund des Bundesrechts zu berücksichtigen.</v>
      </c>
      <c r="J134" s="15" t="str"/>
    </row>
    <row r="135" ht="100" customHeight="1">
      <c r="A135" s="13" t="str">
        <v>AP22CLOSE-PROC-VD</v>
      </c>
      <c r="B135" s="13" t="str">
        <v>Siehe Titel</v>
      </c>
      <c r="C135" s="13" t="str">
        <v>VD Loi sur l'emploi</v>
      </c>
      <c r="D135" s="13" t="str">
        <v>BLV 822.11 Art. 47 Abs. 1–2, PDF S. 23</v>
      </c>
      <c r="E135" s="29" t="str">
        <v>https://www.lexfind.ch/tolv/107233/fr</v>
      </c>
      <c r="F135" s="13" t="str">
        <v>2012-04-01</v>
      </c>
      <c r="G135" s="13" t="str">
        <v>2026-10-02</v>
      </c>
      <c r="H135" s="13" t="str">
        <v>Am 02.10.2026 wurde der amtliche Normtext im LexFind-PDF-Spiegel gelesen. Die aktive Fassung wurde über den LexFind-Eintrag 20296 abgeglichen.</v>
      </c>
      <c r="I135" s="13" t="str">
        <v>Die Norm nennt neun Tage. Die weiteren GAV- und NAV-Freitage nach Abs. 2 bilden keine allgemeine Prozessfeiertagsliste.</v>
      </c>
      <c r="J135" s="15" t="str"/>
    </row>
    <row r="136" ht="58" customHeight="1">
      <c r="A136" s="14" t="str">
        <v>AP22CLOSE-PROC-ZH</v>
      </c>
      <c r="B136" s="14" t="str">
        <v>Siehe Titel</v>
      </c>
      <c r="C136" s="14" t="str">
        <v>ZH GOG</v>
      </c>
      <c r="D136" s="14" t="str">
        <v>LS 211.1 § 122, Nachtrag 131</v>
      </c>
      <c r="E136" s="30" t="str">
        <v>https://www.notes.zh.ch/appl/zhlex_r.nsf/WebView/43B3BDA36DB02CBDC1258D4C004EC591/%24File/211.1_10.5.10_131.pdf</v>
      </c>
      <c r="F136" s="14" t="str">
        <v>2026-01-01</v>
      </c>
      <c r="G136" s="14" t="str">
        <v>2026-10-02</v>
      </c>
      <c r="H136" s="14" t="str">
        <v>Am 02.10.2026 wurde die Feiertagsnorm im amtlichen PDF gelesen.</v>
      </c>
      <c r="I136" s="14" t="str">
        <v>Die Norm nennt zehn eigene Prozessfeiertage. Sie ist nicht auf die RLG-Liste zu reduzieren.</v>
      </c>
      <c r="J136" s="15" t="str"/>
    </row>
    <row r="137" ht="72" customHeight="1">
      <c r="A137" s="13" t="str">
        <v>AP22CLOSE-PROC-LU-JUSG</v>
      </c>
      <c r="B137" s="13" t="str">
        <v>Siehe Titel</v>
      </c>
      <c r="C137" s="13" t="str">
        <v>LU Justizgesetz</v>
      </c>
      <c r="D137" s="13" t="str">
        <v>SRL 260 § 76</v>
      </c>
      <c r="E137" s="29" t="str">
        <v>https://srl.lu.ch/data/260/de</v>
      </c>
      <c r="F137" s="13" t="str">
        <v>2026-01-01</v>
      </c>
      <c r="G137" s="13" t="str">
        <v>2026-10-02</v>
      </c>
      <c r="H137" s="13" t="str">
        <v>Am 02.10.2026 wurde der geltende Normtext im LexFind-/OpenCaseLaw-Spiegel zum Eintrag 10480 gelesen.</v>
      </c>
      <c r="I137" s="13" t="str">
        <v>Das Direktportal ist dynamisch. Die Norm nennt dreizehn Tage ausdrücklich für Art. 142 Abs. 3 ZPO und Art. 90 Abs. 2 StPO.</v>
      </c>
      <c r="J137" s="15" t="str"/>
    </row>
    <row r="138" ht="72" customHeight="1">
      <c r="A138" s="14" t="str">
        <v>AP22CLOSE-PROC-LU-VRG</v>
      </c>
      <c r="B138" s="14" t="str">
        <v>Siehe Titel</v>
      </c>
      <c r="C138" s="14" t="str">
        <v>LU Verwaltungsrechtspflegegesetz</v>
      </c>
      <c r="D138" s="14" t="str">
        <v>SRL 40 § 34 Abs. 1–2</v>
      </c>
      <c r="E138" s="30" t="str">
        <v>https://srl.lu.ch/data/40/de</v>
      </c>
      <c r="F138" s="14" t="str">
        <v>2021-09-01</v>
      </c>
      <c r="G138" s="14" t="str">
        <v>2026-10-02</v>
      </c>
      <c r="H138" s="14" t="str">
        <v>Am 02.10.2026 wurde der geltende Normtext im LexFind-/OpenCaseLaw-Spiegel zum Eintrag 10164 gelesen.</v>
      </c>
      <c r="I138" s="14" t="str">
        <v>Die Norm kombiniert die RLG-Tage ohne Josefstag und Patrozinium mit dem 2. Januar sowie Oster- und Pfingstmontag. Die Rückwärtsfristregel wird nicht übertragen.</v>
      </c>
      <c r="J138" s="15" t="str"/>
    </row>
    <row r="139" ht="58" customHeight="1">
      <c r="A139" s="13" t="str">
        <v>AP22CLOSE-PROC-ZG-VRG</v>
      </c>
      <c r="B139" s="13" t="str">
        <v>Siehe Titel</v>
      </c>
      <c r="C139" s="13" t="str">
        <v>ZG Verwaltungsrechtspflegegesetz</v>
      </c>
      <c r="D139" s="13" t="str">
        <v>BGS 162.1 § 1 Abs. 2 und § 10 Abs. 3–4</v>
      </c>
      <c r="E139" s="29" t="str">
        <v>https://bgs.zg.ch/api/de/versions/2740/pdf_file</v>
      </c>
      <c r="F139" s="13" t="str">
        <v>2025-10-17</v>
      </c>
      <c r="G139" s="13" t="str">
        <v>2026-10-02</v>
      </c>
      <c r="H139" s="13" t="str">
        <v>Am 02.10.2026 wurde die Feiertagsnorm im amtlichen PDF gelesen.</v>
      </c>
      <c r="I139" s="13" t="str">
        <v>Die Norm enthält eine eigene Liste von 16 Tagen, darunter drei Sonntage. Der Bestand stimmt mit GOG § 10 überein.</v>
      </c>
      <c r="J139" s="15" t="str"/>
    </row>
    <row r="140" ht="86" customHeight="1">
      <c r="A140" s="14" t="str">
        <v>AP22CLOSE-PROC-ZG-GOG</v>
      </c>
      <c r="B140" s="14" t="str">
        <v>Siehe Titel</v>
      </c>
      <c r="C140" s="14" t="str">
        <v>ZG Gesetz über die Organisation der Zivil- und Strafrechtspflege</v>
      </c>
      <c r="D140" s="14" t="str">
        <v>BGS 161.1 §§ 1–2 und 10 Abs. 1</v>
      </c>
      <c r="E140" s="30" t="str">
        <v>https://bgs.zg.ch/data/161.1/de</v>
      </c>
      <c r="F140" s="14" t="str">
        <v>2025-10-17</v>
      </c>
      <c r="G140" s="14" t="str">
        <v>2026-10-02</v>
      </c>
      <c r="H140" s="14" t="str">
        <v>Am 02.10.2026 wurden der geltende Normtext und die Fassung im LexFind-/OpenCaseLaw-Spiegel zum Eintrag 20357 geprüft.</v>
      </c>
      <c r="I140" s="14" t="str">
        <v>Diese Norm ergänzt die bislang im AP18-Geltungsbereich zitierte Rechtsgrundlage. Sie enthält dieselben 16 Tage wie das VRG. Es wird kein neuer Feiertag eingeführt.</v>
      </c>
      <c r="J140" s="15" t="str"/>
    </row>
    <row r="141" ht="58" customHeight="1">
      <c r="A141" s="13" t="str">
        <v>AP22CLOSE-PROC-VS</v>
      </c>
      <c r="B141" s="13" t="str">
        <v>Siehe Titel</v>
      </c>
      <c r="C141" s="13" t="str">
        <v>VS Loi sur l'organisation de la Justice</v>
      </c>
      <c r="D141" s="13" t="str">
        <v>SGS 173.1 Art. 37 Abs. 1 Bst. a–c</v>
      </c>
      <c r="E141" s="29" t="str">
        <v>https://lex.vs.ch/api/fr/versions/3260/pdf_file</v>
      </c>
      <c r="F141" s="13" t="str">
        <v>2024-01-01</v>
      </c>
      <c r="G141" s="13" t="str">
        <v>2026-10-02</v>
      </c>
      <c r="H141" s="13" t="str">
        <v>Am 02.10.2026 wurde die Feiertagsnorm im amtlichen PDF gelesen.</v>
      </c>
      <c r="I141" s="13" t="str">
        <v>Die Norm ergänzt die Bundesfeiertage und öffentlichen kantonalen Ruhetage um vier prozessuale Zusatztage.</v>
      </c>
      <c r="J141" s="15" t="str"/>
    </row>
    <row r="142" ht="72" customHeight="1">
      <c r="A142" s="14" t="str">
        <v>AP22CLOSE-PROC-BGG-TRANSFER</v>
      </c>
      <c r="B142" s="14" t="str">
        <v>Siehe Titel</v>
      </c>
      <c r="C142" s="14" t="str">
        <v>BGer 2E_8/2024</v>
      </c>
      <c r="D142" s="14" t="str">
        <v>E. 6.5</v>
      </c>
      <c r="E142" s="30" t="str">
        <v>https://www.bger.ch/ext/eurospider/live/de/php/aza/http/index.php?highlight_docid=aza://13-02-2026-2E_8-2024&amp;lang=de&amp;type=show_document</v>
      </c>
      <c r="F142" s="14" t="str">
        <v>2026-02-13</v>
      </c>
      <c r="G142" s="14" t="str">
        <v>2026-10-02</v>
      </c>
      <c r="H142" s="14" t="str">
        <v>Am 02.10.2026 wurden das Urteil und die genaue Erwägung im OpenCaseLaw-Spiegel gelesen.</v>
      </c>
      <c r="I142" s="14" t="str">
        <v>Das Urteil betrifft einen konkreten Aargauer Fall. Die Übertragung auf andere ausdrückliche kantonale Prozessfeiertagsnormen ist eine begründete Inferenz. Das Urteil ist kein Einzelbeleg für jeden Geltungsbereich.</v>
      </c>
      <c r="J142" s="15" t="str"/>
    </row>
    <row r="143" ht="114" customHeight="1">
      <c r="A143" s="13" t="str">
        <v>AP22CLOSE-PROC-STPO-LIMIT</v>
      </c>
      <c r="B143" s="13" t="str">
        <v>Siehe Titel</v>
      </c>
      <c r="C143" s="13" t="str">
        <v>BGer 6B_730/2013</v>
      </c>
      <c r="D143" s="13" t="str">
        <v>E. 1.3.2–1.3.3</v>
      </c>
      <c r="E143" s="29" t="str">
        <v>http://relevancy.bger.ch/cgi-bin/JumpCGI?id=10.12.2013_6B_730/2013</v>
      </c>
      <c r="F143" s="13" t="str">
        <v>2013-12-10</v>
      </c>
      <c r="G143" s="13" t="str">
        <v>2026-10-02</v>
      </c>
      <c r="H143" s="13" t="str">
        <v>Am 02.10.2026 wurde der Urteilvolltext im OpenCaseLaw-Spiegel gelesen. Der angegebene amtliche HTTP-Link ist ein historischer Quellverweis. Seine direkte Erreichbarkeit wurde nicht bestätigt.</v>
      </c>
      <c r="I143" s="13" t="str">
        <v>Geschlossene Schalter erzeugen nicht automatisch einen gesetzlichen Feiertag. Verfassungsrechtlicher Einzelfallschutz bleibt möglich.</v>
      </c>
      <c r="J143" s="15" t="str"/>
    </row>
    <row r="144" ht="114" customHeight="1">
      <c r="A144" s="14" t="str">
        <v>AP22CLOSE-PROC-VD-BGG</v>
      </c>
      <c r="B144" s="14" t="str">
        <v>Siehe Titel</v>
      </c>
      <c r="C144" s="14" t="str">
        <v>BGer 1B_209/2014</v>
      </c>
      <c r="D144" s="14" t="str">
        <v>E. 1.1</v>
      </c>
      <c r="E144" s="30" t="str">
        <v>http://relevancy.bger.ch/cgi-bin/JumpCGI?id=30.06.2014_1B_209/2014</v>
      </c>
      <c r="F144" s="14" t="str">
        <v>2014-06-30</v>
      </c>
      <c r="G144" s="14" t="str">
        <v>2026-10-02</v>
      </c>
      <c r="H144" s="14" t="str">
        <v>Am 02.10.2026 wurde der Urteilvolltext im OpenCaseLaw-Spiegel gelesen. Der angegebene amtliche HTTP-Link ist ein historischer Quellverweis. Seine direkte Erreichbarkeit wurde nicht bestätigt.</v>
      </c>
      <c r="I144" s="14" t="str">
        <v>Das Urteil belegt die Anwendung von Art. 45 BGG zusammen mit Art. 47 Abs. 1 LEmp auch in einem strafrechtlichen BGG-Verfahren.</v>
      </c>
      <c r="J144" s="15" t="str"/>
    </row>
    <row r="145" ht="72" customHeight="1">
      <c r="A145" s="13" t="str">
        <v>AP22CLOSE-BUND-STPO</v>
      </c>
      <c r="B145" s="13" t="str">
        <v>CH</v>
      </c>
      <c r="C145" s="13" t="str">
        <v>StPO</v>
      </c>
      <c r="D145" s="13" t="str">
        <v>Stand 01.04.2025, Art. 87, 89 und 90</v>
      </c>
      <c r="E145" s="29" t="str">
        <v>https://www.fedlex.admin.ch/eli/cc/2010/267/de</v>
      </c>
      <c r="F145" s="13" t="str">
        <v>Siehe Fundstelle</v>
      </c>
      <c r="G145" s="13" t="str">
        <v>2026-10-02</v>
      </c>
      <c r="H145" s="13" t="str">
        <v>Amtliche Normtexte über Swiss Caselaw gelesen. Zustellung, Ortsanknüpfung und fehlende Gerichtsferien.</v>
      </c>
      <c r="I145" s="13" t="str">
        <v>Fachnachtrag ap22a-bundesanknuepfungen.md. Quellenstand, Normprüfung und Ableitung dort differenziert.</v>
      </c>
      <c r="J145" s="15" t="str"/>
    </row>
    <row r="146" ht="72" customHeight="1">
      <c r="A146" s="14" t="str">
        <v>AP22CLOSE-BUND-ZPO</v>
      </c>
      <c r="B146" s="14" t="str">
        <v>CH</v>
      </c>
      <c r="C146" s="14" t="str">
        <v>ZPO</v>
      </c>
      <c r="D146" s="14" t="str">
        <v>Stand 01.07.2026, Art. 142 und 145</v>
      </c>
      <c r="E146" s="30" t="str">
        <v>https://www.fedlex.admin.ch/eli/cc/2010/262/de</v>
      </c>
      <c r="F146" s="14" t="str">
        <v>Siehe Fundstelle</v>
      </c>
      <c r="G146" s="14" t="str">
        <v>2026-10-02</v>
      </c>
      <c r="H146" s="14" t="str">
        <v>Amtliche Normtexte über Swiss Caselaw gelesen. Gerichtsort, gewöhnliche Post, Stillstand.</v>
      </c>
      <c r="I146" s="14" t="str">
        <v>Fachnachtrag ap22a-bundesanknuepfungen.md. Quellenstand, Normprüfung und Ableitung dort differenziert.</v>
      </c>
      <c r="J146" s="15" t="str"/>
    </row>
    <row r="147" ht="58" customHeight="1">
      <c r="A147" s="13" t="str">
        <v>AP22CLOSE-BUND-BGG</v>
      </c>
      <c r="B147" s="13" t="str">
        <v>CH</v>
      </c>
      <c r="C147" s="13" t="str">
        <v>BGG</v>
      </c>
      <c r="D147" s="13" t="str">
        <v>Stand 01.04.2026, Art. 45 und 46</v>
      </c>
      <c r="E147" s="29" t="str">
        <v>https://www.fedlex.admin.ch/eli/cc/2006/218/de</v>
      </c>
      <c r="F147" s="13" t="str">
        <v>Siehe Fundstelle</v>
      </c>
      <c r="G147" s="13" t="str">
        <v>2026-10-02</v>
      </c>
      <c r="H147" s="13" t="str">
        <v>Amtliche Normtexte über Swiss Caselaw gelesen. Feiertagsort und Stillstand.</v>
      </c>
      <c r="I147" s="13" t="str">
        <v>Fachnachtrag ap22a-bundesanknuepfungen.md. Quellenstand, Normprüfung und Ableitung dort differenziert.</v>
      </c>
      <c r="J147" s="15" t="str"/>
    </row>
    <row r="148" ht="72" customHeight="1">
      <c r="A148" s="14" t="str">
        <v>AP22CLOSE-BUND-VWVG</v>
      </c>
      <c r="B148" s="14" t="str">
        <v>CH</v>
      </c>
      <c r="C148" s="14" t="str">
        <v>VwVG</v>
      </c>
      <c r="D148" s="14" t="str">
        <v>Stand 01.07.2022, Art. 11, 20 und 22a</v>
      </c>
      <c r="E148" s="30" t="str">
        <v>https://www.fedlex.admin.ch/eli/cc/1969/737_757_755/de</v>
      </c>
      <c r="F148" s="14" t="str">
        <v>Siehe Fundstelle</v>
      </c>
      <c r="G148" s="14" t="str">
        <v>2026-10-02</v>
      </c>
      <c r="H148" s="14" t="str">
        <v>Amtliche Normtexte über Swiss Caselaw gelesen. Vertretung, Feiertagsort und Stillstand.</v>
      </c>
      <c r="I148" s="14" t="str">
        <v>Fachnachtrag ap22a-bundesanknuepfungen.md. Quellenstand, Normprüfung und Ableitung dort differenziert.</v>
      </c>
      <c r="J148" s="15" t="str"/>
    </row>
    <row r="149" ht="72" customHeight="1">
      <c r="A149" s="13" t="str">
        <v>AP22CLOSE-BUND-VWVG2027</v>
      </c>
      <c r="B149" s="13" t="str">
        <v>CH</v>
      </c>
      <c r="C149" s="13" t="str">
        <v>VwVG Konsolidierung 01.01.2027</v>
      </c>
      <c r="D149" s="13" t="str"/>
      <c r="E149" s="29" t="str">
        <v>https://www.fedlex.admin.ch/filestore/fedlex.data.admin.ch/eli/cc/1969/737_757_755/20270101/de/html/fedlex-data-admin-ch-eli-cc-1969-737_757_755-20270101-de-html.html</v>
      </c>
      <c r="F149" s="13" t="str">
        <v>Siehe Fundstelle</v>
      </c>
      <c r="G149" s="13" t="str">
        <v>2026-10-02</v>
      </c>
      <c r="H149" s="13" t="str">
        <v>Direktes amtliches HTML. Art. 20 und 22a mit 2022 verglichen, Art. 21 Abs. 1bis samt Änderungsnachweis gelesen.</v>
      </c>
      <c r="I149" s="13" t="str">
        <v>Fachnachtrag ap22a-bundesanknuepfungen.md. Quellenstand, Normprüfung und Ableitung dort differenziert.</v>
      </c>
      <c r="J149" s="15" t="str"/>
    </row>
    <row r="150" ht="72" customHeight="1">
      <c r="A150" s="14" t="str">
        <v>AP22CLOSE-BUND-EUFR</v>
      </c>
      <c r="B150" s="14" t="str">
        <v>CH</v>
      </c>
      <c r="C150" s="14" t="str">
        <v>EuFrÜb</v>
      </c>
      <c r="D150" s="14" t="str">
        <v>Stand 01.01.2011, Art. 1 und 5</v>
      </c>
      <c r="E150" s="30" t="str">
        <v>https://www.fedlex.admin.ch/eli/cc/1983/500_500_500/de</v>
      </c>
      <c r="F150" s="14" t="str">
        <v>Siehe Fundstelle</v>
      </c>
      <c r="G150" s="14" t="str">
        <v>2026-10-02</v>
      </c>
      <c r="H150" s="14" t="str">
        <v>Amtliche Normtexte über Swiss Caselaw gelesen. Sachlicher Geltungsbereich und Gleichstellung.</v>
      </c>
      <c r="I150" s="14" t="str">
        <v>Fachnachtrag ap22a-bundesanknuepfungen.md. Quellenstand, Normprüfung und Ableitung dort differenziert.</v>
      </c>
      <c r="J150" s="15" t="str"/>
    </row>
    <row r="151" ht="72" customHeight="1">
      <c r="A151" s="13" t="str">
        <v>AP22CLOSE-BUND-BBL2008</v>
      </c>
      <c r="B151" s="13" t="str">
        <v>CH</v>
      </c>
      <c r="C151" s="13" t="str">
        <v>BBl 2008 8125</v>
      </c>
      <c r="D151" s="13" t="str">
        <v>S. 8184</v>
      </c>
      <c r="E151" s="29" t="str">
        <v>https://www.fedlex.admin.ch/eli/fga/2008/1395/de</v>
      </c>
      <c r="F151" s="13" t="str">
        <v>Siehe Fundstelle</v>
      </c>
      <c r="G151" s="13" t="str">
        <v>2026-10-02</v>
      </c>
      <c r="H151" s="13" t="str">
        <v>Wortlaut der Botschaft über Swiss Caselaw gelesen. Anpassung StPO Art. 90 Abs. 2 an BGG Art. 45.</v>
      </c>
      <c r="I151" s="13" t="str">
        <v>Fachnachtrag ap22a-bundesanknuepfungen.md. Quellenstand, Normprüfung und Ableitung dort differenziert.</v>
      </c>
      <c r="J151" s="15" t="str"/>
    </row>
    <row r="152" ht="86" customHeight="1">
      <c r="A152" s="14" t="str">
        <v>AP22CLOSE-BUND-BBL2025</v>
      </c>
      <c r="B152" s="14" t="str">
        <v>CH</v>
      </c>
      <c r="C152" s="14" t="str">
        <v>BBl 2025 565</v>
      </c>
      <c r="D152" s="14" t="str">
        <v>Ziff. 4.1.3 und 5.1 samt Fussnoten 54–55</v>
      </c>
      <c r="E152" s="30" t="str">
        <v>https://www.fedlex.admin.ch/eli/fga/2025/565/de</v>
      </c>
      <c r="F152" s="14" t="str">
        <v>Siehe Fundstelle</v>
      </c>
      <c r="G152" s="14" t="str">
        <v>2026-10-02</v>
      </c>
      <c r="H152" s="14" t="str">
        <v>Amtliches HTML direkt gelesen. Erläuterung der geltenden Vertreteranknüpfung. Gesetzesentwurf nicht als geltendes Recht verwendet.</v>
      </c>
      <c r="I152" s="14" t="str">
        <v>Fachnachtrag ap22a-bundesanknuepfungen.md. Quellenstand, Normprüfung und Ableitung dort differenziert.</v>
      </c>
      <c r="J152" s="15" t="str"/>
    </row>
    <row r="153" ht="58" customHeight="1">
      <c r="A153" s="13" t="str">
        <v>AP22CLOSE-BUND-4A434</v>
      </c>
      <c r="B153" s="13" t="str">
        <v>CH</v>
      </c>
      <c r="C153" s="13" t="str">
        <v>BGer 4A_434/2023</v>
      </c>
      <c r="D153" s="13" t="str">
        <v>05.09.2024, E. 1.1</v>
      </c>
      <c r="E153" s="29" t="str">
        <v>https://www.bger.ch/ext/eurospider/live/de/php/aza/http/index.php?highlight_docid=aza%3A%2F%2F05-09-2024-4A_434-2023&amp;lang=de&amp;type=show_document&amp;zoom=</v>
      </c>
      <c r="F153" s="13" t="str">
        <v>Siehe Fundstelle</v>
      </c>
      <c r="G153" s="13" t="str">
        <v>2026-10-02</v>
      </c>
      <c r="H153" s="13" t="str">
        <v>Volltext. Zustellvertretung GE statt Partei SH.</v>
      </c>
      <c r="I153" s="13" t="str">
        <v>Fachnachtrag ap22a-bundesanknuepfungen.md. Quellenstand, Normprüfung und Ableitung dort differenziert.</v>
      </c>
      <c r="J153" s="15" t="str"/>
    </row>
    <row r="154" ht="58" customHeight="1">
      <c r="A154" s="14" t="str">
        <v>AP22CLOSE-BUND-7B561</v>
      </c>
      <c r="B154" s="14" t="str">
        <v>CH</v>
      </c>
      <c r="C154" s="14" t="str">
        <v>BGer 7B_561/2025</v>
      </c>
      <c r="D154" s="14" t="str">
        <v>01.07.2025, E. 1.2</v>
      </c>
      <c r="E154" s="30" t="str">
        <v>https://search.bger.ch/ext/eurospider/live/fr/php/aza/http/index.php?highlight_docid=aza%3A%2F%2F01-07-2025-7B_561-2025&amp;lang=fr&amp;type=show_document&amp;zoom=NO</v>
      </c>
      <c r="F154" s="14" t="str">
        <v>Siehe Fundstelle</v>
      </c>
      <c r="G154" s="14" t="str">
        <v>2026-10-02</v>
      </c>
      <c r="H154" s="14" t="str">
        <v>Volltext. Kein zusätzlicher Fronleichnam am Parteiort.</v>
      </c>
      <c r="I154" s="14" t="str">
        <v>Fachnachtrag ap22a-bundesanknuepfungen.md. Quellenstand, Normprüfung und Ableitung dort differenziert.</v>
      </c>
      <c r="J154" s="15" t="str"/>
    </row>
    <row r="155" ht="72" customHeight="1">
      <c r="A155" s="13" t="str">
        <v>AP22CLOSE-BUND-BB2020164</v>
      </c>
      <c r="B155" s="13" t="str">
        <v>CH</v>
      </c>
      <c r="C155" s="13" t="str">
        <v>BStGer BB.2020.164/170</v>
      </c>
      <c r="D155" s="13" t="str">
        <v>09.12.2020, E. 2.2</v>
      </c>
      <c r="E155" s="29" t="str">
        <v>https://entscheidsuche.ch/docs/CH_BSTG/CH_BSTG_001_BB-2020-164_2020-12-09.pdf</v>
      </c>
      <c r="F155" s="13" t="str">
        <v>Siehe Fundstelle</v>
      </c>
      <c r="G155" s="13" t="str">
        <v>2026-10-02</v>
      </c>
      <c r="H155" s="13" t="str">
        <v>Volltext über Entscheidsuche. Tatsächliche Anknüpfung an Advokaturbüro SG unter StPO.</v>
      </c>
      <c r="I155" s="13" t="str">
        <v>Fachnachtrag ap22a-bundesanknuepfungen.md. Quellenstand, Normprüfung und Ableitung dort differenziert.</v>
      </c>
      <c r="J155" s="15" t="str"/>
    </row>
    <row r="156" ht="58" customHeight="1">
      <c r="A156" s="14" t="str">
        <v>AP22CLOSE-BUND-D7710</v>
      </c>
      <c r="B156" s="14" t="str">
        <v>CH</v>
      </c>
      <c r="C156" s="14" t="str">
        <v>BVGer D-7710/2009</v>
      </c>
      <c r="D156" s="14" t="str">
        <v>04.03.2010, E. 1.2.3</v>
      </c>
      <c r="E156" s="30" t="str">
        <v>https://entscheidsuche.ch/docs/CH_BVGer/CH_BVGE_001_D-7710-2009_2010-03-04.pdf</v>
      </c>
      <c r="F156" s="14" t="str">
        <v>Siehe Fundstelle</v>
      </c>
      <c r="G156" s="14" t="str">
        <v>2026-10-02</v>
      </c>
      <c r="H156" s="14" t="str">
        <v>Volltext über Entscheidsuche. Historischer Kumulationsbefund, nicht verallgemeinert.</v>
      </c>
      <c r="I156" s="14" t="str">
        <v>Fachnachtrag ap22a-bundesanknuepfungen.md. Quellenstand, Normprüfung und Ableitung dort differenziert.</v>
      </c>
      <c r="J156" s="15" t="str"/>
    </row>
    <row r="157" ht="58" customHeight="1">
      <c r="A157" s="13" t="str">
        <v>AP22CLOSE-BUND-D6953</v>
      </c>
      <c r="B157" s="13" t="str">
        <v>CH</v>
      </c>
      <c r="C157" s="13" t="str">
        <v>BVGer D-6953/2010</v>
      </c>
      <c r="D157" s="13" t="str">
        <v>14.04.2011, S. 3–4</v>
      </c>
      <c r="E157" s="29" t="str">
        <v>https://entscheidsuche.ch/docs/CH_BVGer/CH_BVGE_001_D-6953-2010_2011-04-14.pdf</v>
      </c>
      <c r="F157" s="13" t="str">
        <v>Siehe Fundstelle</v>
      </c>
      <c r="G157" s="13" t="str">
        <v>2026-10-02</v>
      </c>
      <c r="H157" s="13" t="str">
        <v>Volltext über Entscheidsuche. Begrenzung auf nichtprofessionelle Vertretung.</v>
      </c>
      <c r="I157" s="13" t="str">
        <v>Fachnachtrag ap22a-bundesanknuepfungen.md. Quellenstand, Normprüfung und Ableitung dort differenziert.</v>
      </c>
      <c r="J157" s="15" t="str"/>
    </row>
    <row r="158" ht="86" customHeight="1">
      <c r="A158" s="14" t="str">
        <v>AP22CLOSE-BUND-F10031</v>
      </c>
      <c r="B158" s="14" t="str">
        <v>CH</v>
      </c>
      <c r="C158" s="14" t="str">
        <v>BVGer F-10031/2025</v>
      </c>
      <c r="D158" s="14" t="str">
        <v>09.01.2026, E. 1.7–1.9</v>
      </c>
      <c r="E158" s="30" t="str">
        <v>https://entscheidsuche.ch/docs/CH_BVGer/CH_BVGE_001_F-10031-2025_2026-01-09.pdf</v>
      </c>
      <c r="F158" s="14" t="str">
        <v>Siehe Fundstelle</v>
      </c>
      <c r="G158" s="14" t="str">
        <v>2026-10-02</v>
      </c>
      <c r="H158" s="14" t="str">
        <v>Volltext über Entscheidsuche. Wechsel NE-Vertretungsort zu GE-Parteiort nach Mandatsende, besonderer Asylkontext.</v>
      </c>
      <c r="I158" s="14" t="str">
        <v>Fachnachtrag ap22a-bundesanknuepfungen.md. Quellenstand, Normprüfung und Ableitung dort differenziert.</v>
      </c>
      <c r="J158" s="15" t="str"/>
    </row>
    <row r="159" ht="72" customHeight="1">
      <c r="A159" s="13" t="str">
        <v>AP22CLOSE-BUND-BGE124II527</v>
      </c>
      <c r="B159" s="13" t="str">
        <v>CH</v>
      </c>
      <c r="C159" s="13" t="str">
        <v>BGE 124 II 527</v>
      </c>
      <c r="D159" s="13" t="str">
        <v>11.06.1998, E. 2b</v>
      </c>
      <c r="E159" s="29" t="str">
        <v>https://entscheidsuche.ch/docs/CH_BGE/CH_BGE_004_BGE-124-II-527_1998-06-11.html</v>
      </c>
      <c r="F159" s="13" t="str">
        <v>Siehe Fundstelle</v>
      </c>
      <c r="G159" s="13" t="str">
        <v>2026-10-02</v>
      </c>
      <c r="H159" s="13" t="str">
        <v>Volltext. Unmittelbare Anwendbarkeit Art. 5 EuFrÜb und damaliger FR-Gleichstellungstag.</v>
      </c>
      <c r="I159" s="13" t="str">
        <v>Fachnachtrag ap22a-bundesanknuepfungen.md. Quellenstand, Normprüfung und Ableitung dort differenziert.</v>
      </c>
      <c r="J159" s="15" t="str"/>
    </row>
    <row r="160" ht="58" customHeight="1">
      <c r="A160" s="14" t="str">
        <v>AP22CLOSE-BUND-9C396</v>
      </c>
      <c r="B160" s="14" t="str">
        <v>CH</v>
      </c>
      <c r="C160" s="14" t="str">
        <v>BGer 9C_396/2018</v>
      </c>
      <c r="D160" s="14" t="str">
        <v>20.12.2018, E. 2.2–2.4</v>
      </c>
      <c r="E160" s="30" t="str">
        <v>https://www.bger.ch/ext/eurospider/live/de/php/aza/http/index.php?highlight_docid=aza%3A%2F%2F20-12-2018-9C_396-2018&amp;lang=de&amp;type=show_document</v>
      </c>
      <c r="F160" s="14" t="str">
        <v>Siehe Fundstelle</v>
      </c>
      <c r="G160" s="14" t="str">
        <v>2026-10-02</v>
      </c>
      <c r="H160" s="14" t="str">
        <v>Volltext. Historische LPJA-NE-Gleichstellung und abgegrenzte Formalismusbegründung.</v>
      </c>
      <c r="I160" s="14" t="str">
        <v>Fachnachtrag ap22a-bundesanknuepfungen.md. Quellenstand, Normprüfung und Ableitung dort differenziert.</v>
      </c>
      <c r="J160" s="15" t="str"/>
    </row>
    <row r="161" ht="58" customHeight="1">
      <c r="A161" s="13" t="str">
        <v>AP22CLOSE-BUND-2E8</v>
      </c>
      <c r="B161" s="13" t="str">
        <v>CH</v>
      </c>
      <c r="C161" s="13" t="str">
        <v>BGer 2E_8/2024</v>
      </c>
      <c r="D161" s="13" t="str">
        <v>13.02.2026, E. 6.2–6.6</v>
      </c>
      <c r="E161" s="29" t="str">
        <v>https://www.bger.ch/ext/eurospider/live/de/php/aza/http/index.php?highlight_docid=aza%3A%2F%2F13-02-2026-2E_8-2024&amp;lang=de&amp;type=show_document&amp;zoom=</v>
      </c>
      <c r="F161" s="13" t="str">
        <v>Siehe Fundstelle</v>
      </c>
      <c r="G161" s="13" t="str">
        <v>2026-10-02</v>
      </c>
      <c r="H161" s="13" t="str">
        <v>Volltext über Entscheidsuche. Aktuelle Korrektur des AG-Allerheiligenbefunds.</v>
      </c>
      <c r="I161" s="13" t="str">
        <v>Fachnachtrag ap22a-bundesanknuepfungen.md. Quellenstand, Normprüfung und Ableitung dort differenziert.</v>
      </c>
      <c r="J161" s="15" t="str"/>
    </row>
    <row r="162" ht="58" customHeight="1">
      <c r="A162" s="14" t="str">
        <v>AP22CLOSE-BUND-BGE115IV266</v>
      </c>
      <c r="B162" s="14" t="str">
        <v>CH</v>
      </c>
      <c r="C162" s="14" t="str">
        <v>BGE 115 IV 266</v>
      </c>
      <c r="D162" s="14" t="str">
        <v>22.11.1989</v>
      </c>
      <c r="E162" s="30" t="str">
        <v>https://search.bger.ch/ext/eurospider/live/de/php/aza/http/index.php?highlight_docid=atf%3A%2F%2F115-IV-266%3Ade&amp;lang=de&amp;type=show_document</v>
      </c>
      <c r="F162" s="14" t="str">
        <v>Siehe Fundstelle</v>
      </c>
      <c r="G162" s="14" t="str">
        <v>2026-10-02</v>
      </c>
      <c r="H162" s="14" t="str">
        <v>Volltext. Kantonalrechtliche Grundlage statt bloss örtlicher Übung.</v>
      </c>
      <c r="I162" s="14" t="str">
        <v>Fachnachtrag ap22a-bundesanknuepfungen.md. Quellenstand, Normprüfung und Ableitung dort differenziert.</v>
      </c>
      <c r="J162" s="15" t="str"/>
    </row>
    <row r="163" ht="72" customHeight="1">
      <c r="A163" s="13" t="str">
        <v>AP22CLOSE-BUND-7B32</v>
      </c>
      <c r="B163" s="13" t="str">
        <v>CH</v>
      </c>
      <c r="C163" s="13" t="str">
        <v>BGer 7B_32/2023</v>
      </c>
      <c r="D163" s="13" t="str">
        <v>06.09.2023, E. 4 und 5</v>
      </c>
      <c r="E163" s="29" t="str">
        <v>https://entscheidsuche.ch/docs/CH_BGer/CH_BGer_007_7B-32-2023_2023-09-06.html</v>
      </c>
      <c r="F163" s="13" t="str">
        <v>Siehe Fundstelle</v>
      </c>
      <c r="G163" s="13" t="str">
        <v>2026-10-02</v>
      </c>
      <c r="H163" s="13" t="str">
        <v>Volltext über Entscheidsuche. GE-Personalersatztag ohne automatische StPO-Fristwirkung.</v>
      </c>
      <c r="I163" s="13" t="str">
        <v>Fachnachtrag ap22a-bundesanknuepfungen.md. Quellenstand, Normprüfung und Ableitung dort differenziert.</v>
      </c>
      <c r="J163" s="15" t="str"/>
    </row>
  </sheetData>
  <mergeCells>
    <mergeCell ref="A1:F2"/>
    <mergeCell ref="A3:F4"/>
  </mergeCells>
  <hyperlinks>
    <hyperlink ref="E7" r:id="rIdAP22CloseSource7"/>
    <hyperlink ref="E8" r:id="rIdAP22CloseSource8"/>
    <hyperlink ref="E9" r:id="rIdAP22CloseSource9"/>
    <hyperlink ref="E10" r:id="rIdAP22CloseSource10"/>
    <hyperlink ref="E11" r:id="rIdAP22CloseSource11"/>
    <hyperlink ref="E12" r:id="rIdAP22CloseSource12"/>
    <hyperlink ref="E13" r:id="rIdAP22CloseSource13"/>
    <hyperlink ref="E14" r:id="rIdAP22CloseSource14"/>
    <hyperlink ref="E15" r:id="rIdAP22CloseSource15"/>
    <hyperlink ref="E16" r:id="rIdAP22CloseSource16"/>
    <hyperlink ref="E17" r:id="rIdAP22CloseSource17"/>
    <hyperlink ref="E18" r:id="rIdAP22CloseSource18"/>
    <hyperlink ref="E19" r:id="rIdAP22CloseSource19"/>
    <hyperlink ref="E20" r:id="rIdAP22CloseSource20"/>
    <hyperlink ref="E21" r:id="rIdAP22CloseSource21"/>
    <hyperlink ref="E22" r:id="rIdAP22CloseSource22"/>
    <hyperlink ref="E23" r:id="rIdAP22CloseSource23"/>
    <hyperlink ref="E24" r:id="rIdAP22CloseSource24"/>
    <hyperlink ref="E25" r:id="rIdAP22CloseSource25"/>
    <hyperlink ref="E26" r:id="rIdAP22CloseSource26"/>
    <hyperlink ref="E27" r:id="rIdAP22CloseSource27"/>
    <hyperlink ref="E28" r:id="rIdAP22CloseSource28"/>
    <hyperlink ref="E29" r:id="rIdAP22CloseSource29"/>
    <hyperlink ref="E30" r:id="rIdAP22CloseSource30"/>
    <hyperlink ref="E31" r:id="rIdAP22CloseSource31"/>
    <hyperlink ref="E32" r:id="rIdAP22CloseSource32"/>
    <hyperlink ref="E33" r:id="rIdAP22CloseSource33"/>
    <hyperlink ref="E34" r:id="rIdAP22CloseSource34"/>
    <hyperlink ref="E35" r:id="rIdAP22CloseSource35"/>
    <hyperlink ref="E36" r:id="rIdAP22CloseSource36"/>
    <hyperlink ref="E37" r:id="rIdAP22CloseSource37"/>
    <hyperlink ref="E38" r:id="rIdAP22CloseSource38"/>
    <hyperlink ref="E39" r:id="rIdAP22CloseSource39"/>
    <hyperlink ref="E40" r:id="rIdAP22CloseSource40"/>
    <hyperlink ref="E41" r:id="rIdAP22CloseSource41"/>
    <hyperlink ref="E42" r:id="rIdAP22CloseSource42"/>
    <hyperlink ref="E43" r:id="rIdAP22CloseSource43"/>
    <hyperlink ref="E44" r:id="rIdAP22CloseSource44"/>
    <hyperlink ref="E45" r:id="rIdAP22CloseSource45"/>
    <hyperlink ref="E46" r:id="rIdAP22CloseSource46"/>
    <hyperlink ref="E47" r:id="rIdAP22CloseSource47"/>
    <hyperlink ref="E48" r:id="rIdAP22CloseSource48"/>
    <hyperlink ref="E49" r:id="rIdAP22CloseSource49"/>
    <hyperlink ref="E50" r:id="rIdAP22CloseSource50"/>
    <hyperlink ref="E51" r:id="rIdAP22CloseSource51"/>
    <hyperlink ref="E52" r:id="rIdAP22CloseSource52"/>
    <hyperlink ref="E53" r:id="rIdAP22CloseSource53"/>
    <hyperlink ref="E54" r:id="rIdAP22CloseSource54"/>
    <hyperlink ref="E55" r:id="rIdAP22CloseSource55"/>
    <hyperlink ref="E56" r:id="rIdAP22CloseSource56"/>
    <hyperlink ref="E57" r:id="rIdAP22CloseSource57"/>
    <hyperlink ref="E58" r:id="rIdAP22CloseSource58"/>
    <hyperlink ref="E59" r:id="rIdAP22CloseSource59"/>
    <hyperlink ref="E60" r:id="rIdAP22CloseSource60"/>
    <hyperlink ref="E61" r:id="rIdAP22CloseSource61"/>
    <hyperlink ref="E62" r:id="rIdAP22CloseSource62"/>
    <hyperlink ref="E63" r:id="rIdAP22CloseSource63"/>
    <hyperlink ref="E64" r:id="rIdAP22CloseSource64"/>
    <hyperlink ref="E65" r:id="rIdAP22CloseSource65"/>
    <hyperlink ref="E66" r:id="rIdAP22CloseSource66"/>
    <hyperlink ref="E67" r:id="rIdAP22CloseSource67"/>
    <hyperlink ref="E68" r:id="rIdAP22CloseSource68"/>
    <hyperlink ref="E69" r:id="rIdAP22CloseSource69"/>
    <hyperlink ref="E70" r:id="rIdAP22CloseSource70"/>
    <hyperlink ref="E71" r:id="rIdAP22CloseSource71"/>
    <hyperlink ref="E72" r:id="rIdAP22CloseSource72"/>
    <hyperlink ref="E73" r:id="rIdAP22CloseSource73"/>
    <hyperlink ref="E74" r:id="rIdAP22CloseSource74"/>
    <hyperlink ref="E75" r:id="rIdAP22CloseSource75"/>
    <hyperlink ref="E76" r:id="rIdAP22CloseSource76"/>
    <hyperlink ref="E77" r:id="rIdAP22CloseSource77"/>
    <hyperlink ref="E78" r:id="rIdAP22CloseSource78"/>
    <hyperlink ref="E79" r:id="rIdAP22CloseSource79"/>
    <hyperlink ref="E80" r:id="rIdAP22CloseSource80"/>
    <hyperlink ref="E81" r:id="rIdAP22CloseSource81"/>
    <hyperlink ref="E82" r:id="rIdAP22CloseSource82"/>
    <hyperlink ref="E83" r:id="rIdAP22CloseSource83"/>
    <hyperlink ref="E84" r:id="rIdAP22CloseSource84"/>
    <hyperlink ref="E85" r:id="rIdAP22CloseSource85"/>
    <hyperlink ref="E86" r:id="rIdAP22CloseSource86"/>
    <hyperlink ref="E87" r:id="rIdAP22CloseSource87"/>
    <hyperlink ref="E88" r:id="rIdAP22CloseSource88"/>
    <hyperlink ref="E89" r:id="rIdAP22CloseSource89"/>
    <hyperlink ref="E90" r:id="rIdAP22CloseSource90"/>
    <hyperlink ref="E91" r:id="rIdAP22CloseSource91"/>
    <hyperlink ref="E92" r:id="rIdAP22CloseSource92"/>
    <hyperlink ref="E93" r:id="rIdAP22CloseSource93"/>
    <hyperlink ref="E94" r:id="rIdAP22CloseSource94"/>
    <hyperlink ref="E95" r:id="rIdAP22CloseSource95"/>
    <hyperlink ref="E96" r:id="rIdAP22CloseSource96"/>
    <hyperlink ref="E97" r:id="rIdAP22CloseSource97"/>
    <hyperlink ref="E98" r:id="rIdAP22CloseSource98"/>
    <hyperlink ref="E99" r:id="rIdAP22CloseSource99"/>
    <hyperlink ref="E100" r:id="rIdAP22CloseSource100"/>
    <hyperlink ref="E101" r:id="rIdAP22CloseSource101"/>
    <hyperlink ref="E102" r:id="rIdAP22CloseSource102"/>
    <hyperlink ref="E103" r:id="rIdAP22CloseSource103"/>
    <hyperlink ref="E104" r:id="rIdAP22CloseSource104"/>
    <hyperlink ref="E105" r:id="rIdAP22CloseSource105"/>
    <hyperlink ref="E106" r:id="rIdAP22CloseSource106"/>
    <hyperlink ref="E107" r:id="rIdAP22CloseSource107"/>
    <hyperlink ref="E108" r:id="rIdAP22CloseSource108"/>
    <hyperlink ref="E109" r:id="rIdAP22CloseSource109"/>
    <hyperlink ref="E110" r:id="rIdAP22CloseSource110"/>
    <hyperlink ref="E111" r:id="rIdAP22CloseSource111"/>
    <hyperlink ref="E112" r:id="rIdAP22CloseSource112"/>
    <hyperlink ref="E113" r:id="rIdAP22CloseSource113"/>
    <hyperlink ref="E114" r:id="rIdAP22CloseSource114"/>
    <hyperlink ref="E115" r:id="rIdAP22CloseSource115"/>
    <hyperlink ref="E116" r:id="rIdAP22CloseSource116"/>
    <hyperlink ref="E117" r:id="rIdAP22CloseSource117"/>
    <hyperlink ref="E118" r:id="rIdAP22CloseSource118"/>
    <hyperlink ref="E119" r:id="rIdAP22CloseSource119"/>
    <hyperlink ref="E120" r:id="rIdAP22CloseSource120"/>
    <hyperlink ref="E121" r:id="rIdAP22CloseSource121"/>
    <hyperlink ref="E122" r:id="rIdAP22CloseSource122"/>
    <hyperlink ref="E123" r:id="rIdAP22CloseSource123"/>
    <hyperlink ref="E124" r:id="rIdAP22CloseSource124"/>
    <hyperlink ref="E125" r:id="rIdAP22CloseSource125"/>
    <hyperlink ref="E126" r:id="rIdAP22CloseSource126"/>
    <hyperlink ref="E127" r:id="rIdAP22CloseSource127"/>
    <hyperlink ref="E128" r:id="rIdAP22CloseSource128"/>
    <hyperlink ref="E129" r:id="rIdAP22CloseSource129"/>
    <hyperlink ref="E130" r:id="rIdAP22CloseSource130"/>
    <hyperlink ref="E131" r:id="rIdAP22CloseSource131"/>
    <hyperlink ref="E132" r:id="rIdAP22CloseSource132"/>
    <hyperlink ref="E133" r:id="rIdAP22CloseSource133"/>
    <hyperlink ref="E134" r:id="rIdAP22CloseSource134"/>
    <hyperlink ref="E135" r:id="rIdAP22CloseSource135"/>
    <hyperlink ref="E136" r:id="rIdAP22CloseSource136"/>
    <hyperlink ref="E137" r:id="rIdAP22CloseSource137"/>
    <hyperlink ref="E138" r:id="rIdAP22CloseSource138"/>
    <hyperlink ref="E139" r:id="rIdAP22CloseSource139"/>
    <hyperlink ref="E140" r:id="rIdAP22CloseSource140"/>
    <hyperlink ref="E141" r:id="rIdAP22CloseSource141"/>
    <hyperlink ref="E142" r:id="rIdAP22CloseSource142"/>
    <hyperlink ref="E143" r:id="rIdAP22CloseSource143"/>
    <hyperlink ref="E144" r:id="rIdAP22CloseSource144"/>
    <hyperlink ref="E145" r:id="rIdAP22CloseSource145"/>
    <hyperlink ref="E146" r:id="rIdAP22CloseSource146"/>
    <hyperlink ref="E147" r:id="rIdAP22CloseSource147"/>
    <hyperlink ref="E148" r:id="rIdAP22CloseSource148"/>
    <hyperlink ref="E149" r:id="rIdAP22CloseSource149"/>
    <hyperlink ref="E150" r:id="rIdAP22CloseSource150"/>
    <hyperlink ref="E151" r:id="rIdAP22CloseSource151"/>
    <hyperlink ref="E152" r:id="rIdAP22CloseSource152"/>
    <hyperlink ref="E153" r:id="rIdAP22CloseSource153"/>
    <hyperlink ref="E154" r:id="rIdAP22CloseSource154"/>
    <hyperlink ref="E155" r:id="rIdAP22CloseSource155"/>
    <hyperlink ref="E156" r:id="rIdAP22CloseSource156"/>
    <hyperlink ref="E157" r:id="rIdAP22CloseSource157"/>
    <hyperlink ref="E158" r:id="rIdAP22CloseSource158"/>
    <hyperlink ref="E159" r:id="rIdAP22CloseSource159"/>
    <hyperlink ref="E160" r:id="rIdAP22CloseSource160"/>
    <hyperlink ref="E161" r:id="rIdAP22CloseSource161"/>
    <hyperlink ref="E162" r:id="rIdAP22CloseSource162"/>
    <hyperlink ref="E163" r:id="rIdAP22CloseSource163"/>
  </hyperlinks>
  <pageMargins left="0.7" right="0.7" top="0.75" bottom="0.75" header="0.3" footer="0.3"/>
  <tableParts count="1">
    <tablePart r:id="R1c0f34dc60c54c2c"/>
  </tableParts>
</worksheet>
</file>