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xr:revisionPtr revIDLastSave="0" documentId="13_ncr:1_{69B10992-581E-4D48-8A14-E730EDD6928C}" xr6:coauthVersionLast="47" xr6:coauthVersionMax="47" xr10:uidLastSave="{00000000-0000-0000-0000-000000000000}"/>
  <bookViews>
    <workbookView xWindow="0" yWindow="680" windowWidth="34200" windowHeight="21460" activeTab="1" xr2:uid="{00000000-000D-0000-FFFF-FFFF00000000}"/>
  </bookViews>
  <sheets>
    <sheet name="Übersicht" sheetId="1" r:id="rId1"/>
    <sheet name="Feiertagskalender" sheetId="2" r:id="rId2"/>
    <sheet name="Gemeinwesen" sheetId="3" r:id="rId3"/>
    <sheet name="Feiertagsregeln" sheetId="4" r:id="rId4"/>
    <sheet name="Geltungsbereiche" sheetId="5" r:id="rId5"/>
    <sheet name="Gebietszuordnungen" sheetId="9" r:id="rId6"/>
    <sheet name="Rechtsquellen" sheetId="6" r:id="rId7"/>
    <sheet name="Verfahrensbezug" sheetId="7" r:id="rId8"/>
    <sheet name="Quellenprüfung" sheetId="8"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198" i="4" l="1"/>
  <c r="X198" i="4" s="1"/>
  <c r="A207" i="2" s="1"/>
  <c r="W197" i="4"/>
  <c r="X197" i="4" s="1"/>
  <c r="A206" i="2" s="1"/>
  <c r="W196" i="4"/>
  <c r="X196" i="4" s="1"/>
  <c r="A205" i="2" s="1"/>
  <c r="W195" i="4"/>
  <c r="X195" i="4" s="1"/>
  <c r="A204" i="2" s="1"/>
  <c r="W190" i="4"/>
  <c r="X190" i="4" s="1"/>
  <c r="A199" i="2" s="1"/>
  <c r="W189" i="4"/>
  <c r="X189" i="4" s="1"/>
  <c r="A198" i="2" s="1"/>
  <c r="W188" i="4"/>
  <c r="X188" i="4" s="1"/>
  <c r="A197" i="2" s="1"/>
  <c r="W187" i="4"/>
  <c r="X187" i="4" s="1"/>
  <c r="A196" i="2" s="1"/>
  <c r="W184" i="4"/>
  <c r="X184" i="4" s="1"/>
  <c r="A193" i="2" s="1"/>
  <c r="W181" i="4"/>
  <c r="X181" i="4" s="1"/>
  <c r="A190" i="2" s="1"/>
  <c r="W180" i="4"/>
  <c r="X180" i="4" s="1"/>
  <c r="A189" i="2" s="1"/>
  <c r="W179" i="4"/>
  <c r="X179" i="4" s="1"/>
  <c r="A188" i="2" s="1"/>
  <c r="W178" i="4"/>
  <c r="X178" i="4" s="1"/>
  <c r="A187" i="2" s="1"/>
  <c r="W177" i="4"/>
  <c r="X177" i="4" s="1"/>
  <c r="A186" i="2" s="1"/>
  <c r="W176" i="4"/>
  <c r="X176" i="4" s="1"/>
  <c r="A185" i="2" s="1"/>
  <c r="W172" i="4"/>
  <c r="X172" i="4" s="1"/>
  <c r="A181" i="2" s="1"/>
  <c r="W169" i="4"/>
  <c r="X169" i="4" s="1"/>
  <c r="A178" i="2" s="1"/>
  <c r="W168" i="4"/>
  <c r="X168" i="4" s="1"/>
  <c r="A177" i="2" s="1"/>
  <c r="W167" i="4"/>
  <c r="X167" i="4" s="1"/>
  <c r="A176" i="2" s="1"/>
  <c r="W166" i="4"/>
  <c r="X166" i="4" s="1"/>
  <c r="A175" i="2" s="1"/>
  <c r="W165" i="4"/>
  <c r="X165" i="4" s="1"/>
  <c r="A174" i="2" s="1"/>
  <c r="W164" i="4"/>
  <c r="X164" i="4" s="1"/>
  <c r="A173" i="2" s="1"/>
  <c r="W163" i="4"/>
  <c r="X163" i="4" s="1"/>
  <c r="A172" i="2" s="1"/>
  <c r="W155" i="4"/>
  <c r="X155" i="4" s="1"/>
  <c r="A164" i="2" s="1"/>
  <c r="W154" i="4"/>
  <c r="X154" i="4" s="1"/>
  <c r="A163" i="2" s="1"/>
  <c r="W153" i="4"/>
  <c r="X153" i="4" s="1"/>
  <c r="A162" i="2" s="1"/>
  <c r="W152" i="4"/>
  <c r="X152" i="4" s="1"/>
  <c r="A161" i="2" s="1"/>
  <c r="W151" i="4"/>
  <c r="X151" i="4" s="1"/>
  <c r="A160" i="2" s="1"/>
  <c r="W146" i="4"/>
  <c r="X146" i="4" s="1"/>
  <c r="A155" i="2" s="1"/>
  <c r="W145" i="4"/>
  <c r="X145" i="4" s="1"/>
  <c r="A154" i="2" s="1"/>
  <c r="W144" i="4"/>
  <c r="X144" i="4" s="1"/>
  <c r="A153" i="2" s="1"/>
  <c r="W143" i="4"/>
  <c r="X143" i="4" s="1"/>
  <c r="A152" i="2" s="1"/>
  <c r="W142" i="4"/>
  <c r="X142" i="4" s="1"/>
  <c r="A151" i="2" s="1"/>
  <c r="W141" i="4"/>
  <c r="X141" i="4" s="1"/>
  <c r="A150" i="2" s="1"/>
  <c r="W140" i="4"/>
  <c r="X140" i="4" s="1"/>
  <c r="A149" i="2" s="1"/>
  <c r="W136" i="4"/>
  <c r="X136" i="4" s="1"/>
  <c r="A145" i="2" s="1"/>
  <c r="W135" i="4"/>
  <c r="X135" i="4" s="1"/>
  <c r="A144" i="2" s="1"/>
  <c r="W132" i="4"/>
  <c r="X132" i="4" s="1"/>
  <c r="A141" i="2" s="1"/>
  <c r="W131" i="4"/>
  <c r="X131" i="4" s="1"/>
  <c r="A140" i="2" s="1"/>
  <c r="W130" i="4"/>
  <c r="X130" i="4" s="1"/>
  <c r="A139" i="2" s="1"/>
  <c r="W129" i="4"/>
  <c r="X129" i="4" s="1"/>
  <c r="A138" i="2" s="1"/>
  <c r="W128" i="4"/>
  <c r="X128" i="4" s="1"/>
  <c r="A137" i="2" s="1"/>
  <c r="W127" i="4"/>
  <c r="X127" i="4" s="1"/>
  <c r="A136" i="2" s="1"/>
  <c r="W124" i="4"/>
  <c r="X124" i="4" s="1"/>
  <c r="A133" i="2" s="1"/>
  <c r="W123" i="4"/>
  <c r="X123" i="4" s="1"/>
  <c r="A132" i="2" s="1"/>
  <c r="W122" i="4"/>
  <c r="X122" i="4" s="1"/>
  <c r="A131" i="2" s="1"/>
  <c r="W121" i="4"/>
  <c r="X121" i="4" s="1"/>
  <c r="A130" i="2" s="1"/>
  <c r="W120" i="4"/>
  <c r="X120" i="4" s="1"/>
  <c r="A129" i="2" s="1"/>
  <c r="W119" i="4"/>
  <c r="X119" i="4" s="1"/>
  <c r="A128" i="2" s="1"/>
  <c r="W112" i="4"/>
  <c r="X112" i="4" s="1"/>
  <c r="A121" i="2" s="1"/>
  <c r="W111" i="4"/>
  <c r="X111" i="4" s="1"/>
  <c r="A120" i="2" s="1"/>
  <c r="W110" i="4"/>
  <c r="X110" i="4" s="1"/>
  <c r="A119" i="2" s="1"/>
  <c r="W109" i="4"/>
  <c r="X109" i="4" s="1"/>
  <c r="A118" i="2" s="1"/>
  <c r="W108" i="4"/>
  <c r="X108" i="4" s="1"/>
  <c r="A117" i="2" s="1"/>
  <c r="W107" i="4"/>
  <c r="X107" i="4" s="1"/>
  <c r="A116" i="2" s="1"/>
  <c r="W106" i="4"/>
  <c r="X106" i="4" s="1"/>
  <c r="A115" i="2" s="1"/>
  <c r="W105" i="4"/>
  <c r="X105" i="4" s="1"/>
  <c r="A114" i="2" s="1"/>
  <c r="W101" i="4"/>
  <c r="X101" i="4" s="1"/>
  <c r="A110" i="2" s="1"/>
  <c r="W99" i="4"/>
  <c r="X99" i="4" s="1"/>
  <c r="A108" i="2" s="1"/>
  <c r="W98" i="4"/>
  <c r="X98" i="4" s="1"/>
  <c r="A107" i="2" s="1"/>
  <c r="W97" i="4"/>
  <c r="X97" i="4" s="1"/>
  <c r="A106" i="2" s="1"/>
  <c r="W96" i="4"/>
  <c r="X96" i="4" s="1"/>
  <c r="A97" i="2" s="1"/>
  <c r="W95" i="4"/>
  <c r="X95" i="4" s="1"/>
  <c r="A96" i="2" s="1"/>
  <c r="W94" i="4"/>
  <c r="X94" i="4" s="1"/>
  <c r="A95" i="2" s="1"/>
  <c r="W93" i="4"/>
  <c r="X93" i="4" s="1"/>
  <c r="A94" i="2" s="1"/>
  <c r="W92" i="4"/>
  <c r="X92" i="4" s="1"/>
  <c r="A93" i="2" s="1"/>
  <c r="W88" i="4"/>
  <c r="X88" i="4" s="1"/>
  <c r="A89" i="2" s="1"/>
  <c r="W85" i="4"/>
  <c r="X85" i="4" s="1"/>
  <c r="A86" i="2" s="1"/>
  <c r="W84" i="4"/>
  <c r="X84" i="4" s="1"/>
  <c r="A85" i="2" s="1"/>
  <c r="W83" i="4"/>
  <c r="X83" i="4" s="1"/>
  <c r="A84" i="2" s="1"/>
  <c r="W82" i="4"/>
  <c r="X82" i="4" s="1"/>
  <c r="A83" i="2" s="1"/>
  <c r="W81" i="4"/>
  <c r="X81" i="4" s="1"/>
  <c r="A82" i="2" s="1"/>
  <c r="W77" i="4"/>
  <c r="X77" i="4" s="1"/>
  <c r="A78" i="2" s="1"/>
  <c r="W76" i="4"/>
  <c r="X76" i="4" s="1"/>
  <c r="A77" i="2" s="1"/>
  <c r="W75" i="4"/>
  <c r="X75" i="4" s="1"/>
  <c r="A76" i="2" s="1"/>
  <c r="W74" i="4"/>
  <c r="X74" i="4" s="1"/>
  <c r="A75" i="2" s="1"/>
  <c r="W73" i="4"/>
  <c r="X73" i="4" s="1"/>
  <c r="A74" i="2" s="1"/>
  <c r="W68" i="4"/>
  <c r="X68" i="4" s="1"/>
  <c r="A69" i="2" s="1"/>
  <c r="W67" i="4"/>
  <c r="X67" i="4" s="1"/>
  <c r="A68" i="2" s="1"/>
  <c r="W66" i="4"/>
  <c r="X66" i="4" s="1"/>
  <c r="A67" i="2" s="1"/>
  <c r="W65" i="4"/>
  <c r="X65" i="4" s="1"/>
  <c r="A66" i="2" s="1"/>
  <c r="W64" i="4"/>
  <c r="X64" i="4" s="1"/>
  <c r="A65" i="2" s="1"/>
  <c r="W60" i="4"/>
  <c r="X60" i="4" s="1"/>
  <c r="A61" i="2" s="1"/>
  <c r="W59" i="4"/>
  <c r="X59" i="4" s="1"/>
  <c r="A60" i="2" s="1"/>
  <c r="W58" i="4"/>
  <c r="X58" i="4" s="1"/>
  <c r="A59" i="2" s="1"/>
  <c r="W57" i="4"/>
  <c r="X57" i="4" s="1"/>
  <c r="A58" i="2" s="1"/>
  <c r="W56" i="4"/>
  <c r="X56" i="4" s="1"/>
  <c r="A57" i="2" s="1"/>
  <c r="W52" i="4"/>
  <c r="X52" i="4" s="1"/>
  <c r="A53" i="2" s="1"/>
  <c r="W51" i="4"/>
  <c r="X51" i="4" s="1"/>
  <c r="A52" i="2" s="1"/>
  <c r="W50" i="4"/>
  <c r="X50" i="4" s="1"/>
  <c r="A51" i="2" s="1"/>
  <c r="W49" i="4"/>
  <c r="X49" i="4" s="1"/>
  <c r="A50" i="2" s="1"/>
  <c r="W48" i="4"/>
  <c r="X48" i="4" s="1"/>
  <c r="A49" i="2" s="1"/>
  <c r="W44" i="4"/>
  <c r="X44" i="4" s="1"/>
  <c r="A45" i="2" s="1"/>
  <c r="W43" i="4"/>
  <c r="X43" i="4" s="1"/>
  <c r="A44" i="2" s="1"/>
  <c r="W42" i="4"/>
  <c r="X42" i="4" s="1"/>
  <c r="A43" i="2" s="1"/>
  <c r="W37" i="4"/>
  <c r="X37" i="4" s="1"/>
  <c r="A38" i="2" s="1"/>
  <c r="W36" i="4"/>
  <c r="X36" i="4" s="1"/>
  <c r="A37" i="2" s="1"/>
  <c r="W35" i="4"/>
  <c r="X35" i="4" s="1"/>
  <c r="A36" i="2" s="1"/>
  <c r="W30" i="4"/>
  <c r="X30" i="4" s="1"/>
  <c r="A31" i="2" s="1"/>
  <c r="W29" i="4"/>
  <c r="X29" i="4" s="1"/>
  <c r="A30" i="2" s="1"/>
  <c r="W28" i="4"/>
  <c r="X28" i="4" s="1"/>
  <c r="A29" i="2" s="1"/>
  <c r="W23" i="4"/>
  <c r="X23" i="4" s="1"/>
  <c r="A24" i="2" s="1"/>
  <c r="W22" i="4"/>
  <c r="X22" i="4" s="1"/>
  <c r="A23" i="2" s="1"/>
  <c r="W21" i="4"/>
  <c r="X21" i="4" s="1"/>
  <c r="A22" i="2" s="1"/>
  <c r="W20" i="4"/>
  <c r="X20" i="4" s="1"/>
  <c r="A21" i="2" s="1"/>
  <c r="W18" i="4"/>
  <c r="X18" i="4" s="1"/>
  <c r="A19" i="2" s="1"/>
  <c r="W17" i="4"/>
  <c r="X17" i="4" s="1"/>
  <c r="A18" i="2" s="1"/>
  <c r="W16" i="4"/>
  <c r="X16" i="4" s="1"/>
  <c r="A17" i="2" s="1"/>
  <c r="W9" i="4"/>
  <c r="X9" i="4" s="1"/>
  <c r="A10" i="2" s="1"/>
  <c r="W8" i="4"/>
  <c r="X8" i="4" s="1"/>
  <c r="A9" i="2" s="1"/>
  <c r="AD7" i="4"/>
  <c r="W7" i="4"/>
  <c r="X7" i="4" s="1"/>
  <c r="O207" i="2"/>
  <c r="M207" i="2"/>
  <c r="L207" i="2"/>
  <c r="I207" i="2"/>
  <c r="H207" i="2"/>
  <c r="G207" i="2"/>
  <c r="F207" i="2"/>
  <c r="E207" i="2"/>
  <c r="O206" i="2"/>
  <c r="M206" i="2"/>
  <c r="L206" i="2"/>
  <c r="I206" i="2"/>
  <c r="H206" i="2"/>
  <c r="G206" i="2"/>
  <c r="F206" i="2"/>
  <c r="E206" i="2"/>
  <c r="O205" i="2"/>
  <c r="M205" i="2"/>
  <c r="L205" i="2"/>
  <c r="I205" i="2"/>
  <c r="H205" i="2"/>
  <c r="G205" i="2"/>
  <c r="F205" i="2"/>
  <c r="E205" i="2"/>
  <c r="O204" i="2"/>
  <c r="M204" i="2"/>
  <c r="L204" i="2"/>
  <c r="I204" i="2"/>
  <c r="H204" i="2"/>
  <c r="G204" i="2"/>
  <c r="F204" i="2"/>
  <c r="E204" i="2"/>
  <c r="O203" i="2"/>
  <c r="M203" i="2"/>
  <c r="L203" i="2"/>
  <c r="I203" i="2"/>
  <c r="H203" i="2"/>
  <c r="G203" i="2"/>
  <c r="F203" i="2"/>
  <c r="E203" i="2"/>
  <c r="O202" i="2"/>
  <c r="M202" i="2"/>
  <c r="L202" i="2"/>
  <c r="I202" i="2"/>
  <c r="H202" i="2"/>
  <c r="G202" i="2"/>
  <c r="F202" i="2"/>
  <c r="E202" i="2"/>
  <c r="O201" i="2"/>
  <c r="M201" i="2"/>
  <c r="L201" i="2"/>
  <c r="I201" i="2"/>
  <c r="H201" i="2"/>
  <c r="G201" i="2"/>
  <c r="F201" i="2"/>
  <c r="E201" i="2"/>
  <c r="O200" i="2"/>
  <c r="M200" i="2"/>
  <c r="L200" i="2"/>
  <c r="I200" i="2"/>
  <c r="H200" i="2"/>
  <c r="G200" i="2"/>
  <c r="F200" i="2"/>
  <c r="E200" i="2"/>
  <c r="O199" i="2"/>
  <c r="M199" i="2"/>
  <c r="L199" i="2"/>
  <c r="I199" i="2"/>
  <c r="H199" i="2"/>
  <c r="G199" i="2"/>
  <c r="F199" i="2"/>
  <c r="E199" i="2"/>
  <c r="O198" i="2"/>
  <c r="M198" i="2"/>
  <c r="L198" i="2"/>
  <c r="I198" i="2"/>
  <c r="H198" i="2"/>
  <c r="G198" i="2"/>
  <c r="F198" i="2"/>
  <c r="E198" i="2"/>
  <c r="O197" i="2"/>
  <c r="M197" i="2"/>
  <c r="L197" i="2"/>
  <c r="I197" i="2"/>
  <c r="H197" i="2"/>
  <c r="G197" i="2"/>
  <c r="F197" i="2"/>
  <c r="E197" i="2"/>
  <c r="O196" i="2"/>
  <c r="M196" i="2"/>
  <c r="L196" i="2"/>
  <c r="I196" i="2"/>
  <c r="H196" i="2"/>
  <c r="G196" i="2"/>
  <c r="F196" i="2"/>
  <c r="E196" i="2"/>
  <c r="O195" i="2"/>
  <c r="M195" i="2"/>
  <c r="L195" i="2"/>
  <c r="I195" i="2"/>
  <c r="H195" i="2"/>
  <c r="G195" i="2"/>
  <c r="F195" i="2"/>
  <c r="E195" i="2"/>
  <c r="O194" i="2"/>
  <c r="M194" i="2"/>
  <c r="L194" i="2"/>
  <c r="I194" i="2"/>
  <c r="H194" i="2"/>
  <c r="G194" i="2"/>
  <c r="F194" i="2"/>
  <c r="E194" i="2"/>
  <c r="O193" i="2"/>
  <c r="M193" i="2"/>
  <c r="L193" i="2"/>
  <c r="I193" i="2"/>
  <c r="H193" i="2"/>
  <c r="G193" i="2"/>
  <c r="F193" i="2"/>
  <c r="E193" i="2"/>
  <c r="O192" i="2"/>
  <c r="M192" i="2"/>
  <c r="L192" i="2"/>
  <c r="I192" i="2"/>
  <c r="H192" i="2"/>
  <c r="G192" i="2"/>
  <c r="F192" i="2"/>
  <c r="E192" i="2"/>
  <c r="O191" i="2"/>
  <c r="M191" i="2"/>
  <c r="L191" i="2"/>
  <c r="I191" i="2"/>
  <c r="H191" i="2"/>
  <c r="G191" i="2"/>
  <c r="F191" i="2"/>
  <c r="E191" i="2"/>
  <c r="O190" i="2"/>
  <c r="M190" i="2"/>
  <c r="L190" i="2"/>
  <c r="I190" i="2"/>
  <c r="H190" i="2"/>
  <c r="G190" i="2"/>
  <c r="F190" i="2"/>
  <c r="E190" i="2"/>
  <c r="O189" i="2"/>
  <c r="M189" i="2"/>
  <c r="L189" i="2"/>
  <c r="I189" i="2"/>
  <c r="H189" i="2"/>
  <c r="G189" i="2"/>
  <c r="F189" i="2"/>
  <c r="E189" i="2"/>
  <c r="O188" i="2"/>
  <c r="M188" i="2"/>
  <c r="L188" i="2"/>
  <c r="I188" i="2"/>
  <c r="H188" i="2"/>
  <c r="G188" i="2"/>
  <c r="F188" i="2"/>
  <c r="E188" i="2"/>
  <c r="O187" i="2"/>
  <c r="M187" i="2"/>
  <c r="L187" i="2"/>
  <c r="I187" i="2"/>
  <c r="H187" i="2"/>
  <c r="G187" i="2"/>
  <c r="F187" i="2"/>
  <c r="E187" i="2"/>
  <c r="O186" i="2"/>
  <c r="M186" i="2"/>
  <c r="L186" i="2"/>
  <c r="I186" i="2"/>
  <c r="H186" i="2"/>
  <c r="G186" i="2"/>
  <c r="F186" i="2"/>
  <c r="E186" i="2"/>
  <c r="O185" i="2"/>
  <c r="M185" i="2"/>
  <c r="L185" i="2"/>
  <c r="I185" i="2"/>
  <c r="H185" i="2"/>
  <c r="G185" i="2"/>
  <c r="F185" i="2"/>
  <c r="E185" i="2"/>
  <c r="O184" i="2"/>
  <c r="M184" i="2"/>
  <c r="L184" i="2"/>
  <c r="I184" i="2"/>
  <c r="H184" i="2"/>
  <c r="G184" i="2"/>
  <c r="F184" i="2"/>
  <c r="E184" i="2"/>
  <c r="O183" i="2"/>
  <c r="M183" i="2"/>
  <c r="L183" i="2"/>
  <c r="I183" i="2"/>
  <c r="H183" i="2"/>
  <c r="G183" i="2"/>
  <c r="F183" i="2"/>
  <c r="E183" i="2"/>
  <c r="O182" i="2"/>
  <c r="M182" i="2"/>
  <c r="L182" i="2"/>
  <c r="I182" i="2"/>
  <c r="H182" i="2"/>
  <c r="G182" i="2"/>
  <c r="F182" i="2"/>
  <c r="E182" i="2"/>
  <c r="O181" i="2"/>
  <c r="M181" i="2"/>
  <c r="L181" i="2"/>
  <c r="I181" i="2"/>
  <c r="H181" i="2"/>
  <c r="G181" i="2"/>
  <c r="F181" i="2"/>
  <c r="E181" i="2"/>
  <c r="O180" i="2"/>
  <c r="M180" i="2"/>
  <c r="L180" i="2"/>
  <c r="I180" i="2"/>
  <c r="H180" i="2"/>
  <c r="G180" i="2"/>
  <c r="F180" i="2"/>
  <c r="E180" i="2"/>
  <c r="O179" i="2"/>
  <c r="M179" i="2"/>
  <c r="L179" i="2"/>
  <c r="I179" i="2"/>
  <c r="H179" i="2"/>
  <c r="G179" i="2"/>
  <c r="F179" i="2"/>
  <c r="E179" i="2"/>
  <c r="O178" i="2"/>
  <c r="M178" i="2"/>
  <c r="L178" i="2"/>
  <c r="I178" i="2"/>
  <c r="H178" i="2"/>
  <c r="G178" i="2"/>
  <c r="F178" i="2"/>
  <c r="E178" i="2"/>
  <c r="O177" i="2"/>
  <c r="M177" i="2"/>
  <c r="L177" i="2"/>
  <c r="I177" i="2"/>
  <c r="H177" i="2"/>
  <c r="G177" i="2"/>
  <c r="F177" i="2"/>
  <c r="E177" i="2"/>
  <c r="O176" i="2"/>
  <c r="M176" i="2"/>
  <c r="L176" i="2"/>
  <c r="I176" i="2"/>
  <c r="H176" i="2"/>
  <c r="G176" i="2"/>
  <c r="F176" i="2"/>
  <c r="E176" i="2"/>
  <c r="O175" i="2"/>
  <c r="M175" i="2"/>
  <c r="L175" i="2"/>
  <c r="I175" i="2"/>
  <c r="H175" i="2"/>
  <c r="G175" i="2"/>
  <c r="F175" i="2"/>
  <c r="E175" i="2"/>
  <c r="O174" i="2"/>
  <c r="M174" i="2"/>
  <c r="L174" i="2"/>
  <c r="I174" i="2"/>
  <c r="H174" i="2"/>
  <c r="G174" i="2"/>
  <c r="F174" i="2"/>
  <c r="E174" i="2"/>
  <c r="O173" i="2"/>
  <c r="M173" i="2"/>
  <c r="L173" i="2"/>
  <c r="I173" i="2"/>
  <c r="H173" i="2"/>
  <c r="G173" i="2"/>
  <c r="F173" i="2"/>
  <c r="E173" i="2"/>
  <c r="O172" i="2"/>
  <c r="M172" i="2"/>
  <c r="L172" i="2"/>
  <c r="I172" i="2"/>
  <c r="H172" i="2"/>
  <c r="G172" i="2"/>
  <c r="F172" i="2"/>
  <c r="E172" i="2"/>
  <c r="O171" i="2"/>
  <c r="M171" i="2"/>
  <c r="L171" i="2"/>
  <c r="I171" i="2"/>
  <c r="H171" i="2"/>
  <c r="G171" i="2"/>
  <c r="F171" i="2"/>
  <c r="E171" i="2"/>
  <c r="O170" i="2"/>
  <c r="M170" i="2"/>
  <c r="L170" i="2"/>
  <c r="I170" i="2"/>
  <c r="H170" i="2"/>
  <c r="G170" i="2"/>
  <c r="F170" i="2"/>
  <c r="E170" i="2"/>
  <c r="O169" i="2"/>
  <c r="M169" i="2"/>
  <c r="L169" i="2"/>
  <c r="I169" i="2"/>
  <c r="H169" i="2"/>
  <c r="G169" i="2"/>
  <c r="F169" i="2"/>
  <c r="E169" i="2"/>
  <c r="O168" i="2"/>
  <c r="M168" i="2"/>
  <c r="L168" i="2"/>
  <c r="I168" i="2"/>
  <c r="H168" i="2"/>
  <c r="G168" i="2"/>
  <c r="F168" i="2"/>
  <c r="E168" i="2"/>
  <c r="O167" i="2"/>
  <c r="M167" i="2"/>
  <c r="L167" i="2"/>
  <c r="I167" i="2"/>
  <c r="H167" i="2"/>
  <c r="G167" i="2"/>
  <c r="F167" i="2"/>
  <c r="E167" i="2"/>
  <c r="O166" i="2"/>
  <c r="M166" i="2"/>
  <c r="L166" i="2"/>
  <c r="I166" i="2"/>
  <c r="H166" i="2"/>
  <c r="G166" i="2"/>
  <c r="F166" i="2"/>
  <c r="E166" i="2"/>
  <c r="O165" i="2"/>
  <c r="M165" i="2"/>
  <c r="L165" i="2"/>
  <c r="I165" i="2"/>
  <c r="H165" i="2"/>
  <c r="G165" i="2"/>
  <c r="F165" i="2"/>
  <c r="E165" i="2"/>
  <c r="O164" i="2"/>
  <c r="M164" i="2"/>
  <c r="L164" i="2"/>
  <c r="I164" i="2"/>
  <c r="H164" i="2"/>
  <c r="G164" i="2"/>
  <c r="F164" i="2"/>
  <c r="E164" i="2"/>
  <c r="O163" i="2"/>
  <c r="M163" i="2"/>
  <c r="L163" i="2"/>
  <c r="I163" i="2"/>
  <c r="H163" i="2"/>
  <c r="G163" i="2"/>
  <c r="F163" i="2"/>
  <c r="E163" i="2"/>
  <c r="O162" i="2"/>
  <c r="M162" i="2"/>
  <c r="L162" i="2"/>
  <c r="I162" i="2"/>
  <c r="H162" i="2"/>
  <c r="G162" i="2"/>
  <c r="F162" i="2"/>
  <c r="E162" i="2"/>
  <c r="O161" i="2"/>
  <c r="M161" i="2"/>
  <c r="L161" i="2"/>
  <c r="I161" i="2"/>
  <c r="H161" i="2"/>
  <c r="G161" i="2"/>
  <c r="F161" i="2"/>
  <c r="E161" i="2"/>
  <c r="O160" i="2"/>
  <c r="M160" i="2"/>
  <c r="L160" i="2"/>
  <c r="I160" i="2"/>
  <c r="H160" i="2"/>
  <c r="G160" i="2"/>
  <c r="F160" i="2"/>
  <c r="E160" i="2"/>
  <c r="O159" i="2"/>
  <c r="M159" i="2"/>
  <c r="L159" i="2"/>
  <c r="I159" i="2"/>
  <c r="H159" i="2"/>
  <c r="G159" i="2"/>
  <c r="F159" i="2"/>
  <c r="E159" i="2"/>
  <c r="O158" i="2"/>
  <c r="M158" i="2"/>
  <c r="L158" i="2"/>
  <c r="I158" i="2"/>
  <c r="H158" i="2"/>
  <c r="G158" i="2"/>
  <c r="F158" i="2"/>
  <c r="E158" i="2"/>
  <c r="O157" i="2"/>
  <c r="M157" i="2"/>
  <c r="L157" i="2"/>
  <c r="I157" i="2"/>
  <c r="H157" i="2"/>
  <c r="G157" i="2"/>
  <c r="F157" i="2"/>
  <c r="E157" i="2"/>
  <c r="O156" i="2"/>
  <c r="M156" i="2"/>
  <c r="L156" i="2"/>
  <c r="I156" i="2"/>
  <c r="H156" i="2"/>
  <c r="G156" i="2"/>
  <c r="F156" i="2"/>
  <c r="E156" i="2"/>
  <c r="O155" i="2"/>
  <c r="M155" i="2"/>
  <c r="L155" i="2"/>
  <c r="I155" i="2"/>
  <c r="H155" i="2"/>
  <c r="G155" i="2"/>
  <c r="F155" i="2"/>
  <c r="E155" i="2"/>
  <c r="O154" i="2"/>
  <c r="M154" i="2"/>
  <c r="L154" i="2"/>
  <c r="I154" i="2"/>
  <c r="H154" i="2"/>
  <c r="G154" i="2"/>
  <c r="F154" i="2"/>
  <c r="E154" i="2"/>
  <c r="O153" i="2"/>
  <c r="M153" i="2"/>
  <c r="L153" i="2"/>
  <c r="I153" i="2"/>
  <c r="H153" i="2"/>
  <c r="G153" i="2"/>
  <c r="F153" i="2"/>
  <c r="E153" i="2"/>
  <c r="O152" i="2"/>
  <c r="M152" i="2"/>
  <c r="L152" i="2"/>
  <c r="I152" i="2"/>
  <c r="H152" i="2"/>
  <c r="G152" i="2"/>
  <c r="F152" i="2"/>
  <c r="E152" i="2"/>
  <c r="O151" i="2"/>
  <c r="M151" i="2"/>
  <c r="L151" i="2"/>
  <c r="I151" i="2"/>
  <c r="H151" i="2"/>
  <c r="G151" i="2"/>
  <c r="F151" i="2"/>
  <c r="E151" i="2"/>
  <c r="O150" i="2"/>
  <c r="M150" i="2"/>
  <c r="L150" i="2"/>
  <c r="I150" i="2"/>
  <c r="H150" i="2"/>
  <c r="G150" i="2"/>
  <c r="F150" i="2"/>
  <c r="E150" i="2"/>
  <c r="O149" i="2"/>
  <c r="M149" i="2"/>
  <c r="L149" i="2"/>
  <c r="I149" i="2"/>
  <c r="H149" i="2"/>
  <c r="G149" i="2"/>
  <c r="F149" i="2"/>
  <c r="E149" i="2"/>
  <c r="O148" i="2"/>
  <c r="M148" i="2"/>
  <c r="L148" i="2"/>
  <c r="I148" i="2"/>
  <c r="H148" i="2"/>
  <c r="G148" i="2"/>
  <c r="F148" i="2"/>
  <c r="E148" i="2"/>
  <c r="O147" i="2"/>
  <c r="M147" i="2"/>
  <c r="L147" i="2"/>
  <c r="I147" i="2"/>
  <c r="H147" i="2"/>
  <c r="G147" i="2"/>
  <c r="F147" i="2"/>
  <c r="E147" i="2"/>
  <c r="O146" i="2"/>
  <c r="M146" i="2"/>
  <c r="L146" i="2"/>
  <c r="I146" i="2"/>
  <c r="H146" i="2"/>
  <c r="G146" i="2"/>
  <c r="F146" i="2"/>
  <c r="E146" i="2"/>
  <c r="O145" i="2"/>
  <c r="M145" i="2"/>
  <c r="L145" i="2"/>
  <c r="I145" i="2"/>
  <c r="H145" i="2"/>
  <c r="G145" i="2"/>
  <c r="F145" i="2"/>
  <c r="E145" i="2"/>
  <c r="O144" i="2"/>
  <c r="M144" i="2"/>
  <c r="L144" i="2"/>
  <c r="I144" i="2"/>
  <c r="H144" i="2"/>
  <c r="G144" i="2"/>
  <c r="F144" i="2"/>
  <c r="E144" i="2"/>
  <c r="O143" i="2"/>
  <c r="M143" i="2"/>
  <c r="L143" i="2"/>
  <c r="I143" i="2"/>
  <c r="H143" i="2"/>
  <c r="G143" i="2"/>
  <c r="F143" i="2"/>
  <c r="E143" i="2"/>
  <c r="O142" i="2"/>
  <c r="M142" i="2"/>
  <c r="L142" i="2"/>
  <c r="I142" i="2"/>
  <c r="H142" i="2"/>
  <c r="G142" i="2"/>
  <c r="F142" i="2"/>
  <c r="E142" i="2"/>
  <c r="O141" i="2"/>
  <c r="M141" i="2"/>
  <c r="L141" i="2"/>
  <c r="I141" i="2"/>
  <c r="H141" i="2"/>
  <c r="G141" i="2"/>
  <c r="F141" i="2"/>
  <c r="E141" i="2"/>
  <c r="O140" i="2"/>
  <c r="M140" i="2"/>
  <c r="L140" i="2"/>
  <c r="I140" i="2"/>
  <c r="H140" i="2"/>
  <c r="G140" i="2"/>
  <c r="F140" i="2"/>
  <c r="E140" i="2"/>
  <c r="O139" i="2"/>
  <c r="M139" i="2"/>
  <c r="L139" i="2"/>
  <c r="I139" i="2"/>
  <c r="H139" i="2"/>
  <c r="G139" i="2"/>
  <c r="F139" i="2"/>
  <c r="E139" i="2"/>
  <c r="O138" i="2"/>
  <c r="M138" i="2"/>
  <c r="L138" i="2"/>
  <c r="I138" i="2"/>
  <c r="H138" i="2"/>
  <c r="G138" i="2"/>
  <c r="F138" i="2"/>
  <c r="E138" i="2"/>
  <c r="O137" i="2"/>
  <c r="M137" i="2"/>
  <c r="L137" i="2"/>
  <c r="I137" i="2"/>
  <c r="H137" i="2"/>
  <c r="G137" i="2"/>
  <c r="F137" i="2"/>
  <c r="E137" i="2"/>
  <c r="O136" i="2"/>
  <c r="M136" i="2"/>
  <c r="L136" i="2"/>
  <c r="I136" i="2"/>
  <c r="H136" i="2"/>
  <c r="G136" i="2"/>
  <c r="F136" i="2"/>
  <c r="E136" i="2"/>
  <c r="O135" i="2"/>
  <c r="M135" i="2"/>
  <c r="L135" i="2"/>
  <c r="I135" i="2"/>
  <c r="H135" i="2"/>
  <c r="G135" i="2"/>
  <c r="F135" i="2"/>
  <c r="E135" i="2"/>
  <c r="O134" i="2"/>
  <c r="M134" i="2"/>
  <c r="L134" i="2"/>
  <c r="I134" i="2"/>
  <c r="H134" i="2"/>
  <c r="G134" i="2"/>
  <c r="F134" i="2"/>
  <c r="E134" i="2"/>
  <c r="O133" i="2"/>
  <c r="M133" i="2"/>
  <c r="L133" i="2"/>
  <c r="I133" i="2"/>
  <c r="H133" i="2"/>
  <c r="G133" i="2"/>
  <c r="F133" i="2"/>
  <c r="E133" i="2"/>
  <c r="O132" i="2"/>
  <c r="M132" i="2"/>
  <c r="L132" i="2"/>
  <c r="I132" i="2"/>
  <c r="H132" i="2"/>
  <c r="G132" i="2"/>
  <c r="F132" i="2"/>
  <c r="E132" i="2"/>
  <c r="O131" i="2"/>
  <c r="M131" i="2"/>
  <c r="L131" i="2"/>
  <c r="I131" i="2"/>
  <c r="H131" i="2"/>
  <c r="G131" i="2"/>
  <c r="F131" i="2"/>
  <c r="E131" i="2"/>
  <c r="O130" i="2"/>
  <c r="M130" i="2"/>
  <c r="L130" i="2"/>
  <c r="I130" i="2"/>
  <c r="H130" i="2"/>
  <c r="G130" i="2"/>
  <c r="F130" i="2"/>
  <c r="E130" i="2"/>
  <c r="O129" i="2"/>
  <c r="M129" i="2"/>
  <c r="L129" i="2"/>
  <c r="I129" i="2"/>
  <c r="H129" i="2"/>
  <c r="G129" i="2"/>
  <c r="F129" i="2"/>
  <c r="E129" i="2"/>
  <c r="O128" i="2"/>
  <c r="M128" i="2"/>
  <c r="L128" i="2"/>
  <c r="I128" i="2"/>
  <c r="H128" i="2"/>
  <c r="G128" i="2"/>
  <c r="F128" i="2"/>
  <c r="E128" i="2"/>
  <c r="O127" i="2"/>
  <c r="M127" i="2"/>
  <c r="L127" i="2"/>
  <c r="I127" i="2"/>
  <c r="H127" i="2"/>
  <c r="G127" i="2"/>
  <c r="F127" i="2"/>
  <c r="E127" i="2"/>
  <c r="O126" i="2"/>
  <c r="M126" i="2"/>
  <c r="L126" i="2"/>
  <c r="I126" i="2"/>
  <c r="H126" i="2"/>
  <c r="G126" i="2"/>
  <c r="F126" i="2"/>
  <c r="E126" i="2"/>
  <c r="O125" i="2"/>
  <c r="M125" i="2"/>
  <c r="L125" i="2"/>
  <c r="I125" i="2"/>
  <c r="H125" i="2"/>
  <c r="G125" i="2"/>
  <c r="F125" i="2"/>
  <c r="E125" i="2"/>
  <c r="O124" i="2"/>
  <c r="M124" i="2"/>
  <c r="L124" i="2"/>
  <c r="I124" i="2"/>
  <c r="H124" i="2"/>
  <c r="G124" i="2"/>
  <c r="F124" i="2"/>
  <c r="E124" i="2"/>
  <c r="O123" i="2"/>
  <c r="M123" i="2"/>
  <c r="L123" i="2"/>
  <c r="I123" i="2"/>
  <c r="H123" i="2"/>
  <c r="G123" i="2"/>
  <c r="F123" i="2"/>
  <c r="E123" i="2"/>
  <c r="O122" i="2"/>
  <c r="M122" i="2"/>
  <c r="L122" i="2"/>
  <c r="I122" i="2"/>
  <c r="H122" i="2"/>
  <c r="G122" i="2"/>
  <c r="F122" i="2"/>
  <c r="E122" i="2"/>
  <c r="O121" i="2"/>
  <c r="M121" i="2"/>
  <c r="L121" i="2"/>
  <c r="I121" i="2"/>
  <c r="H121" i="2"/>
  <c r="G121" i="2"/>
  <c r="F121" i="2"/>
  <c r="E121" i="2"/>
  <c r="O120" i="2"/>
  <c r="M120" i="2"/>
  <c r="L120" i="2"/>
  <c r="I120" i="2"/>
  <c r="H120" i="2"/>
  <c r="G120" i="2"/>
  <c r="F120" i="2"/>
  <c r="E120" i="2"/>
  <c r="O119" i="2"/>
  <c r="M119" i="2"/>
  <c r="L119" i="2"/>
  <c r="I119" i="2"/>
  <c r="H119" i="2"/>
  <c r="G119" i="2"/>
  <c r="F119" i="2"/>
  <c r="E119" i="2"/>
  <c r="O118" i="2"/>
  <c r="M118" i="2"/>
  <c r="L118" i="2"/>
  <c r="I118" i="2"/>
  <c r="H118" i="2"/>
  <c r="G118" i="2"/>
  <c r="F118" i="2"/>
  <c r="E118" i="2"/>
  <c r="O117" i="2"/>
  <c r="M117" i="2"/>
  <c r="L117" i="2"/>
  <c r="I117" i="2"/>
  <c r="H117" i="2"/>
  <c r="G117" i="2"/>
  <c r="F117" i="2"/>
  <c r="E117" i="2"/>
  <c r="O116" i="2"/>
  <c r="M116" i="2"/>
  <c r="L116" i="2"/>
  <c r="I116" i="2"/>
  <c r="H116" i="2"/>
  <c r="G116" i="2"/>
  <c r="F116" i="2"/>
  <c r="E116" i="2"/>
  <c r="O115" i="2"/>
  <c r="M115" i="2"/>
  <c r="L115" i="2"/>
  <c r="I115" i="2"/>
  <c r="H115" i="2"/>
  <c r="G115" i="2"/>
  <c r="F115" i="2"/>
  <c r="E115" i="2"/>
  <c r="O114" i="2"/>
  <c r="M114" i="2"/>
  <c r="L114" i="2"/>
  <c r="I114" i="2"/>
  <c r="H114" i="2"/>
  <c r="G114" i="2"/>
  <c r="F114" i="2"/>
  <c r="E114" i="2"/>
  <c r="O113" i="2"/>
  <c r="M113" i="2"/>
  <c r="L113" i="2"/>
  <c r="I113" i="2"/>
  <c r="H113" i="2"/>
  <c r="G113" i="2"/>
  <c r="F113" i="2"/>
  <c r="E113" i="2"/>
  <c r="O112" i="2"/>
  <c r="M112" i="2"/>
  <c r="L112" i="2"/>
  <c r="I112" i="2"/>
  <c r="H112" i="2"/>
  <c r="G112" i="2"/>
  <c r="F112" i="2"/>
  <c r="E112" i="2"/>
  <c r="O111" i="2"/>
  <c r="M111" i="2"/>
  <c r="L111" i="2"/>
  <c r="I111" i="2"/>
  <c r="H111" i="2"/>
  <c r="G111" i="2"/>
  <c r="F111" i="2"/>
  <c r="E111" i="2"/>
  <c r="O110" i="2"/>
  <c r="M110" i="2"/>
  <c r="L110" i="2"/>
  <c r="I110" i="2"/>
  <c r="H110" i="2"/>
  <c r="G110" i="2"/>
  <c r="F110" i="2"/>
  <c r="E110" i="2"/>
  <c r="O109" i="2"/>
  <c r="M109" i="2"/>
  <c r="L109" i="2"/>
  <c r="I109" i="2"/>
  <c r="H109" i="2"/>
  <c r="G109" i="2"/>
  <c r="F109" i="2"/>
  <c r="E109" i="2"/>
  <c r="O108" i="2"/>
  <c r="M108" i="2"/>
  <c r="L108" i="2"/>
  <c r="I108" i="2"/>
  <c r="H108" i="2"/>
  <c r="G108" i="2"/>
  <c r="F108" i="2"/>
  <c r="E108" i="2"/>
  <c r="O107" i="2"/>
  <c r="M107" i="2"/>
  <c r="L107" i="2"/>
  <c r="I107" i="2"/>
  <c r="H107" i="2"/>
  <c r="G107" i="2"/>
  <c r="F107" i="2"/>
  <c r="E107" i="2"/>
  <c r="O106" i="2"/>
  <c r="M106" i="2"/>
  <c r="L106" i="2"/>
  <c r="I106" i="2"/>
  <c r="H106" i="2"/>
  <c r="G106" i="2"/>
  <c r="F106" i="2"/>
  <c r="E106" i="2"/>
  <c r="O105" i="2"/>
  <c r="M105" i="2"/>
  <c r="L105" i="2"/>
  <c r="I105" i="2"/>
  <c r="H105" i="2"/>
  <c r="G105" i="2"/>
  <c r="F105" i="2"/>
  <c r="E105" i="2"/>
  <c r="O104" i="2"/>
  <c r="M104" i="2"/>
  <c r="L104" i="2"/>
  <c r="I104" i="2"/>
  <c r="H104" i="2"/>
  <c r="G104" i="2"/>
  <c r="F104" i="2"/>
  <c r="E104" i="2"/>
  <c r="O103" i="2"/>
  <c r="M103" i="2"/>
  <c r="L103" i="2"/>
  <c r="I103" i="2"/>
  <c r="H103" i="2"/>
  <c r="G103" i="2"/>
  <c r="F103" i="2"/>
  <c r="E103" i="2"/>
  <c r="O102" i="2"/>
  <c r="M102" i="2"/>
  <c r="L102" i="2"/>
  <c r="I102" i="2"/>
  <c r="H102" i="2"/>
  <c r="G102" i="2"/>
  <c r="F102" i="2"/>
  <c r="E102" i="2"/>
  <c r="O101" i="2"/>
  <c r="M101" i="2"/>
  <c r="L101" i="2"/>
  <c r="I101" i="2"/>
  <c r="H101" i="2"/>
  <c r="G101" i="2"/>
  <c r="F101" i="2"/>
  <c r="E101" i="2"/>
  <c r="O100" i="2"/>
  <c r="M100" i="2"/>
  <c r="L100" i="2"/>
  <c r="I100" i="2"/>
  <c r="H100" i="2"/>
  <c r="G100" i="2"/>
  <c r="F100" i="2"/>
  <c r="E100" i="2"/>
  <c r="O99" i="2"/>
  <c r="M99" i="2"/>
  <c r="L99" i="2"/>
  <c r="I99" i="2"/>
  <c r="H99" i="2"/>
  <c r="G99" i="2"/>
  <c r="F99" i="2"/>
  <c r="E99" i="2"/>
  <c r="O98" i="2"/>
  <c r="M98" i="2"/>
  <c r="L98" i="2"/>
  <c r="I98" i="2"/>
  <c r="H98" i="2"/>
  <c r="G98" i="2"/>
  <c r="F98" i="2"/>
  <c r="E98" i="2"/>
  <c r="O97" i="2"/>
  <c r="M97" i="2"/>
  <c r="L97" i="2"/>
  <c r="I97" i="2"/>
  <c r="H97" i="2"/>
  <c r="G97" i="2"/>
  <c r="F97" i="2"/>
  <c r="E97" i="2"/>
  <c r="O96" i="2"/>
  <c r="M96" i="2"/>
  <c r="L96" i="2"/>
  <c r="I96" i="2"/>
  <c r="H96" i="2"/>
  <c r="G96" i="2"/>
  <c r="F96" i="2"/>
  <c r="E96" i="2"/>
  <c r="O95" i="2"/>
  <c r="M95" i="2"/>
  <c r="L95" i="2"/>
  <c r="I95" i="2"/>
  <c r="H95" i="2"/>
  <c r="G95" i="2"/>
  <c r="F95" i="2"/>
  <c r="E95" i="2"/>
  <c r="O94" i="2"/>
  <c r="M94" i="2"/>
  <c r="L94" i="2"/>
  <c r="I94" i="2"/>
  <c r="H94" i="2"/>
  <c r="G94" i="2"/>
  <c r="F94" i="2"/>
  <c r="E94" i="2"/>
  <c r="O93" i="2"/>
  <c r="M93" i="2"/>
  <c r="L93" i="2"/>
  <c r="I93" i="2"/>
  <c r="H93" i="2"/>
  <c r="G93" i="2"/>
  <c r="F93" i="2"/>
  <c r="E93" i="2"/>
  <c r="O92" i="2"/>
  <c r="M92" i="2"/>
  <c r="L92" i="2"/>
  <c r="I92" i="2"/>
  <c r="H92" i="2"/>
  <c r="G92" i="2"/>
  <c r="F92" i="2"/>
  <c r="E92" i="2"/>
  <c r="O91" i="2"/>
  <c r="M91" i="2"/>
  <c r="L91" i="2"/>
  <c r="I91" i="2"/>
  <c r="H91" i="2"/>
  <c r="G91" i="2"/>
  <c r="F91" i="2"/>
  <c r="E91" i="2"/>
  <c r="O90" i="2"/>
  <c r="M90" i="2"/>
  <c r="L90" i="2"/>
  <c r="I90" i="2"/>
  <c r="H90" i="2"/>
  <c r="G90" i="2"/>
  <c r="F90" i="2"/>
  <c r="E90" i="2"/>
  <c r="O89" i="2"/>
  <c r="M89" i="2"/>
  <c r="L89" i="2"/>
  <c r="I89" i="2"/>
  <c r="H89" i="2"/>
  <c r="G89" i="2"/>
  <c r="F89" i="2"/>
  <c r="E89" i="2"/>
  <c r="O88" i="2"/>
  <c r="M88" i="2"/>
  <c r="L88" i="2"/>
  <c r="I88" i="2"/>
  <c r="H88" i="2"/>
  <c r="G88" i="2"/>
  <c r="F88" i="2"/>
  <c r="E88" i="2"/>
  <c r="O87" i="2"/>
  <c r="M87" i="2"/>
  <c r="L87" i="2"/>
  <c r="I87" i="2"/>
  <c r="H87" i="2"/>
  <c r="G87" i="2"/>
  <c r="F87" i="2"/>
  <c r="E87" i="2"/>
  <c r="O86" i="2"/>
  <c r="M86" i="2"/>
  <c r="L86" i="2"/>
  <c r="I86" i="2"/>
  <c r="H86" i="2"/>
  <c r="G86" i="2"/>
  <c r="F86" i="2"/>
  <c r="E86" i="2"/>
  <c r="O85" i="2"/>
  <c r="M85" i="2"/>
  <c r="L85" i="2"/>
  <c r="I85" i="2"/>
  <c r="H85" i="2"/>
  <c r="G85" i="2"/>
  <c r="F85" i="2"/>
  <c r="E85" i="2"/>
  <c r="O84" i="2"/>
  <c r="M84" i="2"/>
  <c r="L84" i="2"/>
  <c r="I84" i="2"/>
  <c r="H84" i="2"/>
  <c r="G84" i="2"/>
  <c r="F84" i="2"/>
  <c r="E84" i="2"/>
  <c r="O83" i="2"/>
  <c r="M83" i="2"/>
  <c r="L83" i="2"/>
  <c r="I83" i="2"/>
  <c r="H83" i="2"/>
  <c r="G83" i="2"/>
  <c r="F83" i="2"/>
  <c r="E83" i="2"/>
  <c r="O82" i="2"/>
  <c r="M82" i="2"/>
  <c r="L82" i="2"/>
  <c r="I82" i="2"/>
  <c r="H82" i="2"/>
  <c r="G82" i="2"/>
  <c r="F82" i="2"/>
  <c r="E82" i="2"/>
  <c r="O81" i="2"/>
  <c r="M81" i="2"/>
  <c r="L81" i="2"/>
  <c r="I81" i="2"/>
  <c r="H81" i="2"/>
  <c r="G81" i="2"/>
  <c r="F81" i="2"/>
  <c r="E81" i="2"/>
  <c r="O80" i="2"/>
  <c r="M80" i="2"/>
  <c r="L80" i="2"/>
  <c r="I80" i="2"/>
  <c r="H80" i="2"/>
  <c r="G80" i="2"/>
  <c r="F80" i="2"/>
  <c r="E80" i="2"/>
  <c r="O79" i="2"/>
  <c r="M79" i="2"/>
  <c r="L79" i="2"/>
  <c r="I79" i="2"/>
  <c r="H79" i="2"/>
  <c r="G79" i="2"/>
  <c r="F79" i="2"/>
  <c r="E79" i="2"/>
  <c r="O78" i="2"/>
  <c r="M78" i="2"/>
  <c r="L78" i="2"/>
  <c r="I78" i="2"/>
  <c r="H78" i="2"/>
  <c r="G78" i="2"/>
  <c r="F78" i="2"/>
  <c r="E78" i="2"/>
  <c r="O77" i="2"/>
  <c r="M77" i="2"/>
  <c r="L77" i="2"/>
  <c r="I77" i="2"/>
  <c r="H77" i="2"/>
  <c r="G77" i="2"/>
  <c r="F77" i="2"/>
  <c r="E77" i="2"/>
  <c r="O76" i="2"/>
  <c r="M76" i="2"/>
  <c r="L76" i="2"/>
  <c r="I76" i="2"/>
  <c r="H76" i="2"/>
  <c r="G76" i="2"/>
  <c r="F76" i="2"/>
  <c r="E76" i="2"/>
  <c r="O75" i="2"/>
  <c r="M75" i="2"/>
  <c r="L75" i="2"/>
  <c r="I75" i="2"/>
  <c r="H75" i="2"/>
  <c r="G75" i="2"/>
  <c r="F75" i="2"/>
  <c r="E75" i="2"/>
  <c r="O74" i="2"/>
  <c r="M74" i="2"/>
  <c r="L74" i="2"/>
  <c r="I74" i="2"/>
  <c r="H74" i="2"/>
  <c r="G74" i="2"/>
  <c r="F74" i="2"/>
  <c r="E74" i="2"/>
  <c r="O73" i="2"/>
  <c r="M73" i="2"/>
  <c r="L73" i="2"/>
  <c r="I73" i="2"/>
  <c r="H73" i="2"/>
  <c r="G73" i="2"/>
  <c r="F73" i="2"/>
  <c r="E73" i="2"/>
  <c r="O72" i="2"/>
  <c r="M72" i="2"/>
  <c r="L72" i="2"/>
  <c r="I72" i="2"/>
  <c r="H72" i="2"/>
  <c r="G72" i="2"/>
  <c r="F72" i="2"/>
  <c r="E72" i="2"/>
  <c r="O71" i="2"/>
  <c r="M71" i="2"/>
  <c r="L71" i="2"/>
  <c r="I71" i="2"/>
  <c r="H71" i="2"/>
  <c r="G71" i="2"/>
  <c r="F71" i="2"/>
  <c r="E71" i="2"/>
  <c r="O70" i="2"/>
  <c r="M70" i="2"/>
  <c r="L70" i="2"/>
  <c r="I70" i="2"/>
  <c r="H70" i="2"/>
  <c r="G70" i="2"/>
  <c r="F70" i="2"/>
  <c r="E70" i="2"/>
  <c r="O69" i="2"/>
  <c r="M69" i="2"/>
  <c r="L69" i="2"/>
  <c r="I69" i="2"/>
  <c r="H69" i="2"/>
  <c r="G69" i="2"/>
  <c r="F69" i="2"/>
  <c r="E69" i="2"/>
  <c r="O68" i="2"/>
  <c r="M68" i="2"/>
  <c r="L68" i="2"/>
  <c r="I68" i="2"/>
  <c r="H68" i="2"/>
  <c r="G68" i="2"/>
  <c r="F68" i="2"/>
  <c r="E68" i="2"/>
  <c r="O67" i="2"/>
  <c r="M67" i="2"/>
  <c r="L67" i="2"/>
  <c r="I67" i="2"/>
  <c r="H67" i="2"/>
  <c r="G67" i="2"/>
  <c r="F67" i="2"/>
  <c r="E67" i="2"/>
  <c r="O66" i="2"/>
  <c r="M66" i="2"/>
  <c r="L66" i="2"/>
  <c r="I66" i="2"/>
  <c r="H66" i="2"/>
  <c r="G66" i="2"/>
  <c r="F66" i="2"/>
  <c r="E66" i="2"/>
  <c r="O65" i="2"/>
  <c r="M65" i="2"/>
  <c r="L65" i="2"/>
  <c r="I65" i="2"/>
  <c r="H65" i="2"/>
  <c r="G65" i="2"/>
  <c r="F65" i="2"/>
  <c r="E65" i="2"/>
  <c r="O64" i="2"/>
  <c r="M64" i="2"/>
  <c r="L64" i="2"/>
  <c r="I64" i="2"/>
  <c r="H64" i="2"/>
  <c r="G64" i="2"/>
  <c r="F64" i="2"/>
  <c r="E64" i="2"/>
  <c r="O63" i="2"/>
  <c r="M63" i="2"/>
  <c r="L63" i="2"/>
  <c r="I63" i="2"/>
  <c r="H63" i="2"/>
  <c r="G63" i="2"/>
  <c r="F63" i="2"/>
  <c r="E63" i="2"/>
  <c r="O62" i="2"/>
  <c r="M62" i="2"/>
  <c r="L62" i="2"/>
  <c r="I62" i="2"/>
  <c r="H62" i="2"/>
  <c r="G62" i="2"/>
  <c r="F62" i="2"/>
  <c r="E62" i="2"/>
  <c r="O61" i="2"/>
  <c r="M61" i="2"/>
  <c r="L61" i="2"/>
  <c r="I61" i="2"/>
  <c r="H61" i="2"/>
  <c r="G61" i="2"/>
  <c r="F61" i="2"/>
  <c r="E61" i="2"/>
  <c r="O60" i="2"/>
  <c r="M60" i="2"/>
  <c r="L60" i="2"/>
  <c r="I60" i="2"/>
  <c r="H60" i="2"/>
  <c r="G60" i="2"/>
  <c r="F60" i="2"/>
  <c r="E60" i="2"/>
  <c r="O59" i="2"/>
  <c r="M59" i="2"/>
  <c r="L59" i="2"/>
  <c r="I59" i="2"/>
  <c r="H59" i="2"/>
  <c r="G59" i="2"/>
  <c r="F59" i="2"/>
  <c r="E59" i="2"/>
  <c r="O58" i="2"/>
  <c r="M58" i="2"/>
  <c r="L58" i="2"/>
  <c r="I58" i="2"/>
  <c r="H58" i="2"/>
  <c r="G58" i="2"/>
  <c r="F58" i="2"/>
  <c r="E58" i="2"/>
  <c r="O57" i="2"/>
  <c r="M57" i="2"/>
  <c r="L57" i="2"/>
  <c r="I57" i="2"/>
  <c r="H57" i="2"/>
  <c r="G57" i="2"/>
  <c r="F57" i="2"/>
  <c r="E57" i="2"/>
  <c r="O56" i="2"/>
  <c r="M56" i="2"/>
  <c r="L56" i="2"/>
  <c r="I56" i="2"/>
  <c r="H56" i="2"/>
  <c r="G56" i="2"/>
  <c r="F56" i="2"/>
  <c r="E56" i="2"/>
  <c r="O55" i="2"/>
  <c r="M55" i="2"/>
  <c r="L55" i="2"/>
  <c r="I55" i="2"/>
  <c r="H55" i="2"/>
  <c r="G55" i="2"/>
  <c r="F55" i="2"/>
  <c r="E55" i="2"/>
  <c r="O54" i="2"/>
  <c r="M54" i="2"/>
  <c r="L54" i="2"/>
  <c r="I54" i="2"/>
  <c r="H54" i="2"/>
  <c r="G54" i="2"/>
  <c r="F54" i="2"/>
  <c r="E54" i="2"/>
  <c r="O53" i="2"/>
  <c r="M53" i="2"/>
  <c r="L53" i="2"/>
  <c r="I53" i="2"/>
  <c r="H53" i="2"/>
  <c r="G53" i="2"/>
  <c r="F53" i="2"/>
  <c r="E53" i="2"/>
  <c r="O52" i="2"/>
  <c r="M52" i="2"/>
  <c r="L52" i="2"/>
  <c r="I52" i="2"/>
  <c r="H52" i="2"/>
  <c r="G52" i="2"/>
  <c r="F52" i="2"/>
  <c r="E52" i="2"/>
  <c r="O51" i="2"/>
  <c r="M51" i="2"/>
  <c r="L51" i="2"/>
  <c r="I51" i="2"/>
  <c r="H51" i="2"/>
  <c r="G51" i="2"/>
  <c r="F51" i="2"/>
  <c r="E51" i="2"/>
  <c r="O50" i="2"/>
  <c r="M50" i="2"/>
  <c r="L50" i="2"/>
  <c r="I50" i="2"/>
  <c r="H50" i="2"/>
  <c r="G50" i="2"/>
  <c r="F50" i="2"/>
  <c r="E50" i="2"/>
  <c r="O49" i="2"/>
  <c r="M49" i="2"/>
  <c r="L49" i="2"/>
  <c r="I49" i="2"/>
  <c r="H49" i="2"/>
  <c r="G49" i="2"/>
  <c r="F49" i="2"/>
  <c r="E49" i="2"/>
  <c r="O48" i="2"/>
  <c r="M48" i="2"/>
  <c r="L48" i="2"/>
  <c r="I48" i="2"/>
  <c r="H48" i="2"/>
  <c r="G48" i="2"/>
  <c r="F48" i="2"/>
  <c r="E48" i="2"/>
  <c r="O47" i="2"/>
  <c r="M47" i="2"/>
  <c r="L47" i="2"/>
  <c r="I47" i="2"/>
  <c r="H47" i="2"/>
  <c r="G47" i="2"/>
  <c r="F47" i="2"/>
  <c r="E47" i="2"/>
  <c r="O46" i="2"/>
  <c r="M46" i="2"/>
  <c r="L46" i="2"/>
  <c r="I46" i="2"/>
  <c r="H46" i="2"/>
  <c r="G46" i="2"/>
  <c r="F46" i="2"/>
  <c r="E46" i="2"/>
  <c r="O45" i="2"/>
  <c r="M45" i="2"/>
  <c r="L45" i="2"/>
  <c r="I45" i="2"/>
  <c r="H45" i="2"/>
  <c r="G45" i="2"/>
  <c r="F45" i="2"/>
  <c r="E45" i="2"/>
  <c r="O44" i="2"/>
  <c r="M44" i="2"/>
  <c r="L44" i="2"/>
  <c r="I44" i="2"/>
  <c r="H44" i="2"/>
  <c r="G44" i="2"/>
  <c r="F44" i="2"/>
  <c r="E44" i="2"/>
  <c r="O43" i="2"/>
  <c r="M43" i="2"/>
  <c r="L43" i="2"/>
  <c r="I43" i="2"/>
  <c r="H43" i="2"/>
  <c r="G43" i="2"/>
  <c r="F43" i="2"/>
  <c r="E43" i="2"/>
  <c r="O42" i="2"/>
  <c r="M42" i="2"/>
  <c r="L42" i="2"/>
  <c r="I42" i="2"/>
  <c r="H42" i="2"/>
  <c r="G42" i="2"/>
  <c r="F42" i="2"/>
  <c r="E42" i="2"/>
  <c r="O41" i="2"/>
  <c r="M41" i="2"/>
  <c r="L41" i="2"/>
  <c r="I41" i="2"/>
  <c r="H41" i="2"/>
  <c r="G41" i="2"/>
  <c r="F41" i="2"/>
  <c r="E41" i="2"/>
  <c r="O40" i="2"/>
  <c r="M40" i="2"/>
  <c r="L40" i="2"/>
  <c r="I40" i="2"/>
  <c r="H40" i="2"/>
  <c r="G40" i="2"/>
  <c r="F40" i="2"/>
  <c r="E40" i="2"/>
  <c r="O39" i="2"/>
  <c r="M39" i="2"/>
  <c r="L39" i="2"/>
  <c r="I39" i="2"/>
  <c r="H39" i="2"/>
  <c r="G39" i="2"/>
  <c r="F39" i="2"/>
  <c r="E39" i="2"/>
  <c r="O38" i="2"/>
  <c r="M38" i="2"/>
  <c r="L38" i="2"/>
  <c r="I38" i="2"/>
  <c r="H38" i="2"/>
  <c r="G38" i="2"/>
  <c r="F38" i="2"/>
  <c r="E38" i="2"/>
  <c r="O37" i="2"/>
  <c r="M37" i="2"/>
  <c r="L37" i="2"/>
  <c r="I37" i="2"/>
  <c r="H37" i="2"/>
  <c r="G37" i="2"/>
  <c r="F37" i="2"/>
  <c r="E37" i="2"/>
  <c r="O36" i="2"/>
  <c r="M36" i="2"/>
  <c r="L36" i="2"/>
  <c r="I36" i="2"/>
  <c r="H36" i="2"/>
  <c r="G36" i="2"/>
  <c r="F36" i="2"/>
  <c r="E36" i="2"/>
  <c r="O35" i="2"/>
  <c r="M35" i="2"/>
  <c r="L35" i="2"/>
  <c r="I35" i="2"/>
  <c r="H35" i="2"/>
  <c r="G35" i="2"/>
  <c r="F35" i="2"/>
  <c r="E35" i="2"/>
  <c r="O34" i="2"/>
  <c r="M34" i="2"/>
  <c r="L34" i="2"/>
  <c r="I34" i="2"/>
  <c r="H34" i="2"/>
  <c r="G34" i="2"/>
  <c r="F34" i="2"/>
  <c r="E34" i="2"/>
  <c r="O33" i="2"/>
  <c r="M33" i="2"/>
  <c r="L33" i="2"/>
  <c r="I33" i="2"/>
  <c r="H33" i="2"/>
  <c r="G33" i="2"/>
  <c r="F33" i="2"/>
  <c r="E33" i="2"/>
  <c r="O32" i="2"/>
  <c r="M32" i="2"/>
  <c r="L32" i="2"/>
  <c r="I32" i="2"/>
  <c r="H32" i="2"/>
  <c r="G32" i="2"/>
  <c r="F32" i="2"/>
  <c r="E32" i="2"/>
  <c r="O31" i="2"/>
  <c r="M31" i="2"/>
  <c r="L31" i="2"/>
  <c r="I31" i="2"/>
  <c r="H31" i="2"/>
  <c r="G31" i="2"/>
  <c r="F31" i="2"/>
  <c r="E31" i="2"/>
  <c r="O30" i="2"/>
  <c r="M30" i="2"/>
  <c r="L30" i="2"/>
  <c r="I30" i="2"/>
  <c r="H30" i="2"/>
  <c r="G30" i="2"/>
  <c r="F30" i="2"/>
  <c r="E30" i="2"/>
  <c r="O29" i="2"/>
  <c r="M29" i="2"/>
  <c r="L29" i="2"/>
  <c r="I29" i="2"/>
  <c r="H29" i="2"/>
  <c r="G29" i="2"/>
  <c r="F29" i="2"/>
  <c r="E29" i="2"/>
  <c r="O28" i="2"/>
  <c r="M28" i="2"/>
  <c r="L28" i="2"/>
  <c r="I28" i="2"/>
  <c r="H28" i="2"/>
  <c r="G28" i="2"/>
  <c r="F28" i="2"/>
  <c r="E28" i="2"/>
  <c r="O27" i="2"/>
  <c r="M27" i="2"/>
  <c r="L27" i="2"/>
  <c r="I27" i="2"/>
  <c r="H27" i="2"/>
  <c r="G27" i="2"/>
  <c r="F27" i="2"/>
  <c r="E27" i="2"/>
  <c r="O26" i="2"/>
  <c r="M26" i="2"/>
  <c r="L26" i="2"/>
  <c r="I26" i="2"/>
  <c r="H26" i="2"/>
  <c r="G26" i="2"/>
  <c r="F26" i="2"/>
  <c r="E26" i="2"/>
  <c r="O25" i="2"/>
  <c r="M25" i="2"/>
  <c r="L25" i="2"/>
  <c r="I25" i="2"/>
  <c r="H25" i="2"/>
  <c r="G25" i="2"/>
  <c r="F25" i="2"/>
  <c r="E25" i="2"/>
  <c r="O24" i="2"/>
  <c r="M24" i="2"/>
  <c r="L24" i="2"/>
  <c r="I24" i="2"/>
  <c r="H24" i="2"/>
  <c r="G24" i="2"/>
  <c r="F24" i="2"/>
  <c r="E24" i="2"/>
  <c r="O23" i="2"/>
  <c r="M23" i="2"/>
  <c r="L23" i="2"/>
  <c r="I23" i="2"/>
  <c r="H23" i="2"/>
  <c r="G23" i="2"/>
  <c r="F23" i="2"/>
  <c r="E23" i="2"/>
  <c r="O22" i="2"/>
  <c r="M22" i="2"/>
  <c r="L22" i="2"/>
  <c r="I22" i="2"/>
  <c r="H22" i="2"/>
  <c r="G22" i="2"/>
  <c r="F22" i="2"/>
  <c r="E22" i="2"/>
  <c r="O21" i="2"/>
  <c r="M21" i="2"/>
  <c r="L21" i="2"/>
  <c r="I21" i="2"/>
  <c r="H21" i="2"/>
  <c r="G21" i="2"/>
  <c r="F21" i="2"/>
  <c r="E21" i="2"/>
  <c r="O20" i="2"/>
  <c r="M20" i="2"/>
  <c r="L20" i="2"/>
  <c r="I20" i="2"/>
  <c r="H20" i="2"/>
  <c r="G20" i="2"/>
  <c r="F20" i="2"/>
  <c r="E20" i="2"/>
  <c r="O19" i="2"/>
  <c r="M19" i="2"/>
  <c r="L19" i="2"/>
  <c r="J19" i="2"/>
  <c r="I19" i="2"/>
  <c r="H19" i="2"/>
  <c r="G19" i="2"/>
  <c r="F19" i="2"/>
  <c r="E19" i="2"/>
  <c r="O18" i="2"/>
  <c r="M18" i="2"/>
  <c r="L18" i="2"/>
  <c r="J18" i="2"/>
  <c r="I18" i="2"/>
  <c r="H18" i="2"/>
  <c r="G18" i="2"/>
  <c r="F18" i="2"/>
  <c r="E18" i="2"/>
  <c r="O17" i="2"/>
  <c r="M17" i="2"/>
  <c r="L17" i="2"/>
  <c r="J17" i="2"/>
  <c r="I17" i="2"/>
  <c r="H17" i="2"/>
  <c r="G17" i="2"/>
  <c r="F17" i="2"/>
  <c r="E17" i="2"/>
  <c r="O16" i="2"/>
  <c r="M16" i="2"/>
  <c r="L16" i="2"/>
  <c r="J16" i="2"/>
  <c r="I16" i="2"/>
  <c r="H16" i="2"/>
  <c r="G16" i="2"/>
  <c r="F16" i="2"/>
  <c r="E16" i="2"/>
  <c r="O15" i="2"/>
  <c r="M15" i="2"/>
  <c r="L15" i="2"/>
  <c r="J15" i="2"/>
  <c r="I15" i="2"/>
  <c r="H15" i="2"/>
  <c r="G15" i="2"/>
  <c r="F15" i="2"/>
  <c r="E15" i="2"/>
  <c r="O14" i="2"/>
  <c r="M14" i="2"/>
  <c r="L14" i="2"/>
  <c r="J14" i="2"/>
  <c r="I14" i="2"/>
  <c r="H14" i="2"/>
  <c r="G14" i="2"/>
  <c r="F14" i="2"/>
  <c r="E14" i="2"/>
  <c r="O13" i="2"/>
  <c r="M13" i="2"/>
  <c r="L13" i="2"/>
  <c r="J13" i="2"/>
  <c r="I13" i="2"/>
  <c r="H13" i="2"/>
  <c r="G13" i="2"/>
  <c r="F13" i="2"/>
  <c r="E13" i="2"/>
  <c r="O12" i="2"/>
  <c r="M12" i="2"/>
  <c r="L12" i="2"/>
  <c r="J12" i="2"/>
  <c r="I12" i="2"/>
  <c r="H12" i="2"/>
  <c r="G12" i="2"/>
  <c r="F12" i="2"/>
  <c r="E12" i="2"/>
  <c r="O11" i="2"/>
  <c r="M11" i="2"/>
  <c r="L11" i="2"/>
  <c r="J11" i="2"/>
  <c r="I11" i="2"/>
  <c r="H11" i="2"/>
  <c r="G11" i="2"/>
  <c r="F11" i="2"/>
  <c r="E11" i="2"/>
  <c r="O10" i="2"/>
  <c r="M10" i="2"/>
  <c r="L10" i="2"/>
  <c r="J10" i="2"/>
  <c r="I10" i="2"/>
  <c r="H10" i="2"/>
  <c r="G10" i="2"/>
  <c r="F10" i="2"/>
  <c r="E10" i="2"/>
  <c r="O9" i="2"/>
  <c r="M9" i="2"/>
  <c r="L9" i="2"/>
  <c r="J9" i="2"/>
  <c r="I9" i="2"/>
  <c r="H9" i="2"/>
  <c r="G9" i="2"/>
  <c r="F9" i="2"/>
  <c r="E9" i="2"/>
  <c r="O8" i="2"/>
  <c r="M8" i="2"/>
  <c r="L8" i="2"/>
  <c r="J8" i="2"/>
  <c r="I8" i="2"/>
  <c r="H8" i="2"/>
  <c r="G8" i="2"/>
  <c r="F8" i="2"/>
  <c r="E8" i="2"/>
  <c r="O7" i="2"/>
  <c r="M7" i="2"/>
  <c r="L7" i="2"/>
  <c r="J7" i="2"/>
  <c r="I7" i="2"/>
  <c r="H7" i="2"/>
  <c r="G7" i="2"/>
  <c r="F7" i="2"/>
  <c r="E7" i="2"/>
  <c r="B26" i="1"/>
  <c r="B25" i="1"/>
  <c r="B24" i="1"/>
  <c r="B133" i="2" l="1"/>
  <c r="B132" i="2"/>
  <c r="B131" i="2"/>
  <c r="B107" i="2"/>
  <c r="B106" i="2"/>
  <c r="B97" i="2"/>
  <c r="B96" i="2"/>
  <c r="B78" i="2"/>
  <c r="B77" i="2"/>
  <c r="B76" i="2"/>
  <c r="B75" i="2"/>
  <c r="B74" i="2"/>
  <c r="B53" i="2"/>
  <c r="B52" i="2"/>
  <c r="B51" i="2"/>
  <c r="B50" i="2"/>
  <c r="B49" i="2"/>
  <c r="B45" i="2"/>
  <c r="B44" i="2"/>
  <c r="B43" i="2"/>
  <c r="B29" i="2"/>
  <c r="B24" i="2"/>
  <c r="B23" i="2"/>
  <c r="B22" i="2"/>
  <c r="B21" i="2"/>
  <c r="B19" i="2"/>
  <c r="B18" i="2"/>
  <c r="B17" i="2"/>
  <c r="B10" i="2"/>
  <c r="B9" i="2"/>
  <c r="B207" i="2"/>
  <c r="B206" i="2"/>
  <c r="B205" i="2"/>
  <c r="B204" i="2"/>
  <c r="B199" i="2"/>
  <c r="B198" i="2"/>
  <c r="B197" i="2"/>
  <c r="B196" i="2"/>
  <c r="B193" i="2"/>
  <c r="B190" i="2"/>
  <c r="B189" i="2"/>
  <c r="B188" i="2"/>
  <c r="B187" i="2"/>
  <c r="B186" i="2"/>
  <c r="B185" i="2"/>
  <c r="B181" i="2"/>
  <c r="B178" i="2"/>
  <c r="B177" i="2"/>
  <c r="B176" i="2"/>
  <c r="B175" i="2"/>
  <c r="B174" i="2"/>
  <c r="B173" i="2"/>
  <c r="B172" i="2"/>
  <c r="B164" i="2"/>
  <c r="B163" i="2"/>
  <c r="B162" i="2"/>
  <c r="B161" i="2"/>
  <c r="B160" i="2"/>
  <c r="B155" i="2"/>
  <c r="B154" i="2"/>
  <c r="B153" i="2"/>
  <c r="B152" i="2"/>
  <c r="B151" i="2"/>
  <c r="B150" i="2"/>
  <c r="B149" i="2"/>
  <c r="B145" i="2"/>
  <c r="B144" i="2"/>
  <c r="B141" i="2"/>
  <c r="B139" i="2"/>
  <c r="B138" i="2"/>
  <c r="B136" i="2"/>
  <c r="B130" i="2"/>
  <c r="B128" i="2"/>
  <c r="B120" i="2"/>
  <c r="B118" i="2"/>
  <c r="B117" i="2"/>
  <c r="B115" i="2"/>
  <c r="B110" i="2"/>
  <c r="B95" i="2"/>
  <c r="B93" i="2"/>
  <c r="B89" i="2"/>
  <c r="B85" i="2"/>
  <c r="B82" i="2"/>
  <c r="B68" i="2"/>
  <c r="B67" i="2"/>
  <c r="B61" i="2"/>
  <c r="B58" i="2"/>
  <c r="B38" i="2"/>
  <c r="B36" i="2"/>
  <c r="B30" i="2"/>
  <c r="B140" i="2"/>
  <c r="B137" i="2"/>
  <c r="B129" i="2"/>
  <c r="B121" i="2"/>
  <c r="B119" i="2"/>
  <c r="B116" i="2"/>
  <c r="B114" i="2"/>
  <c r="B108" i="2"/>
  <c r="B94" i="2"/>
  <c r="B86" i="2"/>
  <c r="B84" i="2"/>
  <c r="B83" i="2"/>
  <c r="B69" i="2"/>
  <c r="B66" i="2"/>
  <c r="B65" i="2"/>
  <c r="B60" i="2"/>
  <c r="B59" i="2"/>
  <c r="B57" i="2"/>
  <c r="B37" i="2"/>
  <c r="B31" i="2"/>
  <c r="AD10" i="4"/>
  <c r="AD9" i="4"/>
  <c r="AD8" i="4"/>
  <c r="A7" i="2"/>
  <c r="B7" i="2" s="1"/>
  <c r="A8" i="2"/>
  <c r="B8" i="2" s="1"/>
  <c r="A98" i="2"/>
  <c r="B98" i="2" s="1"/>
  <c r="A99" i="2"/>
  <c r="B99" i="2" s="1"/>
  <c r="A100" i="2"/>
  <c r="B100" i="2" s="1"/>
  <c r="A101" i="2"/>
  <c r="B101" i="2" s="1"/>
  <c r="A102" i="2"/>
  <c r="B102" i="2" s="1"/>
  <c r="A103" i="2"/>
  <c r="B103" i="2" s="1"/>
  <c r="A105" i="2"/>
  <c r="B105" i="2" s="1"/>
  <c r="A104" i="2"/>
  <c r="B104" i="2" s="1"/>
  <c r="AD16" i="4" l="1"/>
  <c r="AD17" i="4"/>
  <c r="AD11" i="4"/>
  <c r="AD12" i="4"/>
  <c r="AD13" i="4"/>
  <c r="AD14" i="4" s="1"/>
  <c r="AD15" i="4" l="1"/>
  <c r="AD18" i="4" s="1"/>
  <c r="AD19" i="4" l="1"/>
  <c r="AD20" i="4"/>
  <c r="AD22" i="4" l="1"/>
  <c r="AD21" i="4"/>
  <c r="AD23" i="4" s="1"/>
  <c r="W19" i="4"/>
  <c r="X19" i="4" s="1"/>
  <c r="A20" i="2" s="1"/>
  <c r="B20" i="2" s="1"/>
  <c r="W15" i="4"/>
  <c r="X15" i="4" s="1"/>
  <c r="A16" i="2" s="1"/>
  <c r="B16" i="2" s="1"/>
  <c r="W14" i="4"/>
  <c r="X14" i="4" s="1"/>
  <c r="A15" i="2" s="1"/>
  <c r="B15" i="2" s="1"/>
  <c r="W13" i="4"/>
  <c r="X13" i="4" s="1"/>
  <c r="A14" i="2" s="1"/>
  <c r="B14" i="2" s="1"/>
  <c r="W12" i="4"/>
  <c r="X12" i="4" s="1"/>
  <c r="A13" i="2" s="1"/>
  <c r="B13" i="2" s="1"/>
  <c r="W11" i="4"/>
  <c r="X11" i="4" s="1"/>
  <c r="A12" i="2" s="1"/>
  <c r="B12" i="2" s="1"/>
  <c r="W10" i="4"/>
  <c r="X10" i="4" s="1"/>
  <c r="A11" i="2" s="1"/>
  <c r="B11" i="2" s="1"/>
  <c r="W194" i="4"/>
  <c r="X194" i="4" s="1"/>
  <c r="A203" i="2" s="1"/>
  <c r="B203" i="2" s="1"/>
  <c r="W173" i="4"/>
  <c r="X173" i="4" s="1"/>
  <c r="A182" i="2" s="1"/>
  <c r="B182" i="2" s="1"/>
  <c r="W171" i="4"/>
  <c r="X171" i="4" s="1"/>
  <c r="A180" i="2" s="1"/>
  <c r="B180" i="2" s="1"/>
  <c r="W170" i="4"/>
  <c r="X170" i="4" s="1"/>
  <c r="A179" i="2" s="1"/>
  <c r="B179" i="2" s="1"/>
  <c r="W162" i="4"/>
  <c r="X162" i="4" s="1"/>
  <c r="A171" i="2" s="1"/>
  <c r="B171" i="2" s="1"/>
  <c r="W161" i="4"/>
  <c r="X161" i="4" s="1"/>
  <c r="A170" i="2" s="1"/>
  <c r="B170" i="2" s="1"/>
  <c r="W160" i="4"/>
  <c r="X160" i="4" s="1"/>
  <c r="A169" i="2" s="1"/>
  <c r="B169" i="2" s="1"/>
  <c r="W159" i="4"/>
  <c r="X159" i="4" s="1"/>
  <c r="A168" i="2" s="1"/>
  <c r="B168" i="2" s="1"/>
  <c r="W157" i="4"/>
  <c r="X157" i="4" s="1"/>
  <c r="A166" i="2" s="1"/>
  <c r="B166" i="2" s="1"/>
  <c r="W156" i="4"/>
  <c r="X156" i="4" s="1"/>
  <c r="A165" i="2" s="1"/>
  <c r="B165" i="2" s="1"/>
  <c r="W150" i="4"/>
  <c r="X150" i="4" s="1"/>
  <c r="A159" i="2" s="1"/>
  <c r="B159" i="2" s="1"/>
  <c r="W149" i="4"/>
  <c r="X149" i="4" s="1"/>
  <c r="A158" i="2" s="1"/>
  <c r="B158" i="2" s="1"/>
  <c r="W148" i="4"/>
  <c r="X148" i="4" s="1"/>
  <c r="A157" i="2" s="1"/>
  <c r="B157" i="2" s="1"/>
  <c r="W147" i="4"/>
  <c r="X147" i="4" s="1"/>
  <c r="A156" i="2" s="1"/>
  <c r="B156" i="2" s="1"/>
  <c r="W139" i="4"/>
  <c r="X139" i="4" s="1"/>
  <c r="A148" i="2" s="1"/>
  <c r="B148" i="2" s="1"/>
  <c r="W137" i="4"/>
  <c r="X137" i="4" s="1"/>
  <c r="A146" i="2" s="1"/>
  <c r="B146" i="2" s="1"/>
  <c r="W134" i="4"/>
  <c r="X134" i="4" s="1"/>
  <c r="A143" i="2" s="1"/>
  <c r="B143" i="2" s="1"/>
  <c r="W133" i="4"/>
  <c r="X133" i="4" s="1"/>
  <c r="A142" i="2" s="1"/>
  <c r="B142" i="2" s="1"/>
  <c r="W126" i="4"/>
  <c r="X126" i="4" s="1"/>
  <c r="A135" i="2" s="1"/>
  <c r="B135" i="2" s="1"/>
  <c r="W125" i="4"/>
  <c r="X125" i="4" s="1"/>
  <c r="A134" i="2" s="1"/>
  <c r="B134" i="2" s="1"/>
  <c r="W118" i="4"/>
  <c r="X118" i="4" s="1"/>
  <c r="A127" i="2" s="1"/>
  <c r="B127" i="2" s="1"/>
  <c r="W117" i="4"/>
  <c r="X117" i="4" s="1"/>
  <c r="A126" i="2" s="1"/>
  <c r="B126" i="2" s="1"/>
  <c r="W116" i="4"/>
  <c r="X116" i="4" s="1"/>
  <c r="A125" i="2" s="1"/>
  <c r="B125" i="2" s="1"/>
  <c r="W115" i="4"/>
  <c r="X115" i="4" s="1"/>
  <c r="A124" i="2" s="1"/>
  <c r="B124" i="2" s="1"/>
  <c r="W114" i="4"/>
  <c r="X114" i="4" s="1"/>
  <c r="A123" i="2" s="1"/>
  <c r="B123" i="2" s="1"/>
  <c r="W113" i="4"/>
  <c r="X113" i="4" s="1"/>
  <c r="A122" i="2" s="1"/>
  <c r="B122" i="2" s="1"/>
  <c r="W104" i="4"/>
  <c r="X104" i="4" s="1"/>
  <c r="A113" i="2" s="1"/>
  <c r="B113" i="2" s="1"/>
  <c r="W103" i="4"/>
  <c r="X103" i="4" s="1"/>
  <c r="A112" i="2" s="1"/>
  <c r="B112" i="2" s="1"/>
  <c r="W102" i="4"/>
  <c r="X102" i="4" s="1"/>
  <c r="A111" i="2" s="1"/>
  <c r="B111" i="2" s="1"/>
  <c r="W100" i="4"/>
  <c r="X100" i="4" s="1"/>
  <c r="A109" i="2" s="1"/>
  <c r="B109" i="2" s="1"/>
  <c r="W91" i="4"/>
  <c r="X91" i="4" s="1"/>
  <c r="A92" i="2" s="1"/>
  <c r="B92" i="2" s="1"/>
  <c r="W89" i="4"/>
  <c r="X89" i="4" s="1"/>
  <c r="A90" i="2" s="1"/>
  <c r="B90" i="2" s="1"/>
  <c r="W87" i="4"/>
  <c r="X87" i="4" s="1"/>
  <c r="A88" i="2" s="1"/>
  <c r="B88" i="2" s="1"/>
  <c r="W86" i="4"/>
  <c r="X86" i="4" s="1"/>
  <c r="A87" i="2" s="1"/>
  <c r="B87" i="2" s="1"/>
  <c r="W80" i="4"/>
  <c r="X80" i="4" s="1"/>
  <c r="A81" i="2" s="1"/>
  <c r="B81" i="2" s="1"/>
  <c r="W79" i="4"/>
  <c r="X79" i="4" s="1"/>
  <c r="A80" i="2" s="1"/>
  <c r="B80" i="2" s="1"/>
  <c r="W78" i="4"/>
  <c r="X78" i="4" s="1"/>
  <c r="A79" i="2" s="1"/>
  <c r="B79" i="2" s="1"/>
  <c r="W72" i="4"/>
  <c r="X72" i="4" s="1"/>
  <c r="A73" i="2" s="1"/>
  <c r="B73" i="2" s="1"/>
  <c r="W71" i="4"/>
  <c r="X71" i="4" s="1"/>
  <c r="A72" i="2" s="1"/>
  <c r="B72" i="2" s="1"/>
  <c r="W70" i="4"/>
  <c r="X70" i="4" s="1"/>
  <c r="A71" i="2" s="1"/>
  <c r="B71" i="2" s="1"/>
  <c r="W69" i="4"/>
  <c r="X69" i="4" s="1"/>
  <c r="A70" i="2" s="1"/>
  <c r="B70" i="2" s="1"/>
  <c r="W63" i="4"/>
  <c r="X63" i="4" s="1"/>
  <c r="A64" i="2" s="1"/>
  <c r="B64" i="2" s="1"/>
  <c r="W62" i="4"/>
  <c r="X62" i="4" s="1"/>
  <c r="A63" i="2" s="1"/>
  <c r="B63" i="2" s="1"/>
  <c r="W61" i="4"/>
  <c r="X61" i="4" s="1"/>
  <c r="A62" i="2" s="1"/>
  <c r="B62" i="2" s="1"/>
  <c r="W55" i="4"/>
  <c r="X55" i="4" s="1"/>
  <c r="A56" i="2" s="1"/>
  <c r="B56" i="2" s="1"/>
  <c r="W54" i="4"/>
  <c r="X54" i="4" s="1"/>
  <c r="A55" i="2" s="1"/>
  <c r="B55" i="2" s="1"/>
  <c r="W46" i="4"/>
  <c r="X46" i="4" s="1"/>
  <c r="A47" i="2" s="1"/>
  <c r="B47" i="2" s="1"/>
  <c r="W45" i="4"/>
  <c r="X45" i="4" s="1"/>
  <c r="A46" i="2" s="1"/>
  <c r="B46" i="2" s="1"/>
  <c r="W41" i="4"/>
  <c r="X41" i="4" s="1"/>
  <c r="A42" i="2" s="1"/>
  <c r="B42" i="2" s="1"/>
  <c r="W40" i="4"/>
  <c r="X40" i="4" s="1"/>
  <c r="A41" i="2" s="1"/>
  <c r="B41" i="2" s="1"/>
  <c r="W39" i="4"/>
  <c r="X39" i="4" s="1"/>
  <c r="A40" i="2" s="1"/>
  <c r="B40" i="2" s="1"/>
  <c r="W38" i="4"/>
  <c r="X38" i="4" s="1"/>
  <c r="A39" i="2" s="1"/>
  <c r="B39" i="2" s="1"/>
  <c r="W34" i="4"/>
  <c r="X34" i="4" s="1"/>
  <c r="A35" i="2" s="1"/>
  <c r="B35" i="2" s="1"/>
  <c r="W33" i="4"/>
  <c r="X33" i="4" s="1"/>
  <c r="A34" i="2" s="1"/>
  <c r="B34" i="2" s="1"/>
  <c r="W32" i="4"/>
  <c r="X32" i="4" s="1"/>
  <c r="A33" i="2" s="1"/>
  <c r="B33" i="2" s="1"/>
  <c r="W31" i="4"/>
  <c r="X31" i="4" s="1"/>
  <c r="A32" i="2" s="1"/>
  <c r="B32" i="2" s="1"/>
  <c r="W27" i="4"/>
  <c r="X27" i="4" s="1"/>
  <c r="A28" i="2" s="1"/>
  <c r="B28" i="2" s="1"/>
  <c r="W26" i="4"/>
  <c r="X26" i="4" s="1"/>
  <c r="A27" i="2" s="1"/>
  <c r="B27" i="2" s="1"/>
  <c r="W25" i="4"/>
  <c r="X25" i="4" s="1"/>
  <c r="A26" i="2" s="1"/>
  <c r="B26" i="2" s="1"/>
  <c r="W24" i="4"/>
  <c r="X24" i="4" s="1"/>
  <c r="A25" i="2" s="1"/>
  <c r="B25" i="2" s="1"/>
  <c r="W193" i="4" l="1"/>
  <c r="X193" i="4" s="1"/>
  <c r="A202" i="2" s="1"/>
  <c r="B202" i="2" s="1"/>
  <c r="W192" i="4"/>
  <c r="X192" i="4" s="1"/>
  <c r="A201" i="2" s="1"/>
  <c r="B201" i="2" s="1"/>
  <c r="W191" i="4"/>
  <c r="X191" i="4" s="1"/>
  <c r="A200" i="2" s="1"/>
  <c r="B200" i="2" s="1"/>
  <c r="W186" i="4"/>
  <c r="X186" i="4" s="1"/>
  <c r="A195" i="2" s="1"/>
  <c r="B195" i="2" s="1"/>
  <c r="W185" i="4"/>
  <c r="X185" i="4" s="1"/>
  <c r="A194" i="2" s="1"/>
  <c r="B194" i="2" s="1"/>
  <c r="W183" i="4"/>
  <c r="X183" i="4" s="1"/>
  <c r="A192" i="2" s="1"/>
  <c r="B192" i="2" s="1"/>
  <c r="W182" i="4"/>
  <c r="X182" i="4" s="1"/>
  <c r="A191" i="2" s="1"/>
  <c r="B191" i="2" s="1"/>
  <c r="W175" i="4"/>
  <c r="X175" i="4" s="1"/>
  <c r="A184" i="2" s="1"/>
  <c r="B184" i="2" s="1"/>
  <c r="W174" i="4"/>
  <c r="X174" i="4" s="1"/>
  <c r="A183" i="2" s="1"/>
  <c r="B183" i="2" s="1"/>
  <c r="W158" i="4"/>
  <c r="X158" i="4" s="1"/>
  <c r="A167" i="2" s="1"/>
  <c r="B167" i="2" s="1"/>
  <c r="W138" i="4"/>
  <c r="X138" i="4" s="1"/>
  <c r="A147" i="2" s="1"/>
  <c r="B147" i="2" s="1"/>
  <c r="W90" i="4"/>
  <c r="X90" i="4" s="1"/>
  <c r="A91" i="2" s="1"/>
  <c r="B91" i="2" s="1"/>
  <c r="W53" i="4"/>
  <c r="X53" i="4" s="1"/>
  <c r="A54" i="2" s="1"/>
  <c r="B54" i="2" s="1"/>
  <c r="W47" i="4"/>
  <c r="X47" i="4" s="1"/>
  <c r="A48" i="2" s="1"/>
  <c r="B48" i="2" s="1"/>
</calcChain>
</file>

<file path=xl/sharedStrings.xml><?xml version="1.0" encoding="utf-8"?>
<sst xmlns="http://schemas.openxmlformats.org/spreadsheetml/2006/main" count="5989" uniqueCount="1245">
  <si>
    <t>STEIMER Feiertagsgrundlage Schweiz</t>
  </si>
  <si>
    <t>Kalenderjahr</t>
  </si>
  <si>
    <t>Prüfzeitraum 2026–2028</t>
  </si>
  <si>
    <t>AP18B-03 · V0.9 · VS, FR, SO und GE zur Fachprüfung</t>
  </si>
  <si>
    <t>18 Kantone noch nicht erhoben. Neue Kantonsregeln bleiben bis zur Fachabnahme offen.</t>
  </si>
  <si>
    <t>Bisherige Regeln erhalten. Tagesumfang ausdrücklich erfasst, Fristwirkung getrennt.</t>
  </si>
  <si>
    <t>GR nur kantonale Grundliste. Lokale Ruhetage nicht erhoben, VRG-Annahme dokumentiert.</t>
  </si>
  <si>
    <t>Gelbes Feld: Jahr ändern. Die Datumswerte werden in Excel neu berechnet.</t>
  </si>
  <si>
    <t>Im Feiertagskalender nach Gemeinwesen, Geltungsbereich oder Status filtern.</t>
  </si>
  <si>
    <t>Jede Regeländerung verlangt Fachstatus open und neue Prüfung. Alte Freigabe gilt nicht weiter.</t>
  </si>
  <si>
    <t>approved bezeichnet nur die angegebene frühere Fachfreigabe, nicht diese Arbeitsmappe.</t>
  </si>
  <si>
    <t>Quellenprüfung und Datenrelease bleiben getrennt. Neue Prüfereignisse sind candidate.</t>
  </si>
  <si>
    <t>Keine Makros, externen Datenverbindungen oder automatische Datenaktivierung.</t>
  </si>
  <si>
    <t>Sonntage gelten separat. Die Ansicht enthält benannte Feiertage, nicht jeden Sonntag.</t>
  </si>
  <si>
    <t>Gerichtsferien bleiben unverändert in der bestehenden Kalenderkomponente.</t>
  </si>
  <si>
    <t>Fehlende Kantonsdaten bedeuten nicht, dass dort keine Feiertage bestehen.</t>
  </si>
  <si>
    <t>Kalender-App und Feiertagskarte gehören nicht zu AP18.</t>
  </si>
  <si>
    <t>Kontrolle</t>
  </si>
  <si>
    <t>Anzahl</t>
  </si>
  <si>
    <t>Gemeinwesen</t>
  </si>
  <si>
    <t>Stand: 13. September 2026</t>
  </si>
  <si>
    <t>Referenz-Feiertagsregeln</t>
  </si>
  <si>
    <t>Fachverantwortung: David Steimer</t>
  </si>
  <si>
    <t>Offene Kantonsregeln</t>
  </si>
  <si>
    <t>Nächste Jahresprüfung: spätestens 15.11.2027</t>
  </si>
  <si>
    <t>Pflege: Regeln und Quellen über stabile IDs verknüpfen. Keine Zeilennummer als Identität.</t>
  </si>
  <si>
    <t>Gebietszuordnungen erfassen Ein- und Ausschlüsse. Ortssuche und Export folgen separat.</t>
  </si>
  <si>
    <t>Der Stand enthält keine neue juristische Freigabe und verändert keine Installation.</t>
  </si>
  <si>
    <t>Gebiets- und Zuordnungsänderungen brauchen eine Neugenerierung des Kalenders.</t>
  </si>
  <si>
    <t>Formeln und Referenzzeilen sind geschützt. Blattschutz ohne Passwort aufhebbar.</t>
  </si>
  <si>
    <t>Vier Sprachspalten erhalten. Neue Produktübersetzungen sind provisorisch, keine amtlichen Sprachfassungen.</t>
  </si>
  <si>
    <t>Zusätzliche Sprachen nur in der Arbeitsmappe. App und Laufzeitdaten bleiben unverändert.</t>
  </si>
  <si>
    <t>Arbeitsmappenvertrag 0.5.0 bestätigt (DEC-2026-021). Keine neue Fach-, Produkt- oder Releasefreigabe.</t>
  </si>
  <si>
    <t>Generierter Feiertagskalender</t>
  </si>
  <si>
    <t>Tagesumfang beachten. Regionale Arbeitsfeiertage und prozessuale Listen getrennt. Neue Fristwirkungen bleiben gesperrt.</t>
  </si>
  <si>
    <t>Datum</t>
  </si>
  <si>
    <t>Wochentag</t>
  </si>
  <si>
    <t>Geltungsbereich</t>
  </si>
  <si>
    <t>Feiertag</t>
  </si>
  <si>
    <t>Französisch</t>
  </si>
  <si>
    <t>Italienisch</t>
  </si>
  <si>
    <t>Rumantsch Grischun</t>
  </si>
  <si>
    <t>Rechtskategorie</t>
  </si>
  <si>
    <t>Fachstatus</t>
  </si>
  <si>
    <t>Regel-ID</t>
  </si>
  <si>
    <t>Quellen-ID</t>
  </si>
  <si>
    <t>Fundstelle</t>
  </si>
  <si>
    <t>Abdeckung</t>
  </si>
  <si>
    <t>Tagesumfang</t>
  </si>
  <si>
    <t>CH</t>
  </si>
  <si>
    <t>Bundesgebiet</t>
  </si>
  <si>
    <t>CH-CAL-HOL-NATIONAL-DAY</t>
  </si>
  <si>
    <t>Nur Bundesfeiertag</t>
  </si>
  <si>
    <t>CH-BE</t>
  </si>
  <si>
    <t>Kanton Bern</t>
  </si>
  <si>
    <t>Referenzbestand</t>
  </si>
  <si>
    <t>BE-CAL-HOL-NEW-YEAR</t>
  </si>
  <si>
    <t>BE-CAL-HOL-BERCHTOLD-DAY</t>
  </si>
  <si>
    <t>BE-CAL-HOL-GOOD-FRIDAY</t>
  </si>
  <si>
    <t>BE-CAL-HOL-EASTER</t>
  </si>
  <si>
    <t>BE-CAL-HOL-EASTER-MONDAY</t>
  </si>
  <si>
    <t>BE-CAL-HOL-ASCENSION</t>
  </si>
  <si>
    <t>BE-CAL-HOL-PENTECOST</t>
  </si>
  <si>
    <t>BE-CAL-HOL-WHIT-MONDAY</t>
  </si>
  <si>
    <t>BE-CAL-HOL-FEDERAL-FAST</t>
  </si>
  <si>
    <t>BE-CAL-HOL-CHRISTMAS</t>
  </si>
  <si>
    <t>BE-CAL-HOL-ST-STEPHEN</t>
  </si>
  <si>
    <t>CH-AG</t>
  </si>
  <si>
    <t>Bezirk Baden ohne Bergdietikon</t>
  </si>
  <si>
    <t>open</t>
  </si>
  <si>
    <t>AG-WORK-HOL-CORPUS-CHRISTI</t>
  </si>
  <si>
    <t>Normliste erfasst, Fachfreigabe offen</t>
  </si>
  <si>
    <t>Gemeinde Bergdietikon</t>
  </si>
  <si>
    <t>AG-WORK-HOL-BERCHTOLD</t>
  </si>
  <si>
    <t>Aargau, prozessuale Zuordnung</t>
  </si>
  <si>
    <t>AG-PROC-DAY-ALL-SAINTS</t>
  </si>
  <si>
    <t>Bezirke Aarau, Brugg, Kulm, Lenzburg und Zofingen</t>
  </si>
  <si>
    <t>AG-WORK-HOL-A-NEW-YEAR</t>
  </si>
  <si>
    <t>AG-WORK-HOL-A-BERCHTOLD</t>
  </si>
  <si>
    <t>AG-WORK-HOL-A-GOOD-FRIDAY</t>
  </si>
  <si>
    <t>AG-WORK-HOL-A-EASTER-MONDAY</t>
  </si>
  <si>
    <t>AG-WORK-HOL-A-ASCENSION</t>
  </si>
  <si>
    <t>AG-WORK-HOL-A-WHIT-MONDAY</t>
  </si>
  <si>
    <t>AG-WORK-HOL-A-CHRISTMAS</t>
  </si>
  <si>
    <t>AG-WORK-HOL-A-ST-STEPHEN</t>
  </si>
  <si>
    <t>AG-WORK-HOL-B1-NEW-YEAR</t>
  </si>
  <si>
    <t>AG-WORK-HOL-B1-GOOD-FRIDAY</t>
  </si>
  <si>
    <t>AG-WORK-HOL-B1-EASTER-MONDAY</t>
  </si>
  <si>
    <t>AG-WORK-HOL-B1-ASCENSION</t>
  </si>
  <si>
    <t>AG-WORK-HOL-B1-WHIT-MONDAY</t>
  </si>
  <si>
    <t>AG-WORK-HOL-B1-CHRISTMAS</t>
  </si>
  <si>
    <t>AG-WORK-HOL-B1-ST-STEPHEN</t>
  </si>
  <si>
    <t>AG-WORK-HOL-B2-NEW-YEAR</t>
  </si>
  <si>
    <t>AG-WORK-HOL-B2-GOOD-FRIDAY</t>
  </si>
  <si>
    <t>AG-WORK-HOL-B2-EASTER-MONDAY</t>
  </si>
  <si>
    <t>AG-WORK-HOL-B2-ASCENSION</t>
  </si>
  <si>
    <t>AG-WORK-HOL-B2-WHIT-MONDAY</t>
  </si>
  <si>
    <t>AG-WORK-HOL-B2-CHRISTMAS</t>
  </si>
  <si>
    <t>AG-WORK-HOL-B2-ST-STEPHEN</t>
  </si>
  <si>
    <t>Bezirk Bremgarten</t>
  </si>
  <si>
    <t>AG-WORK-HOL-C-NEW-YEAR</t>
  </si>
  <si>
    <t>AG-WORK-HOL-C-GOOD-FRIDAY</t>
  </si>
  <si>
    <t>AG-WORK-HOL-C-ASCENSION</t>
  </si>
  <si>
    <t>AG-WORK-HOL-C-CORPUS-CHRISTI</t>
  </si>
  <si>
    <t>AG-WORK-HOL-C-ASSUMPTION</t>
  </si>
  <si>
    <t>AG-WORK-HOL-C-ALL-SAINTS</t>
  </si>
  <si>
    <t>AG-WORK-HOL-C-CHRISTMAS</t>
  </si>
  <si>
    <t>AG-WORK-HOL-C-ST-STEPHEN</t>
  </si>
  <si>
    <t>Bezirke Laufenburg und Muri</t>
  </si>
  <si>
    <t>AG-WORK-HOL-D-NEW-YEAR</t>
  </si>
  <si>
    <t>AG-WORK-HOL-D-GOOD-FRIDAY</t>
  </si>
  <si>
    <t>AG-WORK-HOL-D-ASCENSION</t>
  </si>
  <si>
    <t>AG-WORK-HOL-D-CORPUS-CHRISTI</t>
  </si>
  <si>
    <t>AG-WORK-HOL-D-ASSUMPTION</t>
  </si>
  <si>
    <t>AG-WORK-HOL-D-ALL-SAINTS</t>
  </si>
  <si>
    <t>AG-WORK-HOL-D-CHRISTMAS</t>
  </si>
  <si>
    <t>AG-WORK-HOL-D-IMMACULATE-CONCEPTION</t>
  </si>
  <si>
    <t>Rheinfelden, Gemeindegruppe nach Ziff. 1</t>
  </si>
  <si>
    <t>AG-WORK-HOL-E1-NEW-YEAR</t>
  </si>
  <si>
    <t>AG-WORK-HOL-E1-GOOD-FRIDAY</t>
  </si>
  <si>
    <t>AG-WORK-HOL-E1-ASCENSION</t>
  </si>
  <si>
    <t>AG-WORK-HOL-E1-CORPUS-CHRISTI</t>
  </si>
  <si>
    <t>AG-WORK-HOL-E1-ASSUMPTION</t>
  </si>
  <si>
    <t>AG-WORK-HOL-E1-ALL-SAINTS</t>
  </si>
  <si>
    <t>AG-WORK-HOL-E1-CHRISTMAS</t>
  </si>
  <si>
    <t>AG-WORK-HOL-E1-IMMACULATE-CONCEPTION</t>
  </si>
  <si>
    <t>Rheinfelden, Gemeindegruppe nach Ziff. 2</t>
  </si>
  <si>
    <t>AG-WORK-HOL-E2-NEW-YEAR</t>
  </si>
  <si>
    <t>AG-WORK-HOL-E2-GOOD-FRIDAY</t>
  </si>
  <si>
    <t>AG-WORK-HOL-E2-EASTER-MONDAY</t>
  </si>
  <si>
    <t>AG-WORK-HOL-E2-ASCENSION</t>
  </si>
  <si>
    <t>AG-WORK-HOL-E2-WHIT-MONDAY</t>
  </si>
  <si>
    <t>AG-WORK-HOL-E2-CHRISTMAS</t>
  </si>
  <si>
    <t>AG-WORK-HOL-E2-ST-STEPHEN</t>
  </si>
  <si>
    <t>AG-WORK-HOL-E2-ALL-SAINTS</t>
  </si>
  <si>
    <t>Bezirk Zurzach</t>
  </si>
  <si>
    <t>AG-WORK-HOL-F-NEW-YEAR</t>
  </si>
  <si>
    <t>AG-WORK-HOL-F-BERCHTOLD</t>
  </si>
  <si>
    <t>AG-WORK-HOL-F-GOOD-FRIDAY</t>
  </si>
  <si>
    <t>AG-WORK-HOL-F-ASCENSION</t>
  </si>
  <si>
    <t>AG-WORK-HOL-F-CORPUS-CHRISTI</t>
  </si>
  <si>
    <t>AG-WORK-HOL-F-ALL-SAINTS</t>
  </si>
  <si>
    <t>AG-WORK-HOL-F-CHRISTMAS</t>
  </si>
  <si>
    <t>AG-WORK-HOL-F-ST-STEPHEN</t>
  </si>
  <si>
    <t>AG-PROC-DAY-NEW-YEAR</t>
  </si>
  <si>
    <t>AG-PROC-DAY-BERCHTOLD</t>
  </si>
  <si>
    <t>AG-PROC-DAY-GOOD-FRIDAY</t>
  </si>
  <si>
    <t>AG-PROC-DAY-EASTER-MONDAY</t>
  </si>
  <si>
    <t>AG-PROC-DAY-MAY1</t>
  </si>
  <si>
    <t>AG-PROC-DAY-ASCENSION</t>
  </si>
  <si>
    <t>AG-PROC-DAY-WHIT-MONDAY</t>
  </si>
  <si>
    <t>AG-PROC-DAY-CORPUS-CHRISTI</t>
  </si>
  <si>
    <t>AG-PROC-DAY-NATIONAL-DAY</t>
  </si>
  <si>
    <t>AG-PROC-DAY-ASSUMPTION</t>
  </si>
  <si>
    <t>AG-PROC-DAY-IMMACULATE-CONCEPTION</t>
  </si>
  <si>
    <t>AG-PROC-DAY-CHRISTMAS</t>
  </si>
  <si>
    <t>AG-PROC-DAY-ST-STEPHEN</t>
  </si>
  <si>
    <t>CH-TI</t>
  </si>
  <si>
    <t>Tessin, offizielle Feiertage</t>
  </si>
  <si>
    <t>TI-CAL-DAY-NEW-YEAR</t>
  </si>
  <si>
    <t>Offizielle Feiertage. LPAmm-Zuordnung zur Fachprüfung</t>
  </si>
  <si>
    <t>TI-CAL-DAY-EPIPHANY</t>
  </si>
  <si>
    <t>LPAmm-Zuordnung zur Fachprüfung. RG: provisorische Produktübersetzung.</t>
  </si>
  <si>
    <t>TI-CAL-DAY-ST-JOSEPH</t>
  </si>
  <si>
    <t>TI-CAL-DAY-EASTER-MONDAY</t>
  </si>
  <si>
    <t>TI-CAL-DAY-MAY1</t>
  </si>
  <si>
    <t>TI-CAL-DAY-ASCENSION</t>
  </si>
  <si>
    <t>TI-CAL-DAY-WHIT-MONDAY</t>
  </si>
  <si>
    <t>TI-CAL-DAY-CORPUS-CHRISTI</t>
  </si>
  <si>
    <t>TI-CAL-DAY-ST-PETER-PAUL</t>
  </si>
  <si>
    <t>TI-CAL-DAY-NATIONAL-DAY</t>
  </si>
  <si>
    <t>TI-CAL-DAY-ASSUMPTION</t>
  </si>
  <si>
    <t>TI-CAL-DAY-ALL-SAINTS</t>
  </si>
  <si>
    <t>TI-CAL-DAY-IMMACULATE-CONCEPTION</t>
  </si>
  <si>
    <t>TI-CAL-DAY-CHRISTMAS</t>
  </si>
  <si>
    <t>TI-CAL-DAY-ST-STEPHEN</t>
  </si>
  <si>
    <t>CH-GR</t>
  </si>
  <si>
    <t>Graubünden, kantonale Grundliste</t>
  </si>
  <si>
    <t>GR-CAL-DAY-NEW-YEAR</t>
  </si>
  <si>
    <t>Kantonale Grundliste. VRG-Annahme und örtliche Fristwirkung offen</t>
  </si>
  <si>
    <t>GR-CAL-DAY-GOOD-FRIDAY</t>
  </si>
  <si>
    <t>GR-CAL-DAY-EASTER</t>
  </si>
  <si>
    <t>GR-CAL-DAY-EASTER-MONDAY</t>
  </si>
  <si>
    <t>GR-CAL-DAY-ASCENSION</t>
  </si>
  <si>
    <t>GR-CAL-DAY-PENTECOST</t>
  </si>
  <si>
    <t>GR-CAL-DAY-WHIT-MONDAY</t>
  </si>
  <si>
    <t>GR-CAL-DAY-NATIONAL-DAY</t>
  </si>
  <si>
    <t>GR-CAL-DAY-FEDERAL-FAST</t>
  </si>
  <si>
    <t>GR-CAL-DAY-CHRISTMAS</t>
  </si>
  <si>
    <t>GR-CAL-DAY-ST-STEPHEN</t>
  </si>
  <si>
    <t>CH-VS</t>
  </si>
  <si>
    <t>Wallis, namentliche allgemeine Feiertagsgrundliste</t>
  </si>
  <si>
    <t>VS-CAL-DAY-NEW-YEAR</t>
  </si>
  <si>
    <t>Erfassungsentwurf. Keine neue Fristenprofilfreigabe.</t>
  </si>
  <si>
    <t>VS-CAL-DAY-ST-JOSEPH</t>
  </si>
  <si>
    <t>VS-CAL-DAY-ASCENSION</t>
  </si>
  <si>
    <t>VS-CAL-DAY-CORPUS-CHRISTI</t>
  </si>
  <si>
    <t>VS-CAL-DAY-NATIONAL-DAY</t>
  </si>
  <si>
    <t>VS-CAL-DAY-ASSUMPTION</t>
  </si>
  <si>
    <t>VS-CAL-DAY-ALL-SAINTS</t>
  </si>
  <si>
    <t>VS-CAL-DAY-IMMACULATE-CONCEPTION</t>
  </si>
  <si>
    <t>VS-CAL-DAY-CHRISTMAS</t>
  </si>
  <si>
    <t>Wallis, vier Prozessergänzungen nach Art. 37 RPflG</t>
  </si>
  <si>
    <t>VS-PROC-DAY-BERCHTOLD</t>
  </si>
  <si>
    <t>VS-PROC-DAY-EASTER-MONDAY</t>
  </si>
  <si>
    <t>VS-PROC-DAY-WHIT-MONDAY</t>
  </si>
  <si>
    <t>VS-PROC-DAY-ST-STEPHEN</t>
  </si>
  <si>
    <t>CH-FR</t>
  </si>
  <si>
    <t>Freiburg, katholisches BAMG-Gebiet</t>
  </si>
  <si>
    <t>FR-BAMG-CATHOLIC-DAY-NEW-YEAR</t>
  </si>
  <si>
    <t>FR-BAMG-CATHOLIC-DAY-GOOD-FRIDAY</t>
  </si>
  <si>
    <t>FR-BAMG-CATHOLIC-DAY-ASCENSION</t>
  </si>
  <si>
    <t>FR-BAMG-CATHOLIC-DAY-CORPUS-CHRISTI</t>
  </si>
  <si>
    <t>FR-BAMG-CATHOLIC-DAY-NATIONAL-DAY</t>
  </si>
  <si>
    <t>FR-BAMG-CATHOLIC-DAY-ASSUMPTION</t>
  </si>
  <si>
    <t>FR-BAMG-CATHOLIC-DAY-ALL-SAINTS</t>
  </si>
  <si>
    <t>FR-BAMG-CATHOLIC-DAY-IMMACULATE-CONCEPTION</t>
  </si>
  <si>
    <t>FR-BAMG-CATHOLIC-DAY-CHRISTMAS</t>
  </si>
  <si>
    <t>Freiburg, reformiertes BAMG-Gebiet</t>
  </si>
  <si>
    <t>FR-BAMG-REFORMED-DAY-NEW-YEAR</t>
  </si>
  <si>
    <t>FR-BAMG-REFORMED-DAY-BERCHTOLD</t>
  </si>
  <si>
    <t>FR-BAMG-REFORMED-DAY-GOOD-FRIDAY</t>
  </si>
  <si>
    <t>FR-BAMG-REFORMED-DAY-EASTER-MONDAY</t>
  </si>
  <si>
    <t>FR-BAMG-REFORMED-DAY-ASCENSION</t>
  </si>
  <si>
    <t>FR-BAMG-REFORMED-DAY-WHIT-MONDAY</t>
  </si>
  <si>
    <t>FR-BAMG-REFORMED-DAY-NATIONAL-DAY</t>
  </si>
  <si>
    <t>FR-BAMG-REFORMED-DAY-CHRISTMAS</t>
  </si>
  <si>
    <t>FR-BAMG-REFORMED-DAY-ST-STEPHEN</t>
  </si>
  <si>
    <t>Freiburg, kantonsweite JG-Fristenliste</t>
  </si>
  <si>
    <t>FR-JG-ALL-DAY-NEW-YEAR</t>
  </si>
  <si>
    <t>FR-JG-ALL-DAY-BERCHTOLD</t>
  </si>
  <si>
    <t>FR-JG-ALL-DAY-GOOD-FRIDAY</t>
  </si>
  <si>
    <t>FR-JG-ALL-DAY-EASTER</t>
  </si>
  <si>
    <t>FR-JG-ALL-DAY-EASTER-MONDAY</t>
  </si>
  <si>
    <t>FR-JG-ALL-DAY-ASCENSION</t>
  </si>
  <si>
    <t>FR-JG-ALL-DAY-PENTECOST</t>
  </si>
  <si>
    <t>FR-JG-ALL-DAY-WHIT-MONDAY</t>
  </si>
  <si>
    <t>FR-JG-ALL-DAY-CORPUS-CHRISTI</t>
  </si>
  <si>
    <t>FR-JG-ALL-DAY-NATIONAL-DAY</t>
  </si>
  <si>
    <t>FR-JG-ALL-DAY-ASSUMPTION</t>
  </si>
  <si>
    <t>FR-JG-ALL-DAY-ALL-SAINTS</t>
  </si>
  <si>
    <t>FR-JG-ALL-DAY-IMMACULATE-CONCEPTION</t>
  </si>
  <si>
    <t>FR-JG-ALL-DAY-CHRISTMAS</t>
  </si>
  <si>
    <t>FR-JG-ALL-DAY-ST-STEPHEN</t>
  </si>
  <si>
    <t>CH-SO</t>
  </si>
  <si>
    <t>Solothurn, RTG ohne Bezirk Bucheggberg</t>
  </si>
  <si>
    <t>SO-RTG-EXCEPT-BUCHEGGBERG-DAY-NEW-YEAR</t>
  </si>
  <si>
    <t>SO-RTG-EXCEPT-BUCHEGGBERG-DAY-GOOD-FRIDAY</t>
  </si>
  <si>
    <t>SO-RTG-EXCEPT-BUCHEGGBERG-DAY-EASTER</t>
  </si>
  <si>
    <t>SO-RTG-EXCEPT-BUCHEGGBERG-DAY-MAY1</t>
  </si>
  <si>
    <t>Halbtag nach kantonalem Recht. Wirkung auf Tagesfristen offen.</t>
  </si>
  <si>
    <t>SO-RTG-EXCEPT-BUCHEGGBERG-DAY-ASCENSION</t>
  </si>
  <si>
    <t>SO-RTG-EXCEPT-BUCHEGGBERG-DAY-PENTECOST</t>
  </si>
  <si>
    <t>SO-RTG-EXCEPT-BUCHEGGBERG-DAY-CORPUS-CHRISTI</t>
  </si>
  <si>
    <t>SO-RTG-EXCEPT-BUCHEGGBERG-DAY-NATIONAL-DAY</t>
  </si>
  <si>
    <t>SO-RTG-EXCEPT-BUCHEGGBERG-DAY-ASSUMPTION</t>
  </si>
  <si>
    <t>SO-RTG-EXCEPT-BUCHEGGBERG-DAY-FEDERAL-FAST</t>
  </si>
  <si>
    <t>SO-RTG-EXCEPT-BUCHEGGBERG-DAY-ALL-SAINTS</t>
  </si>
  <si>
    <t>SO-RTG-EXCEPT-BUCHEGGBERG-DAY-CHRISTMAS</t>
  </si>
  <si>
    <t>Solothurn, RTG Bezirk Bucheggberg</t>
  </si>
  <si>
    <t>SO-RTG-BUCHEGGBERG-DAY-NEW-YEAR</t>
  </si>
  <si>
    <t>SO-RTG-BUCHEGGBERG-DAY-GOOD-FRIDAY</t>
  </si>
  <si>
    <t>SO-RTG-BUCHEGGBERG-DAY-EASTER</t>
  </si>
  <si>
    <t>SO-RTG-BUCHEGGBERG-DAY-MAY1</t>
  </si>
  <si>
    <t>SO-RTG-BUCHEGGBERG-DAY-ASCENSION</t>
  </si>
  <si>
    <t>SO-RTG-BUCHEGGBERG-DAY-PENTECOST</t>
  </si>
  <si>
    <t>SO-RTG-BUCHEGGBERG-DAY-NATIONAL-DAY</t>
  </si>
  <si>
    <t>SO-RTG-BUCHEGGBERG-DAY-FEDERAL-FAST</t>
  </si>
  <si>
    <t>SO-RTG-BUCHEGGBERG-DAY-CHRISTMAS</t>
  </si>
  <si>
    <t>CH-GE</t>
  </si>
  <si>
    <t>Genf, gesetzliche Feiertage nach Art. 1 Abs. 1 LJF</t>
  </si>
  <si>
    <t>GE-CAL-DAY-NEW-YEAR</t>
  </si>
  <si>
    <t>GE-CAL-DAY-GOOD-FRIDAY</t>
  </si>
  <si>
    <t>GE-CAL-DAY-EASTER-MONDAY</t>
  </si>
  <si>
    <t>GE-CAL-DAY-ASCENSION</t>
  </si>
  <si>
    <t>GE-CAL-DAY-WHIT-MONDAY</t>
  </si>
  <si>
    <t>GE-CAL-DAY-NATIONAL-DAY</t>
  </si>
  <si>
    <t>GE-CAL-DAY-GENEVA-FAST</t>
  </si>
  <si>
    <t>GE-CAL-DAY-CHRISTMAS</t>
  </si>
  <si>
    <t>GE-CAL-DAY-RESTORATION</t>
  </si>
  <si>
    <t>Gemeinwesen und Bearbeitungsstand</t>
  </si>
  <si>
    <t>Erfassungsstand und fachliche Freigabe sind getrennt. Leere Quellen sind noch zu erheben.</t>
  </si>
  <si>
    <t>Code</t>
  </si>
  <si>
    <t>Deutsch</t>
  </si>
  <si>
    <t>Übergeordnet</t>
  </si>
  <si>
    <t>Erfassungsstand</t>
  </si>
  <si>
    <t>Amtliche Feiertagsquelle</t>
  </si>
  <si>
    <t>Bund</t>
  </si>
  <si>
    <t>Confédération</t>
  </si>
  <si>
    <t>Referenzpilot</t>
  </si>
  <si>
    <t>approved</t>
  </si>
  <si>
    <t>https://www.fedlex.admin.ch/eli/cc/1994/1340_1340_1340/de</t>
  </si>
  <si>
    <t>CH-ZH</t>
  </si>
  <si>
    <t>Zürich</t>
  </si>
  <si>
    <t>Zurich</t>
  </si>
  <si>
    <t>Nicht erhoben</t>
  </si>
  <si>
    <t>Noch zu erheben</t>
  </si>
  <si>
    <t>Bern</t>
  </si>
  <si>
    <t>Berne</t>
  </si>
  <si>
    <t>https://www.belex.sites.be.ch/app/de/texts_of_law/555.1</t>
  </si>
  <si>
    <t>CH-LU</t>
  </si>
  <si>
    <t>Luzern</t>
  </si>
  <si>
    <t>Lucerne</t>
  </si>
  <si>
    <t>CH-UR</t>
  </si>
  <si>
    <t>Uri</t>
  </si>
  <si>
    <t>CH-SZ</t>
  </si>
  <si>
    <t>Schwyz</t>
  </si>
  <si>
    <t>Schwytz</t>
  </si>
  <si>
    <t>CH-OW</t>
  </si>
  <si>
    <t>Obwalden</t>
  </si>
  <si>
    <t>Obwald</t>
  </si>
  <si>
    <t>CH-NW</t>
  </si>
  <si>
    <t>Nidwalden</t>
  </si>
  <si>
    <t>Nidwald</t>
  </si>
  <si>
    <t>CH-GL</t>
  </si>
  <si>
    <t>Glarus</t>
  </si>
  <si>
    <t>Glaris</t>
  </si>
  <si>
    <t>CH-ZG</t>
  </si>
  <si>
    <t>Zug</t>
  </si>
  <si>
    <t>Zoug</t>
  </si>
  <si>
    <t>Freiburg</t>
  </si>
  <si>
    <t>Fribourg</t>
  </si>
  <si>
    <t>Friburgo</t>
  </si>
  <si>
    <t>Friburg</t>
  </si>
  <si>
    <t>AP18B-03, kantonale Normlisten erfasst, Fachabnahme offen</t>
  </si>
  <si>
    <t>https://bdlf.fr.ch/api/de/versions/8126/pdf_file</t>
  </si>
  <si>
    <t>Solothurn</t>
  </si>
  <si>
    <t>Soleure</t>
  </si>
  <si>
    <t>Soletta</t>
  </si>
  <si>
    <t>Soloturn</t>
  </si>
  <si>
    <t>https://bgs.so.ch/api/de/versions/4319/pdf_file</t>
  </si>
  <si>
    <t>CH-BS</t>
  </si>
  <si>
    <t>Basel-Stadt</t>
  </si>
  <si>
    <t>Bâle-Ville</t>
  </si>
  <si>
    <t>CH-BL</t>
  </si>
  <si>
    <t>Basel-Landschaft</t>
  </si>
  <si>
    <t>Bâle-Campagne</t>
  </si>
  <si>
    <t>CH-SH</t>
  </si>
  <si>
    <t>Schaffhausen</t>
  </si>
  <si>
    <t>Schaffhouse</t>
  </si>
  <si>
    <t>CH-AR</t>
  </si>
  <si>
    <t>Appenzell Ausserrhoden</t>
  </si>
  <si>
    <t>Appenzell Rhodes-Extérieures</t>
  </si>
  <si>
    <t>CH-AI</t>
  </si>
  <si>
    <t>Appenzell Innerrhoden</t>
  </si>
  <si>
    <t>Appenzell Rhodes-Intérieures</t>
  </si>
  <si>
    <t>CH-SG</t>
  </si>
  <si>
    <t>St. Gallen</t>
  </si>
  <si>
    <t>Saint-Gall</t>
  </si>
  <si>
    <t>Graubünden</t>
  </si>
  <si>
    <t>Grisons</t>
  </si>
  <si>
    <t>Grigioni</t>
  </si>
  <si>
    <t>Grischun</t>
  </si>
  <si>
    <t>AP18B-02, kantonale Normliste erfasst, Fachabnahme offen</t>
  </si>
  <si>
    <t>https://www.gr-lex.gr.ch/api/de/versions/2604/pdf_file</t>
  </si>
  <si>
    <t>Aargau</t>
  </si>
  <si>
    <t>Argovie</t>
  </si>
  <si>
    <t>Kantonspaket AP18B-01, Fachabnahme offen</t>
  </si>
  <si>
    <t>https://gesetzessammlungen.ag.ch/app/de/texts_of_law/961.200</t>
  </si>
  <si>
    <t>CH-TG</t>
  </si>
  <si>
    <t>Thurgau</t>
  </si>
  <si>
    <t>Thurgovie</t>
  </si>
  <si>
    <t>Tessin</t>
  </si>
  <si>
    <t>Ticino</t>
  </si>
  <si>
    <t>https://www3.ti.ch/CAN/RLeggi/public/index.php/raccolta-leggi/legge/num/568</t>
  </si>
  <si>
    <t>CH-VD</t>
  </si>
  <si>
    <t>Waadt</t>
  </si>
  <si>
    <t>Vaud</t>
  </si>
  <si>
    <t>Wallis</t>
  </si>
  <si>
    <t>Valais</t>
  </si>
  <si>
    <t>Vallese</t>
  </si>
  <si>
    <t>Vallais</t>
  </si>
  <si>
    <t>https://lex.vs.ch/api/de/versions/2105/pdf_file</t>
  </si>
  <si>
    <t>CH-NE</t>
  </si>
  <si>
    <t>Neuenburg</t>
  </si>
  <si>
    <t>Neuchâtel</t>
  </si>
  <si>
    <t>Genf</t>
  </si>
  <si>
    <t>Genève</t>
  </si>
  <si>
    <t>Ginevra</t>
  </si>
  <si>
    <t>Genevra</t>
  </si>
  <si>
    <t>https://silgeneve.ch/legis/data/rsg_j1_45.htm</t>
  </si>
  <si>
    <t>CH-JU</t>
  </si>
  <si>
    <t>Jura</t>
  </si>
  <si>
    <t>Feiertagsregeln und Berechnung</t>
  </si>
  <si>
    <t>Rechtskategorie und Geltungsbereich sind Pflicht. Datum und Gültigkeit rechts werden aus dem Kalenderjahr berechnet.</t>
  </si>
  <si>
    <t>Geltungs-ID</t>
  </si>
  <si>
    <t>Regeltyp</t>
  </si>
  <si>
    <t>Monat</t>
  </si>
  <si>
    <t>Tag</t>
  </si>
  <si>
    <t>Tagesabstand</t>
  </si>
  <si>
    <t>ISO-Wochentag</t>
  </si>
  <si>
    <t>Vorkommen</t>
  </si>
  <si>
    <t>Gültig ab</t>
  </si>
  <si>
    <t>Gültig bis</t>
  </si>
  <si>
    <t>Priorität</t>
  </si>
  <si>
    <t>Freigabebasis</t>
  </si>
  <si>
    <t>Wirkung</t>
  </si>
  <si>
    <t>Zielregel</t>
  </si>
  <si>
    <t>Exportklasse</t>
  </si>
  <si>
    <t>Rohdatum</t>
  </si>
  <si>
    <t>Datum im Geltungszeitraum</t>
  </si>
  <si>
    <t>Osterrechnung</t>
  </si>
  <si>
    <t>Wert</t>
  </si>
  <si>
    <t>CH-ALL</t>
  </si>
  <si>
    <t>Bundesfeiertag</t>
  </si>
  <si>
    <t>Fête nationale</t>
  </si>
  <si>
    <t>publicHoliday</t>
  </si>
  <si>
    <t>fixedMonthDay</t>
  </si>
  <si>
    <t>2026-08-31-mvp-03-approved.1</t>
  </si>
  <si>
    <t>add</t>
  </si>
  <si>
    <t>referenceOnly</t>
  </si>
  <si>
    <t>SRC-BUNDESFEIERTAG-19940701</t>
  </si>
  <si>
    <t>Art. 1</t>
  </si>
  <si>
    <t>Ganztägig</t>
  </si>
  <si>
    <t>Jahr</t>
  </si>
  <si>
    <t>BE-ALL</t>
  </si>
  <si>
    <t>Neujahr</t>
  </si>
  <si>
    <t>Nouvel An</t>
  </si>
  <si>
    <t>SRC-FRG-BE-20210401</t>
  </si>
  <si>
    <t>Art. 2 Abs. 1 Bst. c</t>
  </si>
  <si>
    <t>a</t>
  </si>
  <si>
    <t>Berchtoldstag</t>
  </si>
  <si>
    <t>Saint-Berchtold</t>
  </si>
  <si>
    <t>b</t>
  </si>
  <si>
    <t>Karfreitag</t>
  </si>
  <si>
    <t>Vendredi saint</t>
  </si>
  <si>
    <t>easterOffsetDays</t>
  </si>
  <si>
    <t>Art. 2 Abs. 1 Bst. b</t>
  </si>
  <si>
    <t>c</t>
  </si>
  <si>
    <t>Ostern</t>
  </si>
  <si>
    <t>Pâques</t>
  </si>
  <si>
    <t>d</t>
  </si>
  <si>
    <t>Ostermontag</t>
  </si>
  <si>
    <t>Lundi de Pâques</t>
  </si>
  <si>
    <t>e</t>
  </si>
  <si>
    <t>Auffahrt</t>
  </si>
  <si>
    <t>Ascension</t>
  </si>
  <si>
    <t>f</t>
  </si>
  <si>
    <t>Pfingsten</t>
  </si>
  <si>
    <t>Pentecôte</t>
  </si>
  <si>
    <t>g</t>
  </si>
  <si>
    <t>Pfingstmontag</t>
  </si>
  <si>
    <t>Lundi de Pentecôte</t>
  </si>
  <si>
    <t>h</t>
  </si>
  <si>
    <t>Eidgenössischer Dank-, Buss- und Bettag</t>
  </si>
  <si>
    <t>Jeûne fédéral</t>
  </si>
  <si>
    <t>nthWeekdayOfMonth</t>
  </si>
  <si>
    <t>i</t>
  </si>
  <si>
    <t>Weihnachten</t>
  </si>
  <si>
    <t>Noël</t>
  </si>
  <si>
    <t>k</t>
  </si>
  <si>
    <t>Stephanstag</t>
  </si>
  <si>
    <t>Saint-Étienne</t>
  </si>
  <si>
    <t>l</t>
  </si>
  <si>
    <t>AG-ARG-BADEN</t>
  </si>
  <si>
    <t>Fronleichnam</t>
  </si>
  <si>
    <t>Fête-Dieu</t>
  </si>
  <si>
    <t>labourLawHoliday</t>
  </si>
  <si>
    <t>blockedScope</t>
  </si>
  <si>
    <t>SRC-AG-EGARR-20250901</t>
  </si>
  <si>
    <t>§ 6 Abs. 1 Bst. b Ziff. 2</t>
  </si>
  <si>
    <t>m</t>
  </si>
  <si>
    <t>AG-ARG-BERGDIETIKON</t>
  </si>
  <si>
    <t>§ 6 Abs. 1 Bst. b Ziff. 1</t>
  </si>
  <si>
    <t>n</t>
  </si>
  <si>
    <t>AG-ZPO-ALL</t>
  </si>
  <si>
    <t>Allerheiligen</t>
  </si>
  <si>
    <t>Toussaint</t>
  </si>
  <si>
    <t>proceduralEquivalentDay</t>
  </si>
  <si>
    <t>blockedEffect</t>
  </si>
  <si>
    <t>SRC-AG-EGZPO</t>
  </si>
  <si>
    <t>§ 21</t>
  </si>
  <si>
    <t>Ostermonat</t>
  </si>
  <si>
    <t>AG-ARG-AARAU-BRUGG-KULM-LENZBURG-ZOFINGEN</t>
  </si>
  <si>
    <t>§ 6 Abs. 1 Bst. a</t>
  </si>
  <si>
    <t>Ostertag</t>
  </si>
  <si>
    <t>Ostersonntag</t>
  </si>
  <si>
    <t>AG-ARG-BREMGARTEN</t>
  </si>
  <si>
    <t>§ 6 Abs. 1 Bst. c</t>
  </si>
  <si>
    <t>Mariä Himmelfahrt</t>
  </si>
  <si>
    <t>Assomption</t>
  </si>
  <si>
    <t>AG-ARG-LAUFENBURG-MURI</t>
  </si>
  <si>
    <t>§ 6 Abs. 1 Bst. d</t>
  </si>
  <si>
    <t>Mariä Empfängnis</t>
  </si>
  <si>
    <t>Immaculée Conception</t>
  </si>
  <si>
    <t>AG-ARG-RHEINFELDEN-E1</t>
  </si>
  <si>
    <t>§ 6 Abs. 1 Bst. e Ziff. 1</t>
  </si>
  <si>
    <t>AG-ARG-RHEINFELDEN-E2</t>
  </si>
  <si>
    <t>§ 6 Abs. 1 Bst. e Ziff. 2</t>
  </si>
  <si>
    <t>AG-ARG-ZURZACH</t>
  </si>
  <si>
    <t>§ 6 Abs. 1 Bst. f</t>
  </si>
  <si>
    <t>Tag der Arbeit (1. Mai)</t>
  </si>
  <si>
    <t>Fête du travail (1er mai)</t>
  </si>
  <si>
    <t>TI-OFFICIAL-ALL</t>
  </si>
  <si>
    <t>Capo d’anno</t>
  </si>
  <si>
    <t>Bumaun</t>
  </si>
  <si>
    <t>SRC-TI-FEIERTAGE-843200</t>
  </si>
  <si>
    <t>Heilige Drei Könige</t>
  </si>
  <si>
    <t>Épiphanie</t>
  </si>
  <si>
    <t>Epifania</t>
  </si>
  <si>
    <t>Bavania</t>
  </si>
  <si>
    <t>Josefstag</t>
  </si>
  <si>
    <t>Saint-Joseph</t>
  </si>
  <si>
    <t>San Giuseppe</t>
  </si>
  <si>
    <t>Son Giusep</t>
  </si>
  <si>
    <t>Lunedì di Pasqua</t>
  </si>
  <si>
    <t>Glindesdi da Pasca</t>
  </si>
  <si>
    <t>Primo maggio</t>
  </si>
  <si>
    <t>Di da la lavur (1. da matg)</t>
  </si>
  <si>
    <t>Ascensione</t>
  </si>
  <si>
    <t>Ascensiun</t>
  </si>
  <si>
    <t>Lunedì di Pentecoste</t>
  </si>
  <si>
    <t>Glindesdi da Tschuncaisma</t>
  </si>
  <si>
    <t>Corpus Domini</t>
  </si>
  <si>
    <t>Sontgilcrest</t>
  </si>
  <si>
    <t>Peter und Paul</t>
  </si>
  <si>
    <t>Saints Pierre et Paul</t>
  </si>
  <si>
    <t>San Pietro e Paolo</t>
  </si>
  <si>
    <t>Son Peder e son Paul</t>
  </si>
  <si>
    <t>Primo agosto</t>
  </si>
  <si>
    <t>Festa naziunala svizra</t>
  </si>
  <si>
    <t>Assunzione</t>
  </si>
  <si>
    <t>Nossadunna d’avust</t>
  </si>
  <si>
    <t>Ognissanti</t>
  </si>
  <si>
    <t>Numnasontga</t>
  </si>
  <si>
    <t>Immacolata</t>
  </si>
  <si>
    <t>Immaculada concepziun da Maria</t>
  </si>
  <si>
    <t>Natale</t>
  </si>
  <si>
    <t>Di da Nadal</t>
  </si>
  <si>
    <t>Santo Stefano</t>
  </si>
  <si>
    <t>Son Steffan</t>
  </si>
  <si>
    <t>GR-PUBLIC-ALL</t>
  </si>
  <si>
    <t>Capodanno</t>
  </si>
  <si>
    <t>SRC-GR-RUHETAGE-520100-20160101</t>
  </si>
  <si>
    <t>Venerdì Santo</t>
  </si>
  <si>
    <t>Venderdi sontg</t>
  </si>
  <si>
    <t>Art. 2 Abs. 1 Bst. b und Abs. 2</t>
  </si>
  <si>
    <t>Domenica di Pasqua</t>
  </si>
  <si>
    <t>Dumengia da Pasca</t>
  </si>
  <si>
    <t>Art. 2 Abs. 2</t>
  </si>
  <si>
    <t>Pfingstsonntag</t>
  </si>
  <si>
    <t>Domenica di Pentecoste</t>
  </si>
  <si>
    <t>Dumengia da Tschuncaisma</t>
  </si>
  <si>
    <t>Eidgenössischer Bettag</t>
  </si>
  <si>
    <t>Festa federale di preghiera</t>
  </si>
  <si>
    <t>Di da la rogaziun federala</t>
  </si>
  <si>
    <t>Weihnachtstag</t>
  </si>
  <si>
    <t>Stefanstag</t>
  </si>
  <si>
    <t>VS-PUBLIC-ALL</t>
  </si>
  <si>
    <t>SRC-VS-RUHEREG-822200-19661202</t>
  </si>
  <si>
    <t>VS-LOJ-ADDITIONAL</t>
  </si>
  <si>
    <t>2. Januar</t>
  </si>
  <si>
    <t>2 janvier</t>
  </si>
  <si>
    <t>SRC-VS-RPFLG-1731-20240101</t>
  </si>
  <si>
    <t>Art. 37 Abs. 1 Bst. c</t>
  </si>
  <si>
    <t>26. Dezember (Stephanstag)</t>
  </si>
  <si>
    <t>26 décembre (Saint-Étienne)</t>
  </si>
  <si>
    <t>FR-BAMG-CATHOLIC</t>
  </si>
  <si>
    <t>SRC-FR-BAMG-866111-V8126</t>
  </si>
  <si>
    <t>Art. 49 Abs. 2</t>
  </si>
  <si>
    <t>Art. 49 Abs. 3 Bst. a</t>
  </si>
  <si>
    <t>SR 116, Art. 1, neue offene Anwendung auf dieses Geltungsprofil</t>
  </si>
  <si>
    <t>FR-BAMG-REFORMED</t>
  </si>
  <si>
    <t>Lendemain du Nouvel-An</t>
  </si>
  <si>
    <t>Giorno di Berchtold</t>
  </si>
  <si>
    <t>Di da Berchtold</t>
  </si>
  <si>
    <t>Art. 49 Abs. 3 Bst. b</t>
  </si>
  <si>
    <t>Lendemain de Noël</t>
  </si>
  <si>
    <t>FR-JG-ALL</t>
  </si>
  <si>
    <t>SRC-FR-JG-1301-V7926</t>
  </si>
  <si>
    <t>Art. 121 Abs. 2</t>
  </si>
  <si>
    <t>SO-RTG-EXCEPT-BUCHEGGBERG</t>
  </si>
  <si>
    <t>SRC-SO-RTG-51241-V4319</t>
  </si>
  <si>
    <t>§ 2 Abs. 1 Bst. b</t>
  </si>
  <si>
    <t>§ 2 Abs. 1 Bst. c</t>
  </si>
  <si>
    <t>1. Mai</t>
  </si>
  <si>
    <t>1er mai</t>
  </si>
  <si>
    <t>1. da matg</t>
  </si>
  <si>
    <t>§ 2 Abs. 1 Bst. b, 1. Mai ab 12.00 Uhr</t>
  </si>
  <si>
    <t>Ab 12.00 Uhr</t>
  </si>
  <si>
    <t>SO-RTG-BUCHEGGBERG</t>
  </si>
  <si>
    <t>GE-OFFICIAL-ALL</t>
  </si>
  <si>
    <t>SRC-GE-LJF-J145-19910101</t>
  </si>
  <si>
    <t>Art. 1 Abs. 1 Bst. a</t>
  </si>
  <si>
    <t>Art. 1 Abs. 1 Bst. b</t>
  </si>
  <si>
    <t>Art. 1 Abs. 1 Bst. c</t>
  </si>
  <si>
    <t>Art. 1 Abs. 1 Bst. d</t>
  </si>
  <si>
    <t>Art. 1 Abs. 1 Bst. e</t>
  </si>
  <si>
    <t>Art. 1 Abs. 1 Bst. f</t>
  </si>
  <si>
    <t>Genfer Bettag</t>
  </si>
  <si>
    <t>Jeûne genevois</t>
  </si>
  <si>
    <t>nthWeekdayOffsetDays</t>
  </si>
  <si>
    <t>Art. 1 Abs. 1 Bst. g und Fussnote a</t>
  </si>
  <si>
    <t>Art. 1 Abs. 1 Bst. h</t>
  </si>
  <si>
    <t>Wiederherstellung der Republik</t>
  </si>
  <si>
    <t>Restauration de la République</t>
  </si>
  <si>
    <t>Art. 1 Abs. 1 Bst. i</t>
  </si>
  <si>
    <t>Räumliche Geltungsbereiche</t>
  </si>
  <si>
    <t>Gemeinden und Bezirke konkretisieren kantonales Recht. Keine Geodaten und kein eigenständiges kommunales Feiertagsrecht.</t>
  </si>
  <si>
    <t>Gebiet</t>
  </si>
  <si>
    <t>Gebietstyp</t>
  </si>
  <si>
    <t>Umfang / Grenze</t>
  </si>
  <si>
    <t>Daten ab</t>
  </si>
  <si>
    <t>Daten bis</t>
  </si>
  <si>
    <t>National</t>
  </si>
  <si>
    <t>Kanton</t>
  </si>
  <si>
    <t>Gesamtes Kantonsgebiet</t>
  </si>
  <si>
    <t>Art. 2 Abs. 1</t>
  </si>
  <si>
    <t>Bezirksausnahme</t>
  </si>
  <si>
    <t>Nur § 6 Abs. 1 Bst. b Ziff. 2 EG ArR. Kein allgemeiner Fristenkalender.</t>
  </si>
  <si>
    <t>Gemeinde</t>
  </si>
  <si>
    <t>Nur § 6 Abs. 1 Bst. b Ziff. 1 EG ArR. Kantonale Rechtsgrundlage.</t>
  </si>
  <si>
    <t>§ 21 EG ZPO getrennt vom Arbeitsrecht. Anwendungszuordnung offen.</t>
  </si>
  <si>
    <t>Gebietsgruppe</t>
  </si>
  <si>
    <t>§ 6 Abs. 1 Bst. a EG ArR. Nur arbeitsrechtlicher Feiertagsgeltungsbereich, kein allgemeiner Fristenkalender.</t>
  </si>
  <si>
    <t>Bezirk</t>
  </si>
  <si>
    <t>§ 6 Abs. 1 Bst. c EG ArR. Nur arbeitsrechtlicher Feiertagsgeltungsbereich, kein allgemeiner Fristenkalender.</t>
  </si>
  <si>
    <t>§ 6 Abs. 1 Bst. d EG ArR. Nur arbeitsrechtlicher Feiertagsgeltungsbereich, kein allgemeiner Fristenkalender.</t>
  </si>
  <si>
    <t>Gemeinden Hellikon, Mumpf, Obermumpf, Schupfart, Stein und Wegenstetten</t>
  </si>
  <si>
    <t>§ 6 Abs. 1 Bst. e Ziff. 1 EG ArR. Nur arbeitsrechtlicher Feiertagsgeltungsbereich, kein allgemeiner Fristenkalender.</t>
  </si>
  <si>
    <t>Gemeinden Kaiseraugst, Magden, Möhlin, Olsberg, Rheinfelden, Wallbach, Zeiningen und Zuzgen</t>
  </si>
  <si>
    <t>§ 6 Abs. 1 Bst. e Ziff. 2 EG ArR. Nur arbeitsrechtlicher Feiertagsgeltungsbereich, kein allgemeiner Fristenkalender.</t>
  </si>
  <si>
    <t>§ 6 Abs. 1 Bst. f EG ArR. Nur arbeitsrechtlicher Feiertagsgeltungsbereich, kein allgemeiner Fristenkalender.</t>
  </si>
  <si>
    <t>Canton du Tessin</t>
  </si>
  <si>
    <t>Cantone Ticino</t>
  </si>
  <si>
    <t>Chantun Tessin</t>
  </si>
  <si>
    <t>Alle 15 Tage nach Art. 1 RL 843.200. Keine Einschränkung auf neun arbeitsrechtlich sonntagsgleiche Feiertage.</t>
  </si>
  <si>
    <t>Canton des Grisons</t>
  </si>
  <si>
    <t>Cantone dei Grigioni</t>
  </si>
  <si>
    <t>Chantun Grischun</t>
  </si>
  <si>
    <t>Art. 2 Ruhetagsgesetz plus separat angewendete Bundesregel. Keine kommunalen Beschlüsse. VRG-Annahme und örtliche Wirkung ausschliesslich im Verfahrensbezug.</t>
  </si>
  <si>
    <t>Art. 2</t>
  </si>
  <si>
    <t>Valais, liste de base des jours fériés nommés</t>
  </si>
  <si>
    <t>Acht namentliche Reglementstage plus Bundesfeier. Keine vollständige Erhebung zusätzlicher diözesaner Festtage. Prozessergänzungen in eigenem Geltungsbereich.</t>
  </si>
  <si>
    <t>Valais, quatre jours supplémentaires selon l’art. 37 LOJ</t>
  </si>
  <si>
    <t>Nur Art. 37 Abs. 1 Bst. c. Kein alleinstehender vollständiger Prozesskalender. Bst. a und b verweisen auf Bundesrecht und Ruhegesetz samt Reglement.</t>
  </si>
  <si>
    <t>Art. 37 Abs. 1</t>
  </si>
  <si>
    <t>Genève, jours fériés selon l’art. 1 al. 1 LJF</t>
  </si>
  <si>
    <t>Neun Tage nach Art. 1 Abs. 1. Keine zusätzlichen Folgetage nach Abs. 2, keine Übernahme von Personalurlaub oder Schliesszeiten.</t>
  </si>
  <si>
    <t>Art. 1 Abs. 1</t>
  </si>
  <si>
    <t>Fribourg, territoire catholique LEMT</t>
  </si>
  <si>
    <t>Friburgo, territorio cattolico LEMT</t>
  </si>
  <si>
    <t>Friburg, territori catolic BAMG</t>
  </si>
  <si>
    <t>Arbeitsrechtliche Gebietsliste: Kanton abzüglich der konkret erfassten zehn Gemeinden und zwei Orte. Geschäftssitz/Zweigniederlassung nach Art. 49 Abs. 5, keine persönliche Konfessionswahl. Acht kantonale Tage plus offene Bundesanwendung.</t>
  </si>
  <si>
    <t>Art. 49 Abs. 2, Abs. 3 Bst. a, Abs. 4 und 5</t>
  </si>
  <si>
    <t>Fribourg, territoire réformé LEMT</t>
  </si>
  <si>
    <t>Friburgo, territorio riformato LEMT</t>
  </si>
  <si>
    <t>Friburg, territori refurmà BAMG</t>
  </si>
  <si>
    <t>Arbeitsrechtliche Gebietsliste: zehn bezeichnete Gemeinden sowie Flamatt und Sensebrügg, nicht ganz Wünnewil-Flamatt. Acht kantonale Tage plus offene Bundesanwendung. Keine Übertragung auf JG.</t>
  </si>
  <si>
    <t>Art. 49 Abs. 2, Abs. 3 Bst. b, Abs. 4 und 5</t>
  </si>
  <si>
    <t>Fribourg, liste cantonale des délais LJ</t>
  </si>
  <si>
    <t>Friburgo, elenco cantonale dei termini LJ</t>
  </si>
  <si>
    <t>Friburg, glista chantunala da termins JG</t>
  </si>
  <si>
    <t>15 eigene Tage nach Art. 121 Abs. 2, unabhängig von den BAMG-Regionalgruppen. Stundenfristen-Ausnahme Abs. 3 und Verfahrensanknüpfung gesondert. 1. August bereits enthalten.</t>
  </si>
  <si>
    <t>Art. 121 Abs. 1–3</t>
  </si>
  <si>
    <t>Soleure, RTG hors district de Bucheggberg</t>
  </si>
  <si>
    <t>Soletta, RTG escluso distretto di Bucheggberg</t>
  </si>
  <si>
    <t>Soloturn, RTG senza district da Bucheggberg</t>
  </si>
  <si>
    <t>Elf benannte kantonale RTG-Tage plus offene Bundesanwendung. 1. Mai ausschliesslich ab 12.00 Uhr. Kantonsgebiet abzüglich Bezirk Bucheggberg. Kommunales Recht ausgeschlossen, Fristwirkung offen.</t>
  </si>
  <si>
    <t>§ 2 Abs. 1 Bst. b und c</t>
  </si>
  <si>
    <t>Soleure, RTG district de Bucheggberg</t>
  </si>
  <si>
    <t>Soletta, RTG distretto di Bucheggberg</t>
  </si>
  <si>
    <t>Soloturn, RTG district da Bucheggberg</t>
  </si>
  <si>
    <t>Acht benannte kantonale RTG-Tage plus offene Bundesanwendung. Fronleichnam, Maria Himmelfahrt und Allerheiligen nicht in dieser RTG-Liste. Kein pauschaler Ausschluss möglicher verfahrensrechtlicher Gleichstellungen. 1. Mai ab 12.00 Uhr.</t>
  </si>
  <si>
    <t>Gebietszuordnungen und räumliche Ausnahmen</t>
  </si>
  <si>
    <t>Ein Geltungsbereich umfasst die eingeschlossenen Gebiete abzüglich der ausgeschlossenen Gebiete. Keine automatische Fristwirkung.</t>
  </si>
  <si>
    <t>Zuordnungs-ID</t>
  </si>
  <si>
    <t>Gebiet-ID</t>
  </si>
  <si>
    <t>Übergeordnetes Gebiet</t>
  </si>
  <si>
    <t>Einbezug</t>
  </si>
  <si>
    <t>Kennungssystem</t>
  </si>
  <si>
    <t>Amtliche Kennung</t>
  </si>
  <si>
    <t>Prüfhinweis</t>
  </si>
  <si>
    <t>AREA-AP18A-01</t>
  </si>
  <si>
    <t>GEO-CH</t>
  </si>
  <si>
    <t>include</t>
  </si>
  <si>
    <t>Neue räumliche Zuordnung, fachlich zu prüfen. Interne Gebiet-ID, keine amtliche Kennung. Keine automatische Feiertagsvererbung oder Fristwirkung.</t>
  </si>
  <si>
    <t>AREA-AP18A-02</t>
  </si>
  <si>
    <t>GEO-BE</t>
  </si>
  <si>
    <t>AREA-AP18A-03</t>
  </si>
  <si>
    <t>GEO-AG-BADEN</t>
  </si>
  <si>
    <t>Bezirk Baden</t>
  </si>
  <si>
    <t>GEO-AG</t>
  </si>
  <si>
    <t>AREA-AP18A-04</t>
  </si>
  <si>
    <t>GEO-AG-BERGDIETIKON</t>
  </si>
  <si>
    <t>exclude</t>
  </si>
  <si>
    <t>AREA-AP18A-05</t>
  </si>
  <si>
    <t>AREA-AP18A-06</t>
  </si>
  <si>
    <t>AREA-AP18B-AG-01</t>
  </si>
  <si>
    <t>GEO-AG-BEZIRK-AARAU</t>
  </si>
  <si>
    <t>Bezirk Aarau</t>
  </si>
  <si>
    <t>Normzweig aus § 6 EG ArR, fachliche Abnahme offen. Parent ist das nächste erfasste übergeordnete Gebiet, keine Feiertagsvererbung. Amtliche Kennung noch zu prüfen.</t>
  </si>
  <si>
    <t>AREA-AP18B-AG-02</t>
  </si>
  <si>
    <t>GEO-AG-BEZIRK-BRUGG</t>
  </si>
  <si>
    <t>Bezirk Brugg</t>
  </si>
  <si>
    <t>AREA-AP18B-AG-03</t>
  </si>
  <si>
    <t>GEO-AG-BEZIRK-KULM</t>
  </si>
  <si>
    <t>Bezirk Kulm</t>
  </si>
  <si>
    <t>AREA-AP18B-AG-04</t>
  </si>
  <si>
    <t>GEO-AG-BEZIRK-LENZBURG</t>
  </si>
  <si>
    <t>Bezirk Lenzburg</t>
  </si>
  <si>
    <t>AREA-AP18B-AG-05</t>
  </si>
  <si>
    <t>GEO-AG-BEZIRK-ZOFINGEN</t>
  </si>
  <si>
    <t>Bezirk Zofingen</t>
  </si>
  <si>
    <t>AREA-AP18B-AG-06</t>
  </si>
  <si>
    <t>GEO-AG-BEZIRK-BREMGARTEN</t>
  </si>
  <si>
    <t>AREA-AP18B-AG-07</t>
  </si>
  <si>
    <t>GEO-AG-BEZIRK-LAUFENBURG</t>
  </si>
  <si>
    <t>Bezirk Laufenburg</t>
  </si>
  <si>
    <t>AREA-AP18B-AG-08</t>
  </si>
  <si>
    <t>GEO-AG-BEZIRK-MURI</t>
  </si>
  <si>
    <t>Bezirk Muri</t>
  </si>
  <si>
    <t>AREA-AP18B-AG-09</t>
  </si>
  <si>
    <t>GEO-AG-GEMEINDE-HELLIKON</t>
  </si>
  <si>
    <t>Gemeinde Hellikon</t>
  </si>
  <si>
    <t>AREA-AP18B-AG-10</t>
  </si>
  <si>
    <t>GEO-AG-GEMEINDE-MUMPF</t>
  </si>
  <si>
    <t>Gemeinde Mumpf</t>
  </si>
  <si>
    <t>AREA-AP18B-AG-11</t>
  </si>
  <si>
    <t>GEO-AG-GEMEINDE-OBERMUMPF</t>
  </si>
  <si>
    <t>Gemeinde Obermumpf</t>
  </si>
  <si>
    <t>AREA-AP18B-AG-12</t>
  </si>
  <si>
    <t>GEO-AG-GEMEINDE-SCHUPFART</t>
  </si>
  <si>
    <t>Gemeinde Schupfart</t>
  </si>
  <si>
    <t>AREA-AP18B-AG-13</t>
  </si>
  <si>
    <t>GEO-AG-GEMEINDE-STEIN</t>
  </si>
  <si>
    <t>Gemeinde Stein</t>
  </si>
  <si>
    <t>AREA-AP18B-AG-14</t>
  </si>
  <si>
    <t>GEO-AG-GEMEINDE-WEGENSTETTEN</t>
  </si>
  <si>
    <t>Gemeinde Wegenstetten</t>
  </si>
  <si>
    <t>AREA-AP18B-AG-15</t>
  </si>
  <si>
    <t>GEO-AG-GEMEINDE-KAISERAUGST</t>
  </si>
  <si>
    <t>Gemeinde Kaiseraugst</t>
  </si>
  <si>
    <t>AREA-AP18B-AG-16</t>
  </si>
  <si>
    <t>GEO-AG-GEMEINDE-MAGDEN</t>
  </si>
  <si>
    <t>Gemeinde Magden</t>
  </si>
  <si>
    <t>AREA-AP18B-AG-17</t>
  </si>
  <si>
    <t>GEO-AG-GEMEINDE-MOEHLIN</t>
  </si>
  <si>
    <t>Gemeinde Möhlin</t>
  </si>
  <si>
    <t>AREA-AP18B-AG-18</t>
  </si>
  <si>
    <t>GEO-AG-GEMEINDE-OLSBERG</t>
  </si>
  <si>
    <t>Gemeinde Olsberg</t>
  </si>
  <si>
    <t>AREA-AP18B-AG-19</t>
  </si>
  <si>
    <t>GEO-AG-GEMEINDE-RHEINFELDEN</t>
  </si>
  <si>
    <t>Gemeinde Rheinfelden</t>
  </si>
  <si>
    <t>AREA-AP18B-AG-20</t>
  </si>
  <si>
    <t>GEO-AG-GEMEINDE-WALLBACH</t>
  </si>
  <si>
    <t>Gemeinde Wallbach</t>
  </si>
  <si>
    <t>AREA-AP18B-AG-21</t>
  </si>
  <si>
    <t>GEO-AG-GEMEINDE-ZEININGEN</t>
  </si>
  <si>
    <t>Gemeinde Zeiningen</t>
  </si>
  <si>
    <t>AREA-AP18B-AG-22</t>
  </si>
  <si>
    <t>GEO-AG-GEMEINDE-ZUZGEN</t>
  </si>
  <si>
    <t>Gemeinde Zuzgen</t>
  </si>
  <si>
    <t>AREA-AP18B-AG-23</t>
  </si>
  <si>
    <t>GEO-AG-BEZIRK-ZURZACH</t>
  </si>
  <si>
    <t>AREA-AP18B-TI-GR-01</t>
  </si>
  <si>
    <t>GEO-TI</t>
  </si>
  <si>
    <t>Kantonsgebiet für die offizielle Liste. IT/RM-Kantonsnamen amtlich belegt, keine automatische Verfahrensfreigabe.</t>
  </si>
  <si>
    <t>AREA-AP18B-TI-GR-02</t>
  </si>
  <si>
    <t>GEO-GR</t>
  </si>
  <si>
    <t>Kantonsgebiet nur für die Grundliste. Lokale Ruhetage nicht vollständig erhoben. Begrenzte VRG-Annahme separat, OF-008 offen.</t>
  </si>
  <si>
    <t>AREA-AP18B-VS-GE-01</t>
  </si>
  <si>
    <t>GEO-VS</t>
  </si>
  <si>
    <t>Kantonsgebiet als interne Gebiet-ID. Norm- und Gebietsbeleg identisch. Keine automatische Feiertagsvererbung oder Verfahrensfreigabe.</t>
  </si>
  <si>
    <t>AREA-AP18B-VS-GE-02</t>
  </si>
  <si>
    <t>AREA-AP18B-VS-GE-03</t>
  </si>
  <si>
    <t>GEO-GE</t>
  </si>
  <si>
    <t>AREA-FR-BAMG-CATHOLIC-GEO-FR-INCLUDE</t>
  </si>
  <si>
    <t>GEO-FR</t>
  </si>
  <si>
    <t>Art. 49 Abs. 2–5</t>
  </si>
  <si>
    <t>Gesamtkanton als Ausgangsgebiet, abzüglich sämtlicher konkret erfasster reformierter Gemeinden/Orte. Keine persönliche Konfessionszuordnung.</t>
  </si>
  <si>
    <t>AREA-FR-JG-ALL-GEO-FR-INCLUDE</t>
  </si>
  <si>
    <t>Eigene kantonsweite JG-Liste. BAMG-Ausnahmen werden nicht übernommen.</t>
  </si>
  <si>
    <t>AREA-FR-BAMG-CATHOLIC-GEO-FR-WUENNEWIL-FLAMATT-INCLUDE</t>
  </si>
  <si>
    <t>GEO-FR-WUENNEWIL-FLAMATT</t>
  </si>
  <si>
    <t>Wünnewil-Flamatt</t>
  </si>
  <si>
    <t>SRC-FR-AMA-FEIERTAGE-2026</t>
  </si>
  <si>
    <t>Feiertage 2026, Fussnote zu reformierten Gemeinden</t>
  </si>
  <si>
    <t>Redundanter räumlicher Elternknoten innerhalb des bereits einbezogenen Kantons. Die beiden Ortsteilausschlüsse bleiben wirksam. Keine Ausdehnung des reformierten Profils auf die ganze Gemeinde. Gebietsbeleg SRC-FR-AMA-FEIERTAGE-2026, Seitenänderung 06.07.2026. Geprüfte Beziehung zur Norm SRC-FR-BAMG-866111-V8126, Art. 49 Abs. 3–5, am 2026-09-13 durch Codex. Kein separat verifizierter Staatsratsbeschluss und keine Fachabnahme. Ortsnamen in IT/RM unverändert, Beschreibung provisorisch übersetzt.</t>
  </si>
  <si>
    <t>AREA-FR-BAMG-CATHOLIC-GEO-FR-COURGEVAUX-EXCLUDE</t>
  </si>
  <si>
    <t>GEO-FR-COURGEVAUX</t>
  </si>
  <si>
    <t>Courgevaux</t>
  </si>
  <si>
    <t>Gebietsbeleg SRC-FR-AMA-FEIERTAGE-2026, Seitenänderung 06.07.2026. Geprüfte Beziehung zur Norm SRC-FR-BAMG-866111-V8126, Art. 49 Abs. 3–5, am 2026-09-13 durch Codex. Kein separat verifizierter Staatsratsbeschluss und keine Fachabnahme. Ortsnamen in IT/RM unverändert, Beschreibung provisorisch übersetzt.</t>
  </si>
  <si>
    <t>AREA-FR-BAMG-REFORMED-GEO-FR-COURGEVAUX-INCLUDE</t>
  </si>
  <si>
    <t>AREA-FR-BAMG-CATHOLIC-GEO-FR-FRAESCHELS-EXCLUDE</t>
  </si>
  <si>
    <t>GEO-FR-FRAESCHELS</t>
  </si>
  <si>
    <t>Fräschels</t>
  </si>
  <si>
    <t>AREA-FR-BAMG-REFORMED-GEO-FR-FRAESCHELS-INCLUDE</t>
  </si>
  <si>
    <t>AREA-FR-BAMG-CATHOLIC-GEO-FR-GRENG-EXCLUDE</t>
  </si>
  <si>
    <t>GEO-FR-GRENG</t>
  </si>
  <si>
    <t>Greng</t>
  </si>
  <si>
    <t>AREA-FR-BAMG-REFORMED-GEO-FR-GRENG-INCLUDE</t>
  </si>
  <si>
    <t>AREA-FR-BAMG-CATHOLIC-GEO-FR-KERZERS-EXCLUDE</t>
  </si>
  <si>
    <t>GEO-FR-KERZERS</t>
  </si>
  <si>
    <t>Kerzers</t>
  </si>
  <si>
    <t>AREA-FR-BAMG-REFORMED-GEO-FR-KERZERS-INCLUDE</t>
  </si>
  <si>
    <t>AREA-FR-BAMG-CATHOLIC-GEO-FR-MEYRIEZ-EXCLUDE</t>
  </si>
  <si>
    <t>GEO-FR-MEYRIEZ</t>
  </si>
  <si>
    <t>Meyriez</t>
  </si>
  <si>
    <t>AREA-FR-BAMG-REFORMED-GEO-FR-MEYRIEZ-INCLUDE</t>
  </si>
  <si>
    <t>AREA-FR-BAMG-CATHOLIC-GEO-FR-MUNTELIER-EXCLUDE</t>
  </si>
  <si>
    <t>GEO-FR-MUNTELIER</t>
  </si>
  <si>
    <t>Muntelier</t>
  </si>
  <si>
    <t>AREA-FR-BAMG-REFORMED-GEO-FR-MUNTELIER-INCLUDE</t>
  </si>
  <si>
    <t>AREA-FR-BAMG-CATHOLIC-GEO-FR-MURTEN-EXCLUDE</t>
  </si>
  <si>
    <t>GEO-FR-MURTEN</t>
  </si>
  <si>
    <t>Murten</t>
  </si>
  <si>
    <t>AREA-FR-BAMG-REFORMED-GEO-FR-MURTEN-INCLUDE</t>
  </si>
  <si>
    <t>AREA-FR-BAMG-CATHOLIC-GEO-FR-RIED-BEI-KERZERS-EXCLUDE</t>
  </si>
  <si>
    <t>GEO-FR-RIED-BEI-KERZERS</t>
  </si>
  <si>
    <t>Ried bei Kerzers</t>
  </si>
  <si>
    <t>AREA-FR-BAMG-REFORMED-GEO-FR-RIED-BEI-KERZERS-INCLUDE</t>
  </si>
  <si>
    <t>AREA-FR-BAMG-CATHOLIC-GEO-FR-ULMIZ-EXCLUDE</t>
  </si>
  <si>
    <t>GEO-FR-ULMIZ</t>
  </si>
  <si>
    <t>Ulmiz</t>
  </si>
  <si>
    <t>AREA-FR-BAMG-REFORMED-GEO-FR-ULMIZ-INCLUDE</t>
  </si>
  <si>
    <t>AREA-FR-BAMG-CATHOLIC-GEO-FR-MONT-VULLY-EXCLUDE</t>
  </si>
  <si>
    <t>GEO-FR-MONT-VULLY</t>
  </si>
  <si>
    <t>Mont-Vully</t>
  </si>
  <si>
    <t>AREA-FR-BAMG-REFORMED-GEO-FR-MONT-VULLY-INCLUDE</t>
  </si>
  <si>
    <t>AREA-FR-BAMG-CATHOLIC-GEO-FR-FLAMATT-EXCLUDE</t>
  </si>
  <si>
    <t>GEO-FR-FLAMATT</t>
  </si>
  <si>
    <t>Flamatt</t>
  </si>
  <si>
    <t>Ortsteil</t>
  </si>
  <si>
    <t>AREA-FR-BAMG-REFORMED-GEO-FR-FLAMATT-INCLUDE</t>
  </si>
  <si>
    <t>AREA-FR-BAMG-CATHOLIC-GEO-FR-SENSEBRUEGG-EXCLUDE</t>
  </si>
  <si>
    <t>GEO-FR-SENSEBRUEGG</t>
  </si>
  <si>
    <t>Sensebrügg</t>
  </si>
  <si>
    <t>AREA-FR-BAMG-REFORMED-GEO-FR-SENSEBRUEGG-INCLUDE</t>
  </si>
  <si>
    <t>AREA-SO-RTG-EXCEPT-BUCHEGGBERG-GEO-SO-INCLUDE</t>
  </si>
  <si>
    <t>GEO-SO</t>
  </si>
  <si>
    <t>Kanton als Ausgangsgebiet. Regionalausnahme durch expliziten Bezirkseintrag, kein kommunales Recht erhoben.</t>
  </si>
  <si>
    <t>AREA-SO-RTG-EXCEPT-BUCHEGGBERG-GEO-SO-BUCHEGGBERG-EXCLUDE</t>
  </si>
  <si>
    <t>GEO-SO-BUCHEGGBERG</t>
  </si>
  <si>
    <t>Bezirk Bucheggberg</t>
  </si>
  <si>
    <t>District de Bucheggberg</t>
  </si>
  <si>
    <t>Distretto di Bucheggberg</t>
  </si>
  <si>
    <t>District da Bucheggberg</t>
  </si>
  <si>
    <t>Aus diesem RTG-Profil ausgeschlossen, im separaten Bucheggberg-Profil mit eigener Grundliste enthalten. Keine pauschale Aussage zu sämtlichen Fristenverfahren.</t>
  </si>
  <si>
    <t>AREA-SO-RTG-BUCHEGGBERG-GEO-SO-BUCHEGGBERG-INCLUDE</t>
  </si>
  <si>
    <t>Bezirk als unmittelbar kantonal bezeichnetes Gebiet. FR/IT/RM-Bezirksbeschreibungen sind provisorische Produktübersetzungen.</t>
  </si>
  <si>
    <t>include = einschliessen, exclude = ausschliessen. Neue Zuordnungen sind open, keine zusätzliche Fachfreigabe.</t>
  </si>
  <si>
    <t>GEO-IDs sind interne Kennungen. Amtliche Gebietskennungen sind noch zu erfassen und zu prüfen.</t>
  </si>
  <si>
    <t>Übergeordnetes Gebiet beschreibt nur Geografie. Daraus werden keine Feiertagsregeln vererbt.</t>
  </si>
  <si>
    <t>Erfasst sind nur die für das Quellenpaket benötigten Gebiete. Amtliche Kennungen bleiben noch offen.</t>
  </si>
  <si>
    <t>Änderungen an Gebietszuordnungen benötigen eine kontrollierte Neugenerierung des Kalenders. Keine automatische Ortsauflösung.</t>
  </si>
  <si>
    <t>Rechtsgrundlagen und amtliche Quellen</t>
  </si>
  <si>
    <t>Quellen-IDs sind stabil. Originalstand, Abruf und Fachfreigabe sind verschiedene Angaben.</t>
  </si>
  <si>
    <t>Erlass / Quelle</t>
  </si>
  <si>
    <t>Amtlicher Link</t>
  </si>
  <si>
    <t>Fassungsstand</t>
  </si>
  <si>
    <t>Abgerufen</t>
  </si>
  <si>
    <t>Frühere Freigabebasis</t>
  </si>
  <si>
    <t>URL (Original)</t>
  </si>
  <si>
    <t>Verordnung über den Bundesfeiertag, SR 116</t>
  </si>
  <si>
    <t>SR 116, Art. 1</t>
  </si>
  <si>
    <t>Amtliche Quelle öffnen</t>
  </si>
  <si>
    <t>Originaltext geöffnet</t>
  </si>
  <si>
    <t>Gesetz über die Ruhe an öffentlichen Feiertagen, BSG 555.1</t>
  </si>
  <si>
    <t>BSG 555.1, Art. 2</t>
  </si>
  <si>
    <t>Einführungsgesetz zum Arbeitsrecht</t>
  </si>
  <si>
    <t>SAR 961.200, § 6</t>
  </si>
  <si>
    <t>Alle acht Normzweige von § 6 Abs. 1 am 13.09.2026 vollständig abgeglichen, Fachabnahme offen</t>
  </si>
  <si>
    <t>Einführungsgesetz zur Schweizerischen Zivilprozessordnung</t>
  </si>
  <si>
    <t>SAR 221.200, § 21 Abs. 1</t>
  </si>
  <si>
    <t>Alle 14 Tage von § 21 Abs. 1 am 13.09.2026 vollständig abgeglichen, Orts-/Profilanknüpfung und Freigabe offen</t>
  </si>
  <si>
    <t>https://gesetzessammlungen.ag.ch/app/de/texts_of_law/221.200</t>
  </si>
  <si>
    <t>SRC-BJ-FRISTENHINWEISE-20121217</t>
  </si>
  <si>
    <t>Hinweise zum Verzeichnis gesetzlicher Feiertage und gleichgestellter Tage</t>
  </si>
  <si>
    <t>Ziff. 1–3, Stand 17.12.2012</t>
  </si>
  <si>
    <t>Methodische Abgrenzung, keine aktuelle Feiertagsvollerhebung</t>
  </si>
  <si>
    <t>https://www.bj.admin.ch/dam/de/sd-web/4Ad6GMn8rA0i/hinweise-kant-feiertage.pdf</t>
  </si>
  <si>
    <t>SRC-AG-AWA-FEIERTAGE</t>
  </si>
  <si>
    <t>Gesetzliche Feiertage im Kanton Aargau, AWA-Übersicht</t>
  </si>
  <si>
    <t>Amtliche Übersicht zu Art. 20a ArG und § 6 EG ArR</t>
  </si>
  <si>
    <t>Undatiertes amtliches Merkblatt, am 13.09.2026 mit § 6 EG ArR abgeglichen</t>
  </si>
  <si>
    <t>https://www.ag.ch/media/kanton-aargau/dvi/dokumente/awa/awa/arbeitnehmerschutz-im-betrieb/feiertage.pdf</t>
  </si>
  <si>
    <t>Legge concernente i giorni festivi ufficiali nel Cantone Ticino</t>
  </si>
  <si>
    <t>RL 843.200, Art. 1</t>
  </si>
  <si>
    <t>15 offizielle Tage. IT amtlich, DE/FR Produktübersetzungen. Acht RG-Namen provisorisch ergänzt, keine amtliche TI-Sprachfassung. Kein gesonderter Fassungsstand, Inkrafttreten 09.02.2010.</t>
  </si>
  <si>
    <t>SRC-TI-LALL-843100</t>
  </si>
  <si>
    <t>Legge di applicazione della legge federale sul lavoro, LALL</t>
  </si>
  <si>
    <t>RL 843.100, Art. 6 lit. a und b</t>
  </si>
  <si>
    <t>Arbeitsrechtliche Gruppen 9/6 separat. Alle 15 bleiben offiziell. Kein Ausschluss der sechs Tage aus LPAmm. Kein gesonderter Fassungsstand ausgewiesen, Inkrafttreten 01.06.2011.</t>
  </si>
  <si>
    <t>https://m3.ti.ch/CAN/RLeggi/public/index.php/raccolta-leggi/legge/num/569</t>
  </si>
  <si>
    <t>SRC-TI-LPAMM-165100-20250601</t>
  </si>
  <si>
    <t>Legge sulla procedura amministrativa, LPAmm</t>
  </si>
  <si>
    <t>RL 165.100, Art. 1 und Art. 13 Abs. 3</t>
  </si>
  <si>
    <t>Art. 13 Abs. 3 erfasst offiziell anerkannte Feiertage. Sonderrecht Art. 1 Abs. 2 und Ausschluss von Titel II nach Art. 1 Abs. 3 bleiben vorbehalten.</t>
  </si>
  <si>
    <t>https://www3.ti.ch/CAN/RLeggi/public/index.php/raccolta-leggi/legge/num/151</t>
  </si>
  <si>
    <t>Gesetz über die öffentlichen Ruhetage, Ruhetagsgesetz</t>
  </si>
  <si>
    <t>BR 520.100, Art. 2–4</t>
  </si>
  <si>
    <t>DE amtlich. IT/RM separat belegt, FR Produktübersetzung. Art. 2 Abs. 2: hohe Tage samt drei benannten Sonntagen. Bundesfeier aus Bundesregel, lokale Ruhetage nicht erfasst.</t>
  </si>
  <si>
    <t>SRC-GR-VRG-370100-V3521</t>
  </si>
  <si>
    <t>Gesetz über die Verwaltungsrechtspflege, VRG</t>
  </si>
  <si>
    <t>BR 370.100, Art. 1, 2 und 7 Abs. 2, Version 3521</t>
  </si>
  <si>
    <t>Bestätigte Projektannahme nur für Art.-1-VRG-Kontext vor kantonalen Behörden: zusätzliche lokale Ruhetage werden nicht erhoben. Art. 7 Abs. 2 schliesst sie nicht ausdrücklich aus. Örtliche Fristenwirkung bleibt OF-008, keine automatische Berechenbarkeit.</t>
  </si>
  <si>
    <t>https://www.gr-lex.gr.ch/api/de/versions/3521/pdf_file</t>
  </si>
  <si>
    <t>SRC-GR-RUHETAGE-520100-IT-V2604</t>
  </si>
  <si>
    <t>Legge sui giorni di riposo pubblici, amtliche italienische Sprachfassung</t>
  </si>
  <si>
    <t>BR 520.100, Art. 2, Version 2604, IT</t>
  </si>
  <si>
    <t>Sprachbeleg IT: unter anderem Domenica di Pasqua, Domenica di Pentecoste und Festa federale di preghiera. Keine zusätzliche Rechtswirkung durch Sprachübernahme.</t>
  </si>
  <si>
    <t>https://www.gr-lex.gr.ch/app/it/texts_of_law/520.100/versions/2604</t>
  </si>
  <si>
    <t>SRC-GR-RUHETAGE-520100-RM-V2604</t>
  </si>
  <si>
    <t>Lescha davart ils dis da paus publics, amtliche rätoromanische Sprachfassung</t>
  </si>
  <si>
    <t>BR 520.100, Art. 2, Version 2604, RM</t>
  </si>
  <si>
    <t>Amtliche RG-Namen. Anzeige teilweise ohne Satzartikel und mit grossem Anfangsbuchstaben. Gemeinsame TI-Namen übernehmen nur diesen Sprachbeleg, nicht GR-Recht.</t>
  </si>
  <si>
    <t>https://www.gr-lex.gr.ch/api/rm/versions/2604/pdf_file</t>
  </si>
  <si>
    <t>SRC-GR-VRG-370100-RM-V3521</t>
  </si>
  <si>
    <t>Lescha davart la giurisdicziun administrativa, rätoromanischer Namensbeleg</t>
  </si>
  <si>
    <t>BR 370.100, Präambel, Version 3521, RM</t>
  </si>
  <si>
    <t>Amtlicher Beleg des Kantonsnamens Grischun. Eigenständiger Sprachbeleg, keine zusätzliche Freigabe der Verfahrenszuordnung.</t>
  </si>
  <si>
    <t>https://www.gr-lex.gr.ch/api/rm/versions/3521/pdf_file</t>
  </si>
  <si>
    <t>SRC-TI-UIL-FEIERTAGE-2026-2027</t>
  </si>
  <si>
    <t>Giorni festivi in Ticino, amtlicher UIL-Kalender 2026/2027</t>
  </si>
  <si>
    <t>Amtliche Informationsseite und Jahreslisten 2026/2027</t>
  </si>
  <si>
    <t>Datumskontrolle 2026/2027. Die Ausprägung 2028 ist regelbasiert abgeleitet, keine behauptete amtliche Jahresliste 2028.</t>
  </si>
  <si>
    <t>https://www4.ti.ch/dfe/de/uil/legge-lavoro/giorni-festivi-in-ticino-1</t>
  </si>
  <si>
    <t>SRC-CH-PARL-BUNDESFEIER-RM-2026</t>
  </si>
  <si>
    <t>Parlamentsagenda, Bundesfeier 2026, rätoromanischer Sprachbeleg</t>
  </si>
  <si>
    <t>Agendaeintrag: festa naziunala svizra</t>
  </si>
  <si>
    <t>Nur Sprachbeleg für Festa naziunala svizra. Der Veranstaltungsbezug 2026 ist kein Normstand. Rechtsgrundlage bleibt die bestehende Bundesquelle.</t>
  </si>
  <si>
    <t>https://www.parlament.ch/agenda/Pages/agenda-1-august-2026.aspx?lang=1047</t>
  </si>
  <si>
    <t>SRC-TI-KANTONSNAME-RM</t>
  </si>
  <si>
    <t>Kanton Tessin, Föderalismusdarstellung in Rumantsch Grischun</t>
  </si>
  <si>
    <t>Infurmaziuns generalas: chantun Tessin</t>
  </si>
  <si>
    <t>Amtlicher Beleg des Kantonsnamens Tessin. Undatierte Webseite, nur Namensbeleg, keine Feiertagsnorm.</t>
  </si>
  <si>
    <t>https://www4.ti.ch/generale/foederalismus11/rumantsch/foederalismus/preschentaziun</t>
  </si>
  <si>
    <t>SRC-VS-RUHE-8222-20130301</t>
  </si>
  <si>
    <t>Gesetz über die Ruhe an Sonn- und Feiertagen</t>
  </si>
  <si>
    <t>SGS 822.2, Art. 1 und 2</t>
  </si>
  <si>
    <t>Kantonales Ruhegesetz. Gebotene Feiertage über Diözese und Reglement bestimmt. Keine Personalurlaubsliste und keine universelle Prozesszuordnung.</t>
  </si>
  <si>
    <t>Ausführungsreglement zur Sonn- und Feiertagsruhe / Règlement d’exécution</t>
  </si>
  <si>
    <t>SGS 822.200, Art. 1</t>
  </si>
  <si>
    <t>Acht namentliche Tage erhoben. Das französische notamment wird nicht als abschliessende diözesane Feiertagsvollerhebung umgedeutet. Bundesfeier separat aus SR 116. IT/RM nur provisorische gemeinsame Produktnamen.</t>
  </si>
  <si>
    <t>https://lex.vs.ch/api/fr/versions/2108/pdf_file</t>
  </si>
  <si>
    <t>SRC-VS-VEKARG-822100-20161001</t>
  </si>
  <si>
    <t>Verordnung zum kantonalen Arbeitsgesetz, VEkArG</t>
  </si>
  <si>
    <t>SGS 822.100, Art. 7 Abs. 1</t>
  </si>
  <si>
    <t>Acht kantonale Sonntagsgleichstellungen im Sinne von Art. 20a ArG. Datumsgegenkontrolle der Grundliste, kein eigenständiger Nachweis der Prozesswirkung.</t>
  </si>
  <si>
    <t>https://lex.vs.ch/api/de/versions/2103/pdf_file</t>
  </si>
  <si>
    <t>Gesetz über die Rechtspflege, RPflG / Loi sur l’organisation de la Justice, LOJ</t>
  </si>
  <si>
    <t>SGS 173.1, Art. 37 Abs. 1 Bst. a–c</t>
  </si>
  <si>
    <t>Aktuelle Version 3260, Änderung beschlossen 07.09.2023. Vier zusätzliche Tage nach Bst. c getrennt erfasst. Behörden-/Verfahrensbezug und Bundesrechtsvorrang bleiben vor Automatik zu prüfen.</t>
  </si>
  <si>
    <t>https://lex.vs.ch/api/fr/versions/3260/pdf_file</t>
  </si>
  <si>
    <t>SRC-VS-PERSONALBEZUEGE-1724-20260501</t>
  </si>
  <si>
    <t>Loi fixant le traitement des employés de l’Etat du Valais</t>
  </si>
  <si>
    <t>SGS 172.4, Art. 1 und 29</t>
  </si>
  <si>
    <t>Nur Abgrenzungsbeleg aus dem Personalbesoldungsrecht. Karfreitag, Personalhalbtage und zusätzliche arbeitsfreie Tage werden nicht als allgemeine Feiertage oder Prozessergänzungen übernommen.</t>
  </si>
  <si>
    <t>https://lex.vs.ch/data/172.4/fr</t>
  </si>
  <si>
    <t>Loi sur les jours fériés, LJF</t>
  </si>
  <si>
    <t>RSG J 1 45, Art. 1 Abs. 1 und 2 sowie Fussnote a zu Bst. g</t>
  </si>
  <si>
    <t>Neun gesetzliche Feiertage. Sonntagsfolgetag nach Abs. 2 nur für nicht dem ArG unterstellte Unternehmen. Keine allgemeine Folgetagsautomatik. FR-Namen normnah, DE Produktnamen, IT/RM gemeinsame Namen nur provisorisch.</t>
  </si>
  <si>
    <t>SRC-GE-FEIERTAGE-INFO-20260429</t>
  </si>
  <si>
    <t>Jours fériés officiels, amtliche Jahresübersicht</t>
  </si>
  <si>
    <t>Jahreslisten 2026, 2027 und 2028, Informationsseite</t>
  </si>
  <si>
    <t>Datumskontrolle, kein Normfassungsdatum. Textliche Folgetagshinweise nicht über den begrenzten Anwendungsbereich von Art. 1 Abs. 2 LJF hinaus verallgemeinern.</t>
  </si>
  <si>
    <t>https://www.ge.ch/vacances-scolaires-jours-feries/jours-feries-officiels</t>
  </si>
  <si>
    <t>SRC-BGER-7B32-2023-20230906</t>
  </si>
  <si>
    <t>Bundesgericht, Urteil 7B_32/2023 vom 6. September 2023</t>
  </si>
  <si>
    <t>E. 4.3.2, 4.4 und 5.2</t>
  </si>
  <si>
    <t>Entscheiddatum, kein Normstand. Im vorgängigen Modellcheck amtlich abgeglichener Volltext. Erneuter Entscheidsuche-Abruf im Erfassungsteil toolseitig gesperrt. Konkreter StPO-Fall, kantonale Auslegung unter Willkürmassstab, keine Aussage zu sämtlichen Prozessordnungen.</t>
  </si>
  <si>
    <t>https://search.bger.ch/ext/eurospider/live/it/php/aza/http/index.php?highlight_docid=aza%3A%2F%2F06-09-2023-7B_32-2023&amp;lang=it&amp;type=show_document&amp;zoom=NO</t>
  </si>
  <si>
    <t>SRC-AP18B03-VSGE-KANTONSNAMEN-IT</t>
  </si>
  <si>
    <t>swisstopo, Scambio di geodati tra le autorità</t>
  </si>
  <si>
    <t>Liste der Kantone: Ginevra und Vallese</t>
  </si>
  <si>
    <t>Publikationsdatum der Informationsseite, kein Normstand. Amtlicher IT-Sprachbeleg ausschliesslich für die Kantonsnamen, keine Feiertags- oder Prozessgrundlage.</t>
  </si>
  <si>
    <t>https://www.swisstopo.admin.ch/it/scambio-di-geodati-tra-le-autorita</t>
  </si>
  <si>
    <t>SRC-AP18B03-VSGE-KANTONSNAMEN-RM</t>
  </si>
  <si>
    <t>Kanton Graubünden, Epocas en chartas geograficas</t>
  </si>
  <si>
    <t>Abschnitt 1814/1815: chantuns Genevra, Vallais e Neuchâtel</t>
  </si>
  <si>
    <t>Amtlicher RG-Sprachbeleg ausschliesslich für die Kantonsnamen Genevra und Vallais. Historische Kartendarstellung, kein Feiertagsrecht und kein normativer Fassungsstand.</t>
  </si>
  <si>
    <t>https://www.gr.ch/RM/chantun/175-Jahre/Seiten/Epochen-in-Karten.aspx</t>
  </si>
  <si>
    <t>Gesetz über die Beschäftigung und den Arbeitsmarkt, BAMG</t>
  </si>
  <si>
    <t>SGF 866.1.1, Art. 49 Abs. 1–5, Version 8126</t>
  </si>
  <si>
    <t>Erlass 06.10.2010. Geltende Fassung seit 01.01.2020. Vier gemeinsame und je vier regionale arbeitsrechtliche Tage. Bundesanwendung separat offen. Gebietsliste amtlicher Seite über geprüfte Quellenbeziehung. Sprachprüfung offen. Gemeinsame IT/RM-Namen aus dem geprüften TI/GR-Bestand nur als provisorische Produktnamen übernommen. Keine amtliche FR-/SO-Sprachfassung behauptet. Berchtold IT/RM und Scope-Übersetzungen sind eigene provisorische Vorschläge.</t>
  </si>
  <si>
    <t>SRC-FR-LEMT-866111-FR-V8126</t>
  </si>
  <si>
    <t>Loi sur l’emploi et le marché du travail, LEMT, französische Sprachfassung</t>
  </si>
  <si>
    <t>RSF 866.1.1, art. 49, version 8126, FR</t>
  </si>
  <si>
    <t>Amtlicher FR-Sprachabgleich. Produktanzeige normalisiert Schreibweisen. Lendemain du Nouvel-An und lendemain de Noël werden nicht als zusätzliche Tage erfasst.</t>
  </si>
  <si>
    <t>https://bdlf.fr.ch/api/fr/versions/8126/pdf_file</t>
  </si>
  <si>
    <t>Justizgesetz, JG</t>
  </si>
  <si>
    <t>SGF 130.1, Art. 121 Abs. 1–3, Version 7926</t>
  </si>
  <si>
    <t>Erlass 31.05.2010. Fassung seit 01.01.2024. Eigene kantonsweite Liste von 15 Tagen einschliesslich Ostern, Pfingsten und 1. August. Strafrechtliche Stundenfristen nach Abs. 3 ausgenommen. Keine pauschale Bundesverfahrensfreigabe. Sprachprüfung offen. Gemeinsame IT/RM-Namen aus dem geprüften TI/GR-Bestand nur als provisorische Produktnamen übernommen. Keine amtliche FR-/SO-Sprachfassung behauptet. Berchtold IT/RM und Scope-Übersetzungen sind eigene provisorische Vorschläge.</t>
  </si>
  <si>
    <t>https://bdlf.fr.ch/api/de/versions/7926/pdf_file</t>
  </si>
  <si>
    <t>SRC-FR-LJ-1301-FR-V7926</t>
  </si>
  <si>
    <t>Loi sur la justice, LJ, französische Sprachfassung</t>
  </si>
  <si>
    <t>RSF 130.1, art. 121, version 7926, FR</t>
  </si>
  <si>
    <t>Amtlicher FR-Sprachabgleich der eigenen Liste. Vier Feiertag-/Folgetagspaare plus sieben weitere Tage, zusammen 15. Kalendertagsnamen für numerisch genannte Daten sind Produktbezeichnungen.</t>
  </si>
  <si>
    <t>https://bdlf.fr.ch/api/fr/versions/7926/pdf_file</t>
  </si>
  <si>
    <t>Amt für den Arbeitsmarkt, Feiertage 2026 und regionale Gebietsliste</t>
  </si>
  <si>
    <t>Seitenänderung 06.07.2026, kein Normversionsdatum. Zehn Gemeinden und nur Flamatt/Sensebrügg in Wünnewil-Flamatt. Anwendungsbeleg zu Art. 49 BAMG, kein separat verifizierter Staatsratsbeschluss. 18 Datumswerte 2026 abgeglichen. Freiwillige arbeitsfreie Tage ausgeschlossen.</t>
  </si>
  <si>
    <t>https://www.fr.ch/de/arbeit-und-unternehmen/arbeitnehmer/feiertage</t>
  </si>
  <si>
    <t>Gesetz über die öffentlichen Ruhetage, Ruhetagsgesetz RTG</t>
  </si>
  <si>
    <t>BGS 512.41, § 1, § 2 Abs. 1 und 2, § 3, Version 4319</t>
  </si>
  <si>
    <t>Erlass 18.05.2014, seit 01.09.2014 geltend. Aktuelle Liste in § 2, nicht alter § 1. 1. Mai ab 12.00 Uhr. Drei Tage ausser Bezirk Bucheggberg. Kommunale Ruhetage nach § 2 Abs. 2 nicht erhoben. Sprachprüfung offen. Gemeinsame IT/RM-Namen aus dem geprüften TI/GR-Bestand nur als provisorische Produktnamen übernommen. Keine amtliche FR-/SO-Sprachfassung behauptet. Berchtold IT/RM und Scope-Übersetzungen sind eigene provisorische Vorschläge.</t>
  </si>
  <si>
    <t>SRC-SO-FRISTENKALENDER-2026</t>
  </si>
  <si>
    <t>Kanton Solothurn, gesetzliche Feiertage für die Berechnung rechtlicher Fristen 2026</t>
  </si>
  <si>
    <t>Jahresliste 2026 und Hinweis zum Bezirk Bucheggberg</t>
  </si>
  <si>
    <t>Aktuelle amtliche Informationsseite, ohne eigenen Normstand. Nennt 1. Mai ab 12.00 Uhr ausdrücklich im Fristenkontext. Keine Freigabe einer ganztägigen Verschiebung für alle Verfahren. Nicht als Arbeits-/Ladenöffnungskalender verwenden.</t>
  </si>
  <si>
    <t>https://so.ch/allgemeine-informationen/gesetzliche-feiertage/</t>
  </si>
  <si>
    <t>SRC-SO-BJ-FEIERTAGSVERZEICHNIS-20110101</t>
  </si>
  <si>
    <t>BJ-Verzeichnis gesetzlicher Feiertage, historische auf so.ch verlinkte Fassung</t>
  </si>
  <si>
    <t>Stand 01.01.2011, Solothurn, S. 15–16</t>
  </si>
  <si>
    <t>Historisch, nicht geltender RTG-Stand. Feiertage und gleichbehandelte Tage im Kontext des Europäischen Fristenübereinkommens unterscheiden. 1. Mai und regionale Gleichstellungen nicht als universelle heutige Freigabe übernehmen. Hinweise Stand 17.12.2012 begrenzen den Kontext.</t>
  </si>
  <si>
    <t>https://so.ch/fileadmin/internet/administrator/dokumente/Gesetzliche_Feiertage.pdf</t>
  </si>
  <si>
    <t>SRC-CH-ESTV-KANTONSNAMEN-IT-AP18B03</t>
  </si>
  <si>
    <t>ESTV, italienische Kantonsnamen</t>
  </si>
  <si>
    <t>Link alle autorità cantonali per l’imposta alla fonte</t>
  </si>
  <si>
    <t>Amtlicher Namensbeleg für Friburgo und Soletta. Undatierte Linkliste, keine Feiertagsnorm oder sprachliche Fachabnahme des Produkts.</t>
  </si>
  <si>
    <t>https://www.estv.admin.ch/it/imposta-alla-fonte-link-amministrazioni-cantonale</t>
  </si>
  <si>
    <t>SRC-CH-BK-KANTONSNAMEN-RM-2025-AP18B03</t>
  </si>
  <si>
    <t>Bundeskanzlei, La Confederaziun 2025, rätoromanische Kantonsnamen</t>
  </si>
  <si>
    <t>Ausgabe 2025, S. 8, Kantonskarte</t>
  </si>
  <si>
    <t>Amtlicher Namensbeleg Friburg und Soloturn. Publikationsjahr 2025, kein präzises Versionsdatum und keine Feiertagsnorm.</t>
  </si>
  <si>
    <t>https://www.bk.admin.ch/dam/bk/de/dokumente/komm-ue/Buku2025/BUKU_2025_RM.pdf.download.pdf/BUKU_2025_RM.pdf</t>
  </si>
  <si>
    <t>Sachliche und verfahrensrechtliche Zuordnung</t>
  </si>
  <si>
    <t>Ein arbeitsrechtlicher Feiertag ist nicht automatisch ein prozessualer Fristenverlängerungstag.</t>
  </si>
  <si>
    <t>Anwendungsbereich</t>
  </si>
  <si>
    <t>Wirkung / Grenze</t>
  </si>
  <si>
    <t>Norm / Referenz</t>
  </si>
  <si>
    <t>MAP-BE-PARITY</t>
  </si>
  <si>
    <t>MVP-0.3-Referenzprofile</t>
  </si>
  <si>
    <t>Bestehende Anknüpfung unverändert, keine neue Profilfreigabe</t>
  </si>
  <si>
    <t>Referenzrelease / jeweiliges Rechtsprofil</t>
  </si>
  <si>
    <t>MAP-CH-PARITY</t>
  </si>
  <si>
    <t>Nur Bundesfeiertag vererben, keine kantonale Vollständigkeit ableiten</t>
  </si>
  <si>
    <t>SR 116 Art. 1 / Referenzrelease</t>
  </si>
  <si>
    <t>MAP-AG-LABOUR</t>
  </si>
  <si>
    <t>Arbeitsrecht, nicht pauschal Fristenrecht</t>
  </si>
  <si>
    <t>Keine automatische Übernahme in Fristenrechner</t>
  </si>
  <si>
    <t>SAR 961.200 § 6 Abs. 1 Bst. b</t>
  </si>
  <si>
    <t>blocked</t>
  </si>
  <si>
    <t>MAP-AG-ZPO</t>
  </si>
  <si>
    <t>Art. 142 Abs. 3 ZPO / § 21 Abs. 1 EG ZPO</t>
  </si>
  <si>
    <t>Orts-/Profilanknüpfung und Freigabe offen</t>
  </si>
  <si>
    <t>SAR 221.200 § 21 Abs. 1 / Art. 142 Abs. 3 ZPO</t>
  </si>
  <si>
    <t>MAP-AP18B-AG-A</t>
  </si>
  <si>
    <t>SAR 961.200 § 6 Abs. 1 Bst. a</t>
  </si>
  <si>
    <t>MAP-AP18B-AG-B1</t>
  </si>
  <si>
    <t>SAR 961.200 § 6 Abs. 1 Bst. b Ziff. 1</t>
  </si>
  <si>
    <t>MAP-AP18B-AG-C</t>
  </si>
  <si>
    <t>SAR 961.200 § 6 Abs. 1 Bst. c</t>
  </si>
  <si>
    <t>MAP-AP18B-AG-D</t>
  </si>
  <si>
    <t>SAR 961.200 § 6 Abs. 1 Bst. d</t>
  </si>
  <si>
    <t>MAP-AP18B-AG-E1</t>
  </si>
  <si>
    <t>SAR 961.200 § 6 Abs. 1 Bst. e Ziff. 1</t>
  </si>
  <si>
    <t>MAP-AP18B-AG-E2</t>
  </si>
  <si>
    <t>SAR 961.200 § 6 Abs. 1 Bst. e Ziff. 2</t>
  </si>
  <si>
    <t>MAP-AP18B-AG-F</t>
  </si>
  <si>
    <t>SAR 961.200 § 6 Abs. 1 Bst. f</t>
  </si>
  <si>
    <t>MAP-TI-LPAMM-ART13</t>
  </si>
  <si>
    <t>LPAmm Art. 13 Abs. 3 im Anwendungsbereich von Art. 1</t>
  </si>
  <si>
    <t>Alle 15 offiziellen Tage. Sonderrecht nach Art. 1 Abs. 2 und Ausschluss von Titel II nach Art. 1 Abs. 3 vorbehalten. Orts-/Profilanknüpfung und Freigabe offen.</t>
  </si>
  <si>
    <t>RL 165.100 Art. 1 und 13 Abs. 3 / RL 843.200 Art. 1</t>
  </si>
  <si>
    <t>MAP-TI-LALL-A</t>
  </si>
  <si>
    <t>LALL Art. 6 lit. a, neun sonntagsgleiche Tage</t>
  </si>
  <si>
    <t>Neujahr, Dreikönige, Ostermontag, Auffahrt, Bundesfeier, Mariä Himmelfahrt, Allerheiligen, Weihnachten, Stephanstag. Arbeitsrechtliche Einteilung, kein Filter für LPAmm.</t>
  </si>
  <si>
    <t>RL 843.100 Art. 6 lit. a</t>
  </si>
  <si>
    <t>MAP-TI-LALL-B</t>
  </si>
  <si>
    <t>LALL Art. 6 lit. b, sechs weitere offizielle Tage</t>
  </si>
  <si>
    <t>Josefstag, 1. Mai, Pfingstmontag, Fronleichnam, Peter und Paul, Mariä Empfängnis. Weiterhin offiziell und im LPAmm-Anwendungsbereich zu berücksichtigen.</t>
  </si>
  <si>
    <t>RL 843.100 Art. 6 lit. b / RL 165.100 Art. 13 Abs. 3</t>
  </si>
  <si>
    <t>MAP-TI-OTHER-PROCESS</t>
  </si>
  <si>
    <t>Andere Verfahren, Sonderrecht und ausgenommene Erstinstanzverfahren</t>
  </si>
  <si>
    <t>Keine pauschale Übertragung. Art. 1 Abs. 3 LPAmm nimmt bestimmte formlos durch sofort vollstreckbare Entscheide erledigte Erstinstanzverfahren von Titel II aus.</t>
  </si>
  <si>
    <t>RL 165.100 Art. 1 Abs. 2 und 3</t>
  </si>
  <si>
    <t>MAP-GR-VRG-ART1</t>
  </si>
  <si>
    <t>VRG Art. 1, kantonale Behörden einschliesslich gleichgestellter Privater nach Abs. 3</t>
  </si>
  <si>
    <t>BR 370.100 Art. 1 Abs. 1–3 und Art. 7 Abs. 2 / BR 520.100 Art. 2 und 3</t>
  </si>
  <si>
    <t>MAP-GR-VRG-ART2</t>
  </si>
  <si>
    <t>VRG Art. 2, Regional- und Gemeindebehörden</t>
  </si>
  <si>
    <t>Aus dem bestätigten Modellkontext ausgeschlossen. Keine Ableitung einer Fristberechenbarkeit aus der kantonalen Grundliste.</t>
  </si>
  <si>
    <t>BR 370.100 Art. 2</t>
  </si>
  <si>
    <t>MAP-GR-OTHER-PROCESS</t>
  </si>
  <si>
    <t>StPO, ZPO, BGG, SchKG, ATSG und andere Spezialverfahren</t>
  </si>
  <si>
    <t>Keine Übertragung der VRG-Projektannahme. Gesetzlicher Ortsbezug, allfällige lokale Ruhetage und Sonderrecht gesondert prüfen. OF-008 bleibt offen.</t>
  </si>
  <si>
    <t>BR 370.100 Art. 1 Abs. 2 / BR 520.100 Art. 3</t>
  </si>
  <si>
    <t>MAP-VS-RUHE-GRUNDLISTE</t>
  </si>
  <si>
    <t>Ruhegesetz und namentliche Reglementstage</t>
  </si>
  <si>
    <t>Grundliste, keine Vollerhebung weiterer kirchlich bestimmter gebotener Tage. Allgemeine Sonntagsruhe bleibt von den einzelnen Jahresregeln getrennt.</t>
  </si>
  <si>
    <t>SGS 822.2 Art. 1 / SGS 822.200 Art. 1 / SR 116 Art. 1</t>
  </si>
  <si>
    <t>MAP-VS-VEKARG</t>
  </si>
  <si>
    <t>Sonntagsgleichstellung nach Art. 20a ArG</t>
  </si>
  <si>
    <t>Acht Tage nach Art. 7 VEkArG, Bundesfeier aus Bundesrecht. Arbeitsrechtliche Klassifikation, keine pauschale Fristenwirkung.</t>
  </si>
  <si>
    <t>SGS 822.100 Art. 7 Abs. 1 / Art. 20a ArG</t>
  </si>
  <si>
    <t>MAP-VS-RPFLG-GRUNDLISTE</t>
  </si>
  <si>
    <t>Art. 37 Abs. 1 Bst. a und b RPflG</t>
  </si>
  <si>
    <t>Gesetzliche oder behördliche Fristen im gesetzlichen Behördenkontext. Erst zusammen mit VS-LOJ-ADDITIONAL lesen. Konkrete Verfahrens- und Ortsanknüpfung sowie Bundesrechtsvorrang vor Automatik prüfen.</t>
  </si>
  <si>
    <t>SGS 173.1 Art. 37 Abs. 1 Bst. a und b</t>
  </si>
  <si>
    <t>MAP-VS-RPFLG-ERGAENZUNG</t>
  </si>
  <si>
    <t>Art. 37 Abs. 1 Bst. c RPflG, vier zusätzliche Tage</t>
  </si>
  <si>
    <t>2. Januar, Oster- und Pfingstmontag, 26. Dezember. Ergänzt VS-PUBLIC-ALL, ersetzt die Grundliste nicht. Keine selbsttätige Übertragung auf StPO, ZPO, BGG, SchKG, ATSG oder weitere Spezialverfahren.</t>
  </si>
  <si>
    <t>SGS 173.1 Art. 37 Abs. 1 Bst. c</t>
  </si>
  <si>
    <t>MAP-VS-PERSONAL-AUSSCHLUSS</t>
  </si>
  <si>
    <t>Personalbesoldungsrecht und Verwaltungsschliesszeiten</t>
  </si>
  <si>
    <t>Art. 29 SGS 172.4 ist nur Abgrenzungsbeleg. Karfreitag, Personalhalbtage und zusätzlich gewährte freie Tage sind nicht Teil dieser Grundliste. Andere ausdrückliche Prozessgrundlagen bleiben gesondert zu prüfen.</t>
  </si>
  <si>
    <t>SGS 172.4 Art. 1 und 29 / SGS 173.1 Art. 37</t>
  </si>
  <si>
    <t>MAP-GE-LJF-GRUNDLISTE</t>
  </si>
  <si>
    <t>Gesetzliche Feiertage nach Art. 1 Abs. 1 LJF</t>
  </si>
  <si>
    <t>Neun Tage, einschliesslich Genfer Bettag und 31. Dezember. Rechtsordnungsspezifische Anknüpfung und Ortsbezug vor einer Fristenprofilfreigabe separat prüfen.</t>
  </si>
  <si>
    <t>RSG J 1 45 Art. 1 Abs. 1 und Fussnote a</t>
  </si>
  <si>
    <t>MAP-GE-LJF-SONNTAGSFOLGETAG</t>
  </si>
  <si>
    <t>Art. 1 Abs. 2 LJF, ausschliesslich nicht ArG-unterstellte Unternehmen</t>
  </si>
  <si>
    <t>Keine generelle Montagsverschiebung. BGer 7B_32/2023 E. 4.3.2, 4.4 und 5.2 bestätigte im konkreten Strafverfahren den Fristablauf am 02.01.2023 trotz geschlossener Gerichtskanzlei. Kantonale Auslegung unter Willkürmassstab, keine Vollprüfung aller Prozessordnungen.</t>
  </si>
  <si>
    <t>RSG J 1 45 Art. 1 Abs. 2 / BGer 7B_32/2023 vom 06.09.2023</t>
  </si>
  <si>
    <t>MAP-GE-SCHLIESSZEITEN</t>
  </si>
  <si>
    <t>Personalurlaub, Schliesszeiten und Spezialverfahren</t>
  </si>
  <si>
    <t>Keine Übernahme von Verwaltungs- oder Gerichtsschliessungen als zusätzliche Feiertage. Keine Folgetagsregeln aus einem Personalkalender oder aus einem allgemeinen Webseitenhinweis ableiten.</t>
  </si>
  <si>
    <t>RSG J 1 45 Art. 1 / BGer 7B_32/2023 E. 5.2</t>
  </si>
  <si>
    <t>MAP-FR-BAMG-CATHOLIC-LABOUR</t>
  </si>
  <si>
    <t>BAMG Art. 49, arbeitsrechtliche Sonntagsgleichstellung</t>
  </si>
  <si>
    <t>Geschäftssitz/Zweigniederlassung bestimmt die Gebietsanknüpfung. Keine persönliche Konfessionswahl. Keine automatische Fristenwirkung, auch nicht aus der gesonderten offenen Bundesanwendung.</t>
  </si>
  <si>
    <t>SGF 866.1.1 Art. 49 / SR 116 Art. 1</t>
  </si>
  <si>
    <t>MAP-FR-BAMG-REFORMED-LABOUR</t>
  </si>
  <si>
    <t>MAP-FR-JG-ART121</t>
  </si>
  <si>
    <t>JG Art. 121, kantonale Verfahren im gesetzlichen Anwendungsbereich</t>
  </si>
  <si>
    <t>Eigene kantonsweite Liste mit 15 Tagen. Keine Vererbung der BAMG-Gebiete. Konkrete Verfahrensanknüpfung und Fachabnahme bleiben offen.</t>
  </si>
  <si>
    <t>SGF 130.1 Art. 121 Abs. 1 und 2</t>
  </si>
  <si>
    <t>MAP-FR-JG-HOURS</t>
  </si>
  <si>
    <t>Strafverfahren mit in Stunden gesetzten Fristen</t>
  </si>
  <si>
    <t>Abs. 1 ist hier nach Abs. 3 nicht anwendbar. Kein Stundenrechner und keine Fristverschiebung aktiviert.</t>
  </si>
  <si>
    <t>SGF 130.1 Art. 121 Abs. 3</t>
  </si>
  <si>
    <t>MAP-FR-JG-OTHER</t>
  </si>
  <si>
    <t>Bundesrechtliche und andere besondere Verfahrensprofile</t>
  </si>
  <si>
    <t>ZPO, StPO, BGG, SchKG, ATSG und Sonderrecht erhalten durch die Kantonswahl keine pauschale Zuordnung. Anwendbarkeit und gesetzlicher Ortsbezug getrennt prüfen.</t>
  </si>
  <si>
    <t>SGF 130.1 Art. 121 / jeweiliges Verfahrensrecht</t>
  </si>
  <si>
    <t>MAP-SO-RTG-EXCEPT-BUCHEGGBERG-REST</t>
  </si>
  <si>
    <t>RTG, Schutz der öffentlichen Ruhe</t>
  </si>
  <si>
    <t>Hohe Feiertage sind Karfreitag, Ostern, Pfingsten und Weihnachten. Benannte Sonntage bleiben eine Regel pro Profil. 1. Mai nur ab 12.00 Uhr. Keine allgemeine Arbeits- oder Fristenprofilfreigabe.</t>
  </si>
  <si>
    <t>BGS 512.41 § 1–3 / SR 116 Art. 1</t>
  </si>
  <si>
    <t>MAP-SO-RTG-EXCEPT-BUCHEGGBERG-DEADLINE</t>
  </si>
  <si>
    <t>Amtlicher SO-Fristenkalender, Profilprüfung offen</t>
  </si>
  <si>
    <t>Amtliche Seite nennt 1. Mai ab 12.00 Uhr im Fristenkontext. Umfang einer Fristverschiebung und allfällige Bucheggberg-Gleichstellungen separat klären. BJ-Liste 2011 ist historisch und übereinkommensbezogen, keine universelle Ganztagsfreigabe.</t>
  </si>
  <si>
    <t>SO-Informationsseite 2026 / historisches BJ-Verzeichnis S. 15–16 und Hinweise 17.12.2012</t>
  </si>
  <si>
    <t>MAP-SO-RTG-EXCEPT-BUCHEGGBERG-MUNICIPAL</t>
  </si>
  <si>
    <t>Kommunale Ruhetage nach kantonaler Ermächtigung</t>
  </si>
  <si>
    <t>§ 2 Abs. 2 ermächtigt Gemeinden zu zusätzlichen Ruhetagen. Diese kommunalen Normen sind ausserhalb des bestätigten Erhebungsscope und werden nicht erzeugt. Keine Behauptung ihres rechtlichen Ausschlusses in sämtlichen Verfahren.</t>
  </si>
  <si>
    <t>BGS 512.41 § 2 Abs. 2</t>
  </si>
  <si>
    <t>MAP-SO-RTG-BUCHEGGBERG-REST</t>
  </si>
  <si>
    <t>MAP-SO-RTG-BUCHEGGBERG-DEADLINE</t>
  </si>
  <si>
    <t>MAP-SO-RTG-BUCHEGGBERG-MUNICIPAL</t>
  </si>
  <si>
    <t>Quellenprüfung nach AP13</t>
  </si>
  <si>
    <t>Vorbereitete Prüfnotizen, keine Erweiterung des freigegebenen append-only-Protokolls.</t>
  </si>
  <si>
    <t>Prüf-ID</t>
  </si>
  <si>
    <t>Auslöser</t>
  </si>
  <si>
    <t>Ergebnis</t>
  </si>
  <si>
    <t>Vergleichsbasis</t>
  </si>
  <si>
    <t>Befund</t>
  </si>
  <si>
    <t>Ereignisstatus</t>
  </si>
  <si>
    <t>Fachverantwortung</t>
  </si>
  <si>
    <t>Arbeitsinstrument</t>
  </si>
  <si>
    <t>Nächster Schritt</t>
  </si>
  <si>
    <t>AP18A-20260913-CH</t>
  </si>
  <si>
    <t>newScope</t>
  </si>
  <si>
    <t>unchanged</t>
  </si>
  <si>
    <t>Art. 1 und aktuelle Fassung im Original verglichen</t>
  </si>
  <si>
    <t>candidate</t>
  </si>
  <si>
    <t>David Steimer</t>
  </si>
  <si>
    <t>Codex</t>
  </si>
  <si>
    <t>Prüfereignis fachlich abnehmen</t>
  </si>
  <si>
    <t>AP18A-20260913-BE</t>
  </si>
  <si>
    <t>Art. 2 und aktuelle Fassung im Original verglichen</t>
  </si>
  <si>
    <t>AP18A-20260913-AG</t>
  </si>
  <si>
    <t>unclear</t>
  </si>
  <si>
    <t>Regionale Arbeitsfeiertage sind kein generischer Fristenkalender</t>
  </si>
  <si>
    <t>AG-Fristenanknüpfung separat prüfen</t>
  </si>
  <si>
    <t>AP18A-20260913-AG-ZPO</t>
  </si>
  <si>
    <t>Prozessuale Liste getrennt von regionalem Arbeitsrecht führen</t>
  </si>
  <si>
    <t>Anwendungsbereich und Quellenstand abnehmen</t>
  </si>
  <si>
    <t>AP18B-AG-EGARR-20260913</t>
  </si>
  <si>
    <t>Normtext gegenüber AP18A unverändert. Acht Normzweige von § 6 Abs. 1 jetzt vollständig erfasst</t>
  </si>
  <si>
    <t>Vollständigen Erfassungsumfang und räumliche Zuordnungen fachlich abnehmen</t>
  </si>
  <si>
    <t>AP18B-AG-EGZPO-20260913</t>
  </si>
  <si>
    <t>Normtext gegenüber AP18A unverändert. Liste der 14 Tage von § 21 Abs. 1 jetzt vollständig erfasst</t>
  </si>
  <si>
    <t>Vollständigen Erfassungsumfang sowie Orts-/Profilanknüpfung fachlich abnehmen</t>
  </si>
  <si>
    <t>AP18B-AG-AWA-20260913</t>
  </si>
  <si>
    <t>Acht Normzweige gegen undatierte AWA-Übersicht abgeglichen, Quellenprüfung als Kandidat</t>
  </si>
  <si>
    <t>Fachabnahme des vollständigen AG-Erfassungsstands und Verfahrensanknüpfung offen</t>
  </si>
  <si>
    <t>AP18B-TI-GR-01-20260913</t>
  </si>
  <si>
    <t>15 offizielle Tage. IT amtlich, DE/FR Produktübersetzungen. Acht RG-Namen auf Nutzerwunsch provisorisch ergänzt. Sprachbelege separat dokumentiert, keine amtliche TI-Sprachfassung. Rechtsprüfung und Fachstatus unverändert.</t>
  </si>
  <si>
    <t>Fachabnahme der Erhebung offen. Sprachbeleg ersetzt keine Verfahrensfreigabe.</t>
  </si>
  <si>
    <t>AP18B-TI-GR-02-20260913</t>
  </si>
  <si>
    <t>Arbeitsrechtliche Gruppen 9/6 separat. Alle 15 bleiben offiziell. Kein Ausschluss der sechs Tage aus LPAmm. Kein gesonderter Fassungsstand ausgewiesen, Inkrafttreten 01.06.2011. Erstaufnahme als Prüfgrundlage, kein behaupteter Vergleich mit früherem freigegebenem TI-/GR-Stand.</t>
  </si>
  <si>
    <t>AP18B-TI-GR-03-20260913</t>
  </si>
  <si>
    <t>Art. 13 Abs. 3 erfasst offiziell anerkannte Feiertage. Sonderrecht Art. 1 Abs. 2 und Ausschluss von Titel II nach Art. 1 Abs. 3 bleiben vorbehalten. Erstaufnahme als Prüfgrundlage, kein behaupteter Vergleich mit früherem freigegebenem TI-/GR-Stand.</t>
  </si>
  <si>
    <t>AP18B-TI-GR-04-20260913</t>
  </si>
  <si>
    <t>DE amtlich. IT/RM separat belegt, FR Produktübersetzung. Art. 2 Abs. 2: hohe Tage samt drei benannten Sonntagen. Bundesfeier aus Bundesregel, lokale Ruhetage nicht erfasst. Erstaufnahme als Prüfgrundlage, kein behaupteter Vergleich mit früherem freigegebenem TI-/GR-Stand.</t>
  </si>
  <si>
    <t>AP18B-TI-GR-05-20260913</t>
  </si>
  <si>
    <t>Bestätigte Projektannahme nur für Art.-1-VRG-Kontext vor kantonalen Behörden: zusätzliche lokale Ruhetage werden nicht erhoben. Art. 7 Abs. 2 schliesst sie nicht ausdrücklich aus. Örtliche Fristenwirkung bleibt OF-008, keine automatische Berechenbarkeit. Erstaufnahme als Prüfgrundlage, kein behaupteter Vergleich mit früherem freigegebenem TI-/GR-Stand.</t>
  </si>
  <si>
    <t>AP18B-TI-GR-06-20260913</t>
  </si>
  <si>
    <t>Sprachbeleg IT: unter anderem Domenica di Pasqua, Domenica di Pentecoste und Festa federale di preghiera. Keine zusätzliche Rechtswirkung durch Sprachübernahme. Erstaufnahme als Prüfgrundlage, kein behaupteter Vergleich mit früherem freigegebenem TI-/GR-Stand.</t>
  </si>
  <si>
    <t>AP18B-TI-GR-07-20260913</t>
  </si>
  <si>
    <t>Amtliche RG-Namen. Anzeige teilweise ohne Satzartikel und mit grossem Anfangsbuchstaben. Gemeinsame TI-Namen übernehmen nur diesen Sprachbeleg, nicht GR-Recht. Erstaufnahme als Prüfgrundlage, kein behaupteter Vergleich mit früherem freigegebenem TI-/GR-Stand.</t>
  </si>
  <si>
    <t>AP18B-TI-GR-08-20260913</t>
  </si>
  <si>
    <t>Amtlicher Beleg des Kantonsnamens Grischun. Eigenständiger Sprachbeleg, keine zusätzliche Freigabe der Verfahrenszuordnung. Erstaufnahme als Prüfgrundlage, kein behaupteter Vergleich mit früherem freigegebenem TI-/GR-Stand.</t>
  </si>
  <si>
    <t>AP18B-TI-GR-09-20260913</t>
  </si>
  <si>
    <t>Datumskontrolle 2026/2027. Die Ausprägung 2028 ist regelbasiert abgeleitet, keine behauptete amtliche Jahresliste 2028. Erstaufnahme als Prüfgrundlage, kein behaupteter Vergleich mit früherem freigegebenem TI-/GR-Stand.</t>
  </si>
  <si>
    <t>AP18B-TI-GR-10-20260913</t>
  </si>
  <si>
    <t>Nur Sprachbeleg für Festa naziunala svizra. Der Veranstaltungsbezug 2026 ist kein Normstand. Rechtsgrundlage bleibt die bestehende Bundesquelle. Erstaufnahme als Prüfgrundlage, kein behaupteter Vergleich mit früherem freigegebenem TI-/GR-Stand.</t>
  </si>
  <si>
    <t>AP18B-TI-GR-11-20260913</t>
  </si>
  <si>
    <t>Amtlicher Beleg des Kantonsnamens Tessin. Undatierte Webseite, nur Namensbeleg, keine Feiertagsnorm. Erstaufnahme als Prüfgrundlage, kein behaupteter Vergleich mit früherem freigegebenem TI-/GR-Stand.</t>
  </si>
  <si>
    <t>AP18B-VS-GE-01-20260913</t>
  </si>
  <si>
    <t>Kantonales Ruhegesetz. Gebotene Feiertage über Diözese und Reglement bestimmt. Keine Personalurlaubsliste und keine universelle Prozesszuordnung. Erstaufnahme in diesen Quellenbatch, kein behaupteter Vorher-Nachher-Normvergleich.</t>
  </si>
  <si>
    <t>Fachabnahme, Quellenabgrenzung und konkrete Verfahrenszuordnung offen. Keine Runtime-Freigabe.</t>
  </si>
  <si>
    <t>AP18B-VS-GE-02-20260913</t>
  </si>
  <si>
    <t>Acht namentliche Tage erhoben. Das französische notamment wird nicht als abschliessende diözesane Feiertagsvollerhebung umgedeutet. Bundesfeier separat aus SR 116. IT/RM nur provisorische gemeinsame Produktnamen. Erstaufnahme in diesen Quellenbatch, kein behaupteter Vorher-Nachher-Normvergleich.</t>
  </si>
  <si>
    <t>AP18B-VS-GE-03-20260913</t>
  </si>
  <si>
    <t>Acht kantonale Sonntagsgleichstellungen im Sinne von Art. 20a ArG. Datumsgegenkontrolle der Grundliste, kein eigenständiger Nachweis der Prozesswirkung. Erstaufnahme in diesen Quellenbatch, kein behaupteter Vorher-Nachher-Normvergleich.</t>
  </si>
  <si>
    <t>AP18B-VS-GE-04-20260913</t>
  </si>
  <si>
    <t>Aktuelle Version 3260, Änderung beschlossen 07.09.2023. Vier zusätzliche Tage nach Bst. c getrennt erfasst. Behörden-/Verfahrensbezug und Bundesrechtsvorrang bleiben vor Automatik zu prüfen. Erstaufnahme in diesen Quellenbatch, kein behaupteter Vorher-Nachher-Normvergleich.</t>
  </si>
  <si>
    <t>AP18B-VS-GE-05-20260913</t>
  </si>
  <si>
    <t>Nur Abgrenzungsbeleg aus dem Personalbesoldungsrecht. Karfreitag, Personalhalbtage und zusätzliche arbeitsfreie Tage werden nicht als allgemeine Feiertage oder Prozessergänzungen übernommen. Erstaufnahme in diesen Quellenbatch, kein behaupteter Vorher-Nachher-Normvergleich.</t>
  </si>
  <si>
    <t>AP18B-VS-GE-06-20260913</t>
  </si>
  <si>
    <t>Neun gesetzliche Feiertage. Sonntagsfolgetag nach Abs. 2 nur für nicht dem ArG unterstellte Unternehmen. Keine allgemeine Folgetagsautomatik. FR-Namen normnah, DE Produktnamen, IT/RM gemeinsame Namen nur provisorisch. Erstaufnahme in diesen Quellenbatch, kein behaupteter Vorher-Nachher-Normvergleich.</t>
  </si>
  <si>
    <t>AP18B-VS-GE-07-20260913</t>
  </si>
  <si>
    <t>Datumskontrolle, kein Normfassungsdatum. Textliche Folgetagshinweise nicht über den begrenzten Anwendungsbereich von Art. 1 Abs. 2 LJF hinaus verallgemeinern. Erstaufnahme in diesen Quellenbatch, kein behaupteter Vorher-Nachher-Normvergleich.</t>
  </si>
  <si>
    <t>AP18B-VS-GE-08-20260913</t>
  </si>
  <si>
    <t>Entscheiddatum, kein Normstand. Im vorgängigen Modellcheck amtlich abgeglichener Volltext. Erneuter Entscheidsuche-Abruf im Erfassungsteil toolseitig gesperrt. Konkreter StPO-Fall, kantonale Auslegung unter Willkürmassstab, keine Aussage zu sämtlichen Prozessordnungen. Erstaufnahme in diesen Quellenbatch, kein behaupteter Vorher-Nachher-Normvergleich.</t>
  </si>
  <si>
    <t>AP18B-VS-GE-09-20260913</t>
  </si>
  <si>
    <t>Publikationsdatum der Informationsseite, kein Normstand. Amtlicher IT-Sprachbeleg ausschliesslich für die Kantonsnamen, keine Feiertags- oder Prozessgrundlage. Erstaufnahme in diesen Quellenbatch, kein behaupteter Vorher-Nachher-Normvergleich.</t>
  </si>
  <si>
    <t>AP18B-VS-GE-10-20260913</t>
  </si>
  <si>
    <t>Amtlicher RG-Sprachbeleg ausschliesslich für die Kantonsnamen Genevra und Vallais. Historische Kartendarstellung, kein Feiertagsrecht und kein normativer Fassungsstand. Erstaufnahme in diesen Quellenbatch, kein behaupteter Vorher-Nachher-Normvergleich.</t>
  </si>
  <si>
    <t>AP18B03-FRSO-SOURCE-01</t>
  </si>
  <si>
    <t>Erlass 06.10.2010. Geltende Fassung seit 01.01.2020. Vier gemeinsame und je vier regionale arbeitsrechtliche Tage. Bundesanwendung separat offen. Gebietsliste amtlicher Seite über geprüfte Quellenbeziehung. Sprachprüfung offen. Gemeinsame IT/RM-Namen aus dem geprüften TI/GR-Bestand nur als provisorische Produktnamen übernommen. Keine amtliche FR-/SO-Sprachfassung behauptet. Berchtold IT/RM und Scope-Übersetzungen sind eigene provisorische Vorschläge. Neuaufnahme als Prüfgrundlage, kein behaupteter Vergleich mit einem früher freigegebenen FR-/SO-Paket.</t>
  </si>
  <si>
    <t>Fach-, Sprach- und Verfahrensabnahme offen. Teilumfang SO und regionale Quellenbeziehung FR ausdrücklich prüfen.</t>
  </si>
  <si>
    <t>AP18B03-FRSO-SOURCE-02</t>
  </si>
  <si>
    <t>Amtlicher FR-Sprachabgleich. Produktanzeige normalisiert Schreibweisen. Lendemain du Nouvel-An und lendemain de Noël werden nicht als zusätzliche Tage erfasst. Neuaufnahme als Prüfgrundlage, kein behaupteter Vergleich mit einem früher freigegebenen FR-/SO-Paket.</t>
  </si>
  <si>
    <t>AP18B03-FRSO-SOURCE-03</t>
  </si>
  <si>
    <t>Erlass 31.05.2010. Fassung seit 01.01.2024. Eigene kantonsweite Liste von 15 Tagen einschliesslich Ostern, Pfingsten und 1. August. Strafrechtliche Stundenfristen nach Abs. 3 ausgenommen. Keine pauschale Bundesverfahrensfreigabe. Sprachprüfung offen. Gemeinsame IT/RM-Namen aus dem geprüften TI/GR-Bestand nur als provisorische Produktnamen übernommen. Keine amtliche FR-/SO-Sprachfassung behauptet. Berchtold IT/RM und Scope-Übersetzungen sind eigene provisorische Vorschläge. Neuaufnahme als Prüfgrundlage, kein behaupteter Vergleich mit einem früher freigegebenen FR-/SO-Paket.</t>
  </si>
  <si>
    <t>AP18B03-FRSO-SOURCE-04</t>
  </si>
  <si>
    <t>Amtlicher FR-Sprachabgleich der eigenen Liste. Vier Feiertag-/Folgetagspaare plus sieben weitere Tage, zusammen 15. Kalendertagsnamen für numerisch genannte Daten sind Produktbezeichnungen. Neuaufnahme als Prüfgrundlage, kein behaupteter Vergleich mit einem früher freigegebenen FR-/SO-Paket.</t>
  </si>
  <si>
    <t>AP18B03-FRSO-SOURCE-05</t>
  </si>
  <si>
    <t>Seitenänderung 06.07.2026, kein Normversionsdatum. Zehn Gemeinden und nur Flamatt/Sensebrügg in Wünnewil-Flamatt. Anwendungsbeleg zu Art. 49 BAMG, kein separat verifizierter Staatsratsbeschluss. 18 Datumswerte 2026 abgeglichen. Freiwillige arbeitsfreie Tage ausgeschlossen. Neuaufnahme als Prüfgrundlage, kein behaupteter Vergleich mit einem früher freigegebenen FR-/SO-Paket.</t>
  </si>
  <si>
    <t>AP18B03-FRSO-SOURCE-06</t>
  </si>
  <si>
    <t>Erlass 18.05.2014, seit 01.09.2014 geltend. Aktuelle Liste in § 2, nicht alter § 1. 1. Mai ab 12.00 Uhr. Drei Tage ausser Bezirk Bucheggberg. Kommunale Ruhetage nach § 2 Abs. 2 nicht erhoben. Sprachprüfung offen. Gemeinsame IT/RM-Namen aus dem geprüften TI/GR-Bestand nur als provisorische Produktnamen übernommen. Keine amtliche FR-/SO-Sprachfassung behauptet. Berchtold IT/RM und Scope-Übersetzungen sind eigene provisorische Vorschläge. Neuaufnahme als Prüfgrundlage, kein behaupteter Vergleich mit einem früher freigegebenen FR-/SO-Paket.</t>
  </si>
  <si>
    <t>AP18B03-FRSO-SOURCE-07</t>
  </si>
  <si>
    <t>Aktuelle amtliche Informationsseite, ohne eigenen Normstand. Nennt 1. Mai ab 12.00 Uhr ausdrücklich im Fristenkontext. Keine Freigabe einer ganztägigen Verschiebung für alle Verfahren. Nicht als Arbeits-/Ladenöffnungskalender verwenden. Neuaufnahme als Prüfgrundlage, kein behaupteter Vergleich mit einem früher freigegebenen FR-/SO-Paket.</t>
  </si>
  <si>
    <t>AP18B03-FRSO-SOURCE-08</t>
  </si>
  <si>
    <t>Historisch, nicht geltender RTG-Stand. Feiertage und gleichbehandelte Tage im Kontext des Europäischen Fristenübereinkommens unterscheiden. 1. Mai und regionale Gleichstellungen nicht als universelle heutige Freigabe übernehmen. Hinweise Stand 17.12.2012 begrenzen den Kontext. Neuaufnahme als Prüfgrundlage, kein behaupteter Vergleich mit einem früher freigegebenen FR-/SO-Paket.</t>
  </si>
  <si>
    <t>AP18B03-FRSO-SOURCE-09</t>
  </si>
  <si>
    <t>Amtlicher Namensbeleg für Friburgo und Soletta. Undatierte Linkliste, keine Feiertagsnorm oder sprachliche Fachabnahme des Produkts. Neuaufnahme als Prüfgrundlage, kein behaupteter Vergleich mit einem früher freigegebenen FR-/SO-Paket.</t>
  </si>
  <si>
    <t>AP18B03-FRSO-SOURCE-10</t>
  </si>
  <si>
    <t>Amtlicher Namensbeleg Friburg und Soloturn. Publikationsjahr 2025, kein präzises Versionsdatum und keine Feiertagsnorm. Neuaufnahme als Prüfgrundlage, kein behaupteter Vergleich mit einem früher freigegebenen FR-/SO-Paket.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</si>
</sst>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quot;.&quot;mm&quot;.&quot;yyyy"/>
  </numFmts>
  <fonts count="14">
    <font>
      <sz val="11"/>
      <name val="Carlito"/>
    </font>
    <font>
      <sz val="10"/>
      <color rgb="FF172126"/>
      <name val="Arial"/>
      <family val="2"/>
    </font>
    <font>
      <b/>
      <sz val="16"/>
      <color rgb="FF122C40"/>
      <name val="Arial"/>
      <family val="2"/>
    </font>
    <font>
      <b/>
      <sz val="10"/>
      <color rgb="FF122C40"/>
      <name val="Arial"/>
      <family val="2"/>
    </font>
    <font>
      <b/>
      <sz val="10"/>
      <color rgb="FFA6532D"/>
      <name val="Arial"/>
      <family val="2"/>
    </font>
    <font>
      <b/>
      <sz val="10"/>
      <color rgb="FFFFFFFF"/>
      <name val="Arial"/>
      <family val="2"/>
    </font>
    <font>
      <i/>
      <sz val="10"/>
      <color rgb="FF566168"/>
      <name val="Arial"/>
      <family val="2"/>
    </font>
    <font>
      <sz val="10"/>
      <color rgb="FF2F6F73"/>
      <name val="Arial"/>
      <family val="2"/>
    </font>
    <font>
      <sz val="11"/>
      <name val="Carlito"/>
    </font>
    <font>
      <sz val="10"/>
      <color rgb="FF172126"/>
      <name val="Arial"/>
      <family val="2"/>
    </font>
    <font>
      <b/>
      <sz val="16"/>
      <color rgb="FF122C40"/>
      <name val="Arial"/>
      <family val="2"/>
    </font>
    <font>
      <b/>
      <sz val="10"/>
      <color rgb="FFFFFFFF"/>
      <name val="Arial"/>
      <family val="2"/>
    </font>
    <font>
      <i/>
      <sz val="10"/>
      <color rgb="FF566168"/>
      <name val="Arial"/>
      <family val="2"/>
    </font>
    <font>
      <u/>
      <sz val="11"/>
      <color theme="10"/>
      <name val="Carlito"/>
    </font>
  </fonts>
  <fills count="13">
    <fill>
      <patternFill patternType="none"/>
    </fill>
    <fill>
      <patternFill patternType="gray125"/>
    </fill>
    <fill>
      <patternFill patternType="solid">
        <fgColor rgb="FFFFF1CB"/>
      </patternFill>
    </fill>
    <fill>
      <patternFill patternType="solid">
        <fgColor rgb="FF122C40"/>
      </patternFill>
    </fill>
    <fill>
      <patternFill patternType="solid">
        <fgColor rgb="FFE7EEEE"/>
      </patternFill>
    </fill>
    <fill>
      <patternFill patternType="solid">
        <fgColor rgb="FFFFFFFF"/>
      </patternFill>
    </fill>
    <fill>
      <patternFill patternType="solid">
        <fgColor rgb="FF122C40"/>
      </patternFill>
    </fill>
    <fill>
      <patternFill patternType="solid">
        <fgColor rgb="FFE7EEEE"/>
      </patternFill>
    </fill>
    <fill>
      <patternFill patternType="solid">
        <fgColor rgb="FFFFFFFF"/>
      </patternFill>
    </fill>
    <fill>
      <patternFill patternType="none"/>
    </fill>
    <fill>
      <patternFill patternType="solid">
        <fgColor rgb="FF122C40"/>
      </patternFill>
    </fill>
    <fill>
      <patternFill patternType="solid">
        <fgColor rgb="FFE7EEEE"/>
      </patternFill>
    </fill>
    <fill>
      <patternFill patternType="solid">
        <fgColor rgb="FFFFFFFF"/>
      </patternFill>
    </fill>
  </fills>
  <borders count="4">
    <border>
      <left/>
      <right/>
      <top/>
      <bottom/>
      <diagonal/>
    </border>
    <border>
      <left/>
      <right/>
      <top/>
      <bottom style="thin">
        <color rgb="FFA6532D"/>
      </bottom>
      <diagonal/>
    </border>
    <border>
      <left/>
      <right/>
      <top/>
      <bottom/>
      <diagonal/>
    </border>
    <border>
      <left/>
      <right/>
      <top/>
      <bottom style="thin">
        <color rgb="FFA6532D"/>
      </bottom>
      <diagonal/>
    </border>
  </borders>
  <cellStyleXfs count="3">
    <xf numFmtId="0" fontId="0" fillId="0" borderId="0"/>
    <xf numFmtId="0" fontId="13" fillId="0" borderId="0" applyNumberFormat="0" applyFill="0" applyBorder="0" applyAlignment="0" applyProtection="0"/>
    <xf numFmtId="0" fontId="8" fillId="0" borderId="0"/>
  </cellStyleXfs>
  <cellXfs count="41">
    <xf numFmtId="0" fontId="0" fillId="0" borderId="0" xfId="0"/>
    <xf numFmtId="0" fontId="1" fillId="0" borderId="0" xfId="2" applyFont="1"/>
    <xf numFmtId="0" fontId="1" fillId="0" borderId="0" xfId="2" applyFont="1" applyAlignment="1">
      <alignment vertical="center"/>
    </xf>
    <xf numFmtId="0" fontId="2" fillId="0" borderId="0" xfId="2" applyFont="1" applyAlignment="1">
      <alignment vertical="center"/>
    </xf>
    <xf numFmtId="0" fontId="1" fillId="0" borderId="1" xfId="2" applyFont="1" applyBorder="1" applyAlignment="1">
      <alignment vertical="center"/>
    </xf>
    <xf numFmtId="0" fontId="4" fillId="0" borderId="0" xfId="2" applyFont="1" applyAlignment="1">
      <alignment vertical="center"/>
    </xf>
    <xf numFmtId="0" fontId="5" fillId="3" borderId="0" xfId="2" applyFont="1" applyFill="1" applyAlignment="1">
      <alignment vertical="center"/>
    </xf>
    <xf numFmtId="1" fontId="1" fillId="0" borderId="0" xfId="2" applyNumberFormat="1" applyFont="1" applyAlignment="1">
      <alignment vertical="center"/>
    </xf>
    <xf numFmtId="0" fontId="6" fillId="0" borderId="0" xfId="2" applyFont="1" applyAlignment="1">
      <alignment vertical="center"/>
    </xf>
    <xf numFmtId="0" fontId="5" fillId="3" borderId="0" xfId="2" applyFont="1" applyFill="1" applyAlignment="1">
      <alignment horizontal="center" vertical="center" wrapText="1"/>
    </xf>
    <xf numFmtId="0" fontId="1" fillId="4" borderId="0" xfId="2" applyFont="1" applyFill="1" applyAlignment="1">
      <alignment vertical="center" wrapText="1"/>
    </xf>
    <xf numFmtId="0" fontId="1" fillId="5" borderId="0" xfId="2" applyFont="1" applyFill="1" applyAlignment="1">
      <alignment vertical="center" wrapText="1"/>
    </xf>
    <xf numFmtId="1" fontId="1" fillId="4" borderId="0" xfId="2" applyNumberFormat="1" applyFont="1" applyFill="1" applyAlignment="1">
      <alignment vertical="center" wrapText="1"/>
    </xf>
    <xf numFmtId="1" fontId="1" fillId="5" borderId="0" xfId="2" applyNumberFormat="1" applyFont="1" applyFill="1" applyAlignment="1">
      <alignment vertical="center" wrapText="1"/>
    </xf>
    <xf numFmtId="164" fontId="1" fillId="4" borderId="0" xfId="2" applyNumberFormat="1" applyFont="1" applyFill="1" applyAlignment="1">
      <alignment vertical="center" wrapText="1"/>
    </xf>
    <xf numFmtId="164" fontId="1" fillId="5" borderId="0" xfId="2" applyNumberFormat="1" applyFont="1" applyFill="1" applyAlignment="1">
      <alignment vertical="center" wrapText="1"/>
    </xf>
    <xf numFmtId="0" fontId="5" fillId="3" borderId="0" xfId="2" applyFont="1" applyFill="1"/>
    <xf numFmtId="164" fontId="1" fillId="0" borderId="0" xfId="2" applyNumberFormat="1" applyFont="1"/>
    <xf numFmtId="0" fontId="7" fillId="4" borderId="0" xfId="2" applyFont="1" applyFill="1" applyAlignment="1">
      <alignment vertical="center" wrapText="1"/>
    </xf>
    <xf numFmtId="0" fontId="7" fillId="5" borderId="0" xfId="2" applyFont="1" applyFill="1" applyAlignment="1">
      <alignment vertical="center" wrapText="1"/>
    </xf>
    <xf numFmtId="0" fontId="5" fillId="6" borderId="0" xfId="2" applyFont="1" applyFill="1" applyAlignment="1">
      <alignment horizontal="center" vertical="center" wrapText="1"/>
    </xf>
    <xf numFmtId="0" fontId="1" fillId="7" borderId="0" xfId="2" applyFont="1" applyFill="1" applyAlignment="1">
      <alignment horizontal="left" vertical="center" wrapText="1"/>
    </xf>
    <xf numFmtId="0" fontId="1" fillId="8" borderId="0" xfId="2" applyFont="1" applyFill="1" applyAlignment="1">
      <alignment horizontal="left" vertical="center" wrapText="1"/>
    </xf>
    <xf numFmtId="0" fontId="3" fillId="2" borderId="0" xfId="2" applyFont="1" applyFill="1" applyAlignment="1" applyProtection="1">
      <alignment horizontal="center" vertical="center"/>
      <protection locked="0"/>
    </xf>
    <xf numFmtId="0" fontId="1" fillId="4" borderId="0" xfId="2" applyFont="1" applyFill="1" applyAlignment="1" applyProtection="1">
      <alignment vertical="center" wrapText="1"/>
      <protection locked="0"/>
    </xf>
    <xf numFmtId="0" fontId="1" fillId="7" borderId="0" xfId="2" applyFont="1" applyFill="1" applyAlignment="1" applyProtection="1">
      <alignment horizontal="left" vertical="center" wrapText="1"/>
      <protection locked="0"/>
    </xf>
    <xf numFmtId="0" fontId="1" fillId="5" borderId="0" xfId="2" applyFont="1" applyFill="1" applyAlignment="1" applyProtection="1">
      <alignment vertical="center" wrapText="1"/>
      <protection locked="0"/>
    </xf>
    <xf numFmtId="0" fontId="1" fillId="8" borderId="0" xfId="2" applyFont="1" applyFill="1" applyAlignment="1" applyProtection="1">
      <alignment horizontal="left" vertical="center" wrapText="1"/>
      <protection locked="0"/>
    </xf>
    <xf numFmtId="1" fontId="1" fillId="4" borderId="0" xfId="2" applyNumberFormat="1" applyFont="1" applyFill="1" applyAlignment="1" applyProtection="1">
      <alignment vertical="center" wrapText="1"/>
      <protection locked="0"/>
    </xf>
    <xf numFmtId="164" fontId="1" fillId="4" borderId="0" xfId="2" applyNumberFormat="1" applyFont="1" applyFill="1" applyAlignment="1" applyProtection="1">
      <alignment vertical="center" wrapText="1"/>
      <protection locked="0"/>
    </xf>
    <xf numFmtId="1" fontId="1" fillId="5" borderId="0" xfId="2" applyNumberFormat="1" applyFont="1" applyFill="1" applyAlignment="1" applyProtection="1">
      <alignment vertical="center" wrapText="1"/>
      <protection locked="0"/>
    </xf>
    <xf numFmtId="164" fontId="1" fillId="5" borderId="0" xfId="2" applyNumberFormat="1" applyFont="1" applyFill="1" applyAlignment="1" applyProtection="1">
      <alignment vertical="center" wrapText="1"/>
      <protection locked="0"/>
    </xf>
    <xf numFmtId="0" fontId="9" fillId="9" borderId="2" xfId="1" applyFont="1" applyAlignment="1">
      <alignment vertical="center"/>
    </xf>
    <xf numFmtId="0" fontId="10" fillId="9" borderId="2" xfId="1" applyFont="1" applyAlignment="1">
      <alignment vertical="center"/>
    </xf>
    <xf numFmtId="0" fontId="9" fillId="9" borderId="3" xfId="1" applyFont="1" applyBorder="1" applyAlignment="1">
      <alignment vertical="center"/>
    </xf>
    <xf numFmtId="0" fontId="12" fillId="9" borderId="2" xfId="1" applyFont="1" applyAlignment="1">
      <alignment vertical="center"/>
    </xf>
    <xf numFmtId="0" fontId="11" fillId="10" borderId="2" xfId="1" applyFont="1" applyFill="1" applyAlignment="1">
      <alignment horizontal="center" vertical="center" wrapText="1"/>
    </xf>
    <xf numFmtId="0" fontId="9" fillId="11" borderId="2" xfId="1" applyFont="1" applyFill="1" applyAlignment="1" applyProtection="1">
      <alignment vertical="center" wrapText="1"/>
      <protection locked="0"/>
    </xf>
    <xf numFmtId="164" fontId="9" fillId="11" borderId="2" xfId="1" applyNumberFormat="1" applyFont="1" applyFill="1" applyAlignment="1" applyProtection="1">
      <alignment vertical="center" wrapText="1"/>
      <protection locked="0"/>
    </xf>
    <xf numFmtId="0" fontId="9" fillId="12" borderId="2" xfId="1" applyFont="1" applyFill="1" applyAlignment="1" applyProtection="1">
      <alignment vertical="center" wrapText="1"/>
      <protection locked="0"/>
    </xf>
    <xf numFmtId="164" fontId="9" fillId="12" borderId="2" xfId="1" applyNumberFormat="1" applyFont="1" applyFill="1" applyAlignment="1" applyProtection="1">
      <alignment vertical="center" wrapText="1"/>
      <protection locked="0"/>
    </xf>
  </cellXfs>
  <cellStyles count="3">
    <cellStyle name="Link" xfId="1" builtinId="8"/>
    <cellStyle name="Normal" xfId="2" xr:uid="{00000000-0005-0000-0000-000000000000}"/>
    <cellStyle name="Standard" xfId="0" builtinId="0"/>
  </cellStyles>
  <dxfs count="26">
    <dxf>
      <font>
        <color rgb="FF9B2920"/>
      </font>
      <fill>
        <patternFill>
          <bgColor rgb="FFFCE3DE"/>
        </patternFill>
      </fill>
    </dxf>
    <dxf>
      <font>
        <color rgb="FF785300"/>
      </font>
      <fill>
        <patternFill>
          <bgColor rgb="FFFFF1CB"/>
        </patternFill>
      </fill>
    </dxf>
    <dxf>
      <font>
        <color rgb="FF9B2920"/>
      </font>
      <fill>
        <patternFill>
          <bgColor rgb="FFFCE3DE"/>
        </patternFill>
      </fill>
    </dxf>
    <dxf>
      <font>
        <color rgb="FF785300"/>
      </font>
      <fill>
        <patternFill>
          <bgColor rgb="FFFFF1CB"/>
        </patternFill>
      </fill>
    </dxf>
    <dxf>
      <font>
        <color rgb="FF9B2920"/>
      </font>
      <fill>
        <patternFill patternType="solid">
          <bgColor rgb="FFFCE3DE"/>
        </patternFill>
      </fill>
    </dxf>
    <dxf>
      <font>
        <color rgb="FF785300"/>
      </font>
      <fill>
        <patternFill patternType="solid">
          <bgColor rgb="FFFFF1CB"/>
        </patternFill>
      </fill>
    </dxf>
    <dxf>
      <fill>
        <patternFill patternType="solid">
          <bgColor rgb="FFFFF1CB"/>
        </patternFill>
      </fill>
    </dxf>
    <dxf>
      <fill>
        <patternFill patternType="solid">
          <bgColor rgb="FFFFF1CB"/>
        </patternFill>
      </fill>
    </dxf>
    <dxf>
      <fill>
        <patternFill patternType="solid">
          <bgColor rgb="FFFFF1CB"/>
        </patternFill>
      </fill>
    </dxf>
    <dxf>
      <fill>
        <patternFill patternType="solid">
          <bgColor rgb="FFFFF1CB"/>
        </patternFill>
      </fill>
    </dxf>
    <dxf>
      <fill>
        <patternFill patternType="solid">
          <bgColor rgb="FFFFF1CB"/>
        </patternFill>
      </fill>
    </dxf>
    <dxf>
      <font>
        <color rgb="FF9B2920"/>
      </font>
      <fill>
        <patternFill>
          <bgColor rgb="FFFCE3DE"/>
        </patternFill>
      </fill>
    </dxf>
    <dxf>
      <font>
        <color rgb="FF785300"/>
      </font>
      <fill>
        <patternFill>
          <bgColor rgb="FFFFF1CB"/>
        </patternFill>
      </fill>
    </dxf>
    <dxf>
      <fill>
        <patternFill patternType="solid">
          <bgColor rgb="FFFFF1CB"/>
        </patternFill>
      </fill>
    </dxf>
    <dxf>
      <fill>
        <patternFill patternType="solid">
          <bgColor rgb="FFFFF1CB"/>
        </patternFill>
      </fill>
    </dxf>
    <dxf>
      <fill>
        <patternFill patternType="solid">
          <bgColor rgb="FFFFF1CB"/>
        </patternFill>
      </fill>
    </dxf>
    <dxf>
      <font>
        <color rgb="FF9B2920"/>
      </font>
      <fill>
        <patternFill>
          <bgColor rgb="FFFCE3DE"/>
        </patternFill>
      </fill>
    </dxf>
    <dxf>
      <font>
        <color rgb="FF785300"/>
      </font>
      <fill>
        <patternFill>
          <bgColor rgb="FFFFF1CB"/>
        </patternFill>
      </fill>
    </dxf>
    <dxf>
      <fill>
        <patternFill patternType="solid">
          <bgColor rgb="FFFFF1CB"/>
        </patternFill>
      </fill>
    </dxf>
    <dxf>
      <fill>
        <patternFill patternType="solid">
          <bgColor rgb="FFFFF1CB"/>
        </patternFill>
      </fill>
    </dxf>
    <dxf>
      <font>
        <color rgb="FF9B2920"/>
      </font>
      <fill>
        <patternFill>
          <bgColor rgb="FFFCE3DE"/>
        </patternFill>
      </fill>
    </dxf>
    <dxf>
      <font>
        <color rgb="FF785300"/>
      </font>
      <fill>
        <patternFill>
          <bgColor rgb="FFFFF1CB"/>
        </patternFill>
      </fill>
    </dxf>
    <dxf>
      <fill>
        <patternFill patternType="solid">
          <bgColor rgb="FFFFF1CB"/>
        </patternFill>
      </fill>
    </dxf>
    <dxf>
      <fill>
        <patternFill patternType="solid">
          <bgColor rgb="FFFFF1CB"/>
        </patternFill>
      </fill>
    </dxf>
    <dxf>
      <font>
        <color rgb="FF9B2920"/>
      </font>
      <fill>
        <patternFill>
          <bgColor rgb="FFFCE3DE"/>
        </patternFill>
      </fill>
    </dxf>
    <dxf>
      <font>
        <color rgb="FF785300"/>
      </font>
      <fill>
        <patternFill>
          <bgColor rgb="FFFFF1CB"/>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0000000}" name="AP18_Feiertagskalender" displayName="AP18_Feiertagskalender" ref="A6:O207" totalsRowShown="0">
  <autoFilter ref="A6:O207" xr:uid="{00000000-0009-0000-0100-000007000000}"/>
  <tableColumns count="15">
    <tableColumn id="1" xr3:uid="{00000000-0010-0000-0000-000001000000}" name="Datum"/>
    <tableColumn id="2" xr3:uid="{00000000-0010-0000-0000-000002000000}" name="Wochentag"/>
    <tableColumn id="3" xr3:uid="{00000000-0010-0000-0000-000003000000}" name="Gemeinwesen"/>
    <tableColumn id="4" xr3:uid="{00000000-0010-0000-0000-000004000000}" name="Geltungsbereich"/>
    <tableColumn id="5" xr3:uid="{00000000-0010-0000-0000-000005000000}" name="Feiertag"/>
    <tableColumn id="6" xr3:uid="{00000000-0010-0000-0000-000006000000}" name="Französisch"/>
    <tableColumn id="13" xr3:uid="{00000000-0010-0000-0000-00000D000000}" name="Italienisch"/>
    <tableColumn id="14" xr3:uid="{00000000-0010-0000-0000-00000E000000}" name="Rumantsch Grischun"/>
    <tableColumn id="7" xr3:uid="{00000000-0010-0000-0000-000007000000}" name="Rechtskategorie"/>
    <tableColumn id="8" xr3:uid="{00000000-0010-0000-0000-000008000000}" name="Fachstatus"/>
    <tableColumn id="9" xr3:uid="{00000000-0010-0000-0000-000009000000}" name="Regel-ID"/>
    <tableColumn id="10" xr3:uid="{00000000-0010-0000-0000-00000A000000}" name="Quellen-ID"/>
    <tableColumn id="11" xr3:uid="{00000000-0010-0000-0000-00000B000000}" name="Fundstelle"/>
    <tableColumn id="12" xr3:uid="{00000000-0010-0000-0000-00000C000000}" name="Abdeckung"/>
    <tableColumn id="15" xr3:uid="{00000000-0010-0000-0000-00000F000000}" name="Tagesumfang"/>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AP18_Gemeinwesen" displayName="AP18_Gemeinwesen" ref="A6:I33" totalsRowShown="0">
  <autoFilter ref="A6:I33" xr:uid="{00000000-0009-0000-0100-000001000000}"/>
  <tableColumns count="9">
    <tableColumn id="1" xr3:uid="{00000000-0010-0000-0100-000001000000}" name="Code"/>
    <tableColumn id="2" xr3:uid="{00000000-0010-0000-0100-000002000000}" name="Deutsch"/>
    <tableColumn id="3" xr3:uid="{00000000-0010-0000-0100-000003000000}" name="Französisch"/>
    <tableColumn id="8" xr3:uid="{00000000-0010-0000-0100-000008000000}" name="Italienisch"/>
    <tableColumn id="9" xr3:uid="{00000000-0010-0000-0100-000009000000}" name="Rumantsch Grischun"/>
    <tableColumn id="4" xr3:uid="{00000000-0010-0000-0100-000004000000}" name="Übergeordnet"/>
    <tableColumn id="5" xr3:uid="{00000000-0010-0000-0100-000005000000}" name="Erfassungsstand"/>
    <tableColumn id="6" xr3:uid="{00000000-0010-0000-0100-000006000000}" name="Fachstatus"/>
    <tableColumn id="7" xr3:uid="{00000000-0010-0000-0100-000007000000}" name="Amtliche Feiertagsquelle"/>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AP18_Feiertagsregeln" displayName="AP18_Feiertagsregeln" ref="A6:AA198" totalsRowShown="0">
  <autoFilter ref="A6:AA198" xr:uid="{00000000-0009-0000-0100-000002000000}"/>
  <tableColumns count="27">
    <tableColumn id="1" xr3:uid="{00000000-0010-0000-0200-000001000000}" name="Regel-ID"/>
    <tableColumn id="2" xr3:uid="{00000000-0010-0000-0200-000002000000}" name="Gemeinwesen"/>
    <tableColumn id="3" xr3:uid="{00000000-0010-0000-0200-000003000000}" name="Geltungs-ID"/>
    <tableColumn id="4" xr3:uid="{00000000-0010-0000-0200-000004000000}" name="Deutsch"/>
    <tableColumn id="5" xr3:uid="{00000000-0010-0000-0200-000005000000}" name="Französisch"/>
    <tableColumn id="25" xr3:uid="{00000000-0010-0000-0200-000019000000}" name="Italienisch"/>
    <tableColumn id="26" xr3:uid="{00000000-0010-0000-0200-00001A000000}" name="Rumantsch Grischun"/>
    <tableColumn id="6" xr3:uid="{00000000-0010-0000-0200-000006000000}" name="Rechtskategorie"/>
    <tableColumn id="7" xr3:uid="{00000000-0010-0000-0200-000007000000}" name="Regeltyp"/>
    <tableColumn id="8" xr3:uid="{00000000-0010-0000-0200-000008000000}" name="Monat"/>
    <tableColumn id="9" xr3:uid="{00000000-0010-0000-0200-000009000000}" name="Tag"/>
    <tableColumn id="10" xr3:uid="{00000000-0010-0000-0200-00000A000000}" name="Tagesabstand"/>
    <tableColumn id="11" xr3:uid="{00000000-0010-0000-0200-00000B000000}" name="ISO-Wochentag"/>
    <tableColumn id="12" xr3:uid="{00000000-0010-0000-0200-00000C000000}" name="Vorkommen"/>
    <tableColumn id="13" xr3:uid="{00000000-0010-0000-0200-00000D000000}" name="Gültig ab"/>
    <tableColumn id="14" xr3:uid="{00000000-0010-0000-0200-00000E000000}" name="Gültig bis"/>
    <tableColumn id="15" xr3:uid="{00000000-0010-0000-0200-00000F000000}" name="Priorität"/>
    <tableColumn id="16" xr3:uid="{00000000-0010-0000-0200-000010000000}" name="Fachstatus"/>
    <tableColumn id="17" xr3:uid="{00000000-0010-0000-0200-000011000000}" name="Freigabebasis"/>
    <tableColumn id="18" xr3:uid="{00000000-0010-0000-0200-000012000000}" name="Wirkung"/>
    <tableColumn id="19" xr3:uid="{00000000-0010-0000-0200-000013000000}" name="Zielregel"/>
    <tableColumn id="20" xr3:uid="{00000000-0010-0000-0200-000014000000}" name="Exportklasse"/>
    <tableColumn id="21" xr3:uid="{00000000-0010-0000-0200-000015000000}" name="Rohdatum"/>
    <tableColumn id="22" xr3:uid="{00000000-0010-0000-0200-000016000000}" name="Datum im Geltungszeitraum"/>
    <tableColumn id="23" xr3:uid="{00000000-0010-0000-0200-000017000000}" name="Quellen-ID"/>
    <tableColumn id="24" xr3:uid="{00000000-0010-0000-0200-000018000000}" name="Fundstelle"/>
    <tableColumn id="27" xr3:uid="{00000000-0010-0000-0200-00001B000000}" name="Tagesumfang"/>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AP18_Geltungsbereiche" displayName="AP18_Geltungsbereiche" ref="A6:M27" totalsRowShown="0">
  <autoFilter ref="A6:M27" xr:uid="{00000000-0009-0000-0100-000003000000}"/>
  <tableColumns count="13">
    <tableColumn id="1" xr3:uid="{00000000-0010-0000-0300-000001000000}" name="Geltungs-ID"/>
    <tableColumn id="2" xr3:uid="{00000000-0010-0000-0300-000002000000}" name="Gemeinwesen"/>
    <tableColumn id="3" xr3:uid="{00000000-0010-0000-0300-000003000000}" name="Gebiet"/>
    <tableColumn id="13" xr3:uid="{00000000-0010-0000-0300-00000D000000}" name="Französisch"/>
    <tableColumn id="11" xr3:uid="{00000000-0010-0000-0300-00000B000000}" name="Italienisch"/>
    <tableColumn id="12" xr3:uid="{00000000-0010-0000-0300-00000C000000}" name="Rumantsch Grischun"/>
    <tableColumn id="4" xr3:uid="{00000000-0010-0000-0300-000004000000}" name="Gebietstyp"/>
    <tableColumn id="5" xr3:uid="{00000000-0010-0000-0300-000005000000}" name="Umfang / Grenze"/>
    <tableColumn id="6" xr3:uid="{00000000-0010-0000-0300-000006000000}" name="Quellen-ID"/>
    <tableColumn id="7" xr3:uid="{00000000-0010-0000-0300-000007000000}" name="Fundstelle"/>
    <tableColumn id="8" xr3:uid="{00000000-0010-0000-0300-000008000000}" name="Fachstatus"/>
    <tableColumn id="9" xr3:uid="{00000000-0010-0000-0300-000009000000}" name="Daten ab"/>
    <tableColumn id="10" xr3:uid="{00000000-0010-0000-0300-00000A000000}" name="Daten bis"/>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4000000}" name="AP18_Gebietszuordnungen" displayName="AP18_Gebietszuordnungen" ref="A6:R70" totalsRowShown="0">
  <autoFilter ref="A6:R70" xr:uid="{00000000-0009-0000-0100-000008000000}"/>
  <tableColumns count="18">
    <tableColumn id="1" xr3:uid="{00000000-0010-0000-0400-000001000000}" name="Zuordnungs-ID"/>
    <tableColumn id="2" xr3:uid="{00000000-0010-0000-0400-000002000000}" name="Geltungs-ID"/>
    <tableColumn id="3" xr3:uid="{00000000-0010-0000-0400-000003000000}" name="Gebiet-ID"/>
    <tableColumn id="4" xr3:uid="{00000000-0010-0000-0400-000004000000}" name="Deutsch"/>
    <tableColumn id="5" xr3:uid="{00000000-0010-0000-0400-000005000000}" name="Französisch"/>
    <tableColumn id="6" xr3:uid="{00000000-0010-0000-0400-000006000000}" name="Italienisch"/>
    <tableColumn id="7" xr3:uid="{00000000-0010-0000-0400-000007000000}" name="Rumantsch Grischun"/>
    <tableColumn id="8" xr3:uid="{00000000-0010-0000-0400-000008000000}" name="Gebietstyp"/>
    <tableColumn id="9" xr3:uid="{00000000-0010-0000-0400-000009000000}" name="Übergeordnetes Gebiet"/>
    <tableColumn id="10" xr3:uid="{00000000-0010-0000-0400-00000A000000}" name="Einbezug"/>
    <tableColumn id="11" xr3:uid="{00000000-0010-0000-0400-00000B000000}" name="Kennungssystem"/>
    <tableColumn id="12" xr3:uid="{00000000-0010-0000-0400-00000C000000}" name="Amtliche Kennung"/>
    <tableColumn id="13" xr3:uid="{00000000-0010-0000-0400-00000D000000}" name="Gültig ab"/>
    <tableColumn id="14" xr3:uid="{00000000-0010-0000-0400-00000E000000}" name="Gültig bis"/>
    <tableColumn id="15" xr3:uid="{00000000-0010-0000-0400-00000F000000}" name="Quellen-ID"/>
    <tableColumn id="16" xr3:uid="{00000000-0010-0000-0400-000010000000}" name="Fundstelle"/>
    <tableColumn id="17" xr3:uid="{00000000-0010-0000-0400-000011000000}" name="Fachstatus"/>
    <tableColumn id="18" xr3:uid="{00000000-0010-0000-0400-000012000000}" name="Prüfhinweis"/>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5000000}" name="AP18_Rechtsquellen" displayName="AP18_Rechtsquellen" ref="A6:K43" totalsRowShown="0">
  <autoFilter ref="A6:K43" xr:uid="{00000000-0009-0000-0100-000004000000}"/>
  <tableColumns count="11">
    <tableColumn id="1" xr3:uid="{00000000-0010-0000-0500-000001000000}" name="Quellen-ID"/>
    <tableColumn id="2" xr3:uid="{00000000-0010-0000-0500-000002000000}" name="Gemeinwesen"/>
    <tableColumn id="3" xr3:uid="{00000000-0010-0000-0500-000003000000}" name="Erlass / Quelle"/>
    <tableColumn id="4" xr3:uid="{00000000-0010-0000-0500-000004000000}" name="Fundstelle"/>
    <tableColumn id="5" xr3:uid="{00000000-0010-0000-0500-000005000000}" name="Amtlicher Link"/>
    <tableColumn id="6" xr3:uid="{00000000-0010-0000-0500-000006000000}" name="Fassungsstand"/>
    <tableColumn id="7" xr3:uid="{00000000-0010-0000-0500-000007000000}" name="Abgerufen"/>
    <tableColumn id="8" xr3:uid="{00000000-0010-0000-0500-000008000000}" name="Prüfhinweis"/>
    <tableColumn id="9" xr3:uid="{00000000-0010-0000-0500-000009000000}" name="Fachstatus"/>
    <tableColumn id="10" xr3:uid="{00000000-0010-0000-0500-00000A000000}" name="Frühere Freigabebasis"/>
    <tableColumn id="11" xr3:uid="{00000000-0010-0000-0500-00000B000000}" name="URL (Original)"/>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6000000}" name="AP18_Verfahrensbezug" displayName="AP18_Verfahrensbezug" ref="A6:H43" totalsRowShown="0">
  <autoFilter ref="A6:H43" xr:uid="{00000000-0009-0000-0100-000005000000}"/>
  <tableColumns count="8">
    <tableColumn id="1" xr3:uid="{00000000-0010-0000-0600-000001000000}" name="Zuordnungs-ID"/>
    <tableColumn id="2" xr3:uid="{00000000-0010-0000-0600-000002000000}" name="Geltungs-ID"/>
    <tableColumn id="3" xr3:uid="{00000000-0010-0000-0600-000003000000}" name="Rechtskategorie"/>
    <tableColumn id="4" xr3:uid="{00000000-0010-0000-0600-000004000000}" name="Anwendungsbereich"/>
    <tableColumn id="5" xr3:uid="{00000000-0010-0000-0600-000005000000}" name="Wirkung / Grenze"/>
    <tableColumn id="6" xr3:uid="{00000000-0010-0000-0600-000006000000}" name="Norm / Referenz"/>
    <tableColumn id="7" xr3:uid="{00000000-0010-0000-0600-000007000000}" name="Fachstatus"/>
    <tableColumn id="8" xr3:uid="{00000000-0010-0000-0600-000008000000}" name="Freigabebasis"/>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7000000}" name="AP18_Quellenprufung" displayName="AP18_Quellenprufung" ref="A6:K44" totalsRowShown="0">
  <autoFilter ref="A6:K44" xr:uid="{00000000-0009-0000-0100-000006000000}"/>
  <tableColumns count="11">
    <tableColumn id="1" xr3:uid="{00000000-0010-0000-0700-000001000000}" name="Prüf-ID"/>
    <tableColumn id="2" xr3:uid="{00000000-0010-0000-0700-000002000000}" name="Quellen-ID"/>
    <tableColumn id="3" xr3:uid="{00000000-0010-0000-0700-000003000000}" name="Auslöser"/>
    <tableColumn id="4" xr3:uid="{00000000-0010-0000-0700-000004000000}" name="Datum"/>
    <tableColumn id="5" xr3:uid="{00000000-0010-0000-0700-000005000000}" name="Ergebnis"/>
    <tableColumn id="6" xr3:uid="{00000000-0010-0000-0700-000006000000}" name="Vergleichsbasis"/>
    <tableColumn id="7" xr3:uid="{00000000-0010-0000-0700-000007000000}" name="Befund"/>
    <tableColumn id="8" xr3:uid="{00000000-0010-0000-0700-000008000000}" name="Ereignisstatus"/>
    <tableColumn id="9" xr3:uid="{00000000-0010-0000-0700-000009000000}" name="Fachverantwortung"/>
    <tableColumn id="10" xr3:uid="{00000000-0010-0000-0700-00000A000000}" name="Arbeitsinstrument"/>
    <tableColumn id="11" xr3:uid="{00000000-0010-0000-0700-00000B000000}" name="Nächster Schritt"/>
  </tableColumns>
  <tableStyleInfo name="TableStyleLight1"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3" Type="http://schemas.openxmlformats.org/officeDocument/2006/relationships/hyperlink" Target="https://www.gr-lex.gr.ch/api/rm/versions/2604/pdf_file" TargetMode="External"/><Relationship Id="rId18" Type="http://schemas.openxmlformats.org/officeDocument/2006/relationships/hyperlink" Target="https://lex.vs.ch/api/de/versions/2105/pdf_file" TargetMode="External"/><Relationship Id="rId26" Type="http://schemas.openxmlformats.org/officeDocument/2006/relationships/hyperlink" Target="https://www.swisstopo.admin.ch/it/scambio-di-geodati-tra-le-autorita" TargetMode="External"/><Relationship Id="rId21" Type="http://schemas.openxmlformats.org/officeDocument/2006/relationships/hyperlink" Target="https://lex.vs.ch/api/fr/versions/3260/pdf_file" TargetMode="External"/><Relationship Id="rId34" Type="http://schemas.openxmlformats.org/officeDocument/2006/relationships/hyperlink" Target="https://so.ch/allgemeine-informationen/gesetzliche-feiertage/" TargetMode="External"/><Relationship Id="rId7" Type="http://schemas.openxmlformats.org/officeDocument/2006/relationships/hyperlink" Target="https://www3.ti.ch/CAN/RLeggi/public/index.php/raccolta-leggi/legge/num/568" TargetMode="External"/><Relationship Id="rId12" Type="http://schemas.openxmlformats.org/officeDocument/2006/relationships/hyperlink" Target="https://www.gr-lex.gr.ch/app/it/texts_of_law/520.100/versions/2604" TargetMode="External"/><Relationship Id="rId17" Type="http://schemas.openxmlformats.org/officeDocument/2006/relationships/hyperlink" Target="https://www4.ti.ch/generale/foederalismus11/rumantsch/foederalismus/preschentaziun" TargetMode="External"/><Relationship Id="rId25" Type="http://schemas.openxmlformats.org/officeDocument/2006/relationships/hyperlink" Target="https://search.bger.ch/ext/eurospider/live/it/php/aza/http/index.php?highlight_docid=aza%3A%2F%2F06-09-2023-7B_32-2023&amp;lang=it&amp;type=show_document&amp;zoom=NO" TargetMode="External"/><Relationship Id="rId33" Type="http://schemas.openxmlformats.org/officeDocument/2006/relationships/hyperlink" Target="https://bgs.so.ch/api/de/versions/4319/pdf_file" TargetMode="External"/><Relationship Id="rId38" Type="http://schemas.openxmlformats.org/officeDocument/2006/relationships/table" Target="../tables/table6.xml"/><Relationship Id="rId2" Type="http://schemas.openxmlformats.org/officeDocument/2006/relationships/hyperlink" Target="https://www.belex.sites.be.ch/app/de/texts_of_law/555.1" TargetMode="External"/><Relationship Id="rId16" Type="http://schemas.openxmlformats.org/officeDocument/2006/relationships/hyperlink" Target="https://www.parlament.ch/agenda/Pages/agenda-1-august-2026.aspx?lang=1047" TargetMode="External"/><Relationship Id="rId20" Type="http://schemas.openxmlformats.org/officeDocument/2006/relationships/hyperlink" Target="https://lex.vs.ch/api/de/versions/2103/pdf_file" TargetMode="External"/><Relationship Id="rId29" Type="http://schemas.openxmlformats.org/officeDocument/2006/relationships/hyperlink" Target="https://bdlf.fr.ch/api/fr/versions/8126/pdf_file" TargetMode="External"/><Relationship Id="rId1" Type="http://schemas.openxmlformats.org/officeDocument/2006/relationships/hyperlink" Target="https://www.fedlex.admin.ch/eli/cc/1994/1340_1340_1340/de" TargetMode="External"/><Relationship Id="rId6" Type="http://schemas.openxmlformats.org/officeDocument/2006/relationships/hyperlink" Target="https://www.ag.ch/media/kanton-aargau/dvi/dokumente/awa/awa/arbeitnehmerschutz-im-betrieb/feiertage.pdf" TargetMode="External"/><Relationship Id="rId11" Type="http://schemas.openxmlformats.org/officeDocument/2006/relationships/hyperlink" Target="https://www.gr-lex.gr.ch/api/de/versions/3521/pdf_file" TargetMode="External"/><Relationship Id="rId24" Type="http://schemas.openxmlformats.org/officeDocument/2006/relationships/hyperlink" Target="https://www.ge.ch/vacances-scolaires-jours-feries/jours-feries-officiels" TargetMode="External"/><Relationship Id="rId32" Type="http://schemas.openxmlformats.org/officeDocument/2006/relationships/hyperlink" Target="https://www.fr.ch/de/arbeit-und-unternehmen/arbeitnehmer/feiertage" TargetMode="External"/><Relationship Id="rId37" Type="http://schemas.openxmlformats.org/officeDocument/2006/relationships/hyperlink" Target="https://www.bk.admin.ch/dam/bk/de/dokumente/komm-ue/Buku2025/BUKU_2025_RM.pdf.download.pdf/BUKU_2025_RM.pdf" TargetMode="External"/><Relationship Id="rId5" Type="http://schemas.openxmlformats.org/officeDocument/2006/relationships/hyperlink" Target="https://www.bj.admin.ch/dam/de/sd-web/4Ad6GMn8rA0i/hinweise-kant-feiertage.pdf" TargetMode="External"/><Relationship Id="rId15" Type="http://schemas.openxmlformats.org/officeDocument/2006/relationships/hyperlink" Target="https://www4.ti.ch/dfe/de/uil/legge-lavoro/giorni-festivi-in-ticino-1" TargetMode="External"/><Relationship Id="rId23" Type="http://schemas.openxmlformats.org/officeDocument/2006/relationships/hyperlink" Target="https://silgeneve.ch/legis/data/rsg_j1_45.htm" TargetMode="External"/><Relationship Id="rId28" Type="http://schemas.openxmlformats.org/officeDocument/2006/relationships/hyperlink" Target="https://bdlf.fr.ch/api/de/versions/8126/pdf_file" TargetMode="External"/><Relationship Id="rId36" Type="http://schemas.openxmlformats.org/officeDocument/2006/relationships/hyperlink" Target="https://www.estv.admin.ch/it/imposta-alla-fonte-link-amministrazioni-cantonale" TargetMode="External"/><Relationship Id="rId10" Type="http://schemas.openxmlformats.org/officeDocument/2006/relationships/hyperlink" Target="https://www.gr-lex.gr.ch/api/de/versions/2604/pdf_file" TargetMode="External"/><Relationship Id="rId19" Type="http://schemas.openxmlformats.org/officeDocument/2006/relationships/hyperlink" Target="https://lex.vs.ch/api/fr/versions/2108/pdf_file" TargetMode="External"/><Relationship Id="rId31" Type="http://schemas.openxmlformats.org/officeDocument/2006/relationships/hyperlink" Target="https://bdlf.fr.ch/api/fr/versions/7926/pdf_file" TargetMode="External"/><Relationship Id="rId4" Type="http://schemas.openxmlformats.org/officeDocument/2006/relationships/hyperlink" Target="https://gesetzessammlungen.ag.ch/app/de/texts_of_law/221.200" TargetMode="External"/><Relationship Id="rId9" Type="http://schemas.openxmlformats.org/officeDocument/2006/relationships/hyperlink" Target="https://www3.ti.ch/CAN/RLeggi/public/index.php/raccolta-leggi/legge/num/151" TargetMode="External"/><Relationship Id="rId14" Type="http://schemas.openxmlformats.org/officeDocument/2006/relationships/hyperlink" Target="https://www.gr-lex.gr.ch/api/rm/versions/3521/pdf_file" TargetMode="External"/><Relationship Id="rId22" Type="http://schemas.openxmlformats.org/officeDocument/2006/relationships/hyperlink" Target="https://lex.vs.ch/data/172.4/fr" TargetMode="External"/><Relationship Id="rId27" Type="http://schemas.openxmlformats.org/officeDocument/2006/relationships/hyperlink" Target="https://www.gr.ch/RM/chantun/175-Jahre/Seiten/Epochen-in-Karten.aspx" TargetMode="External"/><Relationship Id="rId30" Type="http://schemas.openxmlformats.org/officeDocument/2006/relationships/hyperlink" Target="https://bdlf.fr.ch/api/de/versions/7926/pdf_file" TargetMode="External"/><Relationship Id="rId35" Type="http://schemas.openxmlformats.org/officeDocument/2006/relationships/hyperlink" Target="https://so.ch/fileadmin/internet/administrator/dokumente/Gesetzliche_Feiertage.pdf" TargetMode="External"/><Relationship Id="rId8" Type="http://schemas.openxmlformats.org/officeDocument/2006/relationships/hyperlink" Target="https://m3.ti.ch/CAN/RLeggi/public/index.php/raccolta-leggi/legge/num/569" TargetMode="External"/><Relationship Id="rId3" Type="http://schemas.openxmlformats.org/officeDocument/2006/relationships/hyperlink" Target="https://gesetzessammlungen.ag.ch/app/de/texts_of_law/961.200"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22C40"/>
  </sheetPr>
  <dimension ref="A1:H36"/>
  <sheetViews>
    <sheetView showGridLines="0" topLeftCell="A17" zoomScale="160" zoomScaleNormal="160" workbookViewId="0"/>
  </sheetViews>
  <sheetFormatPr baseColWidth="10" defaultColWidth="8.83203125" defaultRowHeight="14"/>
  <cols>
    <col min="1" max="1" width="27" customWidth="1"/>
    <col min="2" max="8" width="16" customWidth="1"/>
  </cols>
  <sheetData>
    <row r="1" spans="1:8" ht="24" customHeight="1">
      <c r="A1" s="2"/>
      <c r="B1" s="2"/>
      <c r="C1" s="2"/>
      <c r="D1" s="2"/>
      <c r="E1" s="2"/>
      <c r="F1" s="2"/>
      <c r="G1" s="2"/>
      <c r="H1" s="2"/>
    </row>
    <row r="2" spans="1:8" ht="24" customHeight="1">
      <c r="A2" s="3" t="s">
        <v>0</v>
      </c>
      <c r="B2" s="2"/>
      <c r="C2" s="2"/>
      <c r="D2" s="2"/>
      <c r="E2" s="2"/>
      <c r="F2" s="2"/>
      <c r="G2" s="2"/>
      <c r="H2" s="2"/>
    </row>
    <row r="3" spans="1:8" ht="24" customHeight="1">
      <c r="A3" s="4"/>
      <c r="B3" s="4"/>
      <c r="C3" s="4"/>
      <c r="D3" s="4"/>
      <c r="E3" s="4"/>
      <c r="F3" s="4"/>
      <c r="G3" s="4"/>
      <c r="H3" s="4"/>
    </row>
    <row r="4" spans="1:8" ht="24" customHeight="1">
      <c r="A4" s="2" t="s">
        <v>1</v>
      </c>
      <c r="B4" s="23">
        <v>2027</v>
      </c>
      <c r="C4" s="2"/>
      <c r="D4" s="2" t="s">
        <v>2</v>
      </c>
      <c r="E4" s="2"/>
      <c r="F4" s="2"/>
      <c r="G4" s="2"/>
      <c r="H4" s="2"/>
    </row>
    <row r="5" spans="1:8" ht="24" customHeight="1">
      <c r="A5" s="2"/>
      <c r="B5" s="2"/>
      <c r="C5" s="2"/>
      <c r="D5" s="2"/>
      <c r="E5" s="2"/>
      <c r="F5" s="2"/>
      <c r="G5" s="2"/>
      <c r="H5" s="2"/>
    </row>
    <row r="6" spans="1:8" ht="24" customHeight="1">
      <c r="A6" s="5" t="s">
        <v>3</v>
      </c>
      <c r="B6" s="2"/>
      <c r="C6" s="2"/>
      <c r="D6" s="2"/>
      <c r="E6" s="2"/>
      <c r="F6" s="2"/>
      <c r="G6" s="2"/>
      <c r="H6" s="2"/>
    </row>
    <row r="7" spans="1:8" ht="24" customHeight="1">
      <c r="A7" s="2"/>
      <c r="B7" s="2"/>
      <c r="C7" s="2"/>
      <c r="D7" s="2"/>
      <c r="E7" s="2"/>
      <c r="F7" s="2"/>
      <c r="G7" s="2"/>
      <c r="H7" s="2"/>
    </row>
    <row r="8" spans="1:8" ht="25" customHeight="1">
      <c r="A8" s="2" t="s">
        <v>4</v>
      </c>
      <c r="B8" s="2"/>
      <c r="C8" s="2"/>
      <c r="D8" s="2"/>
      <c r="E8" s="2"/>
      <c r="F8" s="2"/>
      <c r="G8" s="2"/>
      <c r="H8" s="2"/>
    </row>
    <row r="9" spans="1:8" ht="25" customHeight="1">
      <c r="A9" s="2" t="s">
        <v>5</v>
      </c>
      <c r="B9" s="2"/>
      <c r="C9" s="2"/>
      <c r="D9" s="2"/>
      <c r="E9" s="2"/>
      <c r="F9" s="2"/>
      <c r="G9" s="2"/>
      <c r="H9" s="2"/>
    </row>
    <row r="10" spans="1:8" ht="25" customHeight="1">
      <c r="A10" s="2" t="s">
        <v>6</v>
      </c>
      <c r="B10" s="2"/>
      <c r="C10" s="2"/>
      <c r="D10" s="2"/>
      <c r="E10" s="2"/>
      <c r="F10" s="2"/>
      <c r="G10" s="2"/>
      <c r="H10" s="2"/>
    </row>
    <row r="11" spans="1:8" ht="25" customHeight="1">
      <c r="A11" s="2" t="s">
        <v>7</v>
      </c>
      <c r="B11" s="2"/>
      <c r="C11" s="2"/>
      <c r="D11" s="2"/>
      <c r="E11" s="2"/>
      <c r="F11" s="2"/>
      <c r="G11" s="2"/>
      <c r="H11" s="2"/>
    </row>
    <row r="12" spans="1:8" ht="25" customHeight="1">
      <c r="A12" s="2" t="s">
        <v>8</v>
      </c>
      <c r="B12" s="2"/>
      <c r="C12" s="2"/>
      <c r="D12" s="2"/>
      <c r="E12" s="2"/>
      <c r="F12" s="2"/>
      <c r="G12" s="2"/>
      <c r="H12" s="2"/>
    </row>
    <row r="13" spans="1:8" ht="25" customHeight="1">
      <c r="A13" s="2" t="s">
        <v>9</v>
      </c>
      <c r="B13" s="2"/>
      <c r="C13" s="2"/>
      <c r="D13" s="2"/>
      <c r="E13" s="2"/>
      <c r="F13" s="2"/>
      <c r="G13" s="2"/>
      <c r="H13" s="2"/>
    </row>
    <row r="14" spans="1:8" ht="25" customHeight="1">
      <c r="A14" s="2" t="s">
        <v>10</v>
      </c>
      <c r="B14" s="2"/>
      <c r="C14" s="2"/>
      <c r="D14" s="2"/>
      <c r="E14" s="2"/>
      <c r="F14" s="2"/>
      <c r="G14" s="2"/>
      <c r="H14" s="2"/>
    </row>
    <row r="15" spans="1:8" ht="25" customHeight="1">
      <c r="A15" s="2" t="s">
        <v>11</v>
      </c>
      <c r="B15" s="2"/>
      <c r="C15" s="2"/>
      <c r="D15" s="2"/>
      <c r="E15" s="2"/>
      <c r="F15" s="2"/>
      <c r="G15" s="2"/>
      <c r="H15" s="2"/>
    </row>
    <row r="16" spans="1:8" ht="25" customHeight="1">
      <c r="A16" s="2" t="s">
        <v>12</v>
      </c>
      <c r="B16" s="2"/>
      <c r="C16" s="2"/>
      <c r="D16" s="2"/>
      <c r="E16" s="2"/>
      <c r="F16" s="2"/>
      <c r="G16" s="2"/>
      <c r="H16" s="2"/>
    </row>
    <row r="17" spans="1:8" ht="25" customHeight="1">
      <c r="A17" s="2" t="s">
        <v>13</v>
      </c>
      <c r="B17" s="2"/>
      <c r="C17" s="2"/>
      <c r="D17" s="2"/>
      <c r="E17" s="2"/>
      <c r="F17" s="2"/>
      <c r="G17" s="2"/>
      <c r="H17" s="2"/>
    </row>
    <row r="18" spans="1:8" ht="25" customHeight="1">
      <c r="A18" s="2" t="s">
        <v>14</v>
      </c>
      <c r="B18" s="2"/>
      <c r="C18" s="2"/>
      <c r="D18" s="2"/>
      <c r="E18" s="2"/>
      <c r="F18" s="2"/>
      <c r="G18" s="2"/>
      <c r="H18" s="2"/>
    </row>
    <row r="19" spans="1:8" ht="25" customHeight="1">
      <c r="A19" s="2" t="s">
        <v>15</v>
      </c>
      <c r="B19" s="2"/>
      <c r="C19" s="2"/>
      <c r="D19" s="2"/>
      <c r="E19" s="2"/>
      <c r="F19" s="2"/>
      <c r="G19" s="2"/>
      <c r="H19" s="2"/>
    </row>
    <row r="20" spans="1:8" ht="25" customHeight="1">
      <c r="A20" s="2" t="s">
        <v>16</v>
      </c>
      <c r="B20" s="2"/>
      <c r="C20" s="2"/>
      <c r="D20" s="2"/>
      <c r="E20" s="2"/>
      <c r="F20" s="2"/>
      <c r="G20" s="2"/>
      <c r="H20" s="2"/>
    </row>
    <row r="21" spans="1:8" ht="24" customHeight="1">
      <c r="A21" s="2"/>
      <c r="B21" s="2"/>
      <c r="C21" s="2"/>
      <c r="D21" s="2"/>
      <c r="E21" s="2"/>
      <c r="F21" s="2"/>
      <c r="G21" s="2"/>
      <c r="H21" s="2"/>
    </row>
    <row r="22" spans="1:8" ht="24" customHeight="1">
      <c r="A22" s="2"/>
      <c r="B22" s="2"/>
      <c r="C22" s="2"/>
      <c r="D22" s="2"/>
      <c r="E22" s="2"/>
      <c r="F22" s="2"/>
      <c r="G22" s="2"/>
      <c r="H22" s="2"/>
    </row>
    <row r="23" spans="1:8" ht="24" customHeight="1">
      <c r="A23" s="6" t="s">
        <v>17</v>
      </c>
      <c r="B23" s="6" t="s">
        <v>18</v>
      </c>
      <c r="C23" s="2"/>
      <c r="D23" s="2"/>
      <c r="E23" s="2"/>
      <c r="F23" s="2"/>
      <c r="G23" s="2"/>
      <c r="H23" s="2"/>
    </row>
    <row r="24" spans="1:8" ht="24" customHeight="1">
      <c r="A24" s="2" t="s">
        <v>19</v>
      </c>
      <c r="B24" s="7">
        <f>COUNTA(Gemeinwesen!$A$7:$A$33)</f>
        <v>27</v>
      </c>
      <c r="C24" s="2"/>
      <c r="D24" s="2" t="s">
        <v>20</v>
      </c>
      <c r="E24" s="2"/>
      <c r="F24" s="2"/>
      <c r="G24" s="2"/>
      <c r="H24" s="2"/>
    </row>
    <row r="25" spans="1:8" ht="24" customHeight="1">
      <c r="A25" s="2" t="s">
        <v>21</v>
      </c>
      <c r="B25" s="7">
        <f>COUNTIFS(Feiertagsregeln!$R$7:$R$96,"approved")</f>
        <v>12</v>
      </c>
      <c r="C25" s="2"/>
      <c r="D25" s="2" t="s">
        <v>22</v>
      </c>
      <c r="E25" s="2"/>
      <c r="F25" s="2"/>
      <c r="G25" s="2"/>
      <c r="H25" s="2"/>
    </row>
    <row r="26" spans="1:8" ht="24" customHeight="1">
      <c r="A26" s="2" t="s">
        <v>23</v>
      </c>
      <c r="B26" s="7">
        <f>COUNTIFS(Feiertagsregeln!$R$7:$R$198,"open")</f>
        <v>180</v>
      </c>
      <c r="C26" s="2"/>
      <c r="D26" s="2" t="s">
        <v>24</v>
      </c>
      <c r="E26" s="2"/>
      <c r="F26" s="2"/>
      <c r="G26" s="2"/>
      <c r="H26" s="2"/>
    </row>
    <row r="27" spans="1:8" ht="24" customHeight="1">
      <c r="A27" s="2"/>
      <c r="B27" s="2"/>
      <c r="C27" s="2"/>
      <c r="D27" s="2"/>
      <c r="E27" s="2"/>
      <c r="F27" s="2"/>
      <c r="G27" s="2"/>
      <c r="H27" s="2"/>
    </row>
    <row r="28" spans="1:8" ht="24" customHeight="1">
      <c r="A28" s="2"/>
      <c r="B28" s="2"/>
      <c r="C28" s="2"/>
      <c r="D28" s="2"/>
      <c r="E28" s="2"/>
      <c r="F28" s="2"/>
      <c r="G28" s="2"/>
      <c r="H28" s="2"/>
    </row>
    <row r="29" spans="1:8" ht="24" customHeight="1">
      <c r="A29" s="2" t="s">
        <v>25</v>
      </c>
      <c r="B29" s="2"/>
      <c r="C29" s="2"/>
      <c r="D29" s="2"/>
      <c r="E29" s="2"/>
      <c r="F29" s="2"/>
      <c r="G29" s="2"/>
      <c r="H29" s="2"/>
    </row>
    <row r="30" spans="1:8" ht="24" customHeight="1">
      <c r="A30" s="2" t="s">
        <v>26</v>
      </c>
      <c r="B30" s="2"/>
      <c r="C30" s="2"/>
      <c r="D30" s="2"/>
      <c r="E30" s="2"/>
      <c r="F30" s="2"/>
      <c r="G30" s="2"/>
      <c r="H30" s="2"/>
    </row>
    <row r="31" spans="1:8" ht="24" customHeight="1">
      <c r="A31" s="2" t="s">
        <v>27</v>
      </c>
      <c r="B31" s="2"/>
      <c r="C31" s="2"/>
      <c r="D31" s="2"/>
      <c r="E31" s="2"/>
      <c r="F31" s="2"/>
      <c r="G31" s="2"/>
      <c r="H31" s="2"/>
    </row>
    <row r="32" spans="1:8" ht="24" customHeight="1">
      <c r="A32" s="2" t="s">
        <v>28</v>
      </c>
      <c r="B32" s="2"/>
      <c r="C32" s="2"/>
      <c r="D32" s="2"/>
      <c r="E32" s="2"/>
      <c r="F32" s="2"/>
      <c r="G32" s="2"/>
      <c r="H32" s="2"/>
    </row>
    <row r="33" spans="1:8" ht="24" customHeight="1">
      <c r="A33" s="2" t="s">
        <v>29</v>
      </c>
      <c r="B33" s="2"/>
      <c r="C33" s="2"/>
      <c r="D33" s="2"/>
      <c r="E33" s="2"/>
      <c r="F33" s="2"/>
      <c r="G33" s="2"/>
      <c r="H33" s="2"/>
    </row>
    <row r="34" spans="1:8" ht="24" customHeight="1">
      <c r="A34" s="2" t="s">
        <v>30</v>
      </c>
      <c r="B34" s="2"/>
      <c r="C34" s="2"/>
      <c r="D34" s="2"/>
      <c r="E34" s="2"/>
      <c r="F34" s="2"/>
      <c r="G34" s="2"/>
      <c r="H34" s="2"/>
    </row>
    <row r="35" spans="1:8" ht="24" customHeight="1">
      <c r="A35" s="2" t="s">
        <v>31</v>
      </c>
      <c r="B35" s="2"/>
      <c r="C35" s="2"/>
      <c r="D35" s="2"/>
      <c r="E35" s="2"/>
      <c r="F35" s="2"/>
      <c r="G35" s="2"/>
      <c r="H35" s="2"/>
    </row>
    <row r="36" spans="1:8" ht="24" customHeight="1">
      <c r="A36" s="2" t="s">
        <v>32</v>
      </c>
      <c r="B36" s="2"/>
      <c r="C36" s="2"/>
      <c r="D36" s="2"/>
      <c r="E36" s="2"/>
      <c r="F36" s="2"/>
      <c r="G36" s="2"/>
      <c r="H36" s="2"/>
    </row>
  </sheetData>
  <sheetProtection sheet="1" objects="1" scenarios="1" sort="0" autoFilter="0"/>
  <dataValidations count="1">
    <dataValidation type="whole" sqref="B4" xr:uid="{00000000-0002-0000-0000-000000000000}">
      <formula1>2026</formula1>
      <formula2>2028</formula2>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F6F73"/>
  </sheetPr>
  <dimension ref="A1:O207"/>
  <sheetViews>
    <sheetView showGridLines="0" tabSelected="1" zoomScale="150" zoomScaleNormal="150" workbookViewId="0">
      <pane xSplit="1" ySplit="6" topLeftCell="B132" activePane="bottomRight" state="frozen"/>
      <selection pane="topRight"/>
      <selection pane="bottomLeft"/>
      <selection pane="bottomRight" activeCell="B7" sqref="B7"/>
    </sheetView>
  </sheetViews>
  <sheetFormatPr baseColWidth="10" defaultColWidth="8.83203125" defaultRowHeight="14"/>
  <cols>
    <col min="1" max="1" width="17" customWidth="1"/>
    <col min="2" max="2" width="30" customWidth="1"/>
    <col min="3" max="3" width="17" customWidth="1"/>
    <col min="4" max="4" width="38" customWidth="1"/>
    <col min="5" max="5" width="40" customWidth="1"/>
    <col min="6" max="6" width="34" customWidth="1"/>
    <col min="7" max="8" width="32" customWidth="1"/>
    <col min="9" max="9" width="29" customWidth="1"/>
    <col min="10" max="10" width="17" customWidth="1"/>
    <col min="11" max="12" width="43" customWidth="1"/>
    <col min="13" max="13" width="35" customWidth="1"/>
    <col min="14" max="14" width="29" customWidth="1"/>
    <col min="15" max="15" width="22" customWidth="1"/>
  </cols>
  <sheetData>
    <row r="1" spans="1:15" ht="24" customHeight="1">
      <c r="A1" s="2"/>
      <c r="B1" s="2"/>
      <c r="C1" s="2"/>
      <c r="D1" s="2"/>
      <c r="E1" s="2"/>
      <c r="F1" s="2"/>
      <c r="I1" s="2"/>
      <c r="J1" s="2"/>
      <c r="K1" s="2"/>
      <c r="L1" s="2"/>
      <c r="M1" s="2"/>
      <c r="N1" s="2"/>
    </row>
    <row r="2" spans="1:15" ht="24" customHeight="1">
      <c r="A2" s="3" t="s">
        <v>33</v>
      </c>
      <c r="B2" s="2"/>
      <c r="C2" s="2"/>
      <c r="D2" s="2"/>
      <c r="E2" s="2"/>
      <c r="F2" s="2"/>
      <c r="I2" s="2"/>
      <c r="J2" s="2"/>
      <c r="K2" s="2"/>
      <c r="L2" s="2"/>
      <c r="M2" s="2"/>
      <c r="N2" s="2"/>
    </row>
    <row r="3" spans="1:15" ht="24" customHeight="1">
      <c r="A3" s="4"/>
      <c r="B3" s="4"/>
      <c r="C3" s="4"/>
      <c r="D3" s="4"/>
      <c r="E3" s="4"/>
      <c r="F3" s="4"/>
      <c r="I3" s="4"/>
      <c r="J3" s="4"/>
      <c r="K3" s="4"/>
      <c r="L3" s="4"/>
      <c r="M3" s="4"/>
      <c r="N3" s="4"/>
    </row>
    <row r="4" spans="1:15" ht="24" customHeight="1">
      <c r="A4" s="8" t="s">
        <v>34</v>
      </c>
      <c r="B4" s="2"/>
      <c r="C4" s="2"/>
      <c r="D4" s="2"/>
      <c r="E4" s="2"/>
      <c r="F4" s="2"/>
      <c r="I4" s="2"/>
      <c r="J4" s="2"/>
      <c r="K4" s="2"/>
      <c r="L4" s="2"/>
      <c r="M4" s="2"/>
      <c r="N4" s="2"/>
    </row>
    <row r="5" spans="1:15" ht="24" customHeight="1">
      <c r="A5" s="2"/>
      <c r="B5" s="2"/>
      <c r="C5" s="2"/>
      <c r="D5" s="2"/>
      <c r="E5" s="2"/>
      <c r="F5" s="2"/>
      <c r="I5" s="2"/>
      <c r="J5" s="2"/>
      <c r="K5" s="2"/>
      <c r="L5" s="2"/>
      <c r="M5" s="2"/>
      <c r="N5" s="2"/>
    </row>
    <row r="6" spans="1:15" ht="42" customHeight="1">
      <c r="A6" s="9" t="s">
        <v>35</v>
      </c>
      <c r="B6" s="9" t="s">
        <v>36</v>
      </c>
      <c r="C6" s="9" t="s">
        <v>19</v>
      </c>
      <c r="D6" s="9" t="s">
        <v>37</v>
      </c>
      <c r="E6" s="9" t="s">
        <v>38</v>
      </c>
      <c r="F6" s="9" t="s">
        <v>39</v>
      </c>
      <c r="G6" s="20" t="s">
        <v>40</v>
      </c>
      <c r="H6" s="20" t="s">
        <v>41</v>
      </c>
      <c r="I6" s="9" t="s">
        <v>42</v>
      </c>
      <c r="J6" s="9" t="s">
        <v>43</v>
      </c>
      <c r="K6" s="9" t="s">
        <v>44</v>
      </c>
      <c r="L6" s="9" t="s">
        <v>45</v>
      </c>
      <c r="M6" s="9" t="s">
        <v>46</v>
      </c>
      <c r="N6" s="9" t="s">
        <v>47</v>
      </c>
      <c r="O6" s="9" t="s">
        <v>48</v>
      </c>
    </row>
    <row r="7" spans="1:15" ht="38" customHeight="1">
      <c r="A7" s="14">
        <f>INDEX(Feiertagsregeln!$X$7:$X$198,MATCH($K7,Feiertagsregeln!$A$7:$A$198,0))</f>
        <v>46600</v>
      </c>
      <c r="B7" s="10" t="str">
        <f t="shared" ref="B7:B70" si="0">IF(ISNUMBER(A7),CHOOSE(WEEKDAY(A7,2),"Montag","Dienstag","Mittwoch","Donnerstag","Freitag","Samstag","Sonntag")&amp;IF(O7="Ab 12.00 Uhr",", ab 12.00 Uhr",""),"n.a.")</f>
        <v>Sonntag</v>
      </c>
      <c r="C7" s="10" t="s">
        <v>49</v>
      </c>
      <c r="D7" s="10" t="s">
        <v>50</v>
      </c>
      <c r="E7" s="10" t="str">
        <f>INDEX(Feiertagsregeln!$D$7:$D$198,MATCH($K7,Feiertagsregeln!$A$7:$A$198,0))</f>
        <v>Bundesfeiertag</v>
      </c>
      <c r="F7" s="10" t="str">
        <f>INDEX(Feiertagsregeln!$E$7:$E$198,MATCH($K7,Feiertagsregeln!$A$7:$A$198,0))</f>
        <v>Fête nationale</v>
      </c>
      <c r="G7" s="21" t="str">
        <f>IF(INDEX(Feiertagsregeln!$F$7:$F$198,MATCH($K7,Feiertagsregeln!$A$7:$A$198,0))="","Noch zu erfassen",INDEX(Feiertagsregeln!$F$7:$F$198,MATCH($K7,Feiertagsregeln!$A$7:$A$198,0)))</f>
        <v>Noch zu erfassen</v>
      </c>
      <c r="H7" s="21" t="str">
        <f>IF(INDEX(Feiertagsregeln!$G$7:$G$198,MATCH($K7,Feiertagsregeln!$A$7:$A$198,0))="","Noch zu erfassen",INDEX(Feiertagsregeln!$G$7:$G$198,MATCH($K7,Feiertagsregeln!$A$7:$A$198,0)))</f>
        <v>Noch zu erfassen</v>
      </c>
      <c r="I7" s="10" t="str">
        <f>INDEX(Feiertagsregeln!$H$7:$H$198,MATCH($K7,Feiertagsregeln!$A$7:$A$198,0))</f>
        <v>publicHoliday</v>
      </c>
      <c r="J7" s="10" t="str">
        <f>INDEX(Feiertagsregeln!$R$7:$R$96,MATCH($K7,Feiertagsregeln!$A$7:$A$96,0))</f>
        <v>approved</v>
      </c>
      <c r="K7" s="10" t="s">
        <v>51</v>
      </c>
      <c r="L7" s="10" t="str">
        <f>INDEX(Feiertagsregeln!$Y$7:$Y$198,MATCH($K7,Feiertagsregeln!$A$7:$A$198,0))</f>
        <v>SRC-BUNDESFEIERTAG-19940701</v>
      </c>
      <c r="M7" s="10" t="str">
        <f>INDEX(Feiertagsregeln!$Z$7:$Z$198,MATCH($K7,Feiertagsregeln!$A$7:$A$198,0))</f>
        <v>Art. 1</v>
      </c>
      <c r="N7" s="10" t="s">
        <v>52</v>
      </c>
      <c r="O7" s="10" t="str">
        <f>INDEX(Feiertagsregeln!$AA$7:$AA$198,MATCH($K7,Feiertagsregeln!$A$7:$A$198,0))</f>
        <v>Ganztägig</v>
      </c>
    </row>
    <row r="8" spans="1:15" ht="38" customHeight="1">
      <c r="A8" s="15">
        <f>INDEX(Feiertagsregeln!$X$7:$X$198,MATCH($K8,Feiertagsregeln!$A$7:$A$198,0))</f>
        <v>46600</v>
      </c>
      <c r="B8" s="11" t="str">
        <f t="shared" si="0"/>
        <v>Sonntag</v>
      </c>
      <c r="C8" s="11" t="s">
        <v>53</v>
      </c>
      <c r="D8" s="11" t="s">
        <v>54</v>
      </c>
      <c r="E8" s="11" t="str">
        <f>INDEX(Feiertagsregeln!$D$7:$D$198,MATCH($K8,Feiertagsregeln!$A$7:$A$198,0))</f>
        <v>Bundesfeiertag</v>
      </c>
      <c r="F8" s="11" t="str">
        <f>INDEX(Feiertagsregeln!$E$7:$E$198,MATCH($K8,Feiertagsregeln!$A$7:$A$198,0))</f>
        <v>Fête nationale</v>
      </c>
      <c r="G8" s="22" t="str">
        <f>IF(INDEX(Feiertagsregeln!$F$7:$F$198,MATCH($K8,Feiertagsregeln!$A$7:$A$198,0))="","Noch zu erfassen",INDEX(Feiertagsregeln!$F$7:$F$198,MATCH($K8,Feiertagsregeln!$A$7:$A$198,0)))</f>
        <v>Noch zu erfassen</v>
      </c>
      <c r="H8" s="22" t="str">
        <f>IF(INDEX(Feiertagsregeln!$G$7:$G$198,MATCH($K8,Feiertagsregeln!$A$7:$A$198,0))="","Noch zu erfassen",INDEX(Feiertagsregeln!$G$7:$G$198,MATCH($K8,Feiertagsregeln!$A$7:$A$198,0)))</f>
        <v>Noch zu erfassen</v>
      </c>
      <c r="I8" s="11" t="str">
        <f>INDEX(Feiertagsregeln!$H$7:$H$198,MATCH($K8,Feiertagsregeln!$A$7:$A$198,0))</f>
        <v>publicHoliday</v>
      </c>
      <c r="J8" s="11" t="str">
        <f>INDEX(Feiertagsregeln!$R$7:$R$96,MATCH($K8,Feiertagsregeln!$A$7:$A$96,0))</f>
        <v>approved</v>
      </c>
      <c r="K8" s="11" t="s">
        <v>51</v>
      </c>
      <c r="L8" s="11" t="str">
        <f>INDEX(Feiertagsregeln!$Y$7:$Y$198,MATCH($K8,Feiertagsregeln!$A$7:$A$198,0))</f>
        <v>SRC-BUNDESFEIERTAG-19940701</v>
      </c>
      <c r="M8" s="11" t="str">
        <f>INDEX(Feiertagsregeln!$Z$7:$Z$198,MATCH($K8,Feiertagsregeln!$A$7:$A$198,0))</f>
        <v>Art. 1</v>
      </c>
      <c r="N8" s="11" t="s">
        <v>55</v>
      </c>
      <c r="O8" s="11" t="str">
        <f>INDEX(Feiertagsregeln!$AA$7:$AA$198,MATCH($K8,Feiertagsregeln!$A$7:$A$198,0))</f>
        <v>Ganztägig</v>
      </c>
    </row>
    <row r="9" spans="1:15" ht="38" customHeight="1">
      <c r="A9" s="14">
        <f>INDEX(Feiertagsregeln!$X$7:$X$198,MATCH($K9,Feiertagsregeln!$A$7:$A$198,0))</f>
        <v>46388</v>
      </c>
      <c r="B9" s="10" t="str">
        <f t="shared" si="0"/>
        <v>Freitag</v>
      </c>
      <c r="C9" s="10" t="s">
        <v>53</v>
      </c>
      <c r="D9" s="10" t="s">
        <v>54</v>
      </c>
      <c r="E9" s="10" t="str">
        <f>INDEX(Feiertagsregeln!$D$7:$D$198,MATCH($K9,Feiertagsregeln!$A$7:$A$198,0))</f>
        <v>Neujahr</v>
      </c>
      <c r="F9" s="10" t="str">
        <f>INDEX(Feiertagsregeln!$E$7:$E$198,MATCH($K9,Feiertagsregeln!$A$7:$A$198,0))</f>
        <v>Nouvel An</v>
      </c>
      <c r="G9" s="21" t="str">
        <f>IF(INDEX(Feiertagsregeln!$F$7:$F$198,MATCH($K9,Feiertagsregeln!$A$7:$A$198,0))="","Noch zu erfassen",INDEX(Feiertagsregeln!$F$7:$F$198,MATCH($K9,Feiertagsregeln!$A$7:$A$198,0)))</f>
        <v>Noch zu erfassen</v>
      </c>
      <c r="H9" s="21" t="str">
        <f>IF(INDEX(Feiertagsregeln!$G$7:$G$198,MATCH($K9,Feiertagsregeln!$A$7:$A$198,0))="","Noch zu erfassen",INDEX(Feiertagsregeln!$G$7:$G$198,MATCH($K9,Feiertagsregeln!$A$7:$A$198,0)))</f>
        <v>Noch zu erfassen</v>
      </c>
      <c r="I9" s="10" t="str">
        <f>INDEX(Feiertagsregeln!$H$7:$H$198,MATCH($K9,Feiertagsregeln!$A$7:$A$198,0))</f>
        <v>publicHoliday</v>
      </c>
      <c r="J9" s="10" t="str">
        <f>INDEX(Feiertagsregeln!$R$7:$R$96,MATCH($K9,Feiertagsregeln!$A$7:$A$96,0))</f>
        <v>approved</v>
      </c>
      <c r="K9" s="10" t="s">
        <v>56</v>
      </c>
      <c r="L9" s="10" t="str">
        <f>INDEX(Feiertagsregeln!$Y$7:$Y$198,MATCH($K9,Feiertagsregeln!$A$7:$A$198,0))</f>
        <v>SRC-FRG-BE-20210401</v>
      </c>
      <c r="M9" s="10" t="str">
        <f>INDEX(Feiertagsregeln!$Z$7:$Z$198,MATCH($K9,Feiertagsregeln!$A$7:$A$198,0))</f>
        <v>Art. 2 Abs. 1 Bst. c</v>
      </c>
      <c r="N9" s="10" t="s">
        <v>55</v>
      </c>
      <c r="O9" s="10" t="str">
        <f>INDEX(Feiertagsregeln!$AA$7:$AA$198,MATCH($K9,Feiertagsregeln!$A$7:$A$198,0))</f>
        <v>Ganztägig</v>
      </c>
    </row>
    <row r="10" spans="1:15" ht="38" customHeight="1">
      <c r="A10" s="15">
        <f>INDEX(Feiertagsregeln!$X$7:$X$198,MATCH($K10,Feiertagsregeln!$A$7:$A$198,0))</f>
        <v>46389</v>
      </c>
      <c r="B10" s="11" t="str">
        <f t="shared" si="0"/>
        <v>Samstag</v>
      </c>
      <c r="C10" s="11" t="s">
        <v>53</v>
      </c>
      <c r="D10" s="11" t="s">
        <v>54</v>
      </c>
      <c r="E10" s="11" t="str">
        <f>INDEX(Feiertagsregeln!$D$7:$D$198,MATCH($K10,Feiertagsregeln!$A$7:$A$198,0))</f>
        <v>Berchtoldstag</v>
      </c>
      <c r="F10" s="11" t="str">
        <f>INDEX(Feiertagsregeln!$E$7:$E$198,MATCH($K10,Feiertagsregeln!$A$7:$A$198,0))</f>
        <v>Saint-Berchtold</v>
      </c>
      <c r="G10" s="22" t="str">
        <f>IF(INDEX(Feiertagsregeln!$F$7:$F$198,MATCH($K10,Feiertagsregeln!$A$7:$A$198,0))="","Noch zu erfassen",INDEX(Feiertagsregeln!$F$7:$F$198,MATCH($K10,Feiertagsregeln!$A$7:$A$198,0)))</f>
        <v>Noch zu erfassen</v>
      </c>
      <c r="H10" s="22" t="str">
        <f>IF(INDEX(Feiertagsregeln!$G$7:$G$198,MATCH($K10,Feiertagsregeln!$A$7:$A$198,0))="","Noch zu erfassen",INDEX(Feiertagsregeln!$G$7:$G$198,MATCH($K10,Feiertagsregeln!$A$7:$A$198,0)))</f>
        <v>Noch zu erfassen</v>
      </c>
      <c r="I10" s="11" t="str">
        <f>INDEX(Feiertagsregeln!$H$7:$H$198,MATCH($K10,Feiertagsregeln!$A$7:$A$198,0))</f>
        <v>publicHoliday</v>
      </c>
      <c r="J10" s="11" t="str">
        <f>INDEX(Feiertagsregeln!$R$7:$R$96,MATCH($K10,Feiertagsregeln!$A$7:$A$96,0))</f>
        <v>approved</v>
      </c>
      <c r="K10" s="11" t="s">
        <v>57</v>
      </c>
      <c r="L10" s="11" t="str">
        <f>INDEX(Feiertagsregeln!$Y$7:$Y$198,MATCH($K10,Feiertagsregeln!$A$7:$A$198,0))</f>
        <v>SRC-FRG-BE-20210401</v>
      </c>
      <c r="M10" s="11" t="str">
        <f>INDEX(Feiertagsregeln!$Z$7:$Z$198,MATCH($K10,Feiertagsregeln!$A$7:$A$198,0))</f>
        <v>Art. 2 Abs. 1 Bst. c</v>
      </c>
      <c r="N10" s="11" t="s">
        <v>55</v>
      </c>
      <c r="O10" s="11" t="str">
        <f>INDEX(Feiertagsregeln!$AA$7:$AA$198,MATCH($K10,Feiertagsregeln!$A$7:$A$198,0))</f>
        <v>Ganztägig</v>
      </c>
    </row>
    <row r="11" spans="1:15" ht="38" customHeight="1">
      <c r="A11" s="14">
        <f>INDEX(Feiertagsregeln!$X$7:$X$198,MATCH($K11,Feiertagsregeln!$A$7:$A$198,0))</f>
        <v>46472</v>
      </c>
      <c r="B11" s="10" t="str">
        <f t="shared" si="0"/>
        <v>Freitag</v>
      </c>
      <c r="C11" s="10" t="s">
        <v>53</v>
      </c>
      <c r="D11" s="10" t="s">
        <v>54</v>
      </c>
      <c r="E11" s="10" t="str">
        <f>INDEX(Feiertagsregeln!$D$7:$D$198,MATCH($K11,Feiertagsregeln!$A$7:$A$198,0))</f>
        <v>Karfreitag</v>
      </c>
      <c r="F11" s="10" t="str">
        <f>INDEX(Feiertagsregeln!$E$7:$E$198,MATCH($K11,Feiertagsregeln!$A$7:$A$198,0))</f>
        <v>Vendredi saint</v>
      </c>
      <c r="G11" s="21" t="str">
        <f>IF(INDEX(Feiertagsregeln!$F$7:$F$198,MATCH($K11,Feiertagsregeln!$A$7:$A$198,0))="","Noch zu erfassen",INDEX(Feiertagsregeln!$F$7:$F$198,MATCH($K11,Feiertagsregeln!$A$7:$A$198,0)))</f>
        <v>Noch zu erfassen</v>
      </c>
      <c r="H11" s="21" t="str">
        <f>IF(INDEX(Feiertagsregeln!$G$7:$G$198,MATCH($K11,Feiertagsregeln!$A$7:$A$198,0))="","Noch zu erfassen",INDEX(Feiertagsregeln!$G$7:$G$198,MATCH($K11,Feiertagsregeln!$A$7:$A$198,0)))</f>
        <v>Noch zu erfassen</v>
      </c>
      <c r="I11" s="10" t="str">
        <f>INDEX(Feiertagsregeln!$H$7:$H$198,MATCH($K11,Feiertagsregeln!$A$7:$A$198,0))</f>
        <v>publicHoliday</v>
      </c>
      <c r="J11" s="10" t="str">
        <f>INDEX(Feiertagsregeln!$R$7:$R$96,MATCH($K11,Feiertagsregeln!$A$7:$A$96,0))</f>
        <v>approved</v>
      </c>
      <c r="K11" s="10" t="s">
        <v>58</v>
      </c>
      <c r="L11" s="10" t="str">
        <f>INDEX(Feiertagsregeln!$Y$7:$Y$198,MATCH($K11,Feiertagsregeln!$A$7:$A$198,0))</f>
        <v>SRC-FRG-BE-20210401</v>
      </c>
      <c r="M11" s="10" t="str">
        <f>INDEX(Feiertagsregeln!$Z$7:$Z$198,MATCH($K11,Feiertagsregeln!$A$7:$A$198,0))</f>
        <v>Art. 2 Abs. 1 Bst. b</v>
      </c>
      <c r="N11" s="10" t="s">
        <v>55</v>
      </c>
      <c r="O11" s="10" t="str">
        <f>INDEX(Feiertagsregeln!$AA$7:$AA$198,MATCH($K11,Feiertagsregeln!$A$7:$A$198,0))</f>
        <v>Ganztägig</v>
      </c>
    </row>
    <row r="12" spans="1:15" ht="38" customHeight="1">
      <c r="A12" s="15">
        <f>INDEX(Feiertagsregeln!$X$7:$X$198,MATCH($K12,Feiertagsregeln!$A$7:$A$198,0))</f>
        <v>46474</v>
      </c>
      <c r="B12" s="11" t="str">
        <f t="shared" si="0"/>
        <v>Sonntag</v>
      </c>
      <c r="C12" s="11" t="s">
        <v>53</v>
      </c>
      <c r="D12" s="11" t="s">
        <v>54</v>
      </c>
      <c r="E12" s="11" t="str">
        <f>INDEX(Feiertagsregeln!$D$7:$D$198,MATCH($K12,Feiertagsregeln!$A$7:$A$198,0))</f>
        <v>Ostern</v>
      </c>
      <c r="F12" s="11" t="str">
        <f>INDEX(Feiertagsregeln!$E$7:$E$198,MATCH($K12,Feiertagsregeln!$A$7:$A$198,0))</f>
        <v>Pâques</v>
      </c>
      <c r="G12" s="22" t="str">
        <f>IF(INDEX(Feiertagsregeln!$F$7:$F$198,MATCH($K12,Feiertagsregeln!$A$7:$A$198,0))="","Noch zu erfassen",INDEX(Feiertagsregeln!$F$7:$F$198,MATCH($K12,Feiertagsregeln!$A$7:$A$198,0)))</f>
        <v>Noch zu erfassen</v>
      </c>
      <c r="H12" s="22" t="str">
        <f>IF(INDEX(Feiertagsregeln!$G$7:$G$198,MATCH($K12,Feiertagsregeln!$A$7:$A$198,0))="","Noch zu erfassen",INDEX(Feiertagsregeln!$G$7:$G$198,MATCH($K12,Feiertagsregeln!$A$7:$A$198,0)))</f>
        <v>Noch zu erfassen</v>
      </c>
      <c r="I12" s="11" t="str">
        <f>INDEX(Feiertagsregeln!$H$7:$H$198,MATCH($K12,Feiertagsregeln!$A$7:$A$198,0))</f>
        <v>publicHoliday</v>
      </c>
      <c r="J12" s="11" t="str">
        <f>INDEX(Feiertagsregeln!$R$7:$R$96,MATCH($K12,Feiertagsregeln!$A$7:$A$96,0))</f>
        <v>approved</v>
      </c>
      <c r="K12" s="11" t="s">
        <v>59</v>
      </c>
      <c r="L12" s="11" t="str">
        <f>INDEX(Feiertagsregeln!$Y$7:$Y$198,MATCH($K12,Feiertagsregeln!$A$7:$A$198,0))</f>
        <v>SRC-FRG-BE-20210401</v>
      </c>
      <c r="M12" s="11" t="str">
        <f>INDEX(Feiertagsregeln!$Z$7:$Z$198,MATCH($K12,Feiertagsregeln!$A$7:$A$198,0))</f>
        <v>Art. 2 Abs. 1 Bst. b</v>
      </c>
      <c r="N12" s="11" t="s">
        <v>55</v>
      </c>
      <c r="O12" s="11" t="str">
        <f>INDEX(Feiertagsregeln!$AA$7:$AA$198,MATCH($K12,Feiertagsregeln!$A$7:$A$198,0))</f>
        <v>Ganztägig</v>
      </c>
    </row>
    <row r="13" spans="1:15" ht="38" customHeight="1">
      <c r="A13" s="14">
        <f>INDEX(Feiertagsregeln!$X$7:$X$198,MATCH($K13,Feiertagsregeln!$A$7:$A$198,0))</f>
        <v>46475</v>
      </c>
      <c r="B13" s="10" t="str">
        <f t="shared" si="0"/>
        <v>Montag</v>
      </c>
      <c r="C13" s="10" t="s">
        <v>53</v>
      </c>
      <c r="D13" s="10" t="s">
        <v>54</v>
      </c>
      <c r="E13" s="10" t="str">
        <f>INDEX(Feiertagsregeln!$D$7:$D$198,MATCH($K13,Feiertagsregeln!$A$7:$A$198,0))</f>
        <v>Ostermontag</v>
      </c>
      <c r="F13" s="10" t="str">
        <f>INDEX(Feiertagsregeln!$E$7:$E$198,MATCH($K13,Feiertagsregeln!$A$7:$A$198,0))</f>
        <v>Lundi de Pâques</v>
      </c>
      <c r="G13" s="21" t="str">
        <f>IF(INDEX(Feiertagsregeln!$F$7:$F$198,MATCH($K13,Feiertagsregeln!$A$7:$A$198,0))="","Noch zu erfassen",INDEX(Feiertagsregeln!$F$7:$F$198,MATCH($K13,Feiertagsregeln!$A$7:$A$198,0)))</f>
        <v>Noch zu erfassen</v>
      </c>
      <c r="H13" s="21" t="str">
        <f>IF(INDEX(Feiertagsregeln!$G$7:$G$198,MATCH($K13,Feiertagsregeln!$A$7:$A$198,0))="","Noch zu erfassen",INDEX(Feiertagsregeln!$G$7:$G$198,MATCH($K13,Feiertagsregeln!$A$7:$A$198,0)))</f>
        <v>Noch zu erfassen</v>
      </c>
      <c r="I13" s="10" t="str">
        <f>INDEX(Feiertagsregeln!$H$7:$H$198,MATCH($K13,Feiertagsregeln!$A$7:$A$198,0))</f>
        <v>publicHoliday</v>
      </c>
      <c r="J13" s="10" t="str">
        <f>INDEX(Feiertagsregeln!$R$7:$R$96,MATCH($K13,Feiertagsregeln!$A$7:$A$96,0))</f>
        <v>approved</v>
      </c>
      <c r="K13" s="10" t="s">
        <v>60</v>
      </c>
      <c r="L13" s="10" t="str">
        <f>INDEX(Feiertagsregeln!$Y$7:$Y$198,MATCH($K13,Feiertagsregeln!$A$7:$A$198,0))</f>
        <v>SRC-FRG-BE-20210401</v>
      </c>
      <c r="M13" s="10" t="str">
        <f>INDEX(Feiertagsregeln!$Z$7:$Z$198,MATCH($K13,Feiertagsregeln!$A$7:$A$198,0))</f>
        <v>Art. 2 Abs. 1 Bst. c</v>
      </c>
      <c r="N13" s="10" t="s">
        <v>55</v>
      </c>
      <c r="O13" s="10" t="str">
        <f>INDEX(Feiertagsregeln!$AA$7:$AA$198,MATCH($K13,Feiertagsregeln!$A$7:$A$198,0))</f>
        <v>Ganztägig</v>
      </c>
    </row>
    <row r="14" spans="1:15" ht="38" customHeight="1">
      <c r="A14" s="15">
        <f>INDEX(Feiertagsregeln!$X$7:$X$198,MATCH($K14,Feiertagsregeln!$A$7:$A$198,0))</f>
        <v>46513</v>
      </c>
      <c r="B14" s="11" t="str">
        <f t="shared" si="0"/>
        <v>Donnerstag</v>
      </c>
      <c r="C14" s="11" t="s">
        <v>53</v>
      </c>
      <c r="D14" s="11" t="s">
        <v>54</v>
      </c>
      <c r="E14" s="11" t="str">
        <f>INDEX(Feiertagsregeln!$D$7:$D$198,MATCH($K14,Feiertagsregeln!$A$7:$A$198,0))</f>
        <v>Auffahrt</v>
      </c>
      <c r="F14" s="11" t="str">
        <f>INDEX(Feiertagsregeln!$E$7:$E$198,MATCH($K14,Feiertagsregeln!$A$7:$A$198,0))</f>
        <v>Ascension</v>
      </c>
      <c r="G14" s="22" t="str">
        <f>IF(INDEX(Feiertagsregeln!$F$7:$F$198,MATCH($K14,Feiertagsregeln!$A$7:$A$198,0))="","Noch zu erfassen",INDEX(Feiertagsregeln!$F$7:$F$198,MATCH($K14,Feiertagsregeln!$A$7:$A$198,0)))</f>
        <v>Noch zu erfassen</v>
      </c>
      <c r="H14" s="22" t="str">
        <f>IF(INDEX(Feiertagsregeln!$G$7:$G$198,MATCH($K14,Feiertagsregeln!$A$7:$A$198,0))="","Noch zu erfassen",INDEX(Feiertagsregeln!$G$7:$G$198,MATCH($K14,Feiertagsregeln!$A$7:$A$198,0)))</f>
        <v>Noch zu erfassen</v>
      </c>
      <c r="I14" s="11" t="str">
        <f>INDEX(Feiertagsregeln!$H$7:$H$198,MATCH($K14,Feiertagsregeln!$A$7:$A$198,0))</f>
        <v>publicHoliday</v>
      </c>
      <c r="J14" s="11" t="str">
        <f>INDEX(Feiertagsregeln!$R$7:$R$96,MATCH($K14,Feiertagsregeln!$A$7:$A$96,0))</f>
        <v>approved</v>
      </c>
      <c r="K14" s="11" t="s">
        <v>61</v>
      </c>
      <c r="L14" s="11" t="str">
        <f>INDEX(Feiertagsregeln!$Y$7:$Y$198,MATCH($K14,Feiertagsregeln!$A$7:$A$198,0))</f>
        <v>SRC-FRG-BE-20210401</v>
      </c>
      <c r="M14" s="11" t="str">
        <f>INDEX(Feiertagsregeln!$Z$7:$Z$198,MATCH($K14,Feiertagsregeln!$A$7:$A$198,0))</f>
        <v>Art. 2 Abs. 1 Bst. b</v>
      </c>
      <c r="N14" s="11" t="s">
        <v>55</v>
      </c>
      <c r="O14" s="11" t="str">
        <f>INDEX(Feiertagsregeln!$AA$7:$AA$198,MATCH($K14,Feiertagsregeln!$A$7:$A$198,0))</f>
        <v>Ganztägig</v>
      </c>
    </row>
    <row r="15" spans="1:15" ht="38" customHeight="1">
      <c r="A15" s="14">
        <f>INDEX(Feiertagsregeln!$X$7:$X$198,MATCH($K15,Feiertagsregeln!$A$7:$A$198,0))</f>
        <v>46523</v>
      </c>
      <c r="B15" s="10" t="str">
        <f t="shared" si="0"/>
        <v>Sonntag</v>
      </c>
      <c r="C15" s="10" t="s">
        <v>53</v>
      </c>
      <c r="D15" s="10" t="s">
        <v>54</v>
      </c>
      <c r="E15" s="10" t="str">
        <f>INDEX(Feiertagsregeln!$D$7:$D$198,MATCH($K15,Feiertagsregeln!$A$7:$A$198,0))</f>
        <v>Pfingsten</v>
      </c>
      <c r="F15" s="10" t="str">
        <f>INDEX(Feiertagsregeln!$E$7:$E$198,MATCH($K15,Feiertagsregeln!$A$7:$A$198,0))</f>
        <v>Pentecôte</v>
      </c>
      <c r="G15" s="21" t="str">
        <f>IF(INDEX(Feiertagsregeln!$F$7:$F$198,MATCH($K15,Feiertagsregeln!$A$7:$A$198,0))="","Noch zu erfassen",INDEX(Feiertagsregeln!$F$7:$F$198,MATCH($K15,Feiertagsregeln!$A$7:$A$198,0)))</f>
        <v>Noch zu erfassen</v>
      </c>
      <c r="H15" s="21" t="str">
        <f>IF(INDEX(Feiertagsregeln!$G$7:$G$198,MATCH($K15,Feiertagsregeln!$A$7:$A$198,0))="","Noch zu erfassen",INDEX(Feiertagsregeln!$G$7:$G$198,MATCH($K15,Feiertagsregeln!$A$7:$A$198,0)))</f>
        <v>Noch zu erfassen</v>
      </c>
      <c r="I15" s="10" t="str">
        <f>INDEX(Feiertagsregeln!$H$7:$H$198,MATCH($K15,Feiertagsregeln!$A$7:$A$198,0))</f>
        <v>publicHoliday</v>
      </c>
      <c r="J15" s="10" t="str">
        <f>INDEX(Feiertagsregeln!$R$7:$R$96,MATCH($K15,Feiertagsregeln!$A$7:$A$96,0))</f>
        <v>approved</v>
      </c>
      <c r="K15" s="10" t="s">
        <v>62</v>
      </c>
      <c r="L15" s="10" t="str">
        <f>INDEX(Feiertagsregeln!$Y$7:$Y$198,MATCH($K15,Feiertagsregeln!$A$7:$A$198,0))</f>
        <v>SRC-FRG-BE-20210401</v>
      </c>
      <c r="M15" s="10" t="str">
        <f>INDEX(Feiertagsregeln!$Z$7:$Z$198,MATCH($K15,Feiertagsregeln!$A$7:$A$198,0))</f>
        <v>Art. 2 Abs. 1 Bst. b</v>
      </c>
      <c r="N15" s="10" t="s">
        <v>55</v>
      </c>
      <c r="O15" s="10" t="str">
        <f>INDEX(Feiertagsregeln!$AA$7:$AA$198,MATCH($K15,Feiertagsregeln!$A$7:$A$198,0))</f>
        <v>Ganztägig</v>
      </c>
    </row>
    <row r="16" spans="1:15" ht="38" customHeight="1">
      <c r="A16" s="15">
        <f>INDEX(Feiertagsregeln!$X$7:$X$198,MATCH($K16,Feiertagsregeln!$A$7:$A$198,0))</f>
        <v>46524</v>
      </c>
      <c r="B16" s="11" t="str">
        <f t="shared" si="0"/>
        <v>Montag</v>
      </c>
      <c r="C16" s="11" t="s">
        <v>53</v>
      </c>
      <c r="D16" s="11" t="s">
        <v>54</v>
      </c>
      <c r="E16" s="11" t="str">
        <f>INDEX(Feiertagsregeln!$D$7:$D$198,MATCH($K16,Feiertagsregeln!$A$7:$A$198,0))</f>
        <v>Pfingstmontag</v>
      </c>
      <c r="F16" s="11" t="str">
        <f>INDEX(Feiertagsregeln!$E$7:$E$198,MATCH($K16,Feiertagsregeln!$A$7:$A$198,0))</f>
        <v>Lundi de Pentecôte</v>
      </c>
      <c r="G16" s="22" t="str">
        <f>IF(INDEX(Feiertagsregeln!$F$7:$F$198,MATCH($K16,Feiertagsregeln!$A$7:$A$198,0))="","Noch zu erfassen",INDEX(Feiertagsregeln!$F$7:$F$198,MATCH($K16,Feiertagsregeln!$A$7:$A$198,0)))</f>
        <v>Noch zu erfassen</v>
      </c>
      <c r="H16" s="22" t="str">
        <f>IF(INDEX(Feiertagsregeln!$G$7:$G$198,MATCH($K16,Feiertagsregeln!$A$7:$A$198,0))="","Noch zu erfassen",INDEX(Feiertagsregeln!$G$7:$G$198,MATCH($K16,Feiertagsregeln!$A$7:$A$198,0)))</f>
        <v>Noch zu erfassen</v>
      </c>
      <c r="I16" s="11" t="str">
        <f>INDEX(Feiertagsregeln!$H$7:$H$198,MATCH($K16,Feiertagsregeln!$A$7:$A$198,0))</f>
        <v>publicHoliday</v>
      </c>
      <c r="J16" s="11" t="str">
        <f>INDEX(Feiertagsregeln!$R$7:$R$96,MATCH($K16,Feiertagsregeln!$A$7:$A$96,0))</f>
        <v>approved</v>
      </c>
      <c r="K16" s="11" t="s">
        <v>63</v>
      </c>
      <c r="L16" s="11" t="str">
        <f>INDEX(Feiertagsregeln!$Y$7:$Y$198,MATCH($K16,Feiertagsregeln!$A$7:$A$198,0))</f>
        <v>SRC-FRG-BE-20210401</v>
      </c>
      <c r="M16" s="11" t="str">
        <f>INDEX(Feiertagsregeln!$Z$7:$Z$198,MATCH($K16,Feiertagsregeln!$A$7:$A$198,0))</f>
        <v>Art. 2 Abs. 1 Bst. c</v>
      </c>
      <c r="N16" s="11" t="s">
        <v>55</v>
      </c>
      <c r="O16" s="11" t="str">
        <f>INDEX(Feiertagsregeln!$AA$7:$AA$198,MATCH($K16,Feiertagsregeln!$A$7:$A$198,0))</f>
        <v>Ganztägig</v>
      </c>
    </row>
    <row r="17" spans="1:15" ht="38" customHeight="1">
      <c r="A17" s="14">
        <f>INDEX(Feiertagsregeln!$X$7:$X$198,MATCH($K17,Feiertagsregeln!$A$7:$A$198,0))</f>
        <v>46649</v>
      </c>
      <c r="B17" s="10" t="str">
        <f t="shared" si="0"/>
        <v>Sonntag</v>
      </c>
      <c r="C17" s="10" t="s">
        <v>53</v>
      </c>
      <c r="D17" s="10" t="s">
        <v>54</v>
      </c>
      <c r="E17" s="10" t="str">
        <f>INDEX(Feiertagsregeln!$D$7:$D$198,MATCH($K17,Feiertagsregeln!$A$7:$A$198,0))</f>
        <v>Eidgenössischer Dank-, Buss- und Bettag</v>
      </c>
      <c r="F17" s="10" t="str">
        <f>INDEX(Feiertagsregeln!$E$7:$E$198,MATCH($K17,Feiertagsregeln!$A$7:$A$198,0))</f>
        <v>Jeûne fédéral</v>
      </c>
      <c r="G17" s="21" t="str">
        <f>IF(INDEX(Feiertagsregeln!$F$7:$F$198,MATCH($K17,Feiertagsregeln!$A$7:$A$198,0))="","Noch zu erfassen",INDEX(Feiertagsregeln!$F$7:$F$198,MATCH($K17,Feiertagsregeln!$A$7:$A$198,0)))</f>
        <v>Noch zu erfassen</v>
      </c>
      <c r="H17" s="21" t="str">
        <f>IF(INDEX(Feiertagsregeln!$G$7:$G$198,MATCH($K17,Feiertagsregeln!$A$7:$A$198,0))="","Noch zu erfassen",INDEX(Feiertagsregeln!$G$7:$G$198,MATCH($K17,Feiertagsregeln!$A$7:$A$198,0)))</f>
        <v>Noch zu erfassen</v>
      </c>
      <c r="I17" s="10" t="str">
        <f>INDEX(Feiertagsregeln!$H$7:$H$198,MATCH($K17,Feiertagsregeln!$A$7:$A$198,0))</f>
        <v>publicHoliday</v>
      </c>
      <c r="J17" s="10" t="str">
        <f>INDEX(Feiertagsregeln!$R$7:$R$96,MATCH($K17,Feiertagsregeln!$A$7:$A$96,0))</f>
        <v>approved</v>
      </c>
      <c r="K17" s="10" t="s">
        <v>64</v>
      </c>
      <c r="L17" s="10" t="str">
        <f>INDEX(Feiertagsregeln!$Y$7:$Y$198,MATCH($K17,Feiertagsregeln!$A$7:$A$198,0))</f>
        <v>SRC-FRG-BE-20210401</v>
      </c>
      <c r="M17" s="10" t="str">
        <f>INDEX(Feiertagsregeln!$Z$7:$Z$198,MATCH($K17,Feiertagsregeln!$A$7:$A$198,0))</f>
        <v>Art. 2 Abs. 1 Bst. b</v>
      </c>
      <c r="N17" s="10" t="s">
        <v>55</v>
      </c>
      <c r="O17" s="10" t="str">
        <f>INDEX(Feiertagsregeln!$AA$7:$AA$198,MATCH($K17,Feiertagsregeln!$A$7:$A$198,0))</f>
        <v>Ganztägig</v>
      </c>
    </row>
    <row r="18" spans="1:15" ht="38" customHeight="1">
      <c r="A18" s="15">
        <f>INDEX(Feiertagsregeln!$X$7:$X$198,MATCH($K18,Feiertagsregeln!$A$7:$A$198,0))</f>
        <v>46746</v>
      </c>
      <c r="B18" s="11" t="str">
        <f t="shared" si="0"/>
        <v>Samstag</v>
      </c>
      <c r="C18" s="11" t="s">
        <v>53</v>
      </c>
      <c r="D18" s="11" t="s">
        <v>54</v>
      </c>
      <c r="E18" s="11" t="str">
        <f>INDEX(Feiertagsregeln!$D$7:$D$198,MATCH($K18,Feiertagsregeln!$A$7:$A$198,0))</f>
        <v>Weihnachten</v>
      </c>
      <c r="F18" s="11" t="str">
        <f>INDEX(Feiertagsregeln!$E$7:$E$198,MATCH($K18,Feiertagsregeln!$A$7:$A$198,0))</f>
        <v>Noël</v>
      </c>
      <c r="G18" s="22" t="str">
        <f>IF(INDEX(Feiertagsregeln!$F$7:$F$198,MATCH($K18,Feiertagsregeln!$A$7:$A$198,0))="","Noch zu erfassen",INDEX(Feiertagsregeln!$F$7:$F$198,MATCH($K18,Feiertagsregeln!$A$7:$A$198,0)))</f>
        <v>Noch zu erfassen</v>
      </c>
      <c r="H18" s="22" t="str">
        <f>IF(INDEX(Feiertagsregeln!$G$7:$G$198,MATCH($K18,Feiertagsregeln!$A$7:$A$198,0))="","Noch zu erfassen",INDEX(Feiertagsregeln!$G$7:$G$198,MATCH($K18,Feiertagsregeln!$A$7:$A$198,0)))</f>
        <v>Noch zu erfassen</v>
      </c>
      <c r="I18" s="11" t="str">
        <f>INDEX(Feiertagsregeln!$H$7:$H$198,MATCH($K18,Feiertagsregeln!$A$7:$A$198,0))</f>
        <v>publicHoliday</v>
      </c>
      <c r="J18" s="11" t="str">
        <f>INDEX(Feiertagsregeln!$R$7:$R$96,MATCH($K18,Feiertagsregeln!$A$7:$A$96,0))</f>
        <v>approved</v>
      </c>
      <c r="K18" s="11" t="s">
        <v>65</v>
      </c>
      <c r="L18" s="11" t="str">
        <f>INDEX(Feiertagsregeln!$Y$7:$Y$198,MATCH($K18,Feiertagsregeln!$A$7:$A$198,0))</f>
        <v>SRC-FRG-BE-20210401</v>
      </c>
      <c r="M18" s="11" t="str">
        <f>INDEX(Feiertagsregeln!$Z$7:$Z$198,MATCH($K18,Feiertagsregeln!$A$7:$A$198,0))</f>
        <v>Art. 2 Abs. 1 Bst. b</v>
      </c>
      <c r="N18" s="11" t="s">
        <v>55</v>
      </c>
      <c r="O18" s="11" t="str">
        <f>INDEX(Feiertagsregeln!$AA$7:$AA$198,MATCH($K18,Feiertagsregeln!$A$7:$A$198,0))</f>
        <v>Ganztägig</v>
      </c>
    </row>
    <row r="19" spans="1:15" ht="38" customHeight="1">
      <c r="A19" s="14">
        <f>INDEX(Feiertagsregeln!$X$7:$X$198,MATCH($K19,Feiertagsregeln!$A$7:$A$198,0))</f>
        <v>46747</v>
      </c>
      <c r="B19" s="10" t="str">
        <f t="shared" si="0"/>
        <v>Sonntag</v>
      </c>
      <c r="C19" s="10" t="s">
        <v>53</v>
      </c>
      <c r="D19" s="10" t="s">
        <v>54</v>
      </c>
      <c r="E19" s="10" t="str">
        <f>INDEX(Feiertagsregeln!$D$7:$D$198,MATCH($K19,Feiertagsregeln!$A$7:$A$198,0))</f>
        <v>Stephanstag</v>
      </c>
      <c r="F19" s="10" t="str">
        <f>INDEX(Feiertagsregeln!$E$7:$E$198,MATCH($K19,Feiertagsregeln!$A$7:$A$198,0))</f>
        <v>Saint-Étienne</v>
      </c>
      <c r="G19" s="21" t="str">
        <f>IF(INDEX(Feiertagsregeln!$F$7:$F$198,MATCH($K19,Feiertagsregeln!$A$7:$A$198,0))="","Noch zu erfassen",INDEX(Feiertagsregeln!$F$7:$F$198,MATCH($K19,Feiertagsregeln!$A$7:$A$198,0)))</f>
        <v>Noch zu erfassen</v>
      </c>
      <c r="H19" s="21" t="str">
        <f>IF(INDEX(Feiertagsregeln!$G$7:$G$198,MATCH($K19,Feiertagsregeln!$A$7:$A$198,0))="","Noch zu erfassen",INDEX(Feiertagsregeln!$G$7:$G$198,MATCH($K19,Feiertagsregeln!$A$7:$A$198,0)))</f>
        <v>Noch zu erfassen</v>
      </c>
      <c r="I19" s="10" t="str">
        <f>INDEX(Feiertagsregeln!$H$7:$H$198,MATCH($K19,Feiertagsregeln!$A$7:$A$198,0))</f>
        <v>publicHoliday</v>
      </c>
      <c r="J19" s="10" t="str">
        <f>INDEX(Feiertagsregeln!$R$7:$R$96,MATCH($K19,Feiertagsregeln!$A$7:$A$96,0))</f>
        <v>approved</v>
      </c>
      <c r="K19" s="10" t="s">
        <v>66</v>
      </c>
      <c r="L19" s="10" t="str">
        <f>INDEX(Feiertagsregeln!$Y$7:$Y$198,MATCH($K19,Feiertagsregeln!$A$7:$A$198,0))</f>
        <v>SRC-FRG-BE-20210401</v>
      </c>
      <c r="M19" s="10" t="str">
        <f>INDEX(Feiertagsregeln!$Z$7:$Z$198,MATCH($K19,Feiertagsregeln!$A$7:$A$198,0))</f>
        <v>Art. 2 Abs. 1 Bst. c</v>
      </c>
      <c r="N19" s="10" t="s">
        <v>55</v>
      </c>
      <c r="O19" s="10" t="str">
        <f>INDEX(Feiertagsregeln!$AA$7:$AA$198,MATCH($K19,Feiertagsregeln!$A$7:$A$198,0))</f>
        <v>Ganztägig</v>
      </c>
    </row>
    <row r="20" spans="1:15" ht="38" customHeight="1">
      <c r="A20" s="15">
        <f>INDEX(Feiertagsregeln!$X$7:$X$198,MATCH($K20,Feiertagsregeln!$A$7:$A$198,0))</f>
        <v>46534</v>
      </c>
      <c r="B20" s="11" t="str">
        <f t="shared" si="0"/>
        <v>Donnerstag</v>
      </c>
      <c r="C20" s="11" t="s">
        <v>67</v>
      </c>
      <c r="D20" s="11" t="s">
        <v>68</v>
      </c>
      <c r="E20" s="11" t="str">
        <f>INDEX(Feiertagsregeln!$D$7:$D$198,MATCH($K20,Feiertagsregeln!$A$7:$A$198,0))</f>
        <v>Fronleichnam</v>
      </c>
      <c r="F20" s="11" t="str">
        <f>INDEX(Feiertagsregeln!$E$7:$E$198,MATCH($K20,Feiertagsregeln!$A$7:$A$198,0))</f>
        <v>Fête-Dieu</v>
      </c>
      <c r="G20" s="22" t="str">
        <f>IF(INDEX(Feiertagsregeln!$F$7:$F$198,MATCH($K20,Feiertagsregeln!$A$7:$A$198,0))="","Noch zu erfassen",INDEX(Feiertagsregeln!$F$7:$F$198,MATCH($K20,Feiertagsregeln!$A$7:$A$198,0)))</f>
        <v>Noch zu erfassen</v>
      </c>
      <c r="H20" s="22" t="str">
        <f>IF(INDEX(Feiertagsregeln!$G$7:$G$198,MATCH($K20,Feiertagsregeln!$A$7:$A$198,0))="","Noch zu erfassen",INDEX(Feiertagsregeln!$G$7:$G$198,MATCH($K20,Feiertagsregeln!$A$7:$A$198,0)))</f>
        <v>Noch zu erfassen</v>
      </c>
      <c r="I20" s="11" t="str">
        <f>INDEX(Feiertagsregeln!$H$7:$H$198,MATCH($K20,Feiertagsregeln!$A$7:$A$198,0))</f>
        <v>labourLawHoliday</v>
      </c>
      <c r="J20" s="11" t="s">
        <v>69</v>
      </c>
      <c r="K20" s="11" t="s">
        <v>70</v>
      </c>
      <c r="L20" s="11" t="str">
        <f>INDEX(Feiertagsregeln!$Y$7:$Y$198,MATCH($K20,Feiertagsregeln!$A$7:$A$198,0))</f>
        <v>SRC-AG-EGARR-20250901</v>
      </c>
      <c r="M20" s="11" t="str">
        <f>INDEX(Feiertagsregeln!$Z$7:$Z$198,MATCH($K20,Feiertagsregeln!$A$7:$A$198,0))</f>
        <v>§ 6 Abs. 1 Bst. b Ziff. 2</v>
      </c>
      <c r="N20" s="11" t="s">
        <v>71</v>
      </c>
      <c r="O20" s="11" t="str">
        <f>INDEX(Feiertagsregeln!$AA$7:$AA$198,MATCH($K20,Feiertagsregeln!$A$7:$A$198,0))</f>
        <v>Ganztägig</v>
      </c>
    </row>
    <row r="21" spans="1:15" ht="38" customHeight="1">
      <c r="A21" s="14">
        <f>INDEX(Feiertagsregeln!$X$7:$X$198,MATCH($K21,Feiertagsregeln!$A$7:$A$198,0))</f>
        <v>46389</v>
      </c>
      <c r="B21" s="10" t="str">
        <f t="shared" si="0"/>
        <v>Samstag</v>
      </c>
      <c r="C21" s="10" t="s">
        <v>67</v>
      </c>
      <c r="D21" s="10" t="s">
        <v>72</v>
      </c>
      <c r="E21" s="10" t="str">
        <f>INDEX(Feiertagsregeln!$D$7:$D$198,MATCH($K21,Feiertagsregeln!$A$7:$A$198,0))</f>
        <v>Berchtoldstag</v>
      </c>
      <c r="F21" s="10" t="str">
        <f>INDEX(Feiertagsregeln!$E$7:$E$198,MATCH($K21,Feiertagsregeln!$A$7:$A$198,0))</f>
        <v>Saint-Berchtold</v>
      </c>
      <c r="G21" s="21" t="str">
        <f>IF(INDEX(Feiertagsregeln!$F$7:$F$198,MATCH($K21,Feiertagsregeln!$A$7:$A$198,0))="","Noch zu erfassen",INDEX(Feiertagsregeln!$F$7:$F$198,MATCH($K21,Feiertagsregeln!$A$7:$A$198,0)))</f>
        <v>Noch zu erfassen</v>
      </c>
      <c r="H21" s="21" t="str">
        <f>IF(INDEX(Feiertagsregeln!$G$7:$G$198,MATCH($K21,Feiertagsregeln!$A$7:$A$198,0))="","Noch zu erfassen",INDEX(Feiertagsregeln!$G$7:$G$198,MATCH($K21,Feiertagsregeln!$A$7:$A$198,0)))</f>
        <v>Noch zu erfassen</v>
      </c>
      <c r="I21" s="10" t="str">
        <f>INDEX(Feiertagsregeln!$H$7:$H$198,MATCH($K21,Feiertagsregeln!$A$7:$A$198,0))</f>
        <v>labourLawHoliday</v>
      </c>
      <c r="J21" s="10" t="s">
        <v>69</v>
      </c>
      <c r="K21" s="10" t="s">
        <v>73</v>
      </c>
      <c r="L21" s="10" t="str">
        <f>INDEX(Feiertagsregeln!$Y$7:$Y$198,MATCH($K21,Feiertagsregeln!$A$7:$A$198,0))</f>
        <v>SRC-AG-EGARR-20250901</v>
      </c>
      <c r="M21" s="10" t="str">
        <f>INDEX(Feiertagsregeln!$Z$7:$Z$198,MATCH($K21,Feiertagsregeln!$A$7:$A$198,0))</f>
        <v>§ 6 Abs. 1 Bst. b Ziff. 1</v>
      </c>
      <c r="N21" s="10" t="s">
        <v>71</v>
      </c>
      <c r="O21" s="10" t="str">
        <f>INDEX(Feiertagsregeln!$AA$7:$AA$198,MATCH($K21,Feiertagsregeln!$A$7:$A$198,0))</f>
        <v>Ganztägig</v>
      </c>
    </row>
    <row r="22" spans="1:15" ht="38" customHeight="1">
      <c r="A22" s="15">
        <f>INDEX(Feiertagsregeln!$X$7:$X$198,MATCH($K22,Feiertagsregeln!$A$7:$A$198,0))</f>
        <v>46692</v>
      </c>
      <c r="B22" s="11" t="str">
        <f t="shared" si="0"/>
        <v>Montag</v>
      </c>
      <c r="C22" s="11" t="s">
        <v>67</v>
      </c>
      <c r="D22" s="11" t="s">
        <v>74</v>
      </c>
      <c r="E22" s="11" t="str">
        <f>INDEX(Feiertagsregeln!$D$7:$D$198,MATCH($K22,Feiertagsregeln!$A$7:$A$198,0))</f>
        <v>Allerheiligen</v>
      </c>
      <c r="F22" s="11" t="str">
        <f>INDEX(Feiertagsregeln!$E$7:$E$198,MATCH($K22,Feiertagsregeln!$A$7:$A$198,0))</f>
        <v>Toussaint</v>
      </c>
      <c r="G22" s="22" t="str">
        <f>IF(INDEX(Feiertagsregeln!$F$7:$F$198,MATCH($K22,Feiertagsregeln!$A$7:$A$198,0))="","Noch zu erfassen",INDEX(Feiertagsregeln!$F$7:$F$198,MATCH($K22,Feiertagsregeln!$A$7:$A$198,0)))</f>
        <v>Noch zu erfassen</v>
      </c>
      <c r="H22" s="22" t="str">
        <f>IF(INDEX(Feiertagsregeln!$G$7:$G$198,MATCH($K22,Feiertagsregeln!$A$7:$A$198,0))="","Noch zu erfassen",INDEX(Feiertagsregeln!$G$7:$G$198,MATCH($K22,Feiertagsregeln!$A$7:$A$198,0)))</f>
        <v>Noch zu erfassen</v>
      </c>
      <c r="I22" s="11" t="str">
        <f>INDEX(Feiertagsregeln!$H$7:$H$198,MATCH($K22,Feiertagsregeln!$A$7:$A$198,0))</f>
        <v>proceduralEquivalentDay</v>
      </c>
      <c r="J22" s="11" t="s">
        <v>69</v>
      </c>
      <c r="K22" s="11" t="s">
        <v>75</v>
      </c>
      <c r="L22" s="11" t="str">
        <f>INDEX(Feiertagsregeln!$Y$7:$Y$198,MATCH($K22,Feiertagsregeln!$A$7:$A$198,0))</f>
        <v>SRC-AG-EGZPO</v>
      </c>
      <c r="M22" s="11" t="str">
        <f>INDEX(Feiertagsregeln!$Z$7:$Z$198,MATCH($K22,Feiertagsregeln!$A$7:$A$198,0))</f>
        <v>§ 21</v>
      </c>
      <c r="N22" s="11" t="s">
        <v>71</v>
      </c>
      <c r="O22" s="11" t="str">
        <f>INDEX(Feiertagsregeln!$AA$7:$AA$198,MATCH($K22,Feiertagsregeln!$A$7:$A$198,0))</f>
        <v>Ganztägig</v>
      </c>
    </row>
    <row r="23" spans="1:15" ht="38" customHeight="1">
      <c r="A23" s="14">
        <f>INDEX(Feiertagsregeln!$X$7:$X$198,MATCH($K23,Feiertagsregeln!$A$7:$A$198,0))</f>
        <v>46388</v>
      </c>
      <c r="B23" s="10" t="str">
        <f t="shared" si="0"/>
        <v>Freitag</v>
      </c>
      <c r="C23" s="10" t="s">
        <v>67</v>
      </c>
      <c r="D23" s="10" t="s">
        <v>76</v>
      </c>
      <c r="E23" s="10" t="str">
        <f>INDEX(Feiertagsregeln!$D$7:$D$198,MATCH($K23,Feiertagsregeln!$A$7:$A$198,0))</f>
        <v>Neujahr</v>
      </c>
      <c r="F23" s="10" t="str">
        <f>INDEX(Feiertagsregeln!$E$7:$E$198,MATCH($K23,Feiertagsregeln!$A$7:$A$198,0))</f>
        <v>Nouvel An</v>
      </c>
      <c r="G23" s="21" t="str">
        <f>IF(INDEX(Feiertagsregeln!$F$7:$F$198,MATCH($K23,Feiertagsregeln!$A$7:$A$198,0))="","Noch zu erfassen",INDEX(Feiertagsregeln!$F$7:$F$198,MATCH($K23,Feiertagsregeln!$A$7:$A$198,0)))</f>
        <v>Noch zu erfassen</v>
      </c>
      <c r="H23" s="21" t="str">
        <f>IF(INDEX(Feiertagsregeln!$G$7:$G$198,MATCH($K23,Feiertagsregeln!$A$7:$A$198,0))="","Noch zu erfassen",INDEX(Feiertagsregeln!$G$7:$G$198,MATCH($K23,Feiertagsregeln!$A$7:$A$198,0)))</f>
        <v>Noch zu erfassen</v>
      </c>
      <c r="I23" s="10" t="str">
        <f>INDEX(Feiertagsregeln!$H$7:$H$198,MATCH($K23,Feiertagsregeln!$A$7:$A$198,0))</f>
        <v>labourLawHoliday</v>
      </c>
      <c r="J23" s="10" t="s">
        <v>69</v>
      </c>
      <c r="K23" s="10" t="s">
        <v>77</v>
      </c>
      <c r="L23" s="10" t="str">
        <f>INDEX(Feiertagsregeln!$Y$7:$Y$198,MATCH($K23,Feiertagsregeln!$A$7:$A$198,0))</f>
        <v>SRC-AG-EGARR-20250901</v>
      </c>
      <c r="M23" s="10" t="str">
        <f>INDEX(Feiertagsregeln!$Z$7:$Z$198,MATCH($K23,Feiertagsregeln!$A$7:$A$198,0))</f>
        <v>§ 6 Abs. 1 Bst. a</v>
      </c>
      <c r="N23" s="10" t="s">
        <v>71</v>
      </c>
      <c r="O23" s="10" t="str">
        <f>INDEX(Feiertagsregeln!$AA$7:$AA$198,MATCH($K23,Feiertagsregeln!$A$7:$A$198,0))</f>
        <v>Ganztägig</v>
      </c>
    </row>
    <row r="24" spans="1:15" ht="38" customHeight="1">
      <c r="A24" s="15">
        <f>INDEX(Feiertagsregeln!$X$7:$X$198,MATCH($K24,Feiertagsregeln!$A$7:$A$198,0))</f>
        <v>46389</v>
      </c>
      <c r="B24" s="11" t="str">
        <f t="shared" si="0"/>
        <v>Samstag</v>
      </c>
      <c r="C24" s="11" t="s">
        <v>67</v>
      </c>
      <c r="D24" s="11" t="s">
        <v>76</v>
      </c>
      <c r="E24" s="11" t="str">
        <f>INDEX(Feiertagsregeln!$D$7:$D$198,MATCH($K24,Feiertagsregeln!$A$7:$A$198,0))</f>
        <v>Berchtoldstag</v>
      </c>
      <c r="F24" s="11" t="str">
        <f>INDEX(Feiertagsregeln!$E$7:$E$198,MATCH($K24,Feiertagsregeln!$A$7:$A$198,0))</f>
        <v>Saint-Berchtold</v>
      </c>
      <c r="G24" s="22" t="str">
        <f>IF(INDEX(Feiertagsregeln!$F$7:$F$198,MATCH($K24,Feiertagsregeln!$A$7:$A$198,0))="","Noch zu erfassen",INDEX(Feiertagsregeln!$F$7:$F$198,MATCH($K24,Feiertagsregeln!$A$7:$A$198,0)))</f>
        <v>Noch zu erfassen</v>
      </c>
      <c r="H24" s="22" t="str">
        <f>IF(INDEX(Feiertagsregeln!$G$7:$G$198,MATCH($K24,Feiertagsregeln!$A$7:$A$198,0))="","Noch zu erfassen",INDEX(Feiertagsregeln!$G$7:$G$198,MATCH($K24,Feiertagsregeln!$A$7:$A$198,0)))</f>
        <v>Noch zu erfassen</v>
      </c>
      <c r="I24" s="11" t="str">
        <f>INDEX(Feiertagsregeln!$H$7:$H$198,MATCH($K24,Feiertagsregeln!$A$7:$A$198,0))</f>
        <v>labourLawHoliday</v>
      </c>
      <c r="J24" s="11" t="s">
        <v>69</v>
      </c>
      <c r="K24" s="11" t="s">
        <v>78</v>
      </c>
      <c r="L24" s="11" t="str">
        <f>INDEX(Feiertagsregeln!$Y$7:$Y$198,MATCH($K24,Feiertagsregeln!$A$7:$A$198,0))</f>
        <v>SRC-AG-EGARR-20250901</v>
      </c>
      <c r="M24" s="11" t="str">
        <f>INDEX(Feiertagsregeln!$Z$7:$Z$198,MATCH($K24,Feiertagsregeln!$A$7:$A$198,0))</f>
        <v>§ 6 Abs. 1 Bst. a</v>
      </c>
      <c r="N24" s="11" t="s">
        <v>71</v>
      </c>
      <c r="O24" s="11" t="str">
        <f>INDEX(Feiertagsregeln!$AA$7:$AA$198,MATCH($K24,Feiertagsregeln!$A$7:$A$198,0))</f>
        <v>Ganztägig</v>
      </c>
    </row>
    <row r="25" spans="1:15" ht="38" customHeight="1">
      <c r="A25" s="14">
        <f>INDEX(Feiertagsregeln!$X$7:$X$198,MATCH($K25,Feiertagsregeln!$A$7:$A$198,0))</f>
        <v>46472</v>
      </c>
      <c r="B25" s="10" t="str">
        <f t="shared" si="0"/>
        <v>Freitag</v>
      </c>
      <c r="C25" s="10" t="s">
        <v>67</v>
      </c>
      <c r="D25" s="10" t="s">
        <v>76</v>
      </c>
      <c r="E25" s="10" t="str">
        <f>INDEX(Feiertagsregeln!$D$7:$D$198,MATCH($K25,Feiertagsregeln!$A$7:$A$198,0))</f>
        <v>Karfreitag</v>
      </c>
      <c r="F25" s="10" t="str">
        <f>INDEX(Feiertagsregeln!$E$7:$E$198,MATCH($K25,Feiertagsregeln!$A$7:$A$198,0))</f>
        <v>Vendredi saint</v>
      </c>
      <c r="G25" s="21" t="str">
        <f>IF(INDEX(Feiertagsregeln!$F$7:$F$198,MATCH($K25,Feiertagsregeln!$A$7:$A$198,0))="","Noch zu erfassen",INDEX(Feiertagsregeln!$F$7:$F$198,MATCH($K25,Feiertagsregeln!$A$7:$A$198,0)))</f>
        <v>Noch zu erfassen</v>
      </c>
      <c r="H25" s="21" t="str">
        <f>IF(INDEX(Feiertagsregeln!$G$7:$G$198,MATCH($K25,Feiertagsregeln!$A$7:$A$198,0))="","Noch zu erfassen",INDEX(Feiertagsregeln!$G$7:$G$198,MATCH($K25,Feiertagsregeln!$A$7:$A$198,0)))</f>
        <v>Noch zu erfassen</v>
      </c>
      <c r="I25" s="10" t="str">
        <f>INDEX(Feiertagsregeln!$H$7:$H$198,MATCH($K25,Feiertagsregeln!$A$7:$A$198,0))</f>
        <v>labourLawHoliday</v>
      </c>
      <c r="J25" s="10" t="s">
        <v>69</v>
      </c>
      <c r="K25" s="10" t="s">
        <v>79</v>
      </c>
      <c r="L25" s="10" t="str">
        <f>INDEX(Feiertagsregeln!$Y$7:$Y$198,MATCH($K25,Feiertagsregeln!$A$7:$A$198,0))</f>
        <v>SRC-AG-EGARR-20250901</v>
      </c>
      <c r="M25" s="10" t="str">
        <f>INDEX(Feiertagsregeln!$Z$7:$Z$198,MATCH($K25,Feiertagsregeln!$A$7:$A$198,0))</f>
        <v>§ 6 Abs. 1 Bst. a</v>
      </c>
      <c r="N25" s="10" t="s">
        <v>71</v>
      </c>
      <c r="O25" s="10" t="str">
        <f>INDEX(Feiertagsregeln!$AA$7:$AA$198,MATCH($K25,Feiertagsregeln!$A$7:$A$198,0))</f>
        <v>Ganztägig</v>
      </c>
    </row>
    <row r="26" spans="1:15" ht="38" customHeight="1">
      <c r="A26" s="15">
        <f>INDEX(Feiertagsregeln!$X$7:$X$198,MATCH($K26,Feiertagsregeln!$A$7:$A$198,0))</f>
        <v>46475</v>
      </c>
      <c r="B26" s="11" t="str">
        <f t="shared" si="0"/>
        <v>Montag</v>
      </c>
      <c r="C26" s="11" t="s">
        <v>67</v>
      </c>
      <c r="D26" s="11" t="s">
        <v>76</v>
      </c>
      <c r="E26" s="11" t="str">
        <f>INDEX(Feiertagsregeln!$D$7:$D$198,MATCH($K26,Feiertagsregeln!$A$7:$A$198,0))</f>
        <v>Ostermontag</v>
      </c>
      <c r="F26" s="11" t="str">
        <f>INDEX(Feiertagsregeln!$E$7:$E$198,MATCH($K26,Feiertagsregeln!$A$7:$A$198,0))</f>
        <v>Lundi de Pâques</v>
      </c>
      <c r="G26" s="22" t="str">
        <f>IF(INDEX(Feiertagsregeln!$F$7:$F$198,MATCH($K26,Feiertagsregeln!$A$7:$A$198,0))="","Noch zu erfassen",INDEX(Feiertagsregeln!$F$7:$F$198,MATCH($K26,Feiertagsregeln!$A$7:$A$198,0)))</f>
        <v>Noch zu erfassen</v>
      </c>
      <c r="H26" s="22" t="str">
        <f>IF(INDEX(Feiertagsregeln!$G$7:$G$198,MATCH($K26,Feiertagsregeln!$A$7:$A$198,0))="","Noch zu erfassen",INDEX(Feiertagsregeln!$G$7:$G$198,MATCH($K26,Feiertagsregeln!$A$7:$A$198,0)))</f>
        <v>Noch zu erfassen</v>
      </c>
      <c r="I26" s="11" t="str">
        <f>INDEX(Feiertagsregeln!$H$7:$H$198,MATCH($K26,Feiertagsregeln!$A$7:$A$198,0))</f>
        <v>labourLawHoliday</v>
      </c>
      <c r="J26" s="11" t="s">
        <v>69</v>
      </c>
      <c r="K26" s="11" t="s">
        <v>80</v>
      </c>
      <c r="L26" s="11" t="str">
        <f>INDEX(Feiertagsregeln!$Y$7:$Y$198,MATCH($K26,Feiertagsregeln!$A$7:$A$198,0))</f>
        <v>SRC-AG-EGARR-20250901</v>
      </c>
      <c r="M26" s="11" t="str">
        <f>INDEX(Feiertagsregeln!$Z$7:$Z$198,MATCH($K26,Feiertagsregeln!$A$7:$A$198,0))</f>
        <v>§ 6 Abs. 1 Bst. a</v>
      </c>
      <c r="N26" s="11" t="s">
        <v>71</v>
      </c>
      <c r="O26" s="11" t="str">
        <f>INDEX(Feiertagsregeln!$AA$7:$AA$198,MATCH($K26,Feiertagsregeln!$A$7:$A$198,0))</f>
        <v>Ganztägig</v>
      </c>
    </row>
    <row r="27" spans="1:15" ht="38" customHeight="1">
      <c r="A27" s="14">
        <f>INDEX(Feiertagsregeln!$X$7:$X$198,MATCH($K27,Feiertagsregeln!$A$7:$A$198,0))</f>
        <v>46513</v>
      </c>
      <c r="B27" s="10" t="str">
        <f t="shared" si="0"/>
        <v>Donnerstag</v>
      </c>
      <c r="C27" s="10" t="s">
        <v>67</v>
      </c>
      <c r="D27" s="10" t="s">
        <v>76</v>
      </c>
      <c r="E27" s="10" t="str">
        <f>INDEX(Feiertagsregeln!$D$7:$D$198,MATCH($K27,Feiertagsregeln!$A$7:$A$198,0))</f>
        <v>Auffahrt</v>
      </c>
      <c r="F27" s="10" t="str">
        <f>INDEX(Feiertagsregeln!$E$7:$E$198,MATCH($K27,Feiertagsregeln!$A$7:$A$198,0))</f>
        <v>Ascension</v>
      </c>
      <c r="G27" s="21" t="str">
        <f>IF(INDEX(Feiertagsregeln!$F$7:$F$198,MATCH($K27,Feiertagsregeln!$A$7:$A$198,0))="","Noch zu erfassen",INDEX(Feiertagsregeln!$F$7:$F$198,MATCH($K27,Feiertagsregeln!$A$7:$A$198,0)))</f>
        <v>Noch zu erfassen</v>
      </c>
      <c r="H27" s="21" t="str">
        <f>IF(INDEX(Feiertagsregeln!$G$7:$G$198,MATCH($K27,Feiertagsregeln!$A$7:$A$198,0))="","Noch zu erfassen",INDEX(Feiertagsregeln!$G$7:$G$198,MATCH($K27,Feiertagsregeln!$A$7:$A$198,0)))</f>
        <v>Noch zu erfassen</v>
      </c>
      <c r="I27" s="10" t="str">
        <f>INDEX(Feiertagsregeln!$H$7:$H$198,MATCH($K27,Feiertagsregeln!$A$7:$A$198,0))</f>
        <v>labourLawHoliday</v>
      </c>
      <c r="J27" s="10" t="s">
        <v>69</v>
      </c>
      <c r="K27" s="10" t="s">
        <v>81</v>
      </c>
      <c r="L27" s="10" t="str">
        <f>INDEX(Feiertagsregeln!$Y$7:$Y$198,MATCH($K27,Feiertagsregeln!$A$7:$A$198,0))</f>
        <v>SRC-AG-EGARR-20250901</v>
      </c>
      <c r="M27" s="10" t="str">
        <f>INDEX(Feiertagsregeln!$Z$7:$Z$198,MATCH($K27,Feiertagsregeln!$A$7:$A$198,0))</f>
        <v>§ 6 Abs. 1 Bst. a</v>
      </c>
      <c r="N27" s="10" t="s">
        <v>71</v>
      </c>
      <c r="O27" s="10" t="str">
        <f>INDEX(Feiertagsregeln!$AA$7:$AA$198,MATCH($K27,Feiertagsregeln!$A$7:$A$198,0))</f>
        <v>Ganztägig</v>
      </c>
    </row>
    <row r="28" spans="1:15" ht="38" customHeight="1">
      <c r="A28" s="15">
        <f>INDEX(Feiertagsregeln!$X$7:$X$198,MATCH($K28,Feiertagsregeln!$A$7:$A$198,0))</f>
        <v>46524</v>
      </c>
      <c r="B28" s="11" t="str">
        <f t="shared" si="0"/>
        <v>Montag</v>
      </c>
      <c r="C28" s="11" t="s">
        <v>67</v>
      </c>
      <c r="D28" s="11" t="s">
        <v>76</v>
      </c>
      <c r="E28" s="11" t="str">
        <f>INDEX(Feiertagsregeln!$D$7:$D$198,MATCH($K28,Feiertagsregeln!$A$7:$A$198,0))</f>
        <v>Pfingstmontag</v>
      </c>
      <c r="F28" s="11" t="str">
        <f>INDEX(Feiertagsregeln!$E$7:$E$198,MATCH($K28,Feiertagsregeln!$A$7:$A$198,0))</f>
        <v>Lundi de Pentecôte</v>
      </c>
      <c r="G28" s="22" t="str">
        <f>IF(INDEX(Feiertagsregeln!$F$7:$F$198,MATCH($K28,Feiertagsregeln!$A$7:$A$198,0))="","Noch zu erfassen",INDEX(Feiertagsregeln!$F$7:$F$198,MATCH($K28,Feiertagsregeln!$A$7:$A$198,0)))</f>
        <v>Noch zu erfassen</v>
      </c>
      <c r="H28" s="22" t="str">
        <f>IF(INDEX(Feiertagsregeln!$G$7:$G$198,MATCH($K28,Feiertagsregeln!$A$7:$A$198,0))="","Noch zu erfassen",INDEX(Feiertagsregeln!$G$7:$G$198,MATCH($K28,Feiertagsregeln!$A$7:$A$198,0)))</f>
        <v>Noch zu erfassen</v>
      </c>
      <c r="I28" s="11" t="str">
        <f>INDEX(Feiertagsregeln!$H$7:$H$198,MATCH($K28,Feiertagsregeln!$A$7:$A$198,0))</f>
        <v>labourLawHoliday</v>
      </c>
      <c r="J28" s="11" t="s">
        <v>69</v>
      </c>
      <c r="K28" s="11" t="s">
        <v>82</v>
      </c>
      <c r="L28" s="11" t="str">
        <f>INDEX(Feiertagsregeln!$Y$7:$Y$198,MATCH($K28,Feiertagsregeln!$A$7:$A$198,0))</f>
        <v>SRC-AG-EGARR-20250901</v>
      </c>
      <c r="M28" s="11" t="str">
        <f>INDEX(Feiertagsregeln!$Z$7:$Z$198,MATCH($K28,Feiertagsregeln!$A$7:$A$198,0))</f>
        <v>§ 6 Abs. 1 Bst. a</v>
      </c>
      <c r="N28" s="11" t="s">
        <v>71</v>
      </c>
      <c r="O28" s="11" t="str">
        <f>INDEX(Feiertagsregeln!$AA$7:$AA$198,MATCH($K28,Feiertagsregeln!$A$7:$A$198,0))</f>
        <v>Ganztägig</v>
      </c>
    </row>
    <row r="29" spans="1:15" ht="38" customHeight="1">
      <c r="A29" s="14">
        <f>INDEX(Feiertagsregeln!$X$7:$X$198,MATCH($K29,Feiertagsregeln!$A$7:$A$198,0))</f>
        <v>46746</v>
      </c>
      <c r="B29" s="10" t="str">
        <f t="shared" si="0"/>
        <v>Samstag</v>
      </c>
      <c r="C29" s="10" t="s">
        <v>67</v>
      </c>
      <c r="D29" s="10" t="s">
        <v>76</v>
      </c>
      <c r="E29" s="10" t="str">
        <f>INDEX(Feiertagsregeln!$D$7:$D$198,MATCH($K29,Feiertagsregeln!$A$7:$A$198,0))</f>
        <v>Weihnachten</v>
      </c>
      <c r="F29" s="10" t="str">
        <f>INDEX(Feiertagsregeln!$E$7:$E$198,MATCH($K29,Feiertagsregeln!$A$7:$A$198,0))</f>
        <v>Noël</v>
      </c>
      <c r="G29" s="21" t="str">
        <f>IF(INDEX(Feiertagsregeln!$F$7:$F$198,MATCH($K29,Feiertagsregeln!$A$7:$A$198,0))="","Noch zu erfassen",INDEX(Feiertagsregeln!$F$7:$F$198,MATCH($K29,Feiertagsregeln!$A$7:$A$198,0)))</f>
        <v>Noch zu erfassen</v>
      </c>
      <c r="H29" s="21" t="str">
        <f>IF(INDEX(Feiertagsregeln!$G$7:$G$198,MATCH($K29,Feiertagsregeln!$A$7:$A$198,0))="","Noch zu erfassen",INDEX(Feiertagsregeln!$G$7:$G$198,MATCH($K29,Feiertagsregeln!$A$7:$A$198,0)))</f>
        <v>Noch zu erfassen</v>
      </c>
      <c r="I29" s="10" t="str">
        <f>INDEX(Feiertagsregeln!$H$7:$H$198,MATCH($K29,Feiertagsregeln!$A$7:$A$198,0))</f>
        <v>labourLawHoliday</v>
      </c>
      <c r="J29" s="10" t="s">
        <v>69</v>
      </c>
      <c r="K29" s="10" t="s">
        <v>83</v>
      </c>
      <c r="L29" s="10" t="str">
        <f>INDEX(Feiertagsregeln!$Y$7:$Y$198,MATCH($K29,Feiertagsregeln!$A$7:$A$198,0))</f>
        <v>SRC-AG-EGARR-20250901</v>
      </c>
      <c r="M29" s="10" t="str">
        <f>INDEX(Feiertagsregeln!$Z$7:$Z$198,MATCH($K29,Feiertagsregeln!$A$7:$A$198,0))</f>
        <v>§ 6 Abs. 1 Bst. a</v>
      </c>
      <c r="N29" s="10" t="s">
        <v>71</v>
      </c>
      <c r="O29" s="10" t="str">
        <f>INDEX(Feiertagsregeln!$AA$7:$AA$198,MATCH($K29,Feiertagsregeln!$A$7:$A$198,0))</f>
        <v>Ganztägig</v>
      </c>
    </row>
    <row r="30" spans="1:15" ht="38" customHeight="1">
      <c r="A30" s="15">
        <f>INDEX(Feiertagsregeln!$X$7:$X$198,MATCH($K30,Feiertagsregeln!$A$7:$A$198,0))</f>
        <v>46747</v>
      </c>
      <c r="B30" s="11" t="str">
        <f t="shared" si="0"/>
        <v>Sonntag</v>
      </c>
      <c r="C30" s="11" t="s">
        <v>67</v>
      </c>
      <c r="D30" s="11" t="s">
        <v>76</v>
      </c>
      <c r="E30" s="11" t="str">
        <f>INDEX(Feiertagsregeln!$D$7:$D$198,MATCH($K30,Feiertagsregeln!$A$7:$A$198,0))</f>
        <v>Stephanstag</v>
      </c>
      <c r="F30" s="11" t="str">
        <f>INDEX(Feiertagsregeln!$E$7:$E$198,MATCH($K30,Feiertagsregeln!$A$7:$A$198,0))</f>
        <v>Saint-Étienne</v>
      </c>
      <c r="G30" s="22" t="str">
        <f>IF(INDEX(Feiertagsregeln!$F$7:$F$198,MATCH($K30,Feiertagsregeln!$A$7:$A$198,0))="","Noch zu erfassen",INDEX(Feiertagsregeln!$F$7:$F$198,MATCH($K30,Feiertagsregeln!$A$7:$A$198,0)))</f>
        <v>Noch zu erfassen</v>
      </c>
      <c r="H30" s="22" t="str">
        <f>IF(INDEX(Feiertagsregeln!$G$7:$G$198,MATCH($K30,Feiertagsregeln!$A$7:$A$198,0))="","Noch zu erfassen",INDEX(Feiertagsregeln!$G$7:$G$198,MATCH($K30,Feiertagsregeln!$A$7:$A$198,0)))</f>
        <v>Noch zu erfassen</v>
      </c>
      <c r="I30" s="11" t="str">
        <f>INDEX(Feiertagsregeln!$H$7:$H$198,MATCH($K30,Feiertagsregeln!$A$7:$A$198,0))</f>
        <v>labourLawHoliday</v>
      </c>
      <c r="J30" s="11" t="s">
        <v>69</v>
      </c>
      <c r="K30" s="11" t="s">
        <v>84</v>
      </c>
      <c r="L30" s="11" t="str">
        <f>INDEX(Feiertagsregeln!$Y$7:$Y$198,MATCH($K30,Feiertagsregeln!$A$7:$A$198,0))</f>
        <v>SRC-AG-EGARR-20250901</v>
      </c>
      <c r="M30" s="11" t="str">
        <f>INDEX(Feiertagsregeln!$Z$7:$Z$198,MATCH($K30,Feiertagsregeln!$A$7:$A$198,0))</f>
        <v>§ 6 Abs. 1 Bst. a</v>
      </c>
      <c r="N30" s="11" t="s">
        <v>71</v>
      </c>
      <c r="O30" s="11" t="str">
        <f>INDEX(Feiertagsregeln!$AA$7:$AA$198,MATCH($K30,Feiertagsregeln!$A$7:$A$198,0))</f>
        <v>Ganztägig</v>
      </c>
    </row>
    <row r="31" spans="1:15" ht="38" customHeight="1">
      <c r="A31" s="14">
        <f>INDEX(Feiertagsregeln!$X$7:$X$198,MATCH($K31,Feiertagsregeln!$A$7:$A$198,0))</f>
        <v>46388</v>
      </c>
      <c r="B31" s="10" t="str">
        <f t="shared" si="0"/>
        <v>Freitag</v>
      </c>
      <c r="C31" s="10" t="s">
        <v>67</v>
      </c>
      <c r="D31" s="10" t="s">
        <v>72</v>
      </c>
      <c r="E31" s="10" t="str">
        <f>INDEX(Feiertagsregeln!$D$7:$D$198,MATCH($K31,Feiertagsregeln!$A$7:$A$198,0))</f>
        <v>Neujahr</v>
      </c>
      <c r="F31" s="10" t="str">
        <f>INDEX(Feiertagsregeln!$E$7:$E$198,MATCH($K31,Feiertagsregeln!$A$7:$A$198,0))</f>
        <v>Nouvel An</v>
      </c>
      <c r="G31" s="21" t="str">
        <f>IF(INDEX(Feiertagsregeln!$F$7:$F$198,MATCH($K31,Feiertagsregeln!$A$7:$A$198,0))="","Noch zu erfassen",INDEX(Feiertagsregeln!$F$7:$F$198,MATCH($K31,Feiertagsregeln!$A$7:$A$198,0)))</f>
        <v>Noch zu erfassen</v>
      </c>
      <c r="H31" s="21" t="str">
        <f>IF(INDEX(Feiertagsregeln!$G$7:$G$198,MATCH($K31,Feiertagsregeln!$A$7:$A$198,0))="","Noch zu erfassen",INDEX(Feiertagsregeln!$G$7:$G$198,MATCH($K31,Feiertagsregeln!$A$7:$A$198,0)))</f>
        <v>Noch zu erfassen</v>
      </c>
      <c r="I31" s="10" t="str">
        <f>INDEX(Feiertagsregeln!$H$7:$H$198,MATCH($K31,Feiertagsregeln!$A$7:$A$198,0))</f>
        <v>labourLawHoliday</v>
      </c>
      <c r="J31" s="10" t="s">
        <v>69</v>
      </c>
      <c r="K31" s="10" t="s">
        <v>85</v>
      </c>
      <c r="L31" s="10" t="str">
        <f>INDEX(Feiertagsregeln!$Y$7:$Y$198,MATCH($K31,Feiertagsregeln!$A$7:$A$198,0))</f>
        <v>SRC-AG-EGARR-20250901</v>
      </c>
      <c r="M31" s="10" t="str">
        <f>INDEX(Feiertagsregeln!$Z$7:$Z$198,MATCH($K31,Feiertagsregeln!$A$7:$A$198,0))</f>
        <v>§ 6 Abs. 1 Bst. b Ziff. 1</v>
      </c>
      <c r="N31" s="10" t="s">
        <v>71</v>
      </c>
      <c r="O31" s="10" t="str">
        <f>INDEX(Feiertagsregeln!$AA$7:$AA$198,MATCH($K31,Feiertagsregeln!$A$7:$A$198,0))</f>
        <v>Ganztägig</v>
      </c>
    </row>
    <row r="32" spans="1:15" ht="38" customHeight="1">
      <c r="A32" s="15">
        <f>INDEX(Feiertagsregeln!$X$7:$X$198,MATCH($K32,Feiertagsregeln!$A$7:$A$198,0))</f>
        <v>46472</v>
      </c>
      <c r="B32" s="11" t="str">
        <f t="shared" si="0"/>
        <v>Freitag</v>
      </c>
      <c r="C32" s="11" t="s">
        <v>67</v>
      </c>
      <c r="D32" s="11" t="s">
        <v>72</v>
      </c>
      <c r="E32" s="11" t="str">
        <f>INDEX(Feiertagsregeln!$D$7:$D$198,MATCH($K32,Feiertagsregeln!$A$7:$A$198,0))</f>
        <v>Karfreitag</v>
      </c>
      <c r="F32" s="11" t="str">
        <f>INDEX(Feiertagsregeln!$E$7:$E$198,MATCH($K32,Feiertagsregeln!$A$7:$A$198,0))</f>
        <v>Vendredi saint</v>
      </c>
      <c r="G32" s="22" t="str">
        <f>IF(INDEX(Feiertagsregeln!$F$7:$F$198,MATCH($K32,Feiertagsregeln!$A$7:$A$198,0))="","Noch zu erfassen",INDEX(Feiertagsregeln!$F$7:$F$198,MATCH($K32,Feiertagsregeln!$A$7:$A$198,0)))</f>
        <v>Noch zu erfassen</v>
      </c>
      <c r="H32" s="22" t="str">
        <f>IF(INDEX(Feiertagsregeln!$G$7:$G$198,MATCH($K32,Feiertagsregeln!$A$7:$A$198,0))="","Noch zu erfassen",INDEX(Feiertagsregeln!$G$7:$G$198,MATCH($K32,Feiertagsregeln!$A$7:$A$198,0)))</f>
        <v>Noch zu erfassen</v>
      </c>
      <c r="I32" s="11" t="str">
        <f>INDEX(Feiertagsregeln!$H$7:$H$198,MATCH($K32,Feiertagsregeln!$A$7:$A$198,0))</f>
        <v>labourLawHoliday</v>
      </c>
      <c r="J32" s="11" t="s">
        <v>69</v>
      </c>
      <c r="K32" s="11" t="s">
        <v>86</v>
      </c>
      <c r="L32" s="11" t="str">
        <f>INDEX(Feiertagsregeln!$Y$7:$Y$198,MATCH($K32,Feiertagsregeln!$A$7:$A$198,0))</f>
        <v>SRC-AG-EGARR-20250901</v>
      </c>
      <c r="M32" s="11" t="str">
        <f>INDEX(Feiertagsregeln!$Z$7:$Z$198,MATCH($K32,Feiertagsregeln!$A$7:$A$198,0))</f>
        <v>§ 6 Abs. 1 Bst. b Ziff. 1</v>
      </c>
      <c r="N32" s="11" t="s">
        <v>71</v>
      </c>
      <c r="O32" s="11" t="str">
        <f>INDEX(Feiertagsregeln!$AA$7:$AA$198,MATCH($K32,Feiertagsregeln!$A$7:$A$198,0))</f>
        <v>Ganztägig</v>
      </c>
    </row>
    <row r="33" spans="1:15" ht="38" customHeight="1">
      <c r="A33" s="14">
        <f>INDEX(Feiertagsregeln!$X$7:$X$198,MATCH($K33,Feiertagsregeln!$A$7:$A$198,0))</f>
        <v>46475</v>
      </c>
      <c r="B33" s="10" t="str">
        <f t="shared" si="0"/>
        <v>Montag</v>
      </c>
      <c r="C33" s="10" t="s">
        <v>67</v>
      </c>
      <c r="D33" s="10" t="s">
        <v>72</v>
      </c>
      <c r="E33" s="10" t="str">
        <f>INDEX(Feiertagsregeln!$D$7:$D$198,MATCH($K33,Feiertagsregeln!$A$7:$A$198,0))</f>
        <v>Ostermontag</v>
      </c>
      <c r="F33" s="10" t="str">
        <f>INDEX(Feiertagsregeln!$E$7:$E$198,MATCH($K33,Feiertagsregeln!$A$7:$A$198,0))</f>
        <v>Lundi de Pâques</v>
      </c>
      <c r="G33" s="21" t="str">
        <f>IF(INDEX(Feiertagsregeln!$F$7:$F$198,MATCH($K33,Feiertagsregeln!$A$7:$A$198,0))="","Noch zu erfassen",INDEX(Feiertagsregeln!$F$7:$F$198,MATCH($K33,Feiertagsregeln!$A$7:$A$198,0)))</f>
        <v>Noch zu erfassen</v>
      </c>
      <c r="H33" s="21" t="str">
        <f>IF(INDEX(Feiertagsregeln!$G$7:$G$198,MATCH($K33,Feiertagsregeln!$A$7:$A$198,0))="","Noch zu erfassen",INDEX(Feiertagsregeln!$G$7:$G$198,MATCH($K33,Feiertagsregeln!$A$7:$A$198,0)))</f>
        <v>Noch zu erfassen</v>
      </c>
      <c r="I33" s="10" t="str">
        <f>INDEX(Feiertagsregeln!$H$7:$H$198,MATCH($K33,Feiertagsregeln!$A$7:$A$198,0))</f>
        <v>labourLawHoliday</v>
      </c>
      <c r="J33" s="10" t="s">
        <v>69</v>
      </c>
      <c r="K33" s="10" t="s">
        <v>87</v>
      </c>
      <c r="L33" s="10" t="str">
        <f>INDEX(Feiertagsregeln!$Y$7:$Y$198,MATCH($K33,Feiertagsregeln!$A$7:$A$198,0))</f>
        <v>SRC-AG-EGARR-20250901</v>
      </c>
      <c r="M33" s="10" t="str">
        <f>INDEX(Feiertagsregeln!$Z$7:$Z$198,MATCH($K33,Feiertagsregeln!$A$7:$A$198,0))</f>
        <v>§ 6 Abs. 1 Bst. b Ziff. 1</v>
      </c>
      <c r="N33" s="10" t="s">
        <v>71</v>
      </c>
      <c r="O33" s="10" t="str">
        <f>INDEX(Feiertagsregeln!$AA$7:$AA$198,MATCH($K33,Feiertagsregeln!$A$7:$A$198,0))</f>
        <v>Ganztägig</v>
      </c>
    </row>
    <row r="34" spans="1:15" ht="38" customHeight="1">
      <c r="A34" s="15">
        <f>INDEX(Feiertagsregeln!$X$7:$X$198,MATCH($K34,Feiertagsregeln!$A$7:$A$198,0))</f>
        <v>46513</v>
      </c>
      <c r="B34" s="11" t="str">
        <f t="shared" si="0"/>
        <v>Donnerstag</v>
      </c>
      <c r="C34" s="11" t="s">
        <v>67</v>
      </c>
      <c r="D34" s="11" t="s">
        <v>72</v>
      </c>
      <c r="E34" s="11" t="str">
        <f>INDEX(Feiertagsregeln!$D$7:$D$198,MATCH($K34,Feiertagsregeln!$A$7:$A$198,0))</f>
        <v>Auffahrt</v>
      </c>
      <c r="F34" s="11" t="str">
        <f>INDEX(Feiertagsregeln!$E$7:$E$198,MATCH($K34,Feiertagsregeln!$A$7:$A$198,0))</f>
        <v>Ascension</v>
      </c>
      <c r="G34" s="22" t="str">
        <f>IF(INDEX(Feiertagsregeln!$F$7:$F$198,MATCH($K34,Feiertagsregeln!$A$7:$A$198,0))="","Noch zu erfassen",INDEX(Feiertagsregeln!$F$7:$F$198,MATCH($K34,Feiertagsregeln!$A$7:$A$198,0)))</f>
        <v>Noch zu erfassen</v>
      </c>
      <c r="H34" s="22" t="str">
        <f>IF(INDEX(Feiertagsregeln!$G$7:$G$198,MATCH($K34,Feiertagsregeln!$A$7:$A$198,0))="","Noch zu erfassen",INDEX(Feiertagsregeln!$G$7:$G$198,MATCH($K34,Feiertagsregeln!$A$7:$A$198,0)))</f>
        <v>Noch zu erfassen</v>
      </c>
      <c r="I34" s="11" t="str">
        <f>INDEX(Feiertagsregeln!$H$7:$H$198,MATCH($K34,Feiertagsregeln!$A$7:$A$198,0))</f>
        <v>labourLawHoliday</v>
      </c>
      <c r="J34" s="11" t="s">
        <v>69</v>
      </c>
      <c r="K34" s="11" t="s">
        <v>88</v>
      </c>
      <c r="L34" s="11" t="str">
        <f>INDEX(Feiertagsregeln!$Y$7:$Y$198,MATCH($K34,Feiertagsregeln!$A$7:$A$198,0))</f>
        <v>SRC-AG-EGARR-20250901</v>
      </c>
      <c r="M34" s="11" t="str">
        <f>INDEX(Feiertagsregeln!$Z$7:$Z$198,MATCH($K34,Feiertagsregeln!$A$7:$A$198,0))</f>
        <v>§ 6 Abs. 1 Bst. b Ziff. 1</v>
      </c>
      <c r="N34" s="11" t="s">
        <v>71</v>
      </c>
      <c r="O34" s="11" t="str">
        <f>INDEX(Feiertagsregeln!$AA$7:$AA$198,MATCH($K34,Feiertagsregeln!$A$7:$A$198,0))</f>
        <v>Ganztägig</v>
      </c>
    </row>
    <row r="35" spans="1:15" ht="38" customHeight="1">
      <c r="A35" s="14">
        <f>INDEX(Feiertagsregeln!$X$7:$X$198,MATCH($K35,Feiertagsregeln!$A$7:$A$198,0))</f>
        <v>46524</v>
      </c>
      <c r="B35" s="10" t="str">
        <f t="shared" si="0"/>
        <v>Montag</v>
      </c>
      <c r="C35" s="10" t="s">
        <v>67</v>
      </c>
      <c r="D35" s="10" t="s">
        <v>72</v>
      </c>
      <c r="E35" s="10" t="str">
        <f>INDEX(Feiertagsregeln!$D$7:$D$198,MATCH($K35,Feiertagsregeln!$A$7:$A$198,0))</f>
        <v>Pfingstmontag</v>
      </c>
      <c r="F35" s="10" t="str">
        <f>INDEX(Feiertagsregeln!$E$7:$E$198,MATCH($K35,Feiertagsregeln!$A$7:$A$198,0))</f>
        <v>Lundi de Pentecôte</v>
      </c>
      <c r="G35" s="21" t="str">
        <f>IF(INDEX(Feiertagsregeln!$F$7:$F$198,MATCH($K35,Feiertagsregeln!$A$7:$A$198,0))="","Noch zu erfassen",INDEX(Feiertagsregeln!$F$7:$F$198,MATCH($K35,Feiertagsregeln!$A$7:$A$198,0)))</f>
        <v>Noch zu erfassen</v>
      </c>
      <c r="H35" s="21" t="str">
        <f>IF(INDEX(Feiertagsregeln!$G$7:$G$198,MATCH($K35,Feiertagsregeln!$A$7:$A$198,0))="","Noch zu erfassen",INDEX(Feiertagsregeln!$G$7:$G$198,MATCH($K35,Feiertagsregeln!$A$7:$A$198,0)))</f>
        <v>Noch zu erfassen</v>
      </c>
      <c r="I35" s="10" t="str">
        <f>INDEX(Feiertagsregeln!$H$7:$H$198,MATCH($K35,Feiertagsregeln!$A$7:$A$198,0))</f>
        <v>labourLawHoliday</v>
      </c>
      <c r="J35" s="10" t="s">
        <v>69</v>
      </c>
      <c r="K35" s="10" t="s">
        <v>89</v>
      </c>
      <c r="L35" s="10" t="str">
        <f>INDEX(Feiertagsregeln!$Y$7:$Y$198,MATCH($K35,Feiertagsregeln!$A$7:$A$198,0))</f>
        <v>SRC-AG-EGARR-20250901</v>
      </c>
      <c r="M35" s="10" t="str">
        <f>INDEX(Feiertagsregeln!$Z$7:$Z$198,MATCH($K35,Feiertagsregeln!$A$7:$A$198,0))</f>
        <v>§ 6 Abs. 1 Bst. b Ziff. 1</v>
      </c>
      <c r="N35" s="10" t="s">
        <v>71</v>
      </c>
      <c r="O35" s="10" t="str">
        <f>INDEX(Feiertagsregeln!$AA$7:$AA$198,MATCH($K35,Feiertagsregeln!$A$7:$A$198,0))</f>
        <v>Ganztägig</v>
      </c>
    </row>
    <row r="36" spans="1:15" ht="38" customHeight="1">
      <c r="A36" s="15">
        <f>INDEX(Feiertagsregeln!$X$7:$X$198,MATCH($K36,Feiertagsregeln!$A$7:$A$198,0))</f>
        <v>46746</v>
      </c>
      <c r="B36" s="11" t="str">
        <f t="shared" si="0"/>
        <v>Samstag</v>
      </c>
      <c r="C36" s="11" t="s">
        <v>67</v>
      </c>
      <c r="D36" s="11" t="s">
        <v>72</v>
      </c>
      <c r="E36" s="11" t="str">
        <f>INDEX(Feiertagsregeln!$D$7:$D$198,MATCH($K36,Feiertagsregeln!$A$7:$A$198,0))</f>
        <v>Weihnachten</v>
      </c>
      <c r="F36" s="11" t="str">
        <f>INDEX(Feiertagsregeln!$E$7:$E$198,MATCH($K36,Feiertagsregeln!$A$7:$A$198,0))</f>
        <v>Noël</v>
      </c>
      <c r="G36" s="22" t="str">
        <f>IF(INDEX(Feiertagsregeln!$F$7:$F$198,MATCH($K36,Feiertagsregeln!$A$7:$A$198,0))="","Noch zu erfassen",INDEX(Feiertagsregeln!$F$7:$F$198,MATCH($K36,Feiertagsregeln!$A$7:$A$198,0)))</f>
        <v>Noch zu erfassen</v>
      </c>
      <c r="H36" s="22" t="str">
        <f>IF(INDEX(Feiertagsregeln!$G$7:$G$198,MATCH($K36,Feiertagsregeln!$A$7:$A$198,0))="","Noch zu erfassen",INDEX(Feiertagsregeln!$G$7:$G$198,MATCH($K36,Feiertagsregeln!$A$7:$A$198,0)))</f>
        <v>Noch zu erfassen</v>
      </c>
      <c r="I36" s="11" t="str">
        <f>INDEX(Feiertagsregeln!$H$7:$H$198,MATCH($K36,Feiertagsregeln!$A$7:$A$198,0))</f>
        <v>labourLawHoliday</v>
      </c>
      <c r="J36" s="11" t="s">
        <v>69</v>
      </c>
      <c r="K36" s="11" t="s">
        <v>90</v>
      </c>
      <c r="L36" s="11" t="str">
        <f>INDEX(Feiertagsregeln!$Y$7:$Y$198,MATCH($K36,Feiertagsregeln!$A$7:$A$198,0))</f>
        <v>SRC-AG-EGARR-20250901</v>
      </c>
      <c r="M36" s="11" t="str">
        <f>INDEX(Feiertagsregeln!$Z$7:$Z$198,MATCH($K36,Feiertagsregeln!$A$7:$A$198,0))</f>
        <v>§ 6 Abs. 1 Bst. b Ziff. 1</v>
      </c>
      <c r="N36" s="11" t="s">
        <v>71</v>
      </c>
      <c r="O36" s="11" t="str">
        <f>INDEX(Feiertagsregeln!$AA$7:$AA$198,MATCH($K36,Feiertagsregeln!$A$7:$A$198,0))</f>
        <v>Ganztägig</v>
      </c>
    </row>
    <row r="37" spans="1:15" ht="38" customHeight="1">
      <c r="A37" s="14">
        <f>INDEX(Feiertagsregeln!$X$7:$X$198,MATCH($K37,Feiertagsregeln!$A$7:$A$198,0))</f>
        <v>46747</v>
      </c>
      <c r="B37" s="10" t="str">
        <f t="shared" si="0"/>
        <v>Sonntag</v>
      </c>
      <c r="C37" s="10" t="s">
        <v>67</v>
      </c>
      <c r="D37" s="10" t="s">
        <v>72</v>
      </c>
      <c r="E37" s="10" t="str">
        <f>INDEX(Feiertagsregeln!$D$7:$D$198,MATCH($K37,Feiertagsregeln!$A$7:$A$198,0))</f>
        <v>Stephanstag</v>
      </c>
      <c r="F37" s="10" t="str">
        <f>INDEX(Feiertagsregeln!$E$7:$E$198,MATCH($K37,Feiertagsregeln!$A$7:$A$198,0))</f>
        <v>Saint-Étienne</v>
      </c>
      <c r="G37" s="21" t="str">
        <f>IF(INDEX(Feiertagsregeln!$F$7:$F$198,MATCH($K37,Feiertagsregeln!$A$7:$A$198,0))="","Noch zu erfassen",INDEX(Feiertagsregeln!$F$7:$F$198,MATCH($K37,Feiertagsregeln!$A$7:$A$198,0)))</f>
        <v>Noch zu erfassen</v>
      </c>
      <c r="H37" s="21" t="str">
        <f>IF(INDEX(Feiertagsregeln!$G$7:$G$198,MATCH($K37,Feiertagsregeln!$A$7:$A$198,0))="","Noch zu erfassen",INDEX(Feiertagsregeln!$G$7:$G$198,MATCH($K37,Feiertagsregeln!$A$7:$A$198,0)))</f>
        <v>Noch zu erfassen</v>
      </c>
      <c r="I37" s="10" t="str">
        <f>INDEX(Feiertagsregeln!$H$7:$H$198,MATCH($K37,Feiertagsregeln!$A$7:$A$198,0))</f>
        <v>labourLawHoliday</v>
      </c>
      <c r="J37" s="10" t="s">
        <v>69</v>
      </c>
      <c r="K37" s="10" t="s">
        <v>91</v>
      </c>
      <c r="L37" s="10" t="str">
        <f>INDEX(Feiertagsregeln!$Y$7:$Y$198,MATCH($K37,Feiertagsregeln!$A$7:$A$198,0))</f>
        <v>SRC-AG-EGARR-20250901</v>
      </c>
      <c r="M37" s="10" t="str">
        <f>INDEX(Feiertagsregeln!$Z$7:$Z$198,MATCH($K37,Feiertagsregeln!$A$7:$A$198,0))</f>
        <v>§ 6 Abs. 1 Bst. b Ziff. 1</v>
      </c>
      <c r="N37" s="10" t="s">
        <v>71</v>
      </c>
      <c r="O37" s="10" t="str">
        <f>INDEX(Feiertagsregeln!$AA$7:$AA$198,MATCH($K37,Feiertagsregeln!$A$7:$A$198,0))</f>
        <v>Ganztägig</v>
      </c>
    </row>
    <row r="38" spans="1:15" ht="38" customHeight="1">
      <c r="A38" s="15">
        <f>INDEX(Feiertagsregeln!$X$7:$X$198,MATCH($K38,Feiertagsregeln!$A$7:$A$198,0))</f>
        <v>46388</v>
      </c>
      <c r="B38" s="11" t="str">
        <f t="shared" si="0"/>
        <v>Freitag</v>
      </c>
      <c r="C38" s="11" t="s">
        <v>67</v>
      </c>
      <c r="D38" s="11" t="s">
        <v>68</v>
      </c>
      <c r="E38" s="11" t="str">
        <f>INDEX(Feiertagsregeln!$D$7:$D$198,MATCH($K38,Feiertagsregeln!$A$7:$A$198,0))</f>
        <v>Neujahr</v>
      </c>
      <c r="F38" s="11" t="str">
        <f>INDEX(Feiertagsregeln!$E$7:$E$198,MATCH($K38,Feiertagsregeln!$A$7:$A$198,0))</f>
        <v>Nouvel An</v>
      </c>
      <c r="G38" s="22" t="str">
        <f>IF(INDEX(Feiertagsregeln!$F$7:$F$198,MATCH($K38,Feiertagsregeln!$A$7:$A$198,0))="","Noch zu erfassen",INDEX(Feiertagsregeln!$F$7:$F$198,MATCH($K38,Feiertagsregeln!$A$7:$A$198,0)))</f>
        <v>Noch zu erfassen</v>
      </c>
      <c r="H38" s="22" t="str">
        <f>IF(INDEX(Feiertagsregeln!$G$7:$G$198,MATCH($K38,Feiertagsregeln!$A$7:$A$198,0))="","Noch zu erfassen",INDEX(Feiertagsregeln!$G$7:$G$198,MATCH($K38,Feiertagsregeln!$A$7:$A$198,0)))</f>
        <v>Noch zu erfassen</v>
      </c>
      <c r="I38" s="11" t="str">
        <f>INDEX(Feiertagsregeln!$H$7:$H$198,MATCH($K38,Feiertagsregeln!$A$7:$A$198,0))</f>
        <v>labourLawHoliday</v>
      </c>
      <c r="J38" s="11" t="s">
        <v>69</v>
      </c>
      <c r="K38" s="11" t="s">
        <v>92</v>
      </c>
      <c r="L38" s="11" t="str">
        <f>INDEX(Feiertagsregeln!$Y$7:$Y$198,MATCH($K38,Feiertagsregeln!$A$7:$A$198,0))</f>
        <v>SRC-AG-EGARR-20250901</v>
      </c>
      <c r="M38" s="11" t="str">
        <f>INDEX(Feiertagsregeln!$Z$7:$Z$198,MATCH($K38,Feiertagsregeln!$A$7:$A$198,0))</f>
        <v>§ 6 Abs. 1 Bst. b Ziff. 2</v>
      </c>
      <c r="N38" s="11" t="s">
        <v>71</v>
      </c>
      <c r="O38" s="11" t="str">
        <f>INDEX(Feiertagsregeln!$AA$7:$AA$198,MATCH($K38,Feiertagsregeln!$A$7:$A$198,0))</f>
        <v>Ganztägig</v>
      </c>
    </row>
    <row r="39" spans="1:15" ht="38" customHeight="1">
      <c r="A39" s="14">
        <f>INDEX(Feiertagsregeln!$X$7:$X$198,MATCH($K39,Feiertagsregeln!$A$7:$A$198,0))</f>
        <v>46472</v>
      </c>
      <c r="B39" s="10" t="str">
        <f t="shared" si="0"/>
        <v>Freitag</v>
      </c>
      <c r="C39" s="10" t="s">
        <v>67</v>
      </c>
      <c r="D39" s="10" t="s">
        <v>68</v>
      </c>
      <c r="E39" s="10" t="str">
        <f>INDEX(Feiertagsregeln!$D$7:$D$198,MATCH($K39,Feiertagsregeln!$A$7:$A$198,0))</f>
        <v>Karfreitag</v>
      </c>
      <c r="F39" s="10" t="str">
        <f>INDEX(Feiertagsregeln!$E$7:$E$198,MATCH($K39,Feiertagsregeln!$A$7:$A$198,0))</f>
        <v>Vendredi saint</v>
      </c>
      <c r="G39" s="21" t="str">
        <f>IF(INDEX(Feiertagsregeln!$F$7:$F$198,MATCH($K39,Feiertagsregeln!$A$7:$A$198,0))="","Noch zu erfassen",INDEX(Feiertagsregeln!$F$7:$F$198,MATCH($K39,Feiertagsregeln!$A$7:$A$198,0)))</f>
        <v>Noch zu erfassen</v>
      </c>
      <c r="H39" s="21" t="str">
        <f>IF(INDEX(Feiertagsregeln!$G$7:$G$198,MATCH($K39,Feiertagsregeln!$A$7:$A$198,0))="","Noch zu erfassen",INDEX(Feiertagsregeln!$G$7:$G$198,MATCH($K39,Feiertagsregeln!$A$7:$A$198,0)))</f>
        <v>Noch zu erfassen</v>
      </c>
      <c r="I39" s="10" t="str">
        <f>INDEX(Feiertagsregeln!$H$7:$H$198,MATCH($K39,Feiertagsregeln!$A$7:$A$198,0))</f>
        <v>labourLawHoliday</v>
      </c>
      <c r="J39" s="10" t="s">
        <v>69</v>
      </c>
      <c r="K39" s="10" t="s">
        <v>93</v>
      </c>
      <c r="L39" s="10" t="str">
        <f>INDEX(Feiertagsregeln!$Y$7:$Y$198,MATCH($K39,Feiertagsregeln!$A$7:$A$198,0))</f>
        <v>SRC-AG-EGARR-20250901</v>
      </c>
      <c r="M39" s="10" t="str">
        <f>INDEX(Feiertagsregeln!$Z$7:$Z$198,MATCH($K39,Feiertagsregeln!$A$7:$A$198,0))</f>
        <v>§ 6 Abs. 1 Bst. b Ziff. 2</v>
      </c>
      <c r="N39" s="10" t="s">
        <v>71</v>
      </c>
      <c r="O39" s="10" t="str">
        <f>INDEX(Feiertagsregeln!$AA$7:$AA$198,MATCH($K39,Feiertagsregeln!$A$7:$A$198,0))</f>
        <v>Ganztägig</v>
      </c>
    </row>
    <row r="40" spans="1:15" ht="38" customHeight="1">
      <c r="A40" s="15">
        <f>INDEX(Feiertagsregeln!$X$7:$X$198,MATCH($K40,Feiertagsregeln!$A$7:$A$198,0))</f>
        <v>46475</v>
      </c>
      <c r="B40" s="11" t="str">
        <f t="shared" si="0"/>
        <v>Montag</v>
      </c>
      <c r="C40" s="11" t="s">
        <v>67</v>
      </c>
      <c r="D40" s="11" t="s">
        <v>68</v>
      </c>
      <c r="E40" s="11" t="str">
        <f>INDEX(Feiertagsregeln!$D$7:$D$198,MATCH($K40,Feiertagsregeln!$A$7:$A$198,0))</f>
        <v>Ostermontag</v>
      </c>
      <c r="F40" s="11" t="str">
        <f>INDEX(Feiertagsregeln!$E$7:$E$198,MATCH($K40,Feiertagsregeln!$A$7:$A$198,0))</f>
        <v>Lundi de Pâques</v>
      </c>
      <c r="G40" s="22" t="str">
        <f>IF(INDEX(Feiertagsregeln!$F$7:$F$198,MATCH($K40,Feiertagsregeln!$A$7:$A$198,0))="","Noch zu erfassen",INDEX(Feiertagsregeln!$F$7:$F$198,MATCH($K40,Feiertagsregeln!$A$7:$A$198,0)))</f>
        <v>Noch zu erfassen</v>
      </c>
      <c r="H40" s="22" t="str">
        <f>IF(INDEX(Feiertagsregeln!$G$7:$G$198,MATCH($K40,Feiertagsregeln!$A$7:$A$198,0))="","Noch zu erfassen",INDEX(Feiertagsregeln!$G$7:$G$198,MATCH($K40,Feiertagsregeln!$A$7:$A$198,0)))</f>
        <v>Noch zu erfassen</v>
      </c>
      <c r="I40" s="11" t="str">
        <f>INDEX(Feiertagsregeln!$H$7:$H$198,MATCH($K40,Feiertagsregeln!$A$7:$A$198,0))</f>
        <v>labourLawHoliday</v>
      </c>
      <c r="J40" s="11" t="s">
        <v>69</v>
      </c>
      <c r="K40" s="11" t="s">
        <v>94</v>
      </c>
      <c r="L40" s="11" t="str">
        <f>INDEX(Feiertagsregeln!$Y$7:$Y$198,MATCH($K40,Feiertagsregeln!$A$7:$A$198,0))</f>
        <v>SRC-AG-EGARR-20250901</v>
      </c>
      <c r="M40" s="11" t="str">
        <f>INDEX(Feiertagsregeln!$Z$7:$Z$198,MATCH($K40,Feiertagsregeln!$A$7:$A$198,0))</f>
        <v>§ 6 Abs. 1 Bst. b Ziff. 2</v>
      </c>
      <c r="N40" s="11" t="s">
        <v>71</v>
      </c>
      <c r="O40" s="11" t="str">
        <f>INDEX(Feiertagsregeln!$AA$7:$AA$198,MATCH($K40,Feiertagsregeln!$A$7:$A$198,0))</f>
        <v>Ganztägig</v>
      </c>
    </row>
    <row r="41" spans="1:15" ht="38" customHeight="1">
      <c r="A41" s="14">
        <f>INDEX(Feiertagsregeln!$X$7:$X$198,MATCH($K41,Feiertagsregeln!$A$7:$A$198,0))</f>
        <v>46513</v>
      </c>
      <c r="B41" s="10" t="str">
        <f t="shared" si="0"/>
        <v>Donnerstag</v>
      </c>
      <c r="C41" s="10" t="s">
        <v>67</v>
      </c>
      <c r="D41" s="10" t="s">
        <v>68</v>
      </c>
      <c r="E41" s="10" t="str">
        <f>INDEX(Feiertagsregeln!$D$7:$D$198,MATCH($K41,Feiertagsregeln!$A$7:$A$198,0))</f>
        <v>Auffahrt</v>
      </c>
      <c r="F41" s="10" t="str">
        <f>INDEX(Feiertagsregeln!$E$7:$E$198,MATCH($K41,Feiertagsregeln!$A$7:$A$198,0))</f>
        <v>Ascension</v>
      </c>
      <c r="G41" s="21" t="str">
        <f>IF(INDEX(Feiertagsregeln!$F$7:$F$198,MATCH($K41,Feiertagsregeln!$A$7:$A$198,0))="","Noch zu erfassen",INDEX(Feiertagsregeln!$F$7:$F$198,MATCH($K41,Feiertagsregeln!$A$7:$A$198,0)))</f>
        <v>Noch zu erfassen</v>
      </c>
      <c r="H41" s="21" t="str">
        <f>IF(INDEX(Feiertagsregeln!$G$7:$G$198,MATCH($K41,Feiertagsregeln!$A$7:$A$198,0))="","Noch zu erfassen",INDEX(Feiertagsregeln!$G$7:$G$198,MATCH($K41,Feiertagsregeln!$A$7:$A$198,0)))</f>
        <v>Noch zu erfassen</v>
      </c>
      <c r="I41" s="10" t="str">
        <f>INDEX(Feiertagsregeln!$H$7:$H$198,MATCH($K41,Feiertagsregeln!$A$7:$A$198,0))</f>
        <v>labourLawHoliday</v>
      </c>
      <c r="J41" s="10" t="s">
        <v>69</v>
      </c>
      <c r="K41" s="10" t="s">
        <v>95</v>
      </c>
      <c r="L41" s="10" t="str">
        <f>INDEX(Feiertagsregeln!$Y$7:$Y$198,MATCH($K41,Feiertagsregeln!$A$7:$A$198,0))</f>
        <v>SRC-AG-EGARR-20250901</v>
      </c>
      <c r="M41" s="10" t="str">
        <f>INDEX(Feiertagsregeln!$Z$7:$Z$198,MATCH($K41,Feiertagsregeln!$A$7:$A$198,0))</f>
        <v>§ 6 Abs. 1 Bst. b Ziff. 2</v>
      </c>
      <c r="N41" s="10" t="s">
        <v>71</v>
      </c>
      <c r="O41" s="10" t="str">
        <f>INDEX(Feiertagsregeln!$AA$7:$AA$198,MATCH($K41,Feiertagsregeln!$A$7:$A$198,0))</f>
        <v>Ganztägig</v>
      </c>
    </row>
    <row r="42" spans="1:15" ht="38" customHeight="1">
      <c r="A42" s="15">
        <f>INDEX(Feiertagsregeln!$X$7:$X$198,MATCH($K42,Feiertagsregeln!$A$7:$A$198,0))</f>
        <v>46524</v>
      </c>
      <c r="B42" s="11" t="str">
        <f t="shared" si="0"/>
        <v>Montag</v>
      </c>
      <c r="C42" s="11" t="s">
        <v>67</v>
      </c>
      <c r="D42" s="11" t="s">
        <v>68</v>
      </c>
      <c r="E42" s="11" t="str">
        <f>INDEX(Feiertagsregeln!$D$7:$D$198,MATCH($K42,Feiertagsregeln!$A$7:$A$198,0))</f>
        <v>Pfingstmontag</v>
      </c>
      <c r="F42" s="11" t="str">
        <f>INDEX(Feiertagsregeln!$E$7:$E$198,MATCH($K42,Feiertagsregeln!$A$7:$A$198,0))</f>
        <v>Lundi de Pentecôte</v>
      </c>
      <c r="G42" s="22" t="str">
        <f>IF(INDEX(Feiertagsregeln!$F$7:$F$198,MATCH($K42,Feiertagsregeln!$A$7:$A$198,0))="","Noch zu erfassen",INDEX(Feiertagsregeln!$F$7:$F$198,MATCH($K42,Feiertagsregeln!$A$7:$A$198,0)))</f>
        <v>Noch zu erfassen</v>
      </c>
      <c r="H42" s="22" t="str">
        <f>IF(INDEX(Feiertagsregeln!$G$7:$G$198,MATCH($K42,Feiertagsregeln!$A$7:$A$198,0))="","Noch zu erfassen",INDEX(Feiertagsregeln!$G$7:$G$198,MATCH($K42,Feiertagsregeln!$A$7:$A$198,0)))</f>
        <v>Noch zu erfassen</v>
      </c>
      <c r="I42" s="11" t="str">
        <f>INDEX(Feiertagsregeln!$H$7:$H$198,MATCH($K42,Feiertagsregeln!$A$7:$A$198,0))</f>
        <v>labourLawHoliday</v>
      </c>
      <c r="J42" s="11" t="s">
        <v>69</v>
      </c>
      <c r="K42" s="11" t="s">
        <v>96</v>
      </c>
      <c r="L42" s="11" t="str">
        <f>INDEX(Feiertagsregeln!$Y$7:$Y$198,MATCH($K42,Feiertagsregeln!$A$7:$A$198,0))</f>
        <v>SRC-AG-EGARR-20250901</v>
      </c>
      <c r="M42" s="11" t="str">
        <f>INDEX(Feiertagsregeln!$Z$7:$Z$198,MATCH($K42,Feiertagsregeln!$A$7:$A$198,0))</f>
        <v>§ 6 Abs. 1 Bst. b Ziff. 2</v>
      </c>
      <c r="N42" s="11" t="s">
        <v>71</v>
      </c>
      <c r="O42" s="11" t="str">
        <f>INDEX(Feiertagsregeln!$AA$7:$AA$198,MATCH($K42,Feiertagsregeln!$A$7:$A$198,0))</f>
        <v>Ganztägig</v>
      </c>
    </row>
    <row r="43" spans="1:15" ht="38" customHeight="1">
      <c r="A43" s="14">
        <f>INDEX(Feiertagsregeln!$X$7:$X$198,MATCH($K43,Feiertagsregeln!$A$7:$A$198,0))</f>
        <v>46746</v>
      </c>
      <c r="B43" s="10" t="str">
        <f t="shared" si="0"/>
        <v>Samstag</v>
      </c>
      <c r="C43" s="10" t="s">
        <v>67</v>
      </c>
      <c r="D43" s="10" t="s">
        <v>68</v>
      </c>
      <c r="E43" s="10" t="str">
        <f>INDEX(Feiertagsregeln!$D$7:$D$198,MATCH($K43,Feiertagsregeln!$A$7:$A$198,0))</f>
        <v>Weihnachten</v>
      </c>
      <c r="F43" s="10" t="str">
        <f>INDEX(Feiertagsregeln!$E$7:$E$198,MATCH($K43,Feiertagsregeln!$A$7:$A$198,0))</f>
        <v>Noël</v>
      </c>
      <c r="G43" s="21" t="str">
        <f>IF(INDEX(Feiertagsregeln!$F$7:$F$198,MATCH($K43,Feiertagsregeln!$A$7:$A$198,0))="","Noch zu erfassen",INDEX(Feiertagsregeln!$F$7:$F$198,MATCH($K43,Feiertagsregeln!$A$7:$A$198,0)))</f>
        <v>Noch zu erfassen</v>
      </c>
      <c r="H43" s="21" t="str">
        <f>IF(INDEX(Feiertagsregeln!$G$7:$G$198,MATCH($K43,Feiertagsregeln!$A$7:$A$198,0))="","Noch zu erfassen",INDEX(Feiertagsregeln!$G$7:$G$198,MATCH($K43,Feiertagsregeln!$A$7:$A$198,0)))</f>
        <v>Noch zu erfassen</v>
      </c>
      <c r="I43" s="10" t="str">
        <f>INDEX(Feiertagsregeln!$H$7:$H$198,MATCH($K43,Feiertagsregeln!$A$7:$A$198,0))</f>
        <v>labourLawHoliday</v>
      </c>
      <c r="J43" s="10" t="s">
        <v>69</v>
      </c>
      <c r="K43" s="10" t="s">
        <v>97</v>
      </c>
      <c r="L43" s="10" t="str">
        <f>INDEX(Feiertagsregeln!$Y$7:$Y$198,MATCH($K43,Feiertagsregeln!$A$7:$A$198,0))</f>
        <v>SRC-AG-EGARR-20250901</v>
      </c>
      <c r="M43" s="10" t="str">
        <f>INDEX(Feiertagsregeln!$Z$7:$Z$198,MATCH($K43,Feiertagsregeln!$A$7:$A$198,0))</f>
        <v>§ 6 Abs. 1 Bst. b Ziff. 2</v>
      </c>
      <c r="N43" s="10" t="s">
        <v>71</v>
      </c>
      <c r="O43" s="10" t="str">
        <f>INDEX(Feiertagsregeln!$AA$7:$AA$198,MATCH($K43,Feiertagsregeln!$A$7:$A$198,0))</f>
        <v>Ganztägig</v>
      </c>
    </row>
    <row r="44" spans="1:15" ht="38" customHeight="1">
      <c r="A44" s="15">
        <f>INDEX(Feiertagsregeln!$X$7:$X$198,MATCH($K44,Feiertagsregeln!$A$7:$A$198,0))</f>
        <v>46747</v>
      </c>
      <c r="B44" s="11" t="str">
        <f t="shared" si="0"/>
        <v>Sonntag</v>
      </c>
      <c r="C44" s="11" t="s">
        <v>67</v>
      </c>
      <c r="D44" s="11" t="s">
        <v>68</v>
      </c>
      <c r="E44" s="11" t="str">
        <f>INDEX(Feiertagsregeln!$D$7:$D$198,MATCH($K44,Feiertagsregeln!$A$7:$A$198,0))</f>
        <v>Stephanstag</v>
      </c>
      <c r="F44" s="11" t="str">
        <f>INDEX(Feiertagsregeln!$E$7:$E$198,MATCH($K44,Feiertagsregeln!$A$7:$A$198,0))</f>
        <v>Saint-Étienne</v>
      </c>
      <c r="G44" s="22" t="str">
        <f>IF(INDEX(Feiertagsregeln!$F$7:$F$198,MATCH($K44,Feiertagsregeln!$A$7:$A$198,0))="","Noch zu erfassen",INDEX(Feiertagsregeln!$F$7:$F$198,MATCH($K44,Feiertagsregeln!$A$7:$A$198,0)))</f>
        <v>Noch zu erfassen</v>
      </c>
      <c r="H44" s="22" t="str">
        <f>IF(INDEX(Feiertagsregeln!$G$7:$G$198,MATCH($K44,Feiertagsregeln!$A$7:$A$198,0))="","Noch zu erfassen",INDEX(Feiertagsregeln!$G$7:$G$198,MATCH($K44,Feiertagsregeln!$A$7:$A$198,0)))</f>
        <v>Noch zu erfassen</v>
      </c>
      <c r="I44" s="11" t="str">
        <f>INDEX(Feiertagsregeln!$H$7:$H$198,MATCH($K44,Feiertagsregeln!$A$7:$A$198,0))</f>
        <v>labourLawHoliday</v>
      </c>
      <c r="J44" s="11" t="s">
        <v>69</v>
      </c>
      <c r="K44" s="11" t="s">
        <v>98</v>
      </c>
      <c r="L44" s="11" t="str">
        <f>INDEX(Feiertagsregeln!$Y$7:$Y$198,MATCH($K44,Feiertagsregeln!$A$7:$A$198,0))</f>
        <v>SRC-AG-EGARR-20250901</v>
      </c>
      <c r="M44" s="11" t="str">
        <f>INDEX(Feiertagsregeln!$Z$7:$Z$198,MATCH($K44,Feiertagsregeln!$A$7:$A$198,0))</f>
        <v>§ 6 Abs. 1 Bst. b Ziff. 2</v>
      </c>
      <c r="N44" s="11" t="s">
        <v>71</v>
      </c>
      <c r="O44" s="11" t="str">
        <f>INDEX(Feiertagsregeln!$AA$7:$AA$198,MATCH($K44,Feiertagsregeln!$A$7:$A$198,0))</f>
        <v>Ganztägig</v>
      </c>
    </row>
    <row r="45" spans="1:15" ht="38" customHeight="1">
      <c r="A45" s="14">
        <f>INDEX(Feiertagsregeln!$X$7:$X$198,MATCH($K45,Feiertagsregeln!$A$7:$A$198,0))</f>
        <v>46388</v>
      </c>
      <c r="B45" s="10" t="str">
        <f t="shared" si="0"/>
        <v>Freitag</v>
      </c>
      <c r="C45" s="10" t="s">
        <v>67</v>
      </c>
      <c r="D45" s="10" t="s">
        <v>99</v>
      </c>
      <c r="E45" s="10" t="str">
        <f>INDEX(Feiertagsregeln!$D$7:$D$198,MATCH($K45,Feiertagsregeln!$A$7:$A$198,0))</f>
        <v>Neujahr</v>
      </c>
      <c r="F45" s="10" t="str">
        <f>INDEX(Feiertagsregeln!$E$7:$E$198,MATCH($K45,Feiertagsregeln!$A$7:$A$198,0))</f>
        <v>Nouvel An</v>
      </c>
      <c r="G45" s="21" t="str">
        <f>IF(INDEX(Feiertagsregeln!$F$7:$F$198,MATCH($K45,Feiertagsregeln!$A$7:$A$198,0))="","Noch zu erfassen",INDEX(Feiertagsregeln!$F$7:$F$198,MATCH($K45,Feiertagsregeln!$A$7:$A$198,0)))</f>
        <v>Noch zu erfassen</v>
      </c>
      <c r="H45" s="21" t="str">
        <f>IF(INDEX(Feiertagsregeln!$G$7:$G$198,MATCH($K45,Feiertagsregeln!$A$7:$A$198,0))="","Noch zu erfassen",INDEX(Feiertagsregeln!$G$7:$G$198,MATCH($K45,Feiertagsregeln!$A$7:$A$198,0)))</f>
        <v>Noch zu erfassen</v>
      </c>
      <c r="I45" s="10" t="str">
        <f>INDEX(Feiertagsregeln!$H$7:$H$198,MATCH($K45,Feiertagsregeln!$A$7:$A$198,0))</f>
        <v>labourLawHoliday</v>
      </c>
      <c r="J45" s="10" t="s">
        <v>69</v>
      </c>
      <c r="K45" s="10" t="s">
        <v>100</v>
      </c>
      <c r="L45" s="10" t="str">
        <f>INDEX(Feiertagsregeln!$Y$7:$Y$198,MATCH($K45,Feiertagsregeln!$A$7:$A$198,0))</f>
        <v>SRC-AG-EGARR-20250901</v>
      </c>
      <c r="M45" s="10" t="str">
        <f>INDEX(Feiertagsregeln!$Z$7:$Z$198,MATCH($K45,Feiertagsregeln!$A$7:$A$198,0))</f>
        <v>§ 6 Abs. 1 Bst. c</v>
      </c>
      <c r="N45" s="10" t="s">
        <v>71</v>
      </c>
      <c r="O45" s="10" t="str">
        <f>INDEX(Feiertagsregeln!$AA$7:$AA$198,MATCH($K45,Feiertagsregeln!$A$7:$A$198,0))</f>
        <v>Ganztägig</v>
      </c>
    </row>
    <row r="46" spans="1:15" ht="38" customHeight="1">
      <c r="A46" s="15">
        <f>INDEX(Feiertagsregeln!$X$7:$X$198,MATCH($K46,Feiertagsregeln!$A$7:$A$198,0))</f>
        <v>46472</v>
      </c>
      <c r="B46" s="11" t="str">
        <f t="shared" si="0"/>
        <v>Freitag</v>
      </c>
      <c r="C46" s="11" t="s">
        <v>67</v>
      </c>
      <c r="D46" s="11" t="s">
        <v>99</v>
      </c>
      <c r="E46" s="11" t="str">
        <f>INDEX(Feiertagsregeln!$D$7:$D$198,MATCH($K46,Feiertagsregeln!$A$7:$A$198,0))</f>
        <v>Karfreitag</v>
      </c>
      <c r="F46" s="11" t="str">
        <f>INDEX(Feiertagsregeln!$E$7:$E$198,MATCH($K46,Feiertagsregeln!$A$7:$A$198,0))</f>
        <v>Vendredi saint</v>
      </c>
      <c r="G46" s="22" t="str">
        <f>IF(INDEX(Feiertagsregeln!$F$7:$F$198,MATCH($K46,Feiertagsregeln!$A$7:$A$198,0))="","Noch zu erfassen",INDEX(Feiertagsregeln!$F$7:$F$198,MATCH($K46,Feiertagsregeln!$A$7:$A$198,0)))</f>
        <v>Noch zu erfassen</v>
      </c>
      <c r="H46" s="22" t="str">
        <f>IF(INDEX(Feiertagsregeln!$G$7:$G$198,MATCH($K46,Feiertagsregeln!$A$7:$A$198,0))="","Noch zu erfassen",INDEX(Feiertagsregeln!$G$7:$G$198,MATCH($K46,Feiertagsregeln!$A$7:$A$198,0)))</f>
        <v>Noch zu erfassen</v>
      </c>
      <c r="I46" s="11" t="str">
        <f>INDEX(Feiertagsregeln!$H$7:$H$198,MATCH($K46,Feiertagsregeln!$A$7:$A$198,0))</f>
        <v>labourLawHoliday</v>
      </c>
      <c r="J46" s="11" t="s">
        <v>69</v>
      </c>
      <c r="K46" s="11" t="s">
        <v>101</v>
      </c>
      <c r="L46" s="11" t="str">
        <f>INDEX(Feiertagsregeln!$Y$7:$Y$198,MATCH($K46,Feiertagsregeln!$A$7:$A$198,0))</f>
        <v>SRC-AG-EGARR-20250901</v>
      </c>
      <c r="M46" s="11" t="str">
        <f>INDEX(Feiertagsregeln!$Z$7:$Z$198,MATCH($K46,Feiertagsregeln!$A$7:$A$198,0))</f>
        <v>§ 6 Abs. 1 Bst. c</v>
      </c>
      <c r="N46" s="11" t="s">
        <v>71</v>
      </c>
      <c r="O46" s="11" t="str">
        <f>INDEX(Feiertagsregeln!$AA$7:$AA$198,MATCH($K46,Feiertagsregeln!$A$7:$A$198,0))</f>
        <v>Ganztägig</v>
      </c>
    </row>
    <row r="47" spans="1:15" ht="38" customHeight="1">
      <c r="A47" s="14">
        <f>INDEX(Feiertagsregeln!$X$7:$X$198,MATCH($K47,Feiertagsregeln!$A$7:$A$198,0))</f>
        <v>46513</v>
      </c>
      <c r="B47" s="10" t="str">
        <f t="shared" si="0"/>
        <v>Donnerstag</v>
      </c>
      <c r="C47" s="10" t="s">
        <v>67</v>
      </c>
      <c r="D47" s="10" t="s">
        <v>99</v>
      </c>
      <c r="E47" s="10" t="str">
        <f>INDEX(Feiertagsregeln!$D$7:$D$198,MATCH($K47,Feiertagsregeln!$A$7:$A$198,0))</f>
        <v>Auffahrt</v>
      </c>
      <c r="F47" s="10" t="str">
        <f>INDEX(Feiertagsregeln!$E$7:$E$198,MATCH($K47,Feiertagsregeln!$A$7:$A$198,0))</f>
        <v>Ascension</v>
      </c>
      <c r="G47" s="21" t="str">
        <f>IF(INDEX(Feiertagsregeln!$F$7:$F$198,MATCH($K47,Feiertagsregeln!$A$7:$A$198,0))="","Noch zu erfassen",INDEX(Feiertagsregeln!$F$7:$F$198,MATCH($K47,Feiertagsregeln!$A$7:$A$198,0)))</f>
        <v>Noch zu erfassen</v>
      </c>
      <c r="H47" s="21" t="str">
        <f>IF(INDEX(Feiertagsregeln!$G$7:$G$198,MATCH($K47,Feiertagsregeln!$A$7:$A$198,0))="","Noch zu erfassen",INDEX(Feiertagsregeln!$G$7:$G$198,MATCH($K47,Feiertagsregeln!$A$7:$A$198,0)))</f>
        <v>Noch zu erfassen</v>
      </c>
      <c r="I47" s="10" t="str">
        <f>INDEX(Feiertagsregeln!$H$7:$H$198,MATCH($K47,Feiertagsregeln!$A$7:$A$198,0))</f>
        <v>labourLawHoliday</v>
      </c>
      <c r="J47" s="10" t="s">
        <v>69</v>
      </c>
      <c r="K47" s="10" t="s">
        <v>102</v>
      </c>
      <c r="L47" s="10" t="str">
        <f>INDEX(Feiertagsregeln!$Y$7:$Y$198,MATCH($K47,Feiertagsregeln!$A$7:$A$198,0))</f>
        <v>SRC-AG-EGARR-20250901</v>
      </c>
      <c r="M47" s="10" t="str">
        <f>INDEX(Feiertagsregeln!$Z$7:$Z$198,MATCH($K47,Feiertagsregeln!$A$7:$A$198,0))</f>
        <v>§ 6 Abs. 1 Bst. c</v>
      </c>
      <c r="N47" s="10" t="s">
        <v>71</v>
      </c>
      <c r="O47" s="10" t="str">
        <f>INDEX(Feiertagsregeln!$AA$7:$AA$198,MATCH($K47,Feiertagsregeln!$A$7:$A$198,0))</f>
        <v>Ganztägig</v>
      </c>
    </row>
    <row r="48" spans="1:15" ht="38" customHeight="1">
      <c r="A48" s="15">
        <f>INDEX(Feiertagsregeln!$X$7:$X$198,MATCH($K48,Feiertagsregeln!$A$7:$A$198,0))</f>
        <v>46534</v>
      </c>
      <c r="B48" s="11" t="str">
        <f t="shared" si="0"/>
        <v>Donnerstag</v>
      </c>
      <c r="C48" s="11" t="s">
        <v>67</v>
      </c>
      <c r="D48" s="11" t="s">
        <v>99</v>
      </c>
      <c r="E48" s="11" t="str">
        <f>INDEX(Feiertagsregeln!$D$7:$D$198,MATCH($K48,Feiertagsregeln!$A$7:$A$198,0))</f>
        <v>Fronleichnam</v>
      </c>
      <c r="F48" s="11" t="str">
        <f>INDEX(Feiertagsregeln!$E$7:$E$198,MATCH($K48,Feiertagsregeln!$A$7:$A$198,0))</f>
        <v>Fête-Dieu</v>
      </c>
      <c r="G48" s="22" t="str">
        <f>IF(INDEX(Feiertagsregeln!$F$7:$F$198,MATCH($K48,Feiertagsregeln!$A$7:$A$198,0))="","Noch zu erfassen",INDEX(Feiertagsregeln!$F$7:$F$198,MATCH($K48,Feiertagsregeln!$A$7:$A$198,0)))</f>
        <v>Noch zu erfassen</v>
      </c>
      <c r="H48" s="22" t="str">
        <f>IF(INDEX(Feiertagsregeln!$G$7:$G$198,MATCH($K48,Feiertagsregeln!$A$7:$A$198,0))="","Noch zu erfassen",INDEX(Feiertagsregeln!$G$7:$G$198,MATCH($K48,Feiertagsregeln!$A$7:$A$198,0)))</f>
        <v>Noch zu erfassen</v>
      </c>
      <c r="I48" s="11" t="str">
        <f>INDEX(Feiertagsregeln!$H$7:$H$198,MATCH($K48,Feiertagsregeln!$A$7:$A$198,0))</f>
        <v>labourLawHoliday</v>
      </c>
      <c r="J48" s="11" t="s">
        <v>69</v>
      </c>
      <c r="K48" s="11" t="s">
        <v>103</v>
      </c>
      <c r="L48" s="11" t="str">
        <f>INDEX(Feiertagsregeln!$Y$7:$Y$198,MATCH($K48,Feiertagsregeln!$A$7:$A$198,0))</f>
        <v>SRC-AG-EGARR-20250901</v>
      </c>
      <c r="M48" s="11" t="str">
        <f>INDEX(Feiertagsregeln!$Z$7:$Z$198,MATCH($K48,Feiertagsregeln!$A$7:$A$198,0))</f>
        <v>§ 6 Abs. 1 Bst. c</v>
      </c>
      <c r="N48" s="11" t="s">
        <v>71</v>
      </c>
      <c r="O48" s="11" t="str">
        <f>INDEX(Feiertagsregeln!$AA$7:$AA$198,MATCH($K48,Feiertagsregeln!$A$7:$A$198,0))</f>
        <v>Ganztägig</v>
      </c>
    </row>
    <row r="49" spans="1:15" ht="38" customHeight="1">
      <c r="A49" s="14">
        <f>INDEX(Feiertagsregeln!$X$7:$X$198,MATCH($K49,Feiertagsregeln!$A$7:$A$198,0))</f>
        <v>46614</v>
      </c>
      <c r="B49" s="10" t="str">
        <f t="shared" si="0"/>
        <v>Sonntag</v>
      </c>
      <c r="C49" s="10" t="s">
        <v>67</v>
      </c>
      <c r="D49" s="10" t="s">
        <v>99</v>
      </c>
      <c r="E49" s="10" t="str">
        <f>INDEX(Feiertagsregeln!$D$7:$D$198,MATCH($K49,Feiertagsregeln!$A$7:$A$198,0))</f>
        <v>Mariä Himmelfahrt</v>
      </c>
      <c r="F49" s="10" t="str">
        <f>INDEX(Feiertagsregeln!$E$7:$E$198,MATCH($K49,Feiertagsregeln!$A$7:$A$198,0))</f>
        <v>Assomption</v>
      </c>
      <c r="G49" s="21" t="str">
        <f>IF(INDEX(Feiertagsregeln!$F$7:$F$198,MATCH($K49,Feiertagsregeln!$A$7:$A$198,0))="","Noch zu erfassen",INDEX(Feiertagsregeln!$F$7:$F$198,MATCH($K49,Feiertagsregeln!$A$7:$A$198,0)))</f>
        <v>Noch zu erfassen</v>
      </c>
      <c r="H49" s="21" t="str">
        <f>IF(INDEX(Feiertagsregeln!$G$7:$G$198,MATCH($K49,Feiertagsregeln!$A$7:$A$198,0))="","Noch zu erfassen",INDEX(Feiertagsregeln!$G$7:$G$198,MATCH($K49,Feiertagsregeln!$A$7:$A$198,0)))</f>
        <v>Noch zu erfassen</v>
      </c>
      <c r="I49" s="10" t="str">
        <f>INDEX(Feiertagsregeln!$H$7:$H$198,MATCH($K49,Feiertagsregeln!$A$7:$A$198,0))</f>
        <v>labourLawHoliday</v>
      </c>
      <c r="J49" s="10" t="s">
        <v>69</v>
      </c>
      <c r="K49" s="10" t="s">
        <v>104</v>
      </c>
      <c r="L49" s="10" t="str">
        <f>INDEX(Feiertagsregeln!$Y$7:$Y$198,MATCH($K49,Feiertagsregeln!$A$7:$A$198,0))</f>
        <v>SRC-AG-EGARR-20250901</v>
      </c>
      <c r="M49" s="10" t="str">
        <f>INDEX(Feiertagsregeln!$Z$7:$Z$198,MATCH($K49,Feiertagsregeln!$A$7:$A$198,0))</f>
        <v>§ 6 Abs. 1 Bst. c</v>
      </c>
      <c r="N49" s="10" t="s">
        <v>71</v>
      </c>
      <c r="O49" s="10" t="str">
        <f>INDEX(Feiertagsregeln!$AA$7:$AA$198,MATCH($K49,Feiertagsregeln!$A$7:$A$198,0))</f>
        <v>Ganztägig</v>
      </c>
    </row>
    <row r="50" spans="1:15" ht="38" customHeight="1">
      <c r="A50" s="15">
        <f>INDEX(Feiertagsregeln!$X$7:$X$198,MATCH($K50,Feiertagsregeln!$A$7:$A$198,0))</f>
        <v>46692</v>
      </c>
      <c r="B50" s="11" t="str">
        <f t="shared" si="0"/>
        <v>Montag</v>
      </c>
      <c r="C50" s="11" t="s">
        <v>67</v>
      </c>
      <c r="D50" s="11" t="s">
        <v>99</v>
      </c>
      <c r="E50" s="11" t="str">
        <f>INDEX(Feiertagsregeln!$D$7:$D$198,MATCH($K50,Feiertagsregeln!$A$7:$A$198,0))</f>
        <v>Allerheiligen</v>
      </c>
      <c r="F50" s="11" t="str">
        <f>INDEX(Feiertagsregeln!$E$7:$E$198,MATCH($K50,Feiertagsregeln!$A$7:$A$198,0))</f>
        <v>Toussaint</v>
      </c>
      <c r="G50" s="22" t="str">
        <f>IF(INDEX(Feiertagsregeln!$F$7:$F$198,MATCH($K50,Feiertagsregeln!$A$7:$A$198,0))="","Noch zu erfassen",INDEX(Feiertagsregeln!$F$7:$F$198,MATCH($K50,Feiertagsregeln!$A$7:$A$198,0)))</f>
        <v>Noch zu erfassen</v>
      </c>
      <c r="H50" s="22" t="str">
        <f>IF(INDEX(Feiertagsregeln!$G$7:$G$198,MATCH($K50,Feiertagsregeln!$A$7:$A$198,0))="","Noch zu erfassen",INDEX(Feiertagsregeln!$G$7:$G$198,MATCH($K50,Feiertagsregeln!$A$7:$A$198,0)))</f>
        <v>Noch zu erfassen</v>
      </c>
      <c r="I50" s="11" t="str">
        <f>INDEX(Feiertagsregeln!$H$7:$H$198,MATCH($K50,Feiertagsregeln!$A$7:$A$198,0))</f>
        <v>labourLawHoliday</v>
      </c>
      <c r="J50" s="11" t="s">
        <v>69</v>
      </c>
      <c r="K50" s="11" t="s">
        <v>105</v>
      </c>
      <c r="L50" s="11" t="str">
        <f>INDEX(Feiertagsregeln!$Y$7:$Y$198,MATCH($K50,Feiertagsregeln!$A$7:$A$198,0))</f>
        <v>SRC-AG-EGARR-20250901</v>
      </c>
      <c r="M50" s="11" t="str">
        <f>INDEX(Feiertagsregeln!$Z$7:$Z$198,MATCH($K50,Feiertagsregeln!$A$7:$A$198,0))</f>
        <v>§ 6 Abs. 1 Bst. c</v>
      </c>
      <c r="N50" s="11" t="s">
        <v>71</v>
      </c>
      <c r="O50" s="11" t="str">
        <f>INDEX(Feiertagsregeln!$AA$7:$AA$198,MATCH($K50,Feiertagsregeln!$A$7:$A$198,0))</f>
        <v>Ganztägig</v>
      </c>
    </row>
    <row r="51" spans="1:15" ht="38" customHeight="1">
      <c r="A51" s="14">
        <f>INDEX(Feiertagsregeln!$X$7:$X$198,MATCH($K51,Feiertagsregeln!$A$7:$A$198,0))</f>
        <v>46746</v>
      </c>
      <c r="B51" s="10" t="str">
        <f t="shared" si="0"/>
        <v>Samstag</v>
      </c>
      <c r="C51" s="10" t="s">
        <v>67</v>
      </c>
      <c r="D51" s="10" t="s">
        <v>99</v>
      </c>
      <c r="E51" s="10" t="str">
        <f>INDEX(Feiertagsregeln!$D$7:$D$198,MATCH($K51,Feiertagsregeln!$A$7:$A$198,0))</f>
        <v>Weihnachten</v>
      </c>
      <c r="F51" s="10" t="str">
        <f>INDEX(Feiertagsregeln!$E$7:$E$198,MATCH($K51,Feiertagsregeln!$A$7:$A$198,0))</f>
        <v>Noël</v>
      </c>
      <c r="G51" s="21" t="str">
        <f>IF(INDEX(Feiertagsregeln!$F$7:$F$198,MATCH($K51,Feiertagsregeln!$A$7:$A$198,0))="","Noch zu erfassen",INDEX(Feiertagsregeln!$F$7:$F$198,MATCH($K51,Feiertagsregeln!$A$7:$A$198,0)))</f>
        <v>Noch zu erfassen</v>
      </c>
      <c r="H51" s="21" t="str">
        <f>IF(INDEX(Feiertagsregeln!$G$7:$G$198,MATCH($K51,Feiertagsregeln!$A$7:$A$198,0))="","Noch zu erfassen",INDEX(Feiertagsregeln!$G$7:$G$198,MATCH($K51,Feiertagsregeln!$A$7:$A$198,0)))</f>
        <v>Noch zu erfassen</v>
      </c>
      <c r="I51" s="10" t="str">
        <f>INDEX(Feiertagsregeln!$H$7:$H$198,MATCH($K51,Feiertagsregeln!$A$7:$A$198,0))</f>
        <v>labourLawHoliday</v>
      </c>
      <c r="J51" s="10" t="s">
        <v>69</v>
      </c>
      <c r="K51" s="10" t="s">
        <v>106</v>
      </c>
      <c r="L51" s="10" t="str">
        <f>INDEX(Feiertagsregeln!$Y$7:$Y$198,MATCH($K51,Feiertagsregeln!$A$7:$A$198,0))</f>
        <v>SRC-AG-EGARR-20250901</v>
      </c>
      <c r="M51" s="10" t="str">
        <f>INDEX(Feiertagsregeln!$Z$7:$Z$198,MATCH($K51,Feiertagsregeln!$A$7:$A$198,0))</f>
        <v>§ 6 Abs. 1 Bst. c</v>
      </c>
      <c r="N51" s="10" t="s">
        <v>71</v>
      </c>
      <c r="O51" s="10" t="str">
        <f>INDEX(Feiertagsregeln!$AA$7:$AA$198,MATCH($K51,Feiertagsregeln!$A$7:$A$198,0))</f>
        <v>Ganztägig</v>
      </c>
    </row>
    <row r="52" spans="1:15" ht="38" customHeight="1">
      <c r="A52" s="15">
        <f>INDEX(Feiertagsregeln!$X$7:$X$198,MATCH($K52,Feiertagsregeln!$A$7:$A$198,0))</f>
        <v>46747</v>
      </c>
      <c r="B52" s="11" t="str">
        <f t="shared" si="0"/>
        <v>Sonntag</v>
      </c>
      <c r="C52" s="11" t="s">
        <v>67</v>
      </c>
      <c r="D52" s="11" t="s">
        <v>99</v>
      </c>
      <c r="E52" s="11" t="str">
        <f>INDEX(Feiertagsregeln!$D$7:$D$198,MATCH($K52,Feiertagsregeln!$A$7:$A$198,0))</f>
        <v>Stephanstag</v>
      </c>
      <c r="F52" s="11" t="str">
        <f>INDEX(Feiertagsregeln!$E$7:$E$198,MATCH($K52,Feiertagsregeln!$A$7:$A$198,0))</f>
        <v>Saint-Étienne</v>
      </c>
      <c r="G52" s="22" t="str">
        <f>IF(INDEX(Feiertagsregeln!$F$7:$F$198,MATCH($K52,Feiertagsregeln!$A$7:$A$198,0))="","Noch zu erfassen",INDEX(Feiertagsregeln!$F$7:$F$198,MATCH($K52,Feiertagsregeln!$A$7:$A$198,0)))</f>
        <v>Noch zu erfassen</v>
      </c>
      <c r="H52" s="22" t="str">
        <f>IF(INDEX(Feiertagsregeln!$G$7:$G$198,MATCH($K52,Feiertagsregeln!$A$7:$A$198,0))="","Noch zu erfassen",INDEX(Feiertagsregeln!$G$7:$G$198,MATCH($K52,Feiertagsregeln!$A$7:$A$198,0)))</f>
        <v>Noch zu erfassen</v>
      </c>
      <c r="I52" s="11" t="str">
        <f>INDEX(Feiertagsregeln!$H$7:$H$198,MATCH($K52,Feiertagsregeln!$A$7:$A$198,0))</f>
        <v>labourLawHoliday</v>
      </c>
      <c r="J52" s="11" t="s">
        <v>69</v>
      </c>
      <c r="K52" s="11" t="s">
        <v>107</v>
      </c>
      <c r="L52" s="11" t="str">
        <f>INDEX(Feiertagsregeln!$Y$7:$Y$198,MATCH($K52,Feiertagsregeln!$A$7:$A$198,0))</f>
        <v>SRC-AG-EGARR-20250901</v>
      </c>
      <c r="M52" s="11" t="str">
        <f>INDEX(Feiertagsregeln!$Z$7:$Z$198,MATCH($K52,Feiertagsregeln!$A$7:$A$198,0))</f>
        <v>§ 6 Abs. 1 Bst. c</v>
      </c>
      <c r="N52" s="11" t="s">
        <v>71</v>
      </c>
      <c r="O52" s="11" t="str">
        <f>INDEX(Feiertagsregeln!$AA$7:$AA$198,MATCH($K52,Feiertagsregeln!$A$7:$A$198,0))</f>
        <v>Ganztägig</v>
      </c>
    </row>
    <row r="53" spans="1:15" ht="38" customHeight="1">
      <c r="A53" s="14">
        <f>INDEX(Feiertagsregeln!$X$7:$X$198,MATCH($K53,Feiertagsregeln!$A$7:$A$198,0))</f>
        <v>46388</v>
      </c>
      <c r="B53" s="10" t="str">
        <f t="shared" si="0"/>
        <v>Freitag</v>
      </c>
      <c r="C53" s="10" t="s">
        <v>67</v>
      </c>
      <c r="D53" s="10" t="s">
        <v>108</v>
      </c>
      <c r="E53" s="10" t="str">
        <f>INDEX(Feiertagsregeln!$D$7:$D$198,MATCH($K53,Feiertagsregeln!$A$7:$A$198,0))</f>
        <v>Neujahr</v>
      </c>
      <c r="F53" s="10" t="str">
        <f>INDEX(Feiertagsregeln!$E$7:$E$198,MATCH($K53,Feiertagsregeln!$A$7:$A$198,0))</f>
        <v>Nouvel An</v>
      </c>
      <c r="G53" s="21" t="str">
        <f>IF(INDEX(Feiertagsregeln!$F$7:$F$198,MATCH($K53,Feiertagsregeln!$A$7:$A$198,0))="","Noch zu erfassen",INDEX(Feiertagsregeln!$F$7:$F$198,MATCH($K53,Feiertagsregeln!$A$7:$A$198,0)))</f>
        <v>Noch zu erfassen</v>
      </c>
      <c r="H53" s="21" t="str">
        <f>IF(INDEX(Feiertagsregeln!$G$7:$G$198,MATCH($K53,Feiertagsregeln!$A$7:$A$198,0))="","Noch zu erfassen",INDEX(Feiertagsregeln!$G$7:$G$198,MATCH($K53,Feiertagsregeln!$A$7:$A$198,0)))</f>
        <v>Noch zu erfassen</v>
      </c>
      <c r="I53" s="10" t="str">
        <f>INDEX(Feiertagsregeln!$H$7:$H$198,MATCH($K53,Feiertagsregeln!$A$7:$A$198,0))</f>
        <v>labourLawHoliday</v>
      </c>
      <c r="J53" s="10" t="s">
        <v>69</v>
      </c>
      <c r="K53" s="10" t="s">
        <v>109</v>
      </c>
      <c r="L53" s="10" t="str">
        <f>INDEX(Feiertagsregeln!$Y$7:$Y$198,MATCH($K53,Feiertagsregeln!$A$7:$A$198,0))</f>
        <v>SRC-AG-EGARR-20250901</v>
      </c>
      <c r="M53" s="10" t="str">
        <f>INDEX(Feiertagsregeln!$Z$7:$Z$198,MATCH($K53,Feiertagsregeln!$A$7:$A$198,0))</f>
        <v>§ 6 Abs. 1 Bst. d</v>
      </c>
      <c r="N53" s="10" t="s">
        <v>71</v>
      </c>
      <c r="O53" s="10" t="str">
        <f>INDEX(Feiertagsregeln!$AA$7:$AA$198,MATCH($K53,Feiertagsregeln!$A$7:$A$198,0))</f>
        <v>Ganztägig</v>
      </c>
    </row>
    <row r="54" spans="1:15" ht="38" customHeight="1">
      <c r="A54" s="15">
        <f>INDEX(Feiertagsregeln!$X$7:$X$198,MATCH($K54,Feiertagsregeln!$A$7:$A$198,0))</f>
        <v>46472</v>
      </c>
      <c r="B54" s="11" t="str">
        <f t="shared" si="0"/>
        <v>Freitag</v>
      </c>
      <c r="C54" s="11" t="s">
        <v>67</v>
      </c>
      <c r="D54" s="11" t="s">
        <v>108</v>
      </c>
      <c r="E54" s="11" t="str">
        <f>INDEX(Feiertagsregeln!$D$7:$D$198,MATCH($K54,Feiertagsregeln!$A$7:$A$198,0))</f>
        <v>Karfreitag</v>
      </c>
      <c r="F54" s="11" t="str">
        <f>INDEX(Feiertagsregeln!$E$7:$E$198,MATCH($K54,Feiertagsregeln!$A$7:$A$198,0))</f>
        <v>Vendredi saint</v>
      </c>
      <c r="G54" s="22" t="str">
        <f>IF(INDEX(Feiertagsregeln!$F$7:$F$198,MATCH($K54,Feiertagsregeln!$A$7:$A$198,0))="","Noch zu erfassen",INDEX(Feiertagsregeln!$F$7:$F$198,MATCH($K54,Feiertagsregeln!$A$7:$A$198,0)))</f>
        <v>Noch zu erfassen</v>
      </c>
      <c r="H54" s="22" t="str">
        <f>IF(INDEX(Feiertagsregeln!$G$7:$G$198,MATCH($K54,Feiertagsregeln!$A$7:$A$198,0))="","Noch zu erfassen",INDEX(Feiertagsregeln!$G$7:$G$198,MATCH($K54,Feiertagsregeln!$A$7:$A$198,0)))</f>
        <v>Noch zu erfassen</v>
      </c>
      <c r="I54" s="11" t="str">
        <f>INDEX(Feiertagsregeln!$H$7:$H$198,MATCH($K54,Feiertagsregeln!$A$7:$A$198,0))</f>
        <v>labourLawHoliday</v>
      </c>
      <c r="J54" s="11" t="s">
        <v>69</v>
      </c>
      <c r="K54" s="11" t="s">
        <v>110</v>
      </c>
      <c r="L54" s="11" t="str">
        <f>INDEX(Feiertagsregeln!$Y$7:$Y$198,MATCH($K54,Feiertagsregeln!$A$7:$A$198,0))</f>
        <v>SRC-AG-EGARR-20250901</v>
      </c>
      <c r="M54" s="11" t="str">
        <f>INDEX(Feiertagsregeln!$Z$7:$Z$198,MATCH($K54,Feiertagsregeln!$A$7:$A$198,0))</f>
        <v>§ 6 Abs. 1 Bst. d</v>
      </c>
      <c r="N54" s="11" t="s">
        <v>71</v>
      </c>
      <c r="O54" s="11" t="str">
        <f>INDEX(Feiertagsregeln!$AA$7:$AA$198,MATCH($K54,Feiertagsregeln!$A$7:$A$198,0))</f>
        <v>Ganztägig</v>
      </c>
    </row>
    <row r="55" spans="1:15" ht="38" customHeight="1">
      <c r="A55" s="14">
        <f>INDEX(Feiertagsregeln!$X$7:$X$198,MATCH($K55,Feiertagsregeln!$A$7:$A$198,0))</f>
        <v>46513</v>
      </c>
      <c r="B55" s="10" t="str">
        <f t="shared" si="0"/>
        <v>Donnerstag</v>
      </c>
      <c r="C55" s="10" t="s">
        <v>67</v>
      </c>
      <c r="D55" s="10" t="s">
        <v>108</v>
      </c>
      <c r="E55" s="10" t="str">
        <f>INDEX(Feiertagsregeln!$D$7:$D$198,MATCH($K55,Feiertagsregeln!$A$7:$A$198,0))</f>
        <v>Auffahrt</v>
      </c>
      <c r="F55" s="10" t="str">
        <f>INDEX(Feiertagsregeln!$E$7:$E$198,MATCH($K55,Feiertagsregeln!$A$7:$A$198,0))</f>
        <v>Ascension</v>
      </c>
      <c r="G55" s="21" t="str">
        <f>IF(INDEX(Feiertagsregeln!$F$7:$F$198,MATCH($K55,Feiertagsregeln!$A$7:$A$198,0))="","Noch zu erfassen",INDEX(Feiertagsregeln!$F$7:$F$198,MATCH($K55,Feiertagsregeln!$A$7:$A$198,0)))</f>
        <v>Noch zu erfassen</v>
      </c>
      <c r="H55" s="21" t="str">
        <f>IF(INDEX(Feiertagsregeln!$G$7:$G$198,MATCH($K55,Feiertagsregeln!$A$7:$A$198,0))="","Noch zu erfassen",INDEX(Feiertagsregeln!$G$7:$G$198,MATCH($K55,Feiertagsregeln!$A$7:$A$198,0)))</f>
        <v>Noch zu erfassen</v>
      </c>
      <c r="I55" s="10" t="str">
        <f>INDEX(Feiertagsregeln!$H$7:$H$198,MATCH($K55,Feiertagsregeln!$A$7:$A$198,0))</f>
        <v>labourLawHoliday</v>
      </c>
      <c r="J55" s="10" t="s">
        <v>69</v>
      </c>
      <c r="K55" s="10" t="s">
        <v>111</v>
      </c>
      <c r="L55" s="10" t="str">
        <f>INDEX(Feiertagsregeln!$Y$7:$Y$198,MATCH($K55,Feiertagsregeln!$A$7:$A$198,0))</f>
        <v>SRC-AG-EGARR-20250901</v>
      </c>
      <c r="M55" s="10" t="str">
        <f>INDEX(Feiertagsregeln!$Z$7:$Z$198,MATCH($K55,Feiertagsregeln!$A$7:$A$198,0))</f>
        <v>§ 6 Abs. 1 Bst. d</v>
      </c>
      <c r="N55" s="10" t="s">
        <v>71</v>
      </c>
      <c r="O55" s="10" t="str">
        <f>INDEX(Feiertagsregeln!$AA$7:$AA$198,MATCH($K55,Feiertagsregeln!$A$7:$A$198,0))</f>
        <v>Ganztägig</v>
      </c>
    </row>
    <row r="56" spans="1:15" ht="38" customHeight="1">
      <c r="A56" s="15">
        <f>INDEX(Feiertagsregeln!$X$7:$X$198,MATCH($K56,Feiertagsregeln!$A$7:$A$198,0))</f>
        <v>46534</v>
      </c>
      <c r="B56" s="11" t="str">
        <f t="shared" si="0"/>
        <v>Donnerstag</v>
      </c>
      <c r="C56" s="11" t="s">
        <v>67</v>
      </c>
      <c r="D56" s="11" t="s">
        <v>108</v>
      </c>
      <c r="E56" s="11" t="str">
        <f>INDEX(Feiertagsregeln!$D$7:$D$198,MATCH($K56,Feiertagsregeln!$A$7:$A$198,0))</f>
        <v>Fronleichnam</v>
      </c>
      <c r="F56" s="11" t="str">
        <f>INDEX(Feiertagsregeln!$E$7:$E$198,MATCH($K56,Feiertagsregeln!$A$7:$A$198,0))</f>
        <v>Fête-Dieu</v>
      </c>
      <c r="G56" s="22" t="str">
        <f>IF(INDEX(Feiertagsregeln!$F$7:$F$198,MATCH($K56,Feiertagsregeln!$A$7:$A$198,0))="","Noch zu erfassen",INDEX(Feiertagsregeln!$F$7:$F$198,MATCH($K56,Feiertagsregeln!$A$7:$A$198,0)))</f>
        <v>Noch zu erfassen</v>
      </c>
      <c r="H56" s="22" t="str">
        <f>IF(INDEX(Feiertagsregeln!$G$7:$G$198,MATCH($K56,Feiertagsregeln!$A$7:$A$198,0))="","Noch zu erfassen",INDEX(Feiertagsregeln!$G$7:$G$198,MATCH($K56,Feiertagsregeln!$A$7:$A$198,0)))</f>
        <v>Noch zu erfassen</v>
      </c>
      <c r="I56" s="11" t="str">
        <f>INDEX(Feiertagsregeln!$H$7:$H$198,MATCH($K56,Feiertagsregeln!$A$7:$A$198,0))</f>
        <v>labourLawHoliday</v>
      </c>
      <c r="J56" s="11" t="s">
        <v>69</v>
      </c>
      <c r="K56" s="11" t="s">
        <v>112</v>
      </c>
      <c r="L56" s="11" t="str">
        <f>INDEX(Feiertagsregeln!$Y$7:$Y$198,MATCH($K56,Feiertagsregeln!$A$7:$A$198,0))</f>
        <v>SRC-AG-EGARR-20250901</v>
      </c>
      <c r="M56" s="11" t="str">
        <f>INDEX(Feiertagsregeln!$Z$7:$Z$198,MATCH($K56,Feiertagsregeln!$A$7:$A$198,0))</f>
        <v>§ 6 Abs. 1 Bst. d</v>
      </c>
      <c r="N56" s="11" t="s">
        <v>71</v>
      </c>
      <c r="O56" s="11" t="str">
        <f>INDEX(Feiertagsregeln!$AA$7:$AA$198,MATCH($K56,Feiertagsregeln!$A$7:$A$198,0))</f>
        <v>Ganztägig</v>
      </c>
    </row>
    <row r="57" spans="1:15" ht="38" customHeight="1">
      <c r="A57" s="14">
        <f>INDEX(Feiertagsregeln!$X$7:$X$198,MATCH($K57,Feiertagsregeln!$A$7:$A$198,0))</f>
        <v>46614</v>
      </c>
      <c r="B57" s="10" t="str">
        <f t="shared" si="0"/>
        <v>Sonntag</v>
      </c>
      <c r="C57" s="10" t="s">
        <v>67</v>
      </c>
      <c r="D57" s="10" t="s">
        <v>108</v>
      </c>
      <c r="E57" s="10" t="str">
        <f>INDEX(Feiertagsregeln!$D$7:$D$198,MATCH($K57,Feiertagsregeln!$A$7:$A$198,0))</f>
        <v>Mariä Himmelfahrt</v>
      </c>
      <c r="F57" s="10" t="str">
        <f>INDEX(Feiertagsregeln!$E$7:$E$198,MATCH($K57,Feiertagsregeln!$A$7:$A$198,0))</f>
        <v>Assomption</v>
      </c>
      <c r="G57" s="21" t="str">
        <f>IF(INDEX(Feiertagsregeln!$F$7:$F$198,MATCH($K57,Feiertagsregeln!$A$7:$A$198,0))="","Noch zu erfassen",INDEX(Feiertagsregeln!$F$7:$F$198,MATCH($K57,Feiertagsregeln!$A$7:$A$198,0)))</f>
        <v>Noch zu erfassen</v>
      </c>
      <c r="H57" s="21" t="str">
        <f>IF(INDEX(Feiertagsregeln!$G$7:$G$198,MATCH($K57,Feiertagsregeln!$A$7:$A$198,0))="","Noch zu erfassen",INDEX(Feiertagsregeln!$G$7:$G$198,MATCH($K57,Feiertagsregeln!$A$7:$A$198,0)))</f>
        <v>Noch zu erfassen</v>
      </c>
      <c r="I57" s="10" t="str">
        <f>INDEX(Feiertagsregeln!$H$7:$H$198,MATCH($K57,Feiertagsregeln!$A$7:$A$198,0))</f>
        <v>labourLawHoliday</v>
      </c>
      <c r="J57" s="10" t="s">
        <v>69</v>
      </c>
      <c r="K57" s="10" t="s">
        <v>113</v>
      </c>
      <c r="L57" s="10" t="str">
        <f>INDEX(Feiertagsregeln!$Y$7:$Y$198,MATCH($K57,Feiertagsregeln!$A$7:$A$198,0))</f>
        <v>SRC-AG-EGARR-20250901</v>
      </c>
      <c r="M57" s="10" t="str">
        <f>INDEX(Feiertagsregeln!$Z$7:$Z$198,MATCH($K57,Feiertagsregeln!$A$7:$A$198,0))</f>
        <v>§ 6 Abs. 1 Bst. d</v>
      </c>
      <c r="N57" s="10" t="s">
        <v>71</v>
      </c>
      <c r="O57" s="10" t="str">
        <f>INDEX(Feiertagsregeln!$AA$7:$AA$198,MATCH($K57,Feiertagsregeln!$A$7:$A$198,0))</f>
        <v>Ganztägig</v>
      </c>
    </row>
    <row r="58" spans="1:15" ht="38" customHeight="1">
      <c r="A58" s="15">
        <f>INDEX(Feiertagsregeln!$X$7:$X$198,MATCH($K58,Feiertagsregeln!$A$7:$A$198,0))</f>
        <v>46692</v>
      </c>
      <c r="B58" s="11" t="str">
        <f t="shared" si="0"/>
        <v>Montag</v>
      </c>
      <c r="C58" s="11" t="s">
        <v>67</v>
      </c>
      <c r="D58" s="11" t="s">
        <v>108</v>
      </c>
      <c r="E58" s="11" t="str">
        <f>INDEX(Feiertagsregeln!$D$7:$D$198,MATCH($K58,Feiertagsregeln!$A$7:$A$198,0))</f>
        <v>Allerheiligen</v>
      </c>
      <c r="F58" s="11" t="str">
        <f>INDEX(Feiertagsregeln!$E$7:$E$198,MATCH($K58,Feiertagsregeln!$A$7:$A$198,0))</f>
        <v>Toussaint</v>
      </c>
      <c r="G58" s="22" t="str">
        <f>IF(INDEX(Feiertagsregeln!$F$7:$F$198,MATCH($K58,Feiertagsregeln!$A$7:$A$198,0))="","Noch zu erfassen",INDEX(Feiertagsregeln!$F$7:$F$198,MATCH($K58,Feiertagsregeln!$A$7:$A$198,0)))</f>
        <v>Noch zu erfassen</v>
      </c>
      <c r="H58" s="22" t="str">
        <f>IF(INDEX(Feiertagsregeln!$G$7:$G$198,MATCH($K58,Feiertagsregeln!$A$7:$A$198,0))="","Noch zu erfassen",INDEX(Feiertagsregeln!$G$7:$G$198,MATCH($K58,Feiertagsregeln!$A$7:$A$198,0)))</f>
        <v>Noch zu erfassen</v>
      </c>
      <c r="I58" s="11" t="str">
        <f>INDEX(Feiertagsregeln!$H$7:$H$198,MATCH($K58,Feiertagsregeln!$A$7:$A$198,0))</f>
        <v>labourLawHoliday</v>
      </c>
      <c r="J58" s="11" t="s">
        <v>69</v>
      </c>
      <c r="K58" s="11" t="s">
        <v>114</v>
      </c>
      <c r="L58" s="11" t="str">
        <f>INDEX(Feiertagsregeln!$Y$7:$Y$198,MATCH($K58,Feiertagsregeln!$A$7:$A$198,0))</f>
        <v>SRC-AG-EGARR-20250901</v>
      </c>
      <c r="M58" s="11" t="str">
        <f>INDEX(Feiertagsregeln!$Z$7:$Z$198,MATCH($K58,Feiertagsregeln!$A$7:$A$198,0))</f>
        <v>§ 6 Abs. 1 Bst. d</v>
      </c>
      <c r="N58" s="11" t="s">
        <v>71</v>
      </c>
      <c r="O58" s="11" t="str">
        <f>INDEX(Feiertagsregeln!$AA$7:$AA$198,MATCH($K58,Feiertagsregeln!$A$7:$A$198,0))</f>
        <v>Ganztägig</v>
      </c>
    </row>
    <row r="59" spans="1:15" ht="38" customHeight="1">
      <c r="A59" s="14">
        <f>INDEX(Feiertagsregeln!$X$7:$X$198,MATCH($K59,Feiertagsregeln!$A$7:$A$198,0))</f>
        <v>46746</v>
      </c>
      <c r="B59" s="10" t="str">
        <f t="shared" si="0"/>
        <v>Samstag</v>
      </c>
      <c r="C59" s="10" t="s">
        <v>67</v>
      </c>
      <c r="D59" s="10" t="s">
        <v>108</v>
      </c>
      <c r="E59" s="10" t="str">
        <f>INDEX(Feiertagsregeln!$D$7:$D$198,MATCH($K59,Feiertagsregeln!$A$7:$A$198,0))</f>
        <v>Weihnachten</v>
      </c>
      <c r="F59" s="10" t="str">
        <f>INDEX(Feiertagsregeln!$E$7:$E$198,MATCH($K59,Feiertagsregeln!$A$7:$A$198,0))</f>
        <v>Noël</v>
      </c>
      <c r="G59" s="21" t="str">
        <f>IF(INDEX(Feiertagsregeln!$F$7:$F$198,MATCH($K59,Feiertagsregeln!$A$7:$A$198,0))="","Noch zu erfassen",INDEX(Feiertagsregeln!$F$7:$F$198,MATCH($K59,Feiertagsregeln!$A$7:$A$198,0)))</f>
        <v>Noch zu erfassen</v>
      </c>
      <c r="H59" s="21" t="str">
        <f>IF(INDEX(Feiertagsregeln!$G$7:$G$198,MATCH($K59,Feiertagsregeln!$A$7:$A$198,0))="","Noch zu erfassen",INDEX(Feiertagsregeln!$G$7:$G$198,MATCH($K59,Feiertagsregeln!$A$7:$A$198,0)))</f>
        <v>Noch zu erfassen</v>
      </c>
      <c r="I59" s="10" t="str">
        <f>INDEX(Feiertagsregeln!$H$7:$H$198,MATCH($K59,Feiertagsregeln!$A$7:$A$198,0))</f>
        <v>labourLawHoliday</v>
      </c>
      <c r="J59" s="10" t="s">
        <v>69</v>
      </c>
      <c r="K59" s="10" t="s">
        <v>115</v>
      </c>
      <c r="L59" s="10" t="str">
        <f>INDEX(Feiertagsregeln!$Y$7:$Y$198,MATCH($K59,Feiertagsregeln!$A$7:$A$198,0))</f>
        <v>SRC-AG-EGARR-20250901</v>
      </c>
      <c r="M59" s="10" t="str">
        <f>INDEX(Feiertagsregeln!$Z$7:$Z$198,MATCH($K59,Feiertagsregeln!$A$7:$A$198,0))</f>
        <v>§ 6 Abs. 1 Bst. d</v>
      </c>
      <c r="N59" s="10" t="s">
        <v>71</v>
      </c>
      <c r="O59" s="10" t="str">
        <f>INDEX(Feiertagsregeln!$AA$7:$AA$198,MATCH($K59,Feiertagsregeln!$A$7:$A$198,0))</f>
        <v>Ganztägig</v>
      </c>
    </row>
    <row r="60" spans="1:15" ht="38" customHeight="1">
      <c r="A60" s="15">
        <f>INDEX(Feiertagsregeln!$X$7:$X$198,MATCH($K60,Feiertagsregeln!$A$7:$A$198,0))</f>
        <v>46729</v>
      </c>
      <c r="B60" s="11" t="str">
        <f t="shared" si="0"/>
        <v>Mittwoch</v>
      </c>
      <c r="C60" s="11" t="s">
        <v>67</v>
      </c>
      <c r="D60" s="11" t="s">
        <v>108</v>
      </c>
      <c r="E60" s="11" t="str">
        <f>INDEX(Feiertagsregeln!$D$7:$D$198,MATCH($K60,Feiertagsregeln!$A$7:$A$198,0))</f>
        <v>Mariä Empfängnis</v>
      </c>
      <c r="F60" s="11" t="str">
        <f>INDEX(Feiertagsregeln!$E$7:$E$198,MATCH($K60,Feiertagsregeln!$A$7:$A$198,0))</f>
        <v>Immaculée Conception</v>
      </c>
      <c r="G60" s="22" t="str">
        <f>IF(INDEX(Feiertagsregeln!$F$7:$F$198,MATCH($K60,Feiertagsregeln!$A$7:$A$198,0))="","Noch zu erfassen",INDEX(Feiertagsregeln!$F$7:$F$198,MATCH($K60,Feiertagsregeln!$A$7:$A$198,0)))</f>
        <v>Noch zu erfassen</v>
      </c>
      <c r="H60" s="22" t="str">
        <f>IF(INDEX(Feiertagsregeln!$G$7:$G$198,MATCH($K60,Feiertagsregeln!$A$7:$A$198,0))="","Noch zu erfassen",INDEX(Feiertagsregeln!$G$7:$G$198,MATCH($K60,Feiertagsregeln!$A$7:$A$198,0)))</f>
        <v>Noch zu erfassen</v>
      </c>
      <c r="I60" s="11" t="str">
        <f>INDEX(Feiertagsregeln!$H$7:$H$198,MATCH($K60,Feiertagsregeln!$A$7:$A$198,0))</f>
        <v>labourLawHoliday</v>
      </c>
      <c r="J60" s="11" t="s">
        <v>69</v>
      </c>
      <c r="K60" s="11" t="s">
        <v>116</v>
      </c>
      <c r="L60" s="11" t="str">
        <f>INDEX(Feiertagsregeln!$Y$7:$Y$198,MATCH($K60,Feiertagsregeln!$A$7:$A$198,0))</f>
        <v>SRC-AG-EGARR-20250901</v>
      </c>
      <c r="M60" s="11" t="str">
        <f>INDEX(Feiertagsregeln!$Z$7:$Z$198,MATCH($K60,Feiertagsregeln!$A$7:$A$198,0))</f>
        <v>§ 6 Abs. 1 Bst. d</v>
      </c>
      <c r="N60" s="11" t="s">
        <v>71</v>
      </c>
      <c r="O60" s="11" t="str">
        <f>INDEX(Feiertagsregeln!$AA$7:$AA$198,MATCH($K60,Feiertagsregeln!$A$7:$A$198,0))</f>
        <v>Ganztägig</v>
      </c>
    </row>
    <row r="61" spans="1:15" ht="38" customHeight="1">
      <c r="A61" s="14">
        <f>INDEX(Feiertagsregeln!$X$7:$X$198,MATCH($K61,Feiertagsregeln!$A$7:$A$198,0))</f>
        <v>46388</v>
      </c>
      <c r="B61" s="10" t="str">
        <f t="shared" si="0"/>
        <v>Freitag</v>
      </c>
      <c r="C61" s="10" t="s">
        <v>67</v>
      </c>
      <c r="D61" s="10" t="s">
        <v>117</v>
      </c>
      <c r="E61" s="10" t="str">
        <f>INDEX(Feiertagsregeln!$D$7:$D$198,MATCH($K61,Feiertagsregeln!$A$7:$A$198,0))</f>
        <v>Neujahr</v>
      </c>
      <c r="F61" s="10" t="str">
        <f>INDEX(Feiertagsregeln!$E$7:$E$198,MATCH($K61,Feiertagsregeln!$A$7:$A$198,0))</f>
        <v>Nouvel An</v>
      </c>
      <c r="G61" s="21" t="str">
        <f>IF(INDEX(Feiertagsregeln!$F$7:$F$198,MATCH($K61,Feiertagsregeln!$A$7:$A$198,0))="","Noch zu erfassen",INDEX(Feiertagsregeln!$F$7:$F$198,MATCH($K61,Feiertagsregeln!$A$7:$A$198,0)))</f>
        <v>Noch zu erfassen</v>
      </c>
      <c r="H61" s="21" t="str">
        <f>IF(INDEX(Feiertagsregeln!$G$7:$G$198,MATCH($K61,Feiertagsregeln!$A$7:$A$198,0))="","Noch zu erfassen",INDEX(Feiertagsregeln!$G$7:$G$198,MATCH($K61,Feiertagsregeln!$A$7:$A$198,0)))</f>
        <v>Noch zu erfassen</v>
      </c>
      <c r="I61" s="10" t="str">
        <f>INDEX(Feiertagsregeln!$H$7:$H$198,MATCH($K61,Feiertagsregeln!$A$7:$A$198,0))</f>
        <v>labourLawHoliday</v>
      </c>
      <c r="J61" s="10" t="s">
        <v>69</v>
      </c>
      <c r="K61" s="10" t="s">
        <v>118</v>
      </c>
      <c r="L61" s="10" t="str">
        <f>INDEX(Feiertagsregeln!$Y$7:$Y$198,MATCH($K61,Feiertagsregeln!$A$7:$A$198,0))</f>
        <v>SRC-AG-EGARR-20250901</v>
      </c>
      <c r="M61" s="10" t="str">
        <f>INDEX(Feiertagsregeln!$Z$7:$Z$198,MATCH($K61,Feiertagsregeln!$A$7:$A$198,0))</f>
        <v>§ 6 Abs. 1 Bst. e Ziff. 1</v>
      </c>
      <c r="N61" s="10" t="s">
        <v>71</v>
      </c>
      <c r="O61" s="10" t="str">
        <f>INDEX(Feiertagsregeln!$AA$7:$AA$198,MATCH($K61,Feiertagsregeln!$A$7:$A$198,0))</f>
        <v>Ganztägig</v>
      </c>
    </row>
    <row r="62" spans="1:15" ht="38" customHeight="1">
      <c r="A62" s="15">
        <f>INDEX(Feiertagsregeln!$X$7:$X$198,MATCH($K62,Feiertagsregeln!$A$7:$A$198,0))</f>
        <v>46472</v>
      </c>
      <c r="B62" s="11" t="str">
        <f t="shared" si="0"/>
        <v>Freitag</v>
      </c>
      <c r="C62" s="11" t="s">
        <v>67</v>
      </c>
      <c r="D62" s="11" t="s">
        <v>117</v>
      </c>
      <c r="E62" s="11" t="str">
        <f>INDEX(Feiertagsregeln!$D$7:$D$198,MATCH($K62,Feiertagsregeln!$A$7:$A$198,0))</f>
        <v>Karfreitag</v>
      </c>
      <c r="F62" s="11" t="str">
        <f>INDEX(Feiertagsregeln!$E$7:$E$198,MATCH($K62,Feiertagsregeln!$A$7:$A$198,0))</f>
        <v>Vendredi saint</v>
      </c>
      <c r="G62" s="22" t="str">
        <f>IF(INDEX(Feiertagsregeln!$F$7:$F$198,MATCH($K62,Feiertagsregeln!$A$7:$A$198,0))="","Noch zu erfassen",INDEX(Feiertagsregeln!$F$7:$F$198,MATCH($K62,Feiertagsregeln!$A$7:$A$198,0)))</f>
        <v>Noch zu erfassen</v>
      </c>
      <c r="H62" s="22" t="str">
        <f>IF(INDEX(Feiertagsregeln!$G$7:$G$198,MATCH($K62,Feiertagsregeln!$A$7:$A$198,0))="","Noch zu erfassen",INDEX(Feiertagsregeln!$G$7:$G$198,MATCH($K62,Feiertagsregeln!$A$7:$A$198,0)))</f>
        <v>Noch zu erfassen</v>
      </c>
      <c r="I62" s="11" t="str">
        <f>INDEX(Feiertagsregeln!$H$7:$H$198,MATCH($K62,Feiertagsregeln!$A$7:$A$198,0))</f>
        <v>labourLawHoliday</v>
      </c>
      <c r="J62" s="11" t="s">
        <v>69</v>
      </c>
      <c r="K62" s="11" t="s">
        <v>119</v>
      </c>
      <c r="L62" s="11" t="str">
        <f>INDEX(Feiertagsregeln!$Y$7:$Y$198,MATCH($K62,Feiertagsregeln!$A$7:$A$198,0))</f>
        <v>SRC-AG-EGARR-20250901</v>
      </c>
      <c r="M62" s="11" t="str">
        <f>INDEX(Feiertagsregeln!$Z$7:$Z$198,MATCH($K62,Feiertagsregeln!$A$7:$A$198,0))</f>
        <v>§ 6 Abs. 1 Bst. e Ziff. 1</v>
      </c>
      <c r="N62" s="11" t="s">
        <v>71</v>
      </c>
      <c r="O62" s="11" t="str">
        <f>INDEX(Feiertagsregeln!$AA$7:$AA$198,MATCH($K62,Feiertagsregeln!$A$7:$A$198,0))</f>
        <v>Ganztägig</v>
      </c>
    </row>
    <row r="63" spans="1:15" ht="38" customHeight="1">
      <c r="A63" s="14">
        <f>INDEX(Feiertagsregeln!$X$7:$X$198,MATCH($K63,Feiertagsregeln!$A$7:$A$198,0))</f>
        <v>46513</v>
      </c>
      <c r="B63" s="10" t="str">
        <f t="shared" si="0"/>
        <v>Donnerstag</v>
      </c>
      <c r="C63" s="10" t="s">
        <v>67</v>
      </c>
      <c r="D63" s="10" t="s">
        <v>117</v>
      </c>
      <c r="E63" s="10" t="str">
        <f>INDEX(Feiertagsregeln!$D$7:$D$198,MATCH($K63,Feiertagsregeln!$A$7:$A$198,0))</f>
        <v>Auffahrt</v>
      </c>
      <c r="F63" s="10" t="str">
        <f>INDEX(Feiertagsregeln!$E$7:$E$198,MATCH($K63,Feiertagsregeln!$A$7:$A$198,0))</f>
        <v>Ascension</v>
      </c>
      <c r="G63" s="21" t="str">
        <f>IF(INDEX(Feiertagsregeln!$F$7:$F$198,MATCH($K63,Feiertagsregeln!$A$7:$A$198,0))="","Noch zu erfassen",INDEX(Feiertagsregeln!$F$7:$F$198,MATCH($K63,Feiertagsregeln!$A$7:$A$198,0)))</f>
        <v>Noch zu erfassen</v>
      </c>
      <c r="H63" s="21" t="str">
        <f>IF(INDEX(Feiertagsregeln!$G$7:$G$198,MATCH($K63,Feiertagsregeln!$A$7:$A$198,0))="","Noch zu erfassen",INDEX(Feiertagsregeln!$G$7:$G$198,MATCH($K63,Feiertagsregeln!$A$7:$A$198,0)))</f>
        <v>Noch zu erfassen</v>
      </c>
      <c r="I63" s="10" t="str">
        <f>INDEX(Feiertagsregeln!$H$7:$H$198,MATCH($K63,Feiertagsregeln!$A$7:$A$198,0))</f>
        <v>labourLawHoliday</v>
      </c>
      <c r="J63" s="10" t="s">
        <v>69</v>
      </c>
      <c r="K63" s="10" t="s">
        <v>120</v>
      </c>
      <c r="L63" s="10" t="str">
        <f>INDEX(Feiertagsregeln!$Y$7:$Y$198,MATCH($K63,Feiertagsregeln!$A$7:$A$198,0))</f>
        <v>SRC-AG-EGARR-20250901</v>
      </c>
      <c r="M63" s="10" t="str">
        <f>INDEX(Feiertagsregeln!$Z$7:$Z$198,MATCH($K63,Feiertagsregeln!$A$7:$A$198,0))</f>
        <v>§ 6 Abs. 1 Bst. e Ziff. 1</v>
      </c>
      <c r="N63" s="10" t="s">
        <v>71</v>
      </c>
      <c r="O63" s="10" t="str">
        <f>INDEX(Feiertagsregeln!$AA$7:$AA$198,MATCH($K63,Feiertagsregeln!$A$7:$A$198,0))</f>
        <v>Ganztägig</v>
      </c>
    </row>
    <row r="64" spans="1:15" ht="38" customHeight="1">
      <c r="A64" s="15">
        <f>INDEX(Feiertagsregeln!$X$7:$X$198,MATCH($K64,Feiertagsregeln!$A$7:$A$198,0))</f>
        <v>46534</v>
      </c>
      <c r="B64" s="11" t="str">
        <f t="shared" si="0"/>
        <v>Donnerstag</v>
      </c>
      <c r="C64" s="11" t="s">
        <v>67</v>
      </c>
      <c r="D64" s="11" t="s">
        <v>117</v>
      </c>
      <c r="E64" s="11" t="str">
        <f>INDEX(Feiertagsregeln!$D$7:$D$198,MATCH($K64,Feiertagsregeln!$A$7:$A$198,0))</f>
        <v>Fronleichnam</v>
      </c>
      <c r="F64" s="11" t="str">
        <f>INDEX(Feiertagsregeln!$E$7:$E$198,MATCH($K64,Feiertagsregeln!$A$7:$A$198,0))</f>
        <v>Fête-Dieu</v>
      </c>
      <c r="G64" s="22" t="str">
        <f>IF(INDEX(Feiertagsregeln!$F$7:$F$198,MATCH($K64,Feiertagsregeln!$A$7:$A$198,0))="","Noch zu erfassen",INDEX(Feiertagsregeln!$F$7:$F$198,MATCH($K64,Feiertagsregeln!$A$7:$A$198,0)))</f>
        <v>Noch zu erfassen</v>
      </c>
      <c r="H64" s="22" t="str">
        <f>IF(INDEX(Feiertagsregeln!$G$7:$G$198,MATCH($K64,Feiertagsregeln!$A$7:$A$198,0))="","Noch zu erfassen",INDEX(Feiertagsregeln!$G$7:$G$198,MATCH($K64,Feiertagsregeln!$A$7:$A$198,0)))</f>
        <v>Noch zu erfassen</v>
      </c>
      <c r="I64" s="11" t="str">
        <f>INDEX(Feiertagsregeln!$H$7:$H$198,MATCH($K64,Feiertagsregeln!$A$7:$A$198,0))</f>
        <v>labourLawHoliday</v>
      </c>
      <c r="J64" s="11" t="s">
        <v>69</v>
      </c>
      <c r="K64" s="11" t="s">
        <v>121</v>
      </c>
      <c r="L64" s="11" t="str">
        <f>INDEX(Feiertagsregeln!$Y$7:$Y$198,MATCH($K64,Feiertagsregeln!$A$7:$A$198,0))</f>
        <v>SRC-AG-EGARR-20250901</v>
      </c>
      <c r="M64" s="11" t="str">
        <f>INDEX(Feiertagsregeln!$Z$7:$Z$198,MATCH($K64,Feiertagsregeln!$A$7:$A$198,0))</f>
        <v>§ 6 Abs. 1 Bst. e Ziff. 1</v>
      </c>
      <c r="N64" s="11" t="s">
        <v>71</v>
      </c>
      <c r="O64" s="11" t="str">
        <f>INDEX(Feiertagsregeln!$AA$7:$AA$198,MATCH($K64,Feiertagsregeln!$A$7:$A$198,0))</f>
        <v>Ganztägig</v>
      </c>
    </row>
    <row r="65" spans="1:15" ht="38" customHeight="1">
      <c r="A65" s="14">
        <f>INDEX(Feiertagsregeln!$X$7:$X$198,MATCH($K65,Feiertagsregeln!$A$7:$A$198,0))</f>
        <v>46614</v>
      </c>
      <c r="B65" s="10" t="str">
        <f t="shared" si="0"/>
        <v>Sonntag</v>
      </c>
      <c r="C65" s="10" t="s">
        <v>67</v>
      </c>
      <c r="D65" s="10" t="s">
        <v>117</v>
      </c>
      <c r="E65" s="10" t="str">
        <f>INDEX(Feiertagsregeln!$D$7:$D$198,MATCH($K65,Feiertagsregeln!$A$7:$A$198,0))</f>
        <v>Mariä Himmelfahrt</v>
      </c>
      <c r="F65" s="10" t="str">
        <f>INDEX(Feiertagsregeln!$E$7:$E$198,MATCH($K65,Feiertagsregeln!$A$7:$A$198,0))</f>
        <v>Assomption</v>
      </c>
      <c r="G65" s="21" t="str">
        <f>IF(INDEX(Feiertagsregeln!$F$7:$F$198,MATCH($K65,Feiertagsregeln!$A$7:$A$198,0))="","Noch zu erfassen",INDEX(Feiertagsregeln!$F$7:$F$198,MATCH($K65,Feiertagsregeln!$A$7:$A$198,0)))</f>
        <v>Noch zu erfassen</v>
      </c>
      <c r="H65" s="21" t="str">
        <f>IF(INDEX(Feiertagsregeln!$G$7:$G$198,MATCH($K65,Feiertagsregeln!$A$7:$A$198,0))="","Noch zu erfassen",INDEX(Feiertagsregeln!$G$7:$G$198,MATCH($K65,Feiertagsregeln!$A$7:$A$198,0)))</f>
        <v>Noch zu erfassen</v>
      </c>
      <c r="I65" s="10" t="str">
        <f>INDEX(Feiertagsregeln!$H$7:$H$198,MATCH($K65,Feiertagsregeln!$A$7:$A$198,0))</f>
        <v>labourLawHoliday</v>
      </c>
      <c r="J65" s="10" t="s">
        <v>69</v>
      </c>
      <c r="K65" s="10" t="s">
        <v>122</v>
      </c>
      <c r="L65" s="10" t="str">
        <f>INDEX(Feiertagsregeln!$Y$7:$Y$198,MATCH($K65,Feiertagsregeln!$A$7:$A$198,0))</f>
        <v>SRC-AG-EGARR-20250901</v>
      </c>
      <c r="M65" s="10" t="str">
        <f>INDEX(Feiertagsregeln!$Z$7:$Z$198,MATCH($K65,Feiertagsregeln!$A$7:$A$198,0))</f>
        <v>§ 6 Abs. 1 Bst. e Ziff. 1</v>
      </c>
      <c r="N65" s="10" t="s">
        <v>71</v>
      </c>
      <c r="O65" s="10" t="str">
        <f>INDEX(Feiertagsregeln!$AA$7:$AA$198,MATCH($K65,Feiertagsregeln!$A$7:$A$198,0))</f>
        <v>Ganztägig</v>
      </c>
    </row>
    <row r="66" spans="1:15" ht="38" customHeight="1">
      <c r="A66" s="15">
        <f>INDEX(Feiertagsregeln!$X$7:$X$198,MATCH($K66,Feiertagsregeln!$A$7:$A$198,0))</f>
        <v>46692</v>
      </c>
      <c r="B66" s="11" t="str">
        <f t="shared" si="0"/>
        <v>Montag</v>
      </c>
      <c r="C66" s="11" t="s">
        <v>67</v>
      </c>
      <c r="D66" s="11" t="s">
        <v>117</v>
      </c>
      <c r="E66" s="11" t="str">
        <f>INDEX(Feiertagsregeln!$D$7:$D$198,MATCH($K66,Feiertagsregeln!$A$7:$A$198,0))</f>
        <v>Allerheiligen</v>
      </c>
      <c r="F66" s="11" t="str">
        <f>INDEX(Feiertagsregeln!$E$7:$E$198,MATCH($K66,Feiertagsregeln!$A$7:$A$198,0))</f>
        <v>Toussaint</v>
      </c>
      <c r="G66" s="22" t="str">
        <f>IF(INDEX(Feiertagsregeln!$F$7:$F$198,MATCH($K66,Feiertagsregeln!$A$7:$A$198,0))="","Noch zu erfassen",INDEX(Feiertagsregeln!$F$7:$F$198,MATCH($K66,Feiertagsregeln!$A$7:$A$198,0)))</f>
        <v>Noch zu erfassen</v>
      </c>
      <c r="H66" s="22" t="str">
        <f>IF(INDEX(Feiertagsregeln!$G$7:$G$198,MATCH($K66,Feiertagsregeln!$A$7:$A$198,0))="","Noch zu erfassen",INDEX(Feiertagsregeln!$G$7:$G$198,MATCH($K66,Feiertagsregeln!$A$7:$A$198,0)))</f>
        <v>Noch zu erfassen</v>
      </c>
      <c r="I66" s="11" t="str">
        <f>INDEX(Feiertagsregeln!$H$7:$H$198,MATCH($K66,Feiertagsregeln!$A$7:$A$198,0))</f>
        <v>labourLawHoliday</v>
      </c>
      <c r="J66" s="11" t="s">
        <v>69</v>
      </c>
      <c r="K66" s="11" t="s">
        <v>123</v>
      </c>
      <c r="L66" s="11" t="str">
        <f>INDEX(Feiertagsregeln!$Y$7:$Y$198,MATCH($K66,Feiertagsregeln!$A$7:$A$198,0))</f>
        <v>SRC-AG-EGARR-20250901</v>
      </c>
      <c r="M66" s="11" t="str">
        <f>INDEX(Feiertagsregeln!$Z$7:$Z$198,MATCH($K66,Feiertagsregeln!$A$7:$A$198,0))</f>
        <v>§ 6 Abs. 1 Bst. e Ziff. 1</v>
      </c>
      <c r="N66" s="11" t="s">
        <v>71</v>
      </c>
      <c r="O66" s="11" t="str">
        <f>INDEX(Feiertagsregeln!$AA$7:$AA$198,MATCH($K66,Feiertagsregeln!$A$7:$A$198,0))</f>
        <v>Ganztägig</v>
      </c>
    </row>
    <row r="67" spans="1:15" ht="38" customHeight="1">
      <c r="A67" s="14">
        <f>INDEX(Feiertagsregeln!$X$7:$X$198,MATCH($K67,Feiertagsregeln!$A$7:$A$198,0))</f>
        <v>46746</v>
      </c>
      <c r="B67" s="10" t="str">
        <f t="shared" si="0"/>
        <v>Samstag</v>
      </c>
      <c r="C67" s="10" t="s">
        <v>67</v>
      </c>
      <c r="D67" s="10" t="s">
        <v>117</v>
      </c>
      <c r="E67" s="10" t="str">
        <f>INDEX(Feiertagsregeln!$D$7:$D$198,MATCH($K67,Feiertagsregeln!$A$7:$A$198,0))</f>
        <v>Weihnachten</v>
      </c>
      <c r="F67" s="10" t="str">
        <f>INDEX(Feiertagsregeln!$E$7:$E$198,MATCH($K67,Feiertagsregeln!$A$7:$A$198,0))</f>
        <v>Noël</v>
      </c>
      <c r="G67" s="21" t="str">
        <f>IF(INDEX(Feiertagsregeln!$F$7:$F$198,MATCH($K67,Feiertagsregeln!$A$7:$A$198,0))="","Noch zu erfassen",INDEX(Feiertagsregeln!$F$7:$F$198,MATCH($K67,Feiertagsregeln!$A$7:$A$198,0)))</f>
        <v>Noch zu erfassen</v>
      </c>
      <c r="H67" s="21" t="str">
        <f>IF(INDEX(Feiertagsregeln!$G$7:$G$198,MATCH($K67,Feiertagsregeln!$A$7:$A$198,0))="","Noch zu erfassen",INDEX(Feiertagsregeln!$G$7:$G$198,MATCH($K67,Feiertagsregeln!$A$7:$A$198,0)))</f>
        <v>Noch zu erfassen</v>
      </c>
      <c r="I67" s="10" t="str">
        <f>INDEX(Feiertagsregeln!$H$7:$H$198,MATCH($K67,Feiertagsregeln!$A$7:$A$198,0))</f>
        <v>labourLawHoliday</v>
      </c>
      <c r="J67" s="10" t="s">
        <v>69</v>
      </c>
      <c r="K67" s="10" t="s">
        <v>124</v>
      </c>
      <c r="L67" s="10" t="str">
        <f>INDEX(Feiertagsregeln!$Y$7:$Y$198,MATCH($K67,Feiertagsregeln!$A$7:$A$198,0))</f>
        <v>SRC-AG-EGARR-20250901</v>
      </c>
      <c r="M67" s="10" t="str">
        <f>INDEX(Feiertagsregeln!$Z$7:$Z$198,MATCH($K67,Feiertagsregeln!$A$7:$A$198,0))</f>
        <v>§ 6 Abs. 1 Bst. e Ziff. 1</v>
      </c>
      <c r="N67" s="10" t="s">
        <v>71</v>
      </c>
      <c r="O67" s="10" t="str">
        <f>INDEX(Feiertagsregeln!$AA$7:$AA$198,MATCH($K67,Feiertagsregeln!$A$7:$A$198,0))</f>
        <v>Ganztägig</v>
      </c>
    </row>
    <row r="68" spans="1:15" ht="38" customHeight="1">
      <c r="A68" s="15">
        <f>INDEX(Feiertagsregeln!$X$7:$X$198,MATCH($K68,Feiertagsregeln!$A$7:$A$198,0))</f>
        <v>46729</v>
      </c>
      <c r="B68" s="11" t="str">
        <f t="shared" si="0"/>
        <v>Mittwoch</v>
      </c>
      <c r="C68" s="11" t="s">
        <v>67</v>
      </c>
      <c r="D68" s="11" t="s">
        <v>117</v>
      </c>
      <c r="E68" s="11" t="str">
        <f>INDEX(Feiertagsregeln!$D$7:$D$198,MATCH($K68,Feiertagsregeln!$A$7:$A$198,0))</f>
        <v>Mariä Empfängnis</v>
      </c>
      <c r="F68" s="11" t="str">
        <f>INDEX(Feiertagsregeln!$E$7:$E$198,MATCH($K68,Feiertagsregeln!$A$7:$A$198,0))</f>
        <v>Immaculée Conception</v>
      </c>
      <c r="G68" s="22" t="str">
        <f>IF(INDEX(Feiertagsregeln!$F$7:$F$198,MATCH($K68,Feiertagsregeln!$A$7:$A$198,0))="","Noch zu erfassen",INDEX(Feiertagsregeln!$F$7:$F$198,MATCH($K68,Feiertagsregeln!$A$7:$A$198,0)))</f>
        <v>Noch zu erfassen</v>
      </c>
      <c r="H68" s="22" t="str">
        <f>IF(INDEX(Feiertagsregeln!$G$7:$G$198,MATCH($K68,Feiertagsregeln!$A$7:$A$198,0))="","Noch zu erfassen",INDEX(Feiertagsregeln!$G$7:$G$198,MATCH($K68,Feiertagsregeln!$A$7:$A$198,0)))</f>
        <v>Noch zu erfassen</v>
      </c>
      <c r="I68" s="11" t="str">
        <f>INDEX(Feiertagsregeln!$H$7:$H$198,MATCH($K68,Feiertagsregeln!$A$7:$A$198,0))</f>
        <v>labourLawHoliday</v>
      </c>
      <c r="J68" s="11" t="s">
        <v>69</v>
      </c>
      <c r="K68" s="11" t="s">
        <v>125</v>
      </c>
      <c r="L68" s="11" t="str">
        <f>INDEX(Feiertagsregeln!$Y$7:$Y$198,MATCH($K68,Feiertagsregeln!$A$7:$A$198,0))</f>
        <v>SRC-AG-EGARR-20250901</v>
      </c>
      <c r="M68" s="11" t="str">
        <f>INDEX(Feiertagsregeln!$Z$7:$Z$198,MATCH($K68,Feiertagsregeln!$A$7:$A$198,0))</f>
        <v>§ 6 Abs. 1 Bst. e Ziff. 1</v>
      </c>
      <c r="N68" s="11" t="s">
        <v>71</v>
      </c>
      <c r="O68" s="11" t="str">
        <f>INDEX(Feiertagsregeln!$AA$7:$AA$198,MATCH($K68,Feiertagsregeln!$A$7:$A$198,0))</f>
        <v>Ganztägig</v>
      </c>
    </row>
    <row r="69" spans="1:15" ht="38" customHeight="1">
      <c r="A69" s="14">
        <f>INDEX(Feiertagsregeln!$X$7:$X$198,MATCH($K69,Feiertagsregeln!$A$7:$A$198,0))</f>
        <v>46388</v>
      </c>
      <c r="B69" s="10" t="str">
        <f t="shared" si="0"/>
        <v>Freitag</v>
      </c>
      <c r="C69" s="10" t="s">
        <v>67</v>
      </c>
      <c r="D69" s="10" t="s">
        <v>126</v>
      </c>
      <c r="E69" s="10" t="str">
        <f>INDEX(Feiertagsregeln!$D$7:$D$198,MATCH($K69,Feiertagsregeln!$A$7:$A$198,0))</f>
        <v>Neujahr</v>
      </c>
      <c r="F69" s="10" t="str">
        <f>INDEX(Feiertagsregeln!$E$7:$E$198,MATCH($K69,Feiertagsregeln!$A$7:$A$198,0))</f>
        <v>Nouvel An</v>
      </c>
      <c r="G69" s="21" t="str">
        <f>IF(INDEX(Feiertagsregeln!$F$7:$F$198,MATCH($K69,Feiertagsregeln!$A$7:$A$198,0))="","Noch zu erfassen",INDEX(Feiertagsregeln!$F$7:$F$198,MATCH($K69,Feiertagsregeln!$A$7:$A$198,0)))</f>
        <v>Noch zu erfassen</v>
      </c>
      <c r="H69" s="21" t="str">
        <f>IF(INDEX(Feiertagsregeln!$G$7:$G$198,MATCH($K69,Feiertagsregeln!$A$7:$A$198,0))="","Noch zu erfassen",INDEX(Feiertagsregeln!$G$7:$G$198,MATCH($K69,Feiertagsregeln!$A$7:$A$198,0)))</f>
        <v>Noch zu erfassen</v>
      </c>
      <c r="I69" s="10" t="str">
        <f>INDEX(Feiertagsregeln!$H$7:$H$198,MATCH($K69,Feiertagsregeln!$A$7:$A$198,0))</f>
        <v>labourLawHoliday</v>
      </c>
      <c r="J69" s="10" t="s">
        <v>69</v>
      </c>
      <c r="K69" s="10" t="s">
        <v>127</v>
      </c>
      <c r="L69" s="10" t="str">
        <f>INDEX(Feiertagsregeln!$Y$7:$Y$198,MATCH($K69,Feiertagsregeln!$A$7:$A$198,0))</f>
        <v>SRC-AG-EGARR-20250901</v>
      </c>
      <c r="M69" s="10" t="str">
        <f>INDEX(Feiertagsregeln!$Z$7:$Z$198,MATCH($K69,Feiertagsregeln!$A$7:$A$198,0))</f>
        <v>§ 6 Abs. 1 Bst. e Ziff. 2</v>
      </c>
      <c r="N69" s="10" t="s">
        <v>71</v>
      </c>
      <c r="O69" s="10" t="str">
        <f>INDEX(Feiertagsregeln!$AA$7:$AA$198,MATCH($K69,Feiertagsregeln!$A$7:$A$198,0))</f>
        <v>Ganztägig</v>
      </c>
    </row>
    <row r="70" spans="1:15" ht="38" customHeight="1">
      <c r="A70" s="15">
        <f>INDEX(Feiertagsregeln!$X$7:$X$198,MATCH($K70,Feiertagsregeln!$A$7:$A$198,0))</f>
        <v>46472</v>
      </c>
      <c r="B70" s="11" t="str">
        <f t="shared" si="0"/>
        <v>Freitag</v>
      </c>
      <c r="C70" s="11" t="s">
        <v>67</v>
      </c>
      <c r="D70" s="11" t="s">
        <v>126</v>
      </c>
      <c r="E70" s="11" t="str">
        <f>INDEX(Feiertagsregeln!$D$7:$D$198,MATCH($K70,Feiertagsregeln!$A$7:$A$198,0))</f>
        <v>Karfreitag</v>
      </c>
      <c r="F70" s="11" t="str">
        <f>INDEX(Feiertagsregeln!$E$7:$E$198,MATCH($K70,Feiertagsregeln!$A$7:$A$198,0))</f>
        <v>Vendredi saint</v>
      </c>
      <c r="G70" s="22" t="str">
        <f>IF(INDEX(Feiertagsregeln!$F$7:$F$198,MATCH($K70,Feiertagsregeln!$A$7:$A$198,0))="","Noch zu erfassen",INDEX(Feiertagsregeln!$F$7:$F$198,MATCH($K70,Feiertagsregeln!$A$7:$A$198,0)))</f>
        <v>Noch zu erfassen</v>
      </c>
      <c r="H70" s="22" t="str">
        <f>IF(INDEX(Feiertagsregeln!$G$7:$G$198,MATCH($K70,Feiertagsregeln!$A$7:$A$198,0))="","Noch zu erfassen",INDEX(Feiertagsregeln!$G$7:$G$198,MATCH($K70,Feiertagsregeln!$A$7:$A$198,0)))</f>
        <v>Noch zu erfassen</v>
      </c>
      <c r="I70" s="11" t="str">
        <f>INDEX(Feiertagsregeln!$H$7:$H$198,MATCH($K70,Feiertagsregeln!$A$7:$A$198,0))</f>
        <v>labourLawHoliday</v>
      </c>
      <c r="J70" s="11" t="s">
        <v>69</v>
      </c>
      <c r="K70" s="11" t="s">
        <v>128</v>
      </c>
      <c r="L70" s="11" t="str">
        <f>INDEX(Feiertagsregeln!$Y$7:$Y$198,MATCH($K70,Feiertagsregeln!$A$7:$A$198,0))</f>
        <v>SRC-AG-EGARR-20250901</v>
      </c>
      <c r="M70" s="11" t="str">
        <f>INDEX(Feiertagsregeln!$Z$7:$Z$198,MATCH($K70,Feiertagsregeln!$A$7:$A$198,0))</f>
        <v>§ 6 Abs. 1 Bst. e Ziff. 2</v>
      </c>
      <c r="N70" s="11" t="s">
        <v>71</v>
      </c>
      <c r="O70" s="11" t="str">
        <f>INDEX(Feiertagsregeln!$AA$7:$AA$198,MATCH($K70,Feiertagsregeln!$A$7:$A$198,0))</f>
        <v>Ganztägig</v>
      </c>
    </row>
    <row r="71" spans="1:15" ht="38" customHeight="1">
      <c r="A71" s="14">
        <f>INDEX(Feiertagsregeln!$X$7:$X$198,MATCH($K71,Feiertagsregeln!$A$7:$A$198,0))</f>
        <v>46475</v>
      </c>
      <c r="B71" s="10" t="str">
        <f t="shared" ref="B71:B134" si="1">IF(ISNUMBER(A71),CHOOSE(WEEKDAY(A71,2),"Montag","Dienstag","Mittwoch","Donnerstag","Freitag","Samstag","Sonntag")&amp;IF(O71="Ab 12.00 Uhr",", ab 12.00 Uhr",""),"n.a.")</f>
        <v>Montag</v>
      </c>
      <c r="C71" s="10" t="s">
        <v>67</v>
      </c>
      <c r="D71" s="10" t="s">
        <v>126</v>
      </c>
      <c r="E71" s="10" t="str">
        <f>INDEX(Feiertagsregeln!$D$7:$D$198,MATCH($K71,Feiertagsregeln!$A$7:$A$198,0))</f>
        <v>Ostermontag</v>
      </c>
      <c r="F71" s="10" t="str">
        <f>INDEX(Feiertagsregeln!$E$7:$E$198,MATCH($K71,Feiertagsregeln!$A$7:$A$198,0))</f>
        <v>Lundi de Pâques</v>
      </c>
      <c r="G71" s="21" t="str">
        <f>IF(INDEX(Feiertagsregeln!$F$7:$F$198,MATCH($K71,Feiertagsregeln!$A$7:$A$198,0))="","Noch zu erfassen",INDEX(Feiertagsregeln!$F$7:$F$198,MATCH($K71,Feiertagsregeln!$A$7:$A$198,0)))</f>
        <v>Noch zu erfassen</v>
      </c>
      <c r="H71" s="21" t="str">
        <f>IF(INDEX(Feiertagsregeln!$G$7:$G$198,MATCH($K71,Feiertagsregeln!$A$7:$A$198,0))="","Noch zu erfassen",INDEX(Feiertagsregeln!$G$7:$G$198,MATCH($K71,Feiertagsregeln!$A$7:$A$198,0)))</f>
        <v>Noch zu erfassen</v>
      </c>
      <c r="I71" s="10" t="str">
        <f>INDEX(Feiertagsregeln!$H$7:$H$198,MATCH($K71,Feiertagsregeln!$A$7:$A$198,0))</f>
        <v>labourLawHoliday</v>
      </c>
      <c r="J71" s="10" t="s">
        <v>69</v>
      </c>
      <c r="K71" s="10" t="s">
        <v>129</v>
      </c>
      <c r="L71" s="10" t="str">
        <f>INDEX(Feiertagsregeln!$Y$7:$Y$198,MATCH($K71,Feiertagsregeln!$A$7:$A$198,0))</f>
        <v>SRC-AG-EGARR-20250901</v>
      </c>
      <c r="M71" s="10" t="str">
        <f>INDEX(Feiertagsregeln!$Z$7:$Z$198,MATCH($K71,Feiertagsregeln!$A$7:$A$198,0))</f>
        <v>§ 6 Abs. 1 Bst. e Ziff. 2</v>
      </c>
      <c r="N71" s="10" t="s">
        <v>71</v>
      </c>
      <c r="O71" s="10" t="str">
        <f>INDEX(Feiertagsregeln!$AA$7:$AA$198,MATCH($K71,Feiertagsregeln!$A$7:$A$198,0))</f>
        <v>Ganztägig</v>
      </c>
    </row>
    <row r="72" spans="1:15" ht="38" customHeight="1">
      <c r="A72" s="15">
        <f>INDEX(Feiertagsregeln!$X$7:$X$198,MATCH($K72,Feiertagsregeln!$A$7:$A$198,0))</f>
        <v>46513</v>
      </c>
      <c r="B72" s="11" t="str">
        <f t="shared" si="1"/>
        <v>Donnerstag</v>
      </c>
      <c r="C72" s="11" t="s">
        <v>67</v>
      </c>
      <c r="D72" s="11" t="s">
        <v>126</v>
      </c>
      <c r="E72" s="11" t="str">
        <f>INDEX(Feiertagsregeln!$D$7:$D$198,MATCH($K72,Feiertagsregeln!$A$7:$A$198,0))</f>
        <v>Auffahrt</v>
      </c>
      <c r="F72" s="11" t="str">
        <f>INDEX(Feiertagsregeln!$E$7:$E$198,MATCH($K72,Feiertagsregeln!$A$7:$A$198,0))</f>
        <v>Ascension</v>
      </c>
      <c r="G72" s="22" t="str">
        <f>IF(INDEX(Feiertagsregeln!$F$7:$F$198,MATCH($K72,Feiertagsregeln!$A$7:$A$198,0))="","Noch zu erfassen",INDEX(Feiertagsregeln!$F$7:$F$198,MATCH($K72,Feiertagsregeln!$A$7:$A$198,0)))</f>
        <v>Noch zu erfassen</v>
      </c>
      <c r="H72" s="22" t="str">
        <f>IF(INDEX(Feiertagsregeln!$G$7:$G$198,MATCH($K72,Feiertagsregeln!$A$7:$A$198,0))="","Noch zu erfassen",INDEX(Feiertagsregeln!$G$7:$G$198,MATCH($K72,Feiertagsregeln!$A$7:$A$198,0)))</f>
        <v>Noch zu erfassen</v>
      </c>
      <c r="I72" s="11" t="str">
        <f>INDEX(Feiertagsregeln!$H$7:$H$198,MATCH($K72,Feiertagsregeln!$A$7:$A$198,0))</f>
        <v>labourLawHoliday</v>
      </c>
      <c r="J72" s="11" t="s">
        <v>69</v>
      </c>
      <c r="K72" s="11" t="s">
        <v>130</v>
      </c>
      <c r="L72" s="11" t="str">
        <f>INDEX(Feiertagsregeln!$Y$7:$Y$198,MATCH($K72,Feiertagsregeln!$A$7:$A$198,0))</f>
        <v>SRC-AG-EGARR-20250901</v>
      </c>
      <c r="M72" s="11" t="str">
        <f>INDEX(Feiertagsregeln!$Z$7:$Z$198,MATCH($K72,Feiertagsregeln!$A$7:$A$198,0))</f>
        <v>§ 6 Abs. 1 Bst. e Ziff. 2</v>
      </c>
      <c r="N72" s="11" t="s">
        <v>71</v>
      </c>
      <c r="O72" s="11" t="str">
        <f>INDEX(Feiertagsregeln!$AA$7:$AA$198,MATCH($K72,Feiertagsregeln!$A$7:$A$198,0))</f>
        <v>Ganztägig</v>
      </c>
    </row>
    <row r="73" spans="1:15" ht="38" customHeight="1">
      <c r="A73" s="14">
        <f>INDEX(Feiertagsregeln!$X$7:$X$198,MATCH($K73,Feiertagsregeln!$A$7:$A$198,0))</f>
        <v>46524</v>
      </c>
      <c r="B73" s="10" t="str">
        <f t="shared" si="1"/>
        <v>Montag</v>
      </c>
      <c r="C73" s="10" t="s">
        <v>67</v>
      </c>
      <c r="D73" s="10" t="s">
        <v>126</v>
      </c>
      <c r="E73" s="10" t="str">
        <f>INDEX(Feiertagsregeln!$D$7:$D$198,MATCH($K73,Feiertagsregeln!$A$7:$A$198,0))</f>
        <v>Pfingstmontag</v>
      </c>
      <c r="F73" s="10" t="str">
        <f>INDEX(Feiertagsregeln!$E$7:$E$198,MATCH($K73,Feiertagsregeln!$A$7:$A$198,0))</f>
        <v>Lundi de Pentecôte</v>
      </c>
      <c r="G73" s="21" t="str">
        <f>IF(INDEX(Feiertagsregeln!$F$7:$F$198,MATCH($K73,Feiertagsregeln!$A$7:$A$198,0))="","Noch zu erfassen",INDEX(Feiertagsregeln!$F$7:$F$198,MATCH($K73,Feiertagsregeln!$A$7:$A$198,0)))</f>
        <v>Noch zu erfassen</v>
      </c>
      <c r="H73" s="21" t="str">
        <f>IF(INDEX(Feiertagsregeln!$G$7:$G$198,MATCH($K73,Feiertagsregeln!$A$7:$A$198,0))="","Noch zu erfassen",INDEX(Feiertagsregeln!$G$7:$G$198,MATCH($K73,Feiertagsregeln!$A$7:$A$198,0)))</f>
        <v>Noch zu erfassen</v>
      </c>
      <c r="I73" s="10" t="str">
        <f>INDEX(Feiertagsregeln!$H$7:$H$198,MATCH($K73,Feiertagsregeln!$A$7:$A$198,0))</f>
        <v>labourLawHoliday</v>
      </c>
      <c r="J73" s="10" t="s">
        <v>69</v>
      </c>
      <c r="K73" s="10" t="s">
        <v>131</v>
      </c>
      <c r="L73" s="10" t="str">
        <f>INDEX(Feiertagsregeln!$Y$7:$Y$198,MATCH($K73,Feiertagsregeln!$A$7:$A$198,0))</f>
        <v>SRC-AG-EGARR-20250901</v>
      </c>
      <c r="M73" s="10" t="str">
        <f>INDEX(Feiertagsregeln!$Z$7:$Z$198,MATCH($K73,Feiertagsregeln!$A$7:$A$198,0))</f>
        <v>§ 6 Abs. 1 Bst. e Ziff. 2</v>
      </c>
      <c r="N73" s="10" t="s">
        <v>71</v>
      </c>
      <c r="O73" s="10" t="str">
        <f>INDEX(Feiertagsregeln!$AA$7:$AA$198,MATCH($K73,Feiertagsregeln!$A$7:$A$198,0))</f>
        <v>Ganztägig</v>
      </c>
    </row>
    <row r="74" spans="1:15" ht="38" customHeight="1">
      <c r="A74" s="15">
        <f>INDEX(Feiertagsregeln!$X$7:$X$198,MATCH($K74,Feiertagsregeln!$A$7:$A$198,0))</f>
        <v>46746</v>
      </c>
      <c r="B74" s="11" t="str">
        <f t="shared" si="1"/>
        <v>Samstag</v>
      </c>
      <c r="C74" s="11" t="s">
        <v>67</v>
      </c>
      <c r="D74" s="11" t="s">
        <v>126</v>
      </c>
      <c r="E74" s="11" t="str">
        <f>INDEX(Feiertagsregeln!$D$7:$D$198,MATCH($K74,Feiertagsregeln!$A$7:$A$198,0))</f>
        <v>Weihnachten</v>
      </c>
      <c r="F74" s="11" t="str">
        <f>INDEX(Feiertagsregeln!$E$7:$E$198,MATCH($K74,Feiertagsregeln!$A$7:$A$198,0))</f>
        <v>Noël</v>
      </c>
      <c r="G74" s="22" t="str">
        <f>IF(INDEX(Feiertagsregeln!$F$7:$F$198,MATCH($K74,Feiertagsregeln!$A$7:$A$198,0))="","Noch zu erfassen",INDEX(Feiertagsregeln!$F$7:$F$198,MATCH($K74,Feiertagsregeln!$A$7:$A$198,0)))</f>
        <v>Noch zu erfassen</v>
      </c>
      <c r="H74" s="22" t="str">
        <f>IF(INDEX(Feiertagsregeln!$G$7:$G$198,MATCH($K74,Feiertagsregeln!$A$7:$A$198,0))="","Noch zu erfassen",INDEX(Feiertagsregeln!$G$7:$G$198,MATCH($K74,Feiertagsregeln!$A$7:$A$198,0)))</f>
        <v>Noch zu erfassen</v>
      </c>
      <c r="I74" s="11" t="str">
        <f>INDEX(Feiertagsregeln!$H$7:$H$198,MATCH($K74,Feiertagsregeln!$A$7:$A$198,0))</f>
        <v>labourLawHoliday</v>
      </c>
      <c r="J74" s="11" t="s">
        <v>69</v>
      </c>
      <c r="K74" s="11" t="s">
        <v>132</v>
      </c>
      <c r="L74" s="11" t="str">
        <f>INDEX(Feiertagsregeln!$Y$7:$Y$198,MATCH($K74,Feiertagsregeln!$A$7:$A$198,0))</f>
        <v>SRC-AG-EGARR-20250901</v>
      </c>
      <c r="M74" s="11" t="str">
        <f>INDEX(Feiertagsregeln!$Z$7:$Z$198,MATCH($K74,Feiertagsregeln!$A$7:$A$198,0))</f>
        <v>§ 6 Abs. 1 Bst. e Ziff. 2</v>
      </c>
      <c r="N74" s="11" t="s">
        <v>71</v>
      </c>
      <c r="O74" s="11" t="str">
        <f>INDEX(Feiertagsregeln!$AA$7:$AA$198,MATCH($K74,Feiertagsregeln!$A$7:$A$198,0))</f>
        <v>Ganztägig</v>
      </c>
    </row>
    <row r="75" spans="1:15" ht="38" customHeight="1">
      <c r="A75" s="14">
        <f>INDEX(Feiertagsregeln!$X$7:$X$198,MATCH($K75,Feiertagsregeln!$A$7:$A$198,0))</f>
        <v>46747</v>
      </c>
      <c r="B75" s="10" t="str">
        <f t="shared" si="1"/>
        <v>Sonntag</v>
      </c>
      <c r="C75" s="10" t="s">
        <v>67</v>
      </c>
      <c r="D75" s="10" t="s">
        <v>126</v>
      </c>
      <c r="E75" s="10" t="str">
        <f>INDEX(Feiertagsregeln!$D$7:$D$198,MATCH($K75,Feiertagsregeln!$A$7:$A$198,0))</f>
        <v>Stephanstag</v>
      </c>
      <c r="F75" s="10" t="str">
        <f>INDEX(Feiertagsregeln!$E$7:$E$198,MATCH($K75,Feiertagsregeln!$A$7:$A$198,0))</f>
        <v>Saint-Étienne</v>
      </c>
      <c r="G75" s="21" t="str">
        <f>IF(INDEX(Feiertagsregeln!$F$7:$F$198,MATCH($K75,Feiertagsregeln!$A$7:$A$198,0))="","Noch zu erfassen",INDEX(Feiertagsregeln!$F$7:$F$198,MATCH($K75,Feiertagsregeln!$A$7:$A$198,0)))</f>
        <v>Noch zu erfassen</v>
      </c>
      <c r="H75" s="21" t="str">
        <f>IF(INDEX(Feiertagsregeln!$G$7:$G$198,MATCH($K75,Feiertagsregeln!$A$7:$A$198,0))="","Noch zu erfassen",INDEX(Feiertagsregeln!$G$7:$G$198,MATCH($K75,Feiertagsregeln!$A$7:$A$198,0)))</f>
        <v>Noch zu erfassen</v>
      </c>
      <c r="I75" s="10" t="str">
        <f>INDEX(Feiertagsregeln!$H$7:$H$198,MATCH($K75,Feiertagsregeln!$A$7:$A$198,0))</f>
        <v>labourLawHoliday</v>
      </c>
      <c r="J75" s="10" t="s">
        <v>69</v>
      </c>
      <c r="K75" s="10" t="s">
        <v>133</v>
      </c>
      <c r="L75" s="10" t="str">
        <f>INDEX(Feiertagsregeln!$Y$7:$Y$198,MATCH($K75,Feiertagsregeln!$A$7:$A$198,0))</f>
        <v>SRC-AG-EGARR-20250901</v>
      </c>
      <c r="M75" s="10" t="str">
        <f>INDEX(Feiertagsregeln!$Z$7:$Z$198,MATCH($K75,Feiertagsregeln!$A$7:$A$198,0))</f>
        <v>§ 6 Abs. 1 Bst. e Ziff. 2</v>
      </c>
      <c r="N75" s="10" t="s">
        <v>71</v>
      </c>
      <c r="O75" s="10" t="str">
        <f>INDEX(Feiertagsregeln!$AA$7:$AA$198,MATCH($K75,Feiertagsregeln!$A$7:$A$198,0))</f>
        <v>Ganztägig</v>
      </c>
    </row>
    <row r="76" spans="1:15" ht="38" customHeight="1">
      <c r="A76" s="15">
        <f>INDEX(Feiertagsregeln!$X$7:$X$198,MATCH($K76,Feiertagsregeln!$A$7:$A$198,0))</f>
        <v>46692</v>
      </c>
      <c r="B76" s="11" t="str">
        <f t="shared" si="1"/>
        <v>Montag</v>
      </c>
      <c r="C76" s="11" t="s">
        <v>67</v>
      </c>
      <c r="D76" s="11" t="s">
        <v>126</v>
      </c>
      <c r="E76" s="11" t="str">
        <f>INDEX(Feiertagsregeln!$D$7:$D$198,MATCH($K76,Feiertagsregeln!$A$7:$A$198,0))</f>
        <v>Allerheiligen</v>
      </c>
      <c r="F76" s="11" t="str">
        <f>INDEX(Feiertagsregeln!$E$7:$E$198,MATCH($K76,Feiertagsregeln!$A$7:$A$198,0))</f>
        <v>Toussaint</v>
      </c>
      <c r="G76" s="22" t="str">
        <f>IF(INDEX(Feiertagsregeln!$F$7:$F$198,MATCH($K76,Feiertagsregeln!$A$7:$A$198,0))="","Noch zu erfassen",INDEX(Feiertagsregeln!$F$7:$F$198,MATCH($K76,Feiertagsregeln!$A$7:$A$198,0)))</f>
        <v>Noch zu erfassen</v>
      </c>
      <c r="H76" s="22" t="str">
        <f>IF(INDEX(Feiertagsregeln!$G$7:$G$198,MATCH($K76,Feiertagsregeln!$A$7:$A$198,0))="","Noch zu erfassen",INDEX(Feiertagsregeln!$G$7:$G$198,MATCH($K76,Feiertagsregeln!$A$7:$A$198,0)))</f>
        <v>Noch zu erfassen</v>
      </c>
      <c r="I76" s="11" t="str">
        <f>INDEX(Feiertagsregeln!$H$7:$H$198,MATCH($K76,Feiertagsregeln!$A$7:$A$198,0))</f>
        <v>labourLawHoliday</v>
      </c>
      <c r="J76" s="11" t="s">
        <v>69</v>
      </c>
      <c r="K76" s="11" t="s">
        <v>134</v>
      </c>
      <c r="L76" s="11" t="str">
        <f>INDEX(Feiertagsregeln!$Y$7:$Y$198,MATCH($K76,Feiertagsregeln!$A$7:$A$198,0))</f>
        <v>SRC-AG-EGARR-20250901</v>
      </c>
      <c r="M76" s="11" t="str">
        <f>INDEX(Feiertagsregeln!$Z$7:$Z$198,MATCH($K76,Feiertagsregeln!$A$7:$A$198,0))</f>
        <v>§ 6 Abs. 1 Bst. e Ziff. 2</v>
      </c>
      <c r="N76" s="11" t="s">
        <v>71</v>
      </c>
      <c r="O76" s="11" t="str">
        <f>INDEX(Feiertagsregeln!$AA$7:$AA$198,MATCH($K76,Feiertagsregeln!$A$7:$A$198,0))</f>
        <v>Ganztägig</v>
      </c>
    </row>
    <row r="77" spans="1:15" ht="38" customHeight="1">
      <c r="A77" s="14">
        <f>INDEX(Feiertagsregeln!$X$7:$X$198,MATCH($K77,Feiertagsregeln!$A$7:$A$198,0))</f>
        <v>46388</v>
      </c>
      <c r="B77" s="10" t="str">
        <f t="shared" si="1"/>
        <v>Freitag</v>
      </c>
      <c r="C77" s="10" t="s">
        <v>67</v>
      </c>
      <c r="D77" s="10" t="s">
        <v>135</v>
      </c>
      <c r="E77" s="10" t="str">
        <f>INDEX(Feiertagsregeln!$D$7:$D$198,MATCH($K77,Feiertagsregeln!$A$7:$A$198,0))</f>
        <v>Neujahr</v>
      </c>
      <c r="F77" s="10" t="str">
        <f>INDEX(Feiertagsregeln!$E$7:$E$198,MATCH($K77,Feiertagsregeln!$A$7:$A$198,0))</f>
        <v>Nouvel An</v>
      </c>
      <c r="G77" s="21" t="str">
        <f>IF(INDEX(Feiertagsregeln!$F$7:$F$198,MATCH($K77,Feiertagsregeln!$A$7:$A$198,0))="","Noch zu erfassen",INDEX(Feiertagsregeln!$F$7:$F$198,MATCH($K77,Feiertagsregeln!$A$7:$A$198,0)))</f>
        <v>Noch zu erfassen</v>
      </c>
      <c r="H77" s="21" t="str">
        <f>IF(INDEX(Feiertagsregeln!$G$7:$G$198,MATCH($K77,Feiertagsregeln!$A$7:$A$198,0))="","Noch zu erfassen",INDEX(Feiertagsregeln!$G$7:$G$198,MATCH($K77,Feiertagsregeln!$A$7:$A$198,0)))</f>
        <v>Noch zu erfassen</v>
      </c>
      <c r="I77" s="10" t="str">
        <f>INDEX(Feiertagsregeln!$H$7:$H$198,MATCH($K77,Feiertagsregeln!$A$7:$A$198,0))</f>
        <v>labourLawHoliday</v>
      </c>
      <c r="J77" s="10" t="s">
        <v>69</v>
      </c>
      <c r="K77" s="10" t="s">
        <v>136</v>
      </c>
      <c r="L77" s="10" t="str">
        <f>INDEX(Feiertagsregeln!$Y$7:$Y$198,MATCH($K77,Feiertagsregeln!$A$7:$A$198,0))</f>
        <v>SRC-AG-EGARR-20250901</v>
      </c>
      <c r="M77" s="10" t="str">
        <f>INDEX(Feiertagsregeln!$Z$7:$Z$198,MATCH($K77,Feiertagsregeln!$A$7:$A$198,0))</f>
        <v>§ 6 Abs. 1 Bst. f</v>
      </c>
      <c r="N77" s="10" t="s">
        <v>71</v>
      </c>
      <c r="O77" s="10" t="str">
        <f>INDEX(Feiertagsregeln!$AA$7:$AA$198,MATCH($K77,Feiertagsregeln!$A$7:$A$198,0))</f>
        <v>Ganztägig</v>
      </c>
    </row>
    <row r="78" spans="1:15" ht="38" customHeight="1">
      <c r="A78" s="15">
        <f>INDEX(Feiertagsregeln!$X$7:$X$198,MATCH($K78,Feiertagsregeln!$A$7:$A$198,0))</f>
        <v>46389</v>
      </c>
      <c r="B78" s="11" t="str">
        <f t="shared" si="1"/>
        <v>Samstag</v>
      </c>
      <c r="C78" s="11" t="s">
        <v>67</v>
      </c>
      <c r="D78" s="11" t="s">
        <v>135</v>
      </c>
      <c r="E78" s="11" t="str">
        <f>INDEX(Feiertagsregeln!$D$7:$D$198,MATCH($K78,Feiertagsregeln!$A$7:$A$198,0))</f>
        <v>Berchtoldstag</v>
      </c>
      <c r="F78" s="11" t="str">
        <f>INDEX(Feiertagsregeln!$E$7:$E$198,MATCH($K78,Feiertagsregeln!$A$7:$A$198,0))</f>
        <v>Saint-Berchtold</v>
      </c>
      <c r="G78" s="22" t="str">
        <f>IF(INDEX(Feiertagsregeln!$F$7:$F$198,MATCH($K78,Feiertagsregeln!$A$7:$A$198,0))="","Noch zu erfassen",INDEX(Feiertagsregeln!$F$7:$F$198,MATCH($K78,Feiertagsregeln!$A$7:$A$198,0)))</f>
        <v>Noch zu erfassen</v>
      </c>
      <c r="H78" s="22" t="str">
        <f>IF(INDEX(Feiertagsregeln!$G$7:$G$198,MATCH($K78,Feiertagsregeln!$A$7:$A$198,0))="","Noch zu erfassen",INDEX(Feiertagsregeln!$G$7:$G$198,MATCH($K78,Feiertagsregeln!$A$7:$A$198,0)))</f>
        <v>Noch zu erfassen</v>
      </c>
      <c r="I78" s="11" t="str">
        <f>INDEX(Feiertagsregeln!$H$7:$H$198,MATCH($K78,Feiertagsregeln!$A$7:$A$198,0))</f>
        <v>labourLawHoliday</v>
      </c>
      <c r="J78" s="11" t="s">
        <v>69</v>
      </c>
      <c r="K78" s="11" t="s">
        <v>137</v>
      </c>
      <c r="L78" s="11" t="str">
        <f>INDEX(Feiertagsregeln!$Y$7:$Y$198,MATCH($K78,Feiertagsregeln!$A$7:$A$198,0))</f>
        <v>SRC-AG-EGARR-20250901</v>
      </c>
      <c r="M78" s="11" t="str">
        <f>INDEX(Feiertagsregeln!$Z$7:$Z$198,MATCH($K78,Feiertagsregeln!$A$7:$A$198,0))</f>
        <v>§ 6 Abs. 1 Bst. f</v>
      </c>
      <c r="N78" s="11" t="s">
        <v>71</v>
      </c>
      <c r="O78" s="11" t="str">
        <f>INDEX(Feiertagsregeln!$AA$7:$AA$198,MATCH($K78,Feiertagsregeln!$A$7:$A$198,0))</f>
        <v>Ganztägig</v>
      </c>
    </row>
    <row r="79" spans="1:15" ht="38" customHeight="1">
      <c r="A79" s="14">
        <f>INDEX(Feiertagsregeln!$X$7:$X$198,MATCH($K79,Feiertagsregeln!$A$7:$A$198,0))</f>
        <v>46472</v>
      </c>
      <c r="B79" s="10" t="str">
        <f t="shared" si="1"/>
        <v>Freitag</v>
      </c>
      <c r="C79" s="10" t="s">
        <v>67</v>
      </c>
      <c r="D79" s="10" t="s">
        <v>135</v>
      </c>
      <c r="E79" s="10" t="str">
        <f>INDEX(Feiertagsregeln!$D$7:$D$198,MATCH($K79,Feiertagsregeln!$A$7:$A$198,0))</f>
        <v>Karfreitag</v>
      </c>
      <c r="F79" s="10" t="str">
        <f>INDEX(Feiertagsregeln!$E$7:$E$198,MATCH($K79,Feiertagsregeln!$A$7:$A$198,0))</f>
        <v>Vendredi saint</v>
      </c>
      <c r="G79" s="21" t="str">
        <f>IF(INDEX(Feiertagsregeln!$F$7:$F$198,MATCH($K79,Feiertagsregeln!$A$7:$A$198,0))="","Noch zu erfassen",INDEX(Feiertagsregeln!$F$7:$F$198,MATCH($K79,Feiertagsregeln!$A$7:$A$198,0)))</f>
        <v>Noch zu erfassen</v>
      </c>
      <c r="H79" s="21" t="str">
        <f>IF(INDEX(Feiertagsregeln!$G$7:$G$198,MATCH($K79,Feiertagsregeln!$A$7:$A$198,0))="","Noch zu erfassen",INDEX(Feiertagsregeln!$G$7:$G$198,MATCH($K79,Feiertagsregeln!$A$7:$A$198,0)))</f>
        <v>Noch zu erfassen</v>
      </c>
      <c r="I79" s="10" t="str">
        <f>INDEX(Feiertagsregeln!$H$7:$H$198,MATCH($K79,Feiertagsregeln!$A$7:$A$198,0))</f>
        <v>labourLawHoliday</v>
      </c>
      <c r="J79" s="10" t="s">
        <v>69</v>
      </c>
      <c r="K79" s="10" t="s">
        <v>138</v>
      </c>
      <c r="L79" s="10" t="str">
        <f>INDEX(Feiertagsregeln!$Y$7:$Y$198,MATCH($K79,Feiertagsregeln!$A$7:$A$198,0))</f>
        <v>SRC-AG-EGARR-20250901</v>
      </c>
      <c r="M79" s="10" t="str">
        <f>INDEX(Feiertagsregeln!$Z$7:$Z$198,MATCH($K79,Feiertagsregeln!$A$7:$A$198,0))</f>
        <v>§ 6 Abs. 1 Bst. f</v>
      </c>
      <c r="N79" s="10" t="s">
        <v>71</v>
      </c>
      <c r="O79" s="10" t="str">
        <f>INDEX(Feiertagsregeln!$AA$7:$AA$198,MATCH($K79,Feiertagsregeln!$A$7:$A$198,0))</f>
        <v>Ganztägig</v>
      </c>
    </row>
    <row r="80" spans="1:15" ht="38" customHeight="1">
      <c r="A80" s="15">
        <f>INDEX(Feiertagsregeln!$X$7:$X$198,MATCH($K80,Feiertagsregeln!$A$7:$A$198,0))</f>
        <v>46513</v>
      </c>
      <c r="B80" s="11" t="str">
        <f t="shared" si="1"/>
        <v>Donnerstag</v>
      </c>
      <c r="C80" s="11" t="s">
        <v>67</v>
      </c>
      <c r="D80" s="11" t="s">
        <v>135</v>
      </c>
      <c r="E80" s="11" t="str">
        <f>INDEX(Feiertagsregeln!$D$7:$D$198,MATCH($K80,Feiertagsregeln!$A$7:$A$198,0))</f>
        <v>Auffahrt</v>
      </c>
      <c r="F80" s="11" t="str">
        <f>INDEX(Feiertagsregeln!$E$7:$E$198,MATCH($K80,Feiertagsregeln!$A$7:$A$198,0))</f>
        <v>Ascension</v>
      </c>
      <c r="G80" s="22" t="str">
        <f>IF(INDEX(Feiertagsregeln!$F$7:$F$198,MATCH($K80,Feiertagsregeln!$A$7:$A$198,0))="","Noch zu erfassen",INDEX(Feiertagsregeln!$F$7:$F$198,MATCH($K80,Feiertagsregeln!$A$7:$A$198,0)))</f>
        <v>Noch zu erfassen</v>
      </c>
      <c r="H80" s="22" t="str">
        <f>IF(INDEX(Feiertagsregeln!$G$7:$G$198,MATCH($K80,Feiertagsregeln!$A$7:$A$198,0))="","Noch zu erfassen",INDEX(Feiertagsregeln!$G$7:$G$198,MATCH($K80,Feiertagsregeln!$A$7:$A$198,0)))</f>
        <v>Noch zu erfassen</v>
      </c>
      <c r="I80" s="11" t="str">
        <f>INDEX(Feiertagsregeln!$H$7:$H$198,MATCH($K80,Feiertagsregeln!$A$7:$A$198,0))</f>
        <v>labourLawHoliday</v>
      </c>
      <c r="J80" s="11" t="s">
        <v>69</v>
      </c>
      <c r="K80" s="11" t="s">
        <v>139</v>
      </c>
      <c r="L80" s="11" t="str">
        <f>INDEX(Feiertagsregeln!$Y$7:$Y$198,MATCH($K80,Feiertagsregeln!$A$7:$A$198,0))</f>
        <v>SRC-AG-EGARR-20250901</v>
      </c>
      <c r="M80" s="11" t="str">
        <f>INDEX(Feiertagsregeln!$Z$7:$Z$198,MATCH($K80,Feiertagsregeln!$A$7:$A$198,0))</f>
        <v>§ 6 Abs. 1 Bst. f</v>
      </c>
      <c r="N80" s="11" t="s">
        <v>71</v>
      </c>
      <c r="O80" s="11" t="str">
        <f>INDEX(Feiertagsregeln!$AA$7:$AA$198,MATCH($K80,Feiertagsregeln!$A$7:$A$198,0))</f>
        <v>Ganztägig</v>
      </c>
    </row>
    <row r="81" spans="1:15" ht="38" customHeight="1">
      <c r="A81" s="14">
        <f>INDEX(Feiertagsregeln!$X$7:$X$198,MATCH($K81,Feiertagsregeln!$A$7:$A$198,0))</f>
        <v>46534</v>
      </c>
      <c r="B81" s="10" t="str">
        <f t="shared" si="1"/>
        <v>Donnerstag</v>
      </c>
      <c r="C81" s="10" t="s">
        <v>67</v>
      </c>
      <c r="D81" s="10" t="s">
        <v>135</v>
      </c>
      <c r="E81" s="10" t="str">
        <f>INDEX(Feiertagsregeln!$D$7:$D$198,MATCH($K81,Feiertagsregeln!$A$7:$A$198,0))</f>
        <v>Fronleichnam</v>
      </c>
      <c r="F81" s="10" t="str">
        <f>INDEX(Feiertagsregeln!$E$7:$E$198,MATCH($K81,Feiertagsregeln!$A$7:$A$198,0))</f>
        <v>Fête-Dieu</v>
      </c>
      <c r="G81" s="21" t="str">
        <f>IF(INDEX(Feiertagsregeln!$F$7:$F$198,MATCH($K81,Feiertagsregeln!$A$7:$A$198,0))="","Noch zu erfassen",INDEX(Feiertagsregeln!$F$7:$F$198,MATCH($K81,Feiertagsregeln!$A$7:$A$198,0)))</f>
        <v>Noch zu erfassen</v>
      </c>
      <c r="H81" s="21" t="str">
        <f>IF(INDEX(Feiertagsregeln!$G$7:$G$198,MATCH($K81,Feiertagsregeln!$A$7:$A$198,0))="","Noch zu erfassen",INDEX(Feiertagsregeln!$G$7:$G$198,MATCH($K81,Feiertagsregeln!$A$7:$A$198,0)))</f>
        <v>Noch zu erfassen</v>
      </c>
      <c r="I81" s="10" t="str">
        <f>INDEX(Feiertagsregeln!$H$7:$H$198,MATCH($K81,Feiertagsregeln!$A$7:$A$198,0))</f>
        <v>labourLawHoliday</v>
      </c>
      <c r="J81" s="10" t="s">
        <v>69</v>
      </c>
      <c r="K81" s="10" t="s">
        <v>140</v>
      </c>
      <c r="L81" s="10" t="str">
        <f>INDEX(Feiertagsregeln!$Y$7:$Y$198,MATCH($K81,Feiertagsregeln!$A$7:$A$198,0))</f>
        <v>SRC-AG-EGARR-20250901</v>
      </c>
      <c r="M81" s="10" t="str">
        <f>INDEX(Feiertagsregeln!$Z$7:$Z$198,MATCH($K81,Feiertagsregeln!$A$7:$A$198,0))</f>
        <v>§ 6 Abs. 1 Bst. f</v>
      </c>
      <c r="N81" s="10" t="s">
        <v>71</v>
      </c>
      <c r="O81" s="10" t="str">
        <f>INDEX(Feiertagsregeln!$AA$7:$AA$198,MATCH($K81,Feiertagsregeln!$A$7:$A$198,0))</f>
        <v>Ganztägig</v>
      </c>
    </row>
    <row r="82" spans="1:15" ht="38" customHeight="1">
      <c r="A82" s="15">
        <f>INDEX(Feiertagsregeln!$X$7:$X$198,MATCH($K82,Feiertagsregeln!$A$7:$A$198,0))</f>
        <v>46692</v>
      </c>
      <c r="B82" s="11" t="str">
        <f t="shared" si="1"/>
        <v>Montag</v>
      </c>
      <c r="C82" s="11" t="s">
        <v>67</v>
      </c>
      <c r="D82" s="11" t="s">
        <v>135</v>
      </c>
      <c r="E82" s="11" t="str">
        <f>INDEX(Feiertagsregeln!$D$7:$D$198,MATCH($K82,Feiertagsregeln!$A$7:$A$198,0))</f>
        <v>Allerheiligen</v>
      </c>
      <c r="F82" s="11" t="str">
        <f>INDEX(Feiertagsregeln!$E$7:$E$198,MATCH($K82,Feiertagsregeln!$A$7:$A$198,0))</f>
        <v>Toussaint</v>
      </c>
      <c r="G82" s="22" t="str">
        <f>IF(INDEX(Feiertagsregeln!$F$7:$F$198,MATCH($K82,Feiertagsregeln!$A$7:$A$198,0))="","Noch zu erfassen",INDEX(Feiertagsregeln!$F$7:$F$198,MATCH($K82,Feiertagsregeln!$A$7:$A$198,0)))</f>
        <v>Noch zu erfassen</v>
      </c>
      <c r="H82" s="22" t="str">
        <f>IF(INDEX(Feiertagsregeln!$G$7:$G$198,MATCH($K82,Feiertagsregeln!$A$7:$A$198,0))="","Noch zu erfassen",INDEX(Feiertagsregeln!$G$7:$G$198,MATCH($K82,Feiertagsregeln!$A$7:$A$198,0)))</f>
        <v>Noch zu erfassen</v>
      </c>
      <c r="I82" s="11" t="str">
        <f>INDEX(Feiertagsregeln!$H$7:$H$198,MATCH($K82,Feiertagsregeln!$A$7:$A$198,0))</f>
        <v>labourLawHoliday</v>
      </c>
      <c r="J82" s="11" t="s">
        <v>69</v>
      </c>
      <c r="K82" s="11" t="s">
        <v>141</v>
      </c>
      <c r="L82" s="11" t="str">
        <f>INDEX(Feiertagsregeln!$Y$7:$Y$198,MATCH($K82,Feiertagsregeln!$A$7:$A$198,0))</f>
        <v>SRC-AG-EGARR-20250901</v>
      </c>
      <c r="M82" s="11" t="str">
        <f>INDEX(Feiertagsregeln!$Z$7:$Z$198,MATCH($K82,Feiertagsregeln!$A$7:$A$198,0))</f>
        <v>§ 6 Abs. 1 Bst. f</v>
      </c>
      <c r="N82" s="11" t="s">
        <v>71</v>
      </c>
      <c r="O82" s="11" t="str">
        <f>INDEX(Feiertagsregeln!$AA$7:$AA$198,MATCH($K82,Feiertagsregeln!$A$7:$A$198,0))</f>
        <v>Ganztägig</v>
      </c>
    </row>
    <row r="83" spans="1:15" ht="38" customHeight="1">
      <c r="A83" s="14">
        <f>INDEX(Feiertagsregeln!$X$7:$X$198,MATCH($K83,Feiertagsregeln!$A$7:$A$198,0))</f>
        <v>46746</v>
      </c>
      <c r="B83" s="10" t="str">
        <f t="shared" si="1"/>
        <v>Samstag</v>
      </c>
      <c r="C83" s="10" t="s">
        <v>67</v>
      </c>
      <c r="D83" s="10" t="s">
        <v>135</v>
      </c>
      <c r="E83" s="10" t="str">
        <f>INDEX(Feiertagsregeln!$D$7:$D$198,MATCH($K83,Feiertagsregeln!$A$7:$A$198,0))</f>
        <v>Weihnachten</v>
      </c>
      <c r="F83" s="10" t="str">
        <f>INDEX(Feiertagsregeln!$E$7:$E$198,MATCH($K83,Feiertagsregeln!$A$7:$A$198,0))</f>
        <v>Noël</v>
      </c>
      <c r="G83" s="21" t="str">
        <f>IF(INDEX(Feiertagsregeln!$F$7:$F$198,MATCH($K83,Feiertagsregeln!$A$7:$A$198,0))="","Noch zu erfassen",INDEX(Feiertagsregeln!$F$7:$F$198,MATCH($K83,Feiertagsregeln!$A$7:$A$198,0)))</f>
        <v>Noch zu erfassen</v>
      </c>
      <c r="H83" s="21" t="str">
        <f>IF(INDEX(Feiertagsregeln!$G$7:$G$198,MATCH($K83,Feiertagsregeln!$A$7:$A$198,0))="","Noch zu erfassen",INDEX(Feiertagsregeln!$G$7:$G$198,MATCH($K83,Feiertagsregeln!$A$7:$A$198,0)))</f>
        <v>Noch zu erfassen</v>
      </c>
      <c r="I83" s="10" t="str">
        <f>INDEX(Feiertagsregeln!$H$7:$H$198,MATCH($K83,Feiertagsregeln!$A$7:$A$198,0))</f>
        <v>labourLawHoliday</v>
      </c>
      <c r="J83" s="10" t="s">
        <v>69</v>
      </c>
      <c r="K83" s="10" t="s">
        <v>142</v>
      </c>
      <c r="L83" s="10" t="str">
        <f>INDEX(Feiertagsregeln!$Y$7:$Y$198,MATCH($K83,Feiertagsregeln!$A$7:$A$198,0))</f>
        <v>SRC-AG-EGARR-20250901</v>
      </c>
      <c r="M83" s="10" t="str">
        <f>INDEX(Feiertagsregeln!$Z$7:$Z$198,MATCH($K83,Feiertagsregeln!$A$7:$A$198,0))</f>
        <v>§ 6 Abs. 1 Bst. f</v>
      </c>
      <c r="N83" s="10" t="s">
        <v>71</v>
      </c>
      <c r="O83" s="10" t="str">
        <f>INDEX(Feiertagsregeln!$AA$7:$AA$198,MATCH($K83,Feiertagsregeln!$A$7:$A$198,0))</f>
        <v>Ganztägig</v>
      </c>
    </row>
    <row r="84" spans="1:15" ht="38" customHeight="1">
      <c r="A84" s="15">
        <f>INDEX(Feiertagsregeln!$X$7:$X$198,MATCH($K84,Feiertagsregeln!$A$7:$A$198,0))</f>
        <v>46747</v>
      </c>
      <c r="B84" s="11" t="str">
        <f t="shared" si="1"/>
        <v>Sonntag</v>
      </c>
      <c r="C84" s="11" t="s">
        <v>67</v>
      </c>
      <c r="D84" s="11" t="s">
        <v>135</v>
      </c>
      <c r="E84" s="11" t="str">
        <f>INDEX(Feiertagsregeln!$D$7:$D$198,MATCH($K84,Feiertagsregeln!$A$7:$A$198,0))</f>
        <v>Stephanstag</v>
      </c>
      <c r="F84" s="11" t="str">
        <f>INDEX(Feiertagsregeln!$E$7:$E$198,MATCH($K84,Feiertagsregeln!$A$7:$A$198,0))</f>
        <v>Saint-Étienne</v>
      </c>
      <c r="G84" s="22" t="str">
        <f>IF(INDEX(Feiertagsregeln!$F$7:$F$198,MATCH($K84,Feiertagsregeln!$A$7:$A$198,0))="","Noch zu erfassen",INDEX(Feiertagsregeln!$F$7:$F$198,MATCH($K84,Feiertagsregeln!$A$7:$A$198,0)))</f>
        <v>Noch zu erfassen</v>
      </c>
      <c r="H84" s="22" t="str">
        <f>IF(INDEX(Feiertagsregeln!$G$7:$G$198,MATCH($K84,Feiertagsregeln!$A$7:$A$198,0))="","Noch zu erfassen",INDEX(Feiertagsregeln!$G$7:$G$198,MATCH($K84,Feiertagsregeln!$A$7:$A$198,0)))</f>
        <v>Noch zu erfassen</v>
      </c>
      <c r="I84" s="11" t="str">
        <f>INDEX(Feiertagsregeln!$H$7:$H$198,MATCH($K84,Feiertagsregeln!$A$7:$A$198,0))</f>
        <v>labourLawHoliday</v>
      </c>
      <c r="J84" s="11" t="s">
        <v>69</v>
      </c>
      <c r="K84" s="11" t="s">
        <v>143</v>
      </c>
      <c r="L84" s="11" t="str">
        <f>INDEX(Feiertagsregeln!$Y$7:$Y$198,MATCH($K84,Feiertagsregeln!$A$7:$A$198,0))</f>
        <v>SRC-AG-EGARR-20250901</v>
      </c>
      <c r="M84" s="11" t="str">
        <f>INDEX(Feiertagsregeln!$Z$7:$Z$198,MATCH($K84,Feiertagsregeln!$A$7:$A$198,0))</f>
        <v>§ 6 Abs. 1 Bst. f</v>
      </c>
      <c r="N84" s="11" t="s">
        <v>71</v>
      </c>
      <c r="O84" s="11" t="str">
        <f>INDEX(Feiertagsregeln!$AA$7:$AA$198,MATCH($K84,Feiertagsregeln!$A$7:$A$198,0))</f>
        <v>Ganztägig</v>
      </c>
    </row>
    <row r="85" spans="1:15" ht="38" customHeight="1">
      <c r="A85" s="14">
        <f>INDEX(Feiertagsregeln!$X$7:$X$198,MATCH($K85,Feiertagsregeln!$A$7:$A$198,0))</f>
        <v>46388</v>
      </c>
      <c r="B85" s="10" t="str">
        <f t="shared" si="1"/>
        <v>Freitag</v>
      </c>
      <c r="C85" s="10" t="s">
        <v>67</v>
      </c>
      <c r="D85" s="10" t="s">
        <v>74</v>
      </c>
      <c r="E85" s="10" t="str">
        <f>INDEX(Feiertagsregeln!$D$7:$D$198,MATCH($K85,Feiertagsregeln!$A$7:$A$198,0))</f>
        <v>Neujahr</v>
      </c>
      <c r="F85" s="10" t="str">
        <f>INDEX(Feiertagsregeln!$E$7:$E$198,MATCH($K85,Feiertagsregeln!$A$7:$A$198,0))</f>
        <v>Nouvel An</v>
      </c>
      <c r="G85" s="21" t="str">
        <f>IF(INDEX(Feiertagsregeln!$F$7:$F$198,MATCH($K85,Feiertagsregeln!$A$7:$A$198,0))="","Noch zu erfassen",INDEX(Feiertagsregeln!$F$7:$F$198,MATCH($K85,Feiertagsregeln!$A$7:$A$198,0)))</f>
        <v>Noch zu erfassen</v>
      </c>
      <c r="H85" s="21" t="str">
        <f>IF(INDEX(Feiertagsregeln!$G$7:$G$198,MATCH($K85,Feiertagsregeln!$A$7:$A$198,0))="","Noch zu erfassen",INDEX(Feiertagsregeln!$G$7:$G$198,MATCH($K85,Feiertagsregeln!$A$7:$A$198,0)))</f>
        <v>Noch zu erfassen</v>
      </c>
      <c r="I85" s="10" t="str">
        <f>INDEX(Feiertagsregeln!$H$7:$H$198,MATCH($K85,Feiertagsregeln!$A$7:$A$198,0))</f>
        <v>proceduralEquivalentDay</v>
      </c>
      <c r="J85" s="10" t="s">
        <v>69</v>
      </c>
      <c r="K85" s="10" t="s">
        <v>144</v>
      </c>
      <c r="L85" s="10" t="str">
        <f>INDEX(Feiertagsregeln!$Y$7:$Y$198,MATCH($K85,Feiertagsregeln!$A$7:$A$198,0))</f>
        <v>SRC-AG-EGZPO</v>
      </c>
      <c r="M85" s="10" t="str">
        <f>INDEX(Feiertagsregeln!$Z$7:$Z$198,MATCH($K85,Feiertagsregeln!$A$7:$A$198,0))</f>
        <v>§ 21</v>
      </c>
      <c r="N85" s="10" t="s">
        <v>71</v>
      </c>
      <c r="O85" s="10" t="str">
        <f>INDEX(Feiertagsregeln!$AA$7:$AA$198,MATCH($K85,Feiertagsregeln!$A$7:$A$198,0))</f>
        <v>Ganztägig</v>
      </c>
    </row>
    <row r="86" spans="1:15" ht="38" customHeight="1">
      <c r="A86" s="15">
        <f>INDEX(Feiertagsregeln!$X$7:$X$198,MATCH($K86,Feiertagsregeln!$A$7:$A$198,0))</f>
        <v>46389</v>
      </c>
      <c r="B86" s="11" t="str">
        <f t="shared" si="1"/>
        <v>Samstag</v>
      </c>
      <c r="C86" s="11" t="s">
        <v>67</v>
      </c>
      <c r="D86" s="11" t="s">
        <v>74</v>
      </c>
      <c r="E86" s="11" t="str">
        <f>INDEX(Feiertagsregeln!$D$7:$D$198,MATCH($K86,Feiertagsregeln!$A$7:$A$198,0))</f>
        <v>Berchtoldstag</v>
      </c>
      <c r="F86" s="11" t="str">
        <f>INDEX(Feiertagsregeln!$E$7:$E$198,MATCH($K86,Feiertagsregeln!$A$7:$A$198,0))</f>
        <v>Saint-Berchtold</v>
      </c>
      <c r="G86" s="22" t="str">
        <f>IF(INDEX(Feiertagsregeln!$F$7:$F$198,MATCH($K86,Feiertagsregeln!$A$7:$A$198,0))="","Noch zu erfassen",INDEX(Feiertagsregeln!$F$7:$F$198,MATCH($K86,Feiertagsregeln!$A$7:$A$198,0)))</f>
        <v>Noch zu erfassen</v>
      </c>
      <c r="H86" s="22" t="str">
        <f>IF(INDEX(Feiertagsregeln!$G$7:$G$198,MATCH($K86,Feiertagsregeln!$A$7:$A$198,0))="","Noch zu erfassen",INDEX(Feiertagsregeln!$G$7:$G$198,MATCH($K86,Feiertagsregeln!$A$7:$A$198,0)))</f>
        <v>Noch zu erfassen</v>
      </c>
      <c r="I86" s="11" t="str">
        <f>INDEX(Feiertagsregeln!$H$7:$H$198,MATCH($K86,Feiertagsregeln!$A$7:$A$198,0))</f>
        <v>proceduralEquivalentDay</v>
      </c>
      <c r="J86" s="11" t="s">
        <v>69</v>
      </c>
      <c r="K86" s="11" t="s">
        <v>145</v>
      </c>
      <c r="L86" s="11" t="str">
        <f>INDEX(Feiertagsregeln!$Y$7:$Y$198,MATCH($K86,Feiertagsregeln!$A$7:$A$198,0))</f>
        <v>SRC-AG-EGZPO</v>
      </c>
      <c r="M86" s="11" t="str">
        <f>INDEX(Feiertagsregeln!$Z$7:$Z$198,MATCH($K86,Feiertagsregeln!$A$7:$A$198,0))</f>
        <v>§ 21</v>
      </c>
      <c r="N86" s="11" t="s">
        <v>71</v>
      </c>
      <c r="O86" s="11" t="str">
        <f>INDEX(Feiertagsregeln!$AA$7:$AA$198,MATCH($K86,Feiertagsregeln!$A$7:$A$198,0))</f>
        <v>Ganztägig</v>
      </c>
    </row>
    <row r="87" spans="1:15" ht="38" customHeight="1">
      <c r="A87" s="14">
        <f>INDEX(Feiertagsregeln!$X$7:$X$198,MATCH($K87,Feiertagsregeln!$A$7:$A$198,0))</f>
        <v>46472</v>
      </c>
      <c r="B87" s="10" t="str">
        <f t="shared" si="1"/>
        <v>Freitag</v>
      </c>
      <c r="C87" s="10" t="s">
        <v>67</v>
      </c>
      <c r="D87" s="10" t="s">
        <v>74</v>
      </c>
      <c r="E87" s="10" t="str">
        <f>INDEX(Feiertagsregeln!$D$7:$D$198,MATCH($K87,Feiertagsregeln!$A$7:$A$198,0))</f>
        <v>Karfreitag</v>
      </c>
      <c r="F87" s="10" t="str">
        <f>INDEX(Feiertagsregeln!$E$7:$E$198,MATCH($K87,Feiertagsregeln!$A$7:$A$198,0))</f>
        <v>Vendredi saint</v>
      </c>
      <c r="G87" s="21" t="str">
        <f>IF(INDEX(Feiertagsregeln!$F$7:$F$198,MATCH($K87,Feiertagsregeln!$A$7:$A$198,0))="","Noch zu erfassen",INDEX(Feiertagsregeln!$F$7:$F$198,MATCH($K87,Feiertagsregeln!$A$7:$A$198,0)))</f>
        <v>Noch zu erfassen</v>
      </c>
      <c r="H87" s="21" t="str">
        <f>IF(INDEX(Feiertagsregeln!$G$7:$G$198,MATCH($K87,Feiertagsregeln!$A$7:$A$198,0))="","Noch zu erfassen",INDEX(Feiertagsregeln!$G$7:$G$198,MATCH($K87,Feiertagsregeln!$A$7:$A$198,0)))</f>
        <v>Noch zu erfassen</v>
      </c>
      <c r="I87" s="10" t="str">
        <f>INDEX(Feiertagsregeln!$H$7:$H$198,MATCH($K87,Feiertagsregeln!$A$7:$A$198,0))</f>
        <v>proceduralEquivalentDay</v>
      </c>
      <c r="J87" s="10" t="s">
        <v>69</v>
      </c>
      <c r="K87" s="10" t="s">
        <v>146</v>
      </c>
      <c r="L87" s="10" t="str">
        <f>INDEX(Feiertagsregeln!$Y$7:$Y$198,MATCH($K87,Feiertagsregeln!$A$7:$A$198,0))</f>
        <v>SRC-AG-EGZPO</v>
      </c>
      <c r="M87" s="10" t="str">
        <f>INDEX(Feiertagsregeln!$Z$7:$Z$198,MATCH($K87,Feiertagsregeln!$A$7:$A$198,0))</f>
        <v>§ 21</v>
      </c>
      <c r="N87" s="10" t="s">
        <v>71</v>
      </c>
      <c r="O87" s="10" t="str">
        <f>INDEX(Feiertagsregeln!$AA$7:$AA$198,MATCH($K87,Feiertagsregeln!$A$7:$A$198,0))</f>
        <v>Ganztägig</v>
      </c>
    </row>
    <row r="88" spans="1:15" ht="38" customHeight="1">
      <c r="A88" s="15">
        <f>INDEX(Feiertagsregeln!$X$7:$X$198,MATCH($K88,Feiertagsregeln!$A$7:$A$198,0))</f>
        <v>46475</v>
      </c>
      <c r="B88" s="11" t="str">
        <f t="shared" si="1"/>
        <v>Montag</v>
      </c>
      <c r="C88" s="11" t="s">
        <v>67</v>
      </c>
      <c r="D88" s="11" t="s">
        <v>74</v>
      </c>
      <c r="E88" s="11" t="str">
        <f>INDEX(Feiertagsregeln!$D$7:$D$198,MATCH($K88,Feiertagsregeln!$A$7:$A$198,0))</f>
        <v>Ostermontag</v>
      </c>
      <c r="F88" s="11" t="str">
        <f>INDEX(Feiertagsregeln!$E$7:$E$198,MATCH($K88,Feiertagsregeln!$A$7:$A$198,0))</f>
        <v>Lundi de Pâques</v>
      </c>
      <c r="G88" s="22" t="str">
        <f>IF(INDEX(Feiertagsregeln!$F$7:$F$198,MATCH($K88,Feiertagsregeln!$A$7:$A$198,0))="","Noch zu erfassen",INDEX(Feiertagsregeln!$F$7:$F$198,MATCH($K88,Feiertagsregeln!$A$7:$A$198,0)))</f>
        <v>Noch zu erfassen</v>
      </c>
      <c r="H88" s="22" t="str">
        <f>IF(INDEX(Feiertagsregeln!$G$7:$G$198,MATCH($K88,Feiertagsregeln!$A$7:$A$198,0))="","Noch zu erfassen",INDEX(Feiertagsregeln!$G$7:$G$198,MATCH($K88,Feiertagsregeln!$A$7:$A$198,0)))</f>
        <v>Noch zu erfassen</v>
      </c>
      <c r="I88" s="11" t="str">
        <f>INDEX(Feiertagsregeln!$H$7:$H$198,MATCH($K88,Feiertagsregeln!$A$7:$A$198,0))</f>
        <v>proceduralEquivalentDay</v>
      </c>
      <c r="J88" s="11" t="s">
        <v>69</v>
      </c>
      <c r="K88" s="11" t="s">
        <v>147</v>
      </c>
      <c r="L88" s="11" t="str">
        <f>INDEX(Feiertagsregeln!$Y$7:$Y$198,MATCH($K88,Feiertagsregeln!$A$7:$A$198,0))</f>
        <v>SRC-AG-EGZPO</v>
      </c>
      <c r="M88" s="11" t="str">
        <f>INDEX(Feiertagsregeln!$Z$7:$Z$198,MATCH($K88,Feiertagsregeln!$A$7:$A$198,0))</f>
        <v>§ 21</v>
      </c>
      <c r="N88" s="11" t="s">
        <v>71</v>
      </c>
      <c r="O88" s="11" t="str">
        <f>INDEX(Feiertagsregeln!$AA$7:$AA$198,MATCH($K88,Feiertagsregeln!$A$7:$A$198,0))</f>
        <v>Ganztägig</v>
      </c>
    </row>
    <row r="89" spans="1:15" ht="38" customHeight="1">
      <c r="A89" s="14">
        <f>INDEX(Feiertagsregeln!$X$7:$X$198,MATCH($K89,Feiertagsregeln!$A$7:$A$198,0))</f>
        <v>46508</v>
      </c>
      <c r="B89" s="10" t="str">
        <f t="shared" si="1"/>
        <v>Samstag</v>
      </c>
      <c r="C89" s="10" t="s">
        <v>67</v>
      </c>
      <c r="D89" s="10" t="s">
        <v>74</v>
      </c>
      <c r="E89" s="10" t="str">
        <f>INDEX(Feiertagsregeln!$D$7:$D$198,MATCH($K89,Feiertagsregeln!$A$7:$A$198,0))</f>
        <v>Tag der Arbeit (1. Mai)</v>
      </c>
      <c r="F89" s="10" t="str">
        <f>INDEX(Feiertagsregeln!$E$7:$E$198,MATCH($K89,Feiertagsregeln!$A$7:$A$198,0))</f>
        <v>Fête du travail (1er mai)</v>
      </c>
      <c r="G89" s="21" t="str">
        <f>IF(INDEX(Feiertagsregeln!$F$7:$F$198,MATCH($K89,Feiertagsregeln!$A$7:$A$198,0))="","Noch zu erfassen",INDEX(Feiertagsregeln!$F$7:$F$198,MATCH($K89,Feiertagsregeln!$A$7:$A$198,0)))</f>
        <v>Noch zu erfassen</v>
      </c>
      <c r="H89" s="21" t="str">
        <f>IF(INDEX(Feiertagsregeln!$G$7:$G$198,MATCH($K89,Feiertagsregeln!$A$7:$A$198,0))="","Noch zu erfassen",INDEX(Feiertagsregeln!$G$7:$G$198,MATCH($K89,Feiertagsregeln!$A$7:$A$198,0)))</f>
        <v>Noch zu erfassen</v>
      </c>
      <c r="I89" s="10" t="str">
        <f>INDEX(Feiertagsregeln!$H$7:$H$198,MATCH($K89,Feiertagsregeln!$A$7:$A$198,0))</f>
        <v>proceduralEquivalentDay</v>
      </c>
      <c r="J89" s="10" t="s">
        <v>69</v>
      </c>
      <c r="K89" s="10" t="s">
        <v>148</v>
      </c>
      <c r="L89" s="10" t="str">
        <f>INDEX(Feiertagsregeln!$Y$7:$Y$198,MATCH($K89,Feiertagsregeln!$A$7:$A$198,0))</f>
        <v>SRC-AG-EGZPO</v>
      </c>
      <c r="M89" s="10" t="str">
        <f>INDEX(Feiertagsregeln!$Z$7:$Z$198,MATCH($K89,Feiertagsregeln!$A$7:$A$198,0))</f>
        <v>§ 21</v>
      </c>
      <c r="N89" s="10" t="s">
        <v>71</v>
      </c>
      <c r="O89" s="10" t="str">
        <f>INDEX(Feiertagsregeln!$AA$7:$AA$198,MATCH($K89,Feiertagsregeln!$A$7:$A$198,0))</f>
        <v>Ganztägig</v>
      </c>
    </row>
    <row r="90" spans="1:15" ht="38" customHeight="1">
      <c r="A90" s="15">
        <f>INDEX(Feiertagsregeln!$X$7:$X$198,MATCH($K90,Feiertagsregeln!$A$7:$A$198,0))</f>
        <v>46513</v>
      </c>
      <c r="B90" s="11" t="str">
        <f t="shared" si="1"/>
        <v>Donnerstag</v>
      </c>
      <c r="C90" s="11" t="s">
        <v>67</v>
      </c>
      <c r="D90" s="11" t="s">
        <v>74</v>
      </c>
      <c r="E90" s="11" t="str">
        <f>INDEX(Feiertagsregeln!$D$7:$D$198,MATCH($K90,Feiertagsregeln!$A$7:$A$198,0))</f>
        <v>Auffahrt</v>
      </c>
      <c r="F90" s="11" t="str">
        <f>INDEX(Feiertagsregeln!$E$7:$E$198,MATCH($K90,Feiertagsregeln!$A$7:$A$198,0))</f>
        <v>Ascension</v>
      </c>
      <c r="G90" s="22" t="str">
        <f>IF(INDEX(Feiertagsregeln!$F$7:$F$198,MATCH($K90,Feiertagsregeln!$A$7:$A$198,0))="","Noch zu erfassen",INDEX(Feiertagsregeln!$F$7:$F$198,MATCH($K90,Feiertagsregeln!$A$7:$A$198,0)))</f>
        <v>Noch zu erfassen</v>
      </c>
      <c r="H90" s="22" t="str">
        <f>IF(INDEX(Feiertagsregeln!$G$7:$G$198,MATCH($K90,Feiertagsregeln!$A$7:$A$198,0))="","Noch zu erfassen",INDEX(Feiertagsregeln!$G$7:$G$198,MATCH($K90,Feiertagsregeln!$A$7:$A$198,0)))</f>
        <v>Noch zu erfassen</v>
      </c>
      <c r="I90" s="11" t="str">
        <f>INDEX(Feiertagsregeln!$H$7:$H$198,MATCH($K90,Feiertagsregeln!$A$7:$A$198,0))</f>
        <v>proceduralEquivalentDay</v>
      </c>
      <c r="J90" s="11" t="s">
        <v>69</v>
      </c>
      <c r="K90" s="11" t="s">
        <v>149</v>
      </c>
      <c r="L90" s="11" t="str">
        <f>INDEX(Feiertagsregeln!$Y$7:$Y$198,MATCH($K90,Feiertagsregeln!$A$7:$A$198,0))</f>
        <v>SRC-AG-EGZPO</v>
      </c>
      <c r="M90" s="11" t="str">
        <f>INDEX(Feiertagsregeln!$Z$7:$Z$198,MATCH($K90,Feiertagsregeln!$A$7:$A$198,0))</f>
        <v>§ 21</v>
      </c>
      <c r="N90" s="11" t="s">
        <v>71</v>
      </c>
      <c r="O90" s="11" t="str">
        <f>INDEX(Feiertagsregeln!$AA$7:$AA$198,MATCH($K90,Feiertagsregeln!$A$7:$A$198,0))</f>
        <v>Ganztägig</v>
      </c>
    </row>
    <row r="91" spans="1:15" ht="38" customHeight="1">
      <c r="A91" s="14">
        <f>INDEX(Feiertagsregeln!$X$7:$X$198,MATCH($K91,Feiertagsregeln!$A$7:$A$198,0))</f>
        <v>46524</v>
      </c>
      <c r="B91" s="10" t="str">
        <f t="shared" si="1"/>
        <v>Montag</v>
      </c>
      <c r="C91" s="10" t="s">
        <v>67</v>
      </c>
      <c r="D91" s="10" t="s">
        <v>74</v>
      </c>
      <c r="E91" s="10" t="str">
        <f>INDEX(Feiertagsregeln!$D$7:$D$198,MATCH($K91,Feiertagsregeln!$A$7:$A$198,0))</f>
        <v>Pfingstmontag</v>
      </c>
      <c r="F91" s="10" t="str">
        <f>INDEX(Feiertagsregeln!$E$7:$E$198,MATCH($K91,Feiertagsregeln!$A$7:$A$198,0))</f>
        <v>Lundi de Pentecôte</v>
      </c>
      <c r="G91" s="21" t="str">
        <f>IF(INDEX(Feiertagsregeln!$F$7:$F$198,MATCH($K91,Feiertagsregeln!$A$7:$A$198,0))="","Noch zu erfassen",INDEX(Feiertagsregeln!$F$7:$F$198,MATCH($K91,Feiertagsregeln!$A$7:$A$198,0)))</f>
        <v>Noch zu erfassen</v>
      </c>
      <c r="H91" s="21" t="str">
        <f>IF(INDEX(Feiertagsregeln!$G$7:$G$198,MATCH($K91,Feiertagsregeln!$A$7:$A$198,0))="","Noch zu erfassen",INDEX(Feiertagsregeln!$G$7:$G$198,MATCH($K91,Feiertagsregeln!$A$7:$A$198,0)))</f>
        <v>Noch zu erfassen</v>
      </c>
      <c r="I91" s="10" t="str">
        <f>INDEX(Feiertagsregeln!$H$7:$H$198,MATCH($K91,Feiertagsregeln!$A$7:$A$198,0))</f>
        <v>proceduralEquivalentDay</v>
      </c>
      <c r="J91" s="10" t="s">
        <v>69</v>
      </c>
      <c r="K91" s="10" t="s">
        <v>150</v>
      </c>
      <c r="L91" s="10" t="str">
        <f>INDEX(Feiertagsregeln!$Y$7:$Y$198,MATCH($K91,Feiertagsregeln!$A$7:$A$198,0))</f>
        <v>SRC-AG-EGZPO</v>
      </c>
      <c r="M91" s="10" t="str">
        <f>INDEX(Feiertagsregeln!$Z$7:$Z$198,MATCH($K91,Feiertagsregeln!$A$7:$A$198,0))</f>
        <v>§ 21</v>
      </c>
      <c r="N91" s="10" t="s">
        <v>71</v>
      </c>
      <c r="O91" s="10" t="str">
        <f>INDEX(Feiertagsregeln!$AA$7:$AA$198,MATCH($K91,Feiertagsregeln!$A$7:$A$198,0))</f>
        <v>Ganztägig</v>
      </c>
    </row>
    <row r="92" spans="1:15" ht="38" customHeight="1">
      <c r="A92" s="15">
        <f>INDEX(Feiertagsregeln!$X$7:$X$198,MATCH($K92,Feiertagsregeln!$A$7:$A$198,0))</f>
        <v>46534</v>
      </c>
      <c r="B92" s="11" t="str">
        <f t="shared" si="1"/>
        <v>Donnerstag</v>
      </c>
      <c r="C92" s="11" t="s">
        <v>67</v>
      </c>
      <c r="D92" s="11" t="s">
        <v>74</v>
      </c>
      <c r="E92" s="11" t="str">
        <f>INDEX(Feiertagsregeln!$D$7:$D$198,MATCH($K92,Feiertagsregeln!$A$7:$A$198,0))</f>
        <v>Fronleichnam</v>
      </c>
      <c r="F92" s="11" t="str">
        <f>INDEX(Feiertagsregeln!$E$7:$E$198,MATCH($K92,Feiertagsregeln!$A$7:$A$198,0))</f>
        <v>Fête-Dieu</v>
      </c>
      <c r="G92" s="22" t="str">
        <f>IF(INDEX(Feiertagsregeln!$F$7:$F$198,MATCH($K92,Feiertagsregeln!$A$7:$A$198,0))="","Noch zu erfassen",INDEX(Feiertagsregeln!$F$7:$F$198,MATCH($K92,Feiertagsregeln!$A$7:$A$198,0)))</f>
        <v>Noch zu erfassen</v>
      </c>
      <c r="H92" s="22" t="str">
        <f>IF(INDEX(Feiertagsregeln!$G$7:$G$198,MATCH($K92,Feiertagsregeln!$A$7:$A$198,0))="","Noch zu erfassen",INDEX(Feiertagsregeln!$G$7:$G$198,MATCH($K92,Feiertagsregeln!$A$7:$A$198,0)))</f>
        <v>Noch zu erfassen</v>
      </c>
      <c r="I92" s="11" t="str">
        <f>INDEX(Feiertagsregeln!$H$7:$H$198,MATCH($K92,Feiertagsregeln!$A$7:$A$198,0))</f>
        <v>proceduralEquivalentDay</v>
      </c>
      <c r="J92" s="11" t="s">
        <v>69</v>
      </c>
      <c r="K92" s="11" t="s">
        <v>151</v>
      </c>
      <c r="L92" s="11" t="str">
        <f>INDEX(Feiertagsregeln!$Y$7:$Y$198,MATCH($K92,Feiertagsregeln!$A$7:$A$198,0))</f>
        <v>SRC-AG-EGZPO</v>
      </c>
      <c r="M92" s="11" t="str">
        <f>INDEX(Feiertagsregeln!$Z$7:$Z$198,MATCH($K92,Feiertagsregeln!$A$7:$A$198,0))</f>
        <v>§ 21</v>
      </c>
      <c r="N92" s="11" t="s">
        <v>71</v>
      </c>
      <c r="O92" s="11" t="str">
        <f>INDEX(Feiertagsregeln!$AA$7:$AA$198,MATCH($K92,Feiertagsregeln!$A$7:$A$198,0))</f>
        <v>Ganztägig</v>
      </c>
    </row>
    <row r="93" spans="1:15" ht="38" customHeight="1">
      <c r="A93" s="14">
        <f>INDEX(Feiertagsregeln!$X$7:$X$198,MATCH($K93,Feiertagsregeln!$A$7:$A$198,0))</f>
        <v>46600</v>
      </c>
      <c r="B93" s="10" t="str">
        <f t="shared" si="1"/>
        <v>Sonntag</v>
      </c>
      <c r="C93" s="10" t="s">
        <v>67</v>
      </c>
      <c r="D93" s="10" t="s">
        <v>74</v>
      </c>
      <c r="E93" s="10" t="str">
        <f>INDEX(Feiertagsregeln!$D$7:$D$198,MATCH($K93,Feiertagsregeln!$A$7:$A$198,0))</f>
        <v>Bundesfeiertag</v>
      </c>
      <c r="F93" s="10" t="str">
        <f>INDEX(Feiertagsregeln!$E$7:$E$198,MATCH($K93,Feiertagsregeln!$A$7:$A$198,0))</f>
        <v>Fête nationale</v>
      </c>
      <c r="G93" s="21" t="str">
        <f>IF(INDEX(Feiertagsregeln!$F$7:$F$198,MATCH($K93,Feiertagsregeln!$A$7:$A$198,0))="","Noch zu erfassen",INDEX(Feiertagsregeln!$F$7:$F$198,MATCH($K93,Feiertagsregeln!$A$7:$A$198,0)))</f>
        <v>Noch zu erfassen</v>
      </c>
      <c r="H93" s="21" t="str">
        <f>IF(INDEX(Feiertagsregeln!$G$7:$G$198,MATCH($K93,Feiertagsregeln!$A$7:$A$198,0))="","Noch zu erfassen",INDEX(Feiertagsregeln!$G$7:$G$198,MATCH($K93,Feiertagsregeln!$A$7:$A$198,0)))</f>
        <v>Noch zu erfassen</v>
      </c>
      <c r="I93" s="10" t="str">
        <f>INDEX(Feiertagsregeln!$H$7:$H$198,MATCH($K93,Feiertagsregeln!$A$7:$A$198,0))</f>
        <v>proceduralEquivalentDay</v>
      </c>
      <c r="J93" s="10" t="s">
        <v>69</v>
      </c>
      <c r="K93" s="10" t="s">
        <v>152</v>
      </c>
      <c r="L93" s="10" t="str">
        <f>INDEX(Feiertagsregeln!$Y$7:$Y$198,MATCH($K93,Feiertagsregeln!$A$7:$A$198,0))</f>
        <v>SRC-AG-EGZPO</v>
      </c>
      <c r="M93" s="10" t="str">
        <f>INDEX(Feiertagsregeln!$Z$7:$Z$198,MATCH($K93,Feiertagsregeln!$A$7:$A$198,0))</f>
        <v>§ 21</v>
      </c>
      <c r="N93" s="10" t="s">
        <v>71</v>
      </c>
      <c r="O93" s="10" t="str">
        <f>INDEX(Feiertagsregeln!$AA$7:$AA$198,MATCH($K93,Feiertagsregeln!$A$7:$A$198,0))</f>
        <v>Ganztägig</v>
      </c>
    </row>
    <row r="94" spans="1:15" ht="38" customHeight="1">
      <c r="A94" s="15">
        <f>INDEX(Feiertagsregeln!$X$7:$X$198,MATCH($K94,Feiertagsregeln!$A$7:$A$198,0))</f>
        <v>46614</v>
      </c>
      <c r="B94" s="11" t="str">
        <f t="shared" si="1"/>
        <v>Sonntag</v>
      </c>
      <c r="C94" s="11" t="s">
        <v>67</v>
      </c>
      <c r="D94" s="11" t="s">
        <v>74</v>
      </c>
      <c r="E94" s="11" t="str">
        <f>INDEX(Feiertagsregeln!$D$7:$D$198,MATCH($K94,Feiertagsregeln!$A$7:$A$198,0))</f>
        <v>Mariä Himmelfahrt</v>
      </c>
      <c r="F94" s="11" t="str">
        <f>INDEX(Feiertagsregeln!$E$7:$E$198,MATCH($K94,Feiertagsregeln!$A$7:$A$198,0))</f>
        <v>Assomption</v>
      </c>
      <c r="G94" s="22" t="str">
        <f>IF(INDEX(Feiertagsregeln!$F$7:$F$198,MATCH($K94,Feiertagsregeln!$A$7:$A$198,0))="","Noch zu erfassen",INDEX(Feiertagsregeln!$F$7:$F$198,MATCH($K94,Feiertagsregeln!$A$7:$A$198,0)))</f>
        <v>Noch zu erfassen</v>
      </c>
      <c r="H94" s="22" t="str">
        <f>IF(INDEX(Feiertagsregeln!$G$7:$G$198,MATCH($K94,Feiertagsregeln!$A$7:$A$198,0))="","Noch zu erfassen",INDEX(Feiertagsregeln!$G$7:$G$198,MATCH($K94,Feiertagsregeln!$A$7:$A$198,0)))</f>
        <v>Noch zu erfassen</v>
      </c>
      <c r="I94" s="11" t="str">
        <f>INDEX(Feiertagsregeln!$H$7:$H$198,MATCH($K94,Feiertagsregeln!$A$7:$A$198,0))</f>
        <v>proceduralEquivalentDay</v>
      </c>
      <c r="J94" s="11" t="s">
        <v>69</v>
      </c>
      <c r="K94" s="11" t="s">
        <v>153</v>
      </c>
      <c r="L94" s="11" t="str">
        <f>INDEX(Feiertagsregeln!$Y$7:$Y$198,MATCH($K94,Feiertagsregeln!$A$7:$A$198,0))</f>
        <v>SRC-AG-EGZPO</v>
      </c>
      <c r="M94" s="11" t="str">
        <f>INDEX(Feiertagsregeln!$Z$7:$Z$198,MATCH($K94,Feiertagsregeln!$A$7:$A$198,0))</f>
        <v>§ 21</v>
      </c>
      <c r="N94" s="11" t="s">
        <v>71</v>
      </c>
      <c r="O94" s="11" t="str">
        <f>INDEX(Feiertagsregeln!$AA$7:$AA$198,MATCH($K94,Feiertagsregeln!$A$7:$A$198,0))</f>
        <v>Ganztägig</v>
      </c>
    </row>
    <row r="95" spans="1:15" ht="38" customHeight="1">
      <c r="A95" s="14">
        <f>INDEX(Feiertagsregeln!$X$7:$X$198,MATCH($K95,Feiertagsregeln!$A$7:$A$198,0))</f>
        <v>46729</v>
      </c>
      <c r="B95" s="10" t="str">
        <f t="shared" si="1"/>
        <v>Mittwoch</v>
      </c>
      <c r="C95" s="10" t="s">
        <v>67</v>
      </c>
      <c r="D95" s="10" t="s">
        <v>74</v>
      </c>
      <c r="E95" s="10" t="str">
        <f>INDEX(Feiertagsregeln!$D$7:$D$198,MATCH($K95,Feiertagsregeln!$A$7:$A$198,0))</f>
        <v>Mariä Empfängnis</v>
      </c>
      <c r="F95" s="10" t="str">
        <f>INDEX(Feiertagsregeln!$E$7:$E$198,MATCH($K95,Feiertagsregeln!$A$7:$A$198,0))</f>
        <v>Immaculée Conception</v>
      </c>
      <c r="G95" s="21" t="str">
        <f>IF(INDEX(Feiertagsregeln!$F$7:$F$198,MATCH($K95,Feiertagsregeln!$A$7:$A$198,0))="","Noch zu erfassen",INDEX(Feiertagsregeln!$F$7:$F$198,MATCH($K95,Feiertagsregeln!$A$7:$A$198,0)))</f>
        <v>Noch zu erfassen</v>
      </c>
      <c r="H95" s="21" t="str">
        <f>IF(INDEX(Feiertagsregeln!$G$7:$G$198,MATCH($K95,Feiertagsregeln!$A$7:$A$198,0))="","Noch zu erfassen",INDEX(Feiertagsregeln!$G$7:$G$198,MATCH($K95,Feiertagsregeln!$A$7:$A$198,0)))</f>
        <v>Noch zu erfassen</v>
      </c>
      <c r="I95" s="10" t="str">
        <f>INDEX(Feiertagsregeln!$H$7:$H$198,MATCH($K95,Feiertagsregeln!$A$7:$A$198,0))</f>
        <v>proceduralEquivalentDay</v>
      </c>
      <c r="J95" s="10" t="s">
        <v>69</v>
      </c>
      <c r="K95" s="10" t="s">
        <v>154</v>
      </c>
      <c r="L95" s="10" t="str">
        <f>INDEX(Feiertagsregeln!$Y$7:$Y$198,MATCH($K95,Feiertagsregeln!$A$7:$A$198,0))</f>
        <v>SRC-AG-EGZPO</v>
      </c>
      <c r="M95" s="10" t="str">
        <f>INDEX(Feiertagsregeln!$Z$7:$Z$198,MATCH($K95,Feiertagsregeln!$A$7:$A$198,0))</f>
        <v>§ 21</v>
      </c>
      <c r="N95" s="10" t="s">
        <v>71</v>
      </c>
      <c r="O95" s="10" t="str">
        <f>INDEX(Feiertagsregeln!$AA$7:$AA$198,MATCH($K95,Feiertagsregeln!$A$7:$A$198,0))</f>
        <v>Ganztägig</v>
      </c>
    </row>
    <row r="96" spans="1:15" ht="38" customHeight="1">
      <c r="A96" s="15">
        <f>INDEX(Feiertagsregeln!$X$7:$X$198,MATCH($K96,Feiertagsregeln!$A$7:$A$198,0))</f>
        <v>46746</v>
      </c>
      <c r="B96" s="11" t="str">
        <f t="shared" si="1"/>
        <v>Samstag</v>
      </c>
      <c r="C96" s="11" t="s">
        <v>67</v>
      </c>
      <c r="D96" s="11" t="s">
        <v>74</v>
      </c>
      <c r="E96" s="11" t="str">
        <f>INDEX(Feiertagsregeln!$D$7:$D$198,MATCH($K96,Feiertagsregeln!$A$7:$A$198,0))</f>
        <v>Weihnachten</v>
      </c>
      <c r="F96" s="11" t="str">
        <f>INDEX(Feiertagsregeln!$E$7:$E$198,MATCH($K96,Feiertagsregeln!$A$7:$A$198,0))</f>
        <v>Noël</v>
      </c>
      <c r="G96" s="22" t="str">
        <f>IF(INDEX(Feiertagsregeln!$F$7:$F$198,MATCH($K96,Feiertagsregeln!$A$7:$A$198,0))="","Noch zu erfassen",INDEX(Feiertagsregeln!$F$7:$F$198,MATCH($K96,Feiertagsregeln!$A$7:$A$198,0)))</f>
        <v>Noch zu erfassen</v>
      </c>
      <c r="H96" s="22" t="str">
        <f>IF(INDEX(Feiertagsregeln!$G$7:$G$198,MATCH($K96,Feiertagsregeln!$A$7:$A$198,0))="","Noch zu erfassen",INDEX(Feiertagsregeln!$G$7:$G$198,MATCH($K96,Feiertagsregeln!$A$7:$A$198,0)))</f>
        <v>Noch zu erfassen</v>
      </c>
      <c r="I96" s="11" t="str">
        <f>INDEX(Feiertagsregeln!$H$7:$H$198,MATCH($K96,Feiertagsregeln!$A$7:$A$198,0))</f>
        <v>proceduralEquivalentDay</v>
      </c>
      <c r="J96" s="11" t="s">
        <v>69</v>
      </c>
      <c r="K96" s="11" t="s">
        <v>155</v>
      </c>
      <c r="L96" s="11" t="str">
        <f>INDEX(Feiertagsregeln!$Y$7:$Y$198,MATCH($K96,Feiertagsregeln!$A$7:$A$198,0))</f>
        <v>SRC-AG-EGZPO</v>
      </c>
      <c r="M96" s="11" t="str">
        <f>INDEX(Feiertagsregeln!$Z$7:$Z$198,MATCH($K96,Feiertagsregeln!$A$7:$A$198,0))</f>
        <v>§ 21</v>
      </c>
      <c r="N96" s="11" t="s">
        <v>71</v>
      </c>
      <c r="O96" s="11" t="str">
        <f>INDEX(Feiertagsregeln!$AA$7:$AA$198,MATCH($K96,Feiertagsregeln!$A$7:$A$198,0))</f>
        <v>Ganztägig</v>
      </c>
    </row>
    <row r="97" spans="1:15" ht="38" customHeight="1">
      <c r="A97" s="14">
        <f>INDEX(Feiertagsregeln!$X$7:$X$198,MATCH($K97,Feiertagsregeln!$A$7:$A$198,0))</f>
        <v>46747</v>
      </c>
      <c r="B97" s="10" t="str">
        <f t="shared" si="1"/>
        <v>Sonntag</v>
      </c>
      <c r="C97" s="10" t="s">
        <v>67</v>
      </c>
      <c r="D97" s="10" t="s">
        <v>74</v>
      </c>
      <c r="E97" s="10" t="str">
        <f>INDEX(Feiertagsregeln!$D$7:$D$198,MATCH($K97,Feiertagsregeln!$A$7:$A$198,0))</f>
        <v>Stephanstag</v>
      </c>
      <c r="F97" s="10" t="str">
        <f>INDEX(Feiertagsregeln!$E$7:$E$198,MATCH($K97,Feiertagsregeln!$A$7:$A$198,0))</f>
        <v>Saint-Étienne</v>
      </c>
      <c r="G97" s="21" t="str">
        <f>IF(INDEX(Feiertagsregeln!$F$7:$F$198,MATCH($K97,Feiertagsregeln!$A$7:$A$198,0))="","Noch zu erfassen",INDEX(Feiertagsregeln!$F$7:$F$198,MATCH($K97,Feiertagsregeln!$A$7:$A$198,0)))</f>
        <v>Noch zu erfassen</v>
      </c>
      <c r="H97" s="21" t="str">
        <f>IF(INDEX(Feiertagsregeln!$G$7:$G$198,MATCH($K97,Feiertagsregeln!$A$7:$A$198,0))="","Noch zu erfassen",INDEX(Feiertagsregeln!$G$7:$G$198,MATCH($K97,Feiertagsregeln!$A$7:$A$198,0)))</f>
        <v>Noch zu erfassen</v>
      </c>
      <c r="I97" s="10" t="str">
        <f>INDEX(Feiertagsregeln!$H$7:$H$198,MATCH($K97,Feiertagsregeln!$A$7:$A$198,0))</f>
        <v>proceduralEquivalentDay</v>
      </c>
      <c r="J97" s="10" t="s">
        <v>69</v>
      </c>
      <c r="K97" s="10" t="s">
        <v>156</v>
      </c>
      <c r="L97" s="10" t="str">
        <f>INDEX(Feiertagsregeln!$Y$7:$Y$198,MATCH($K97,Feiertagsregeln!$A$7:$A$198,0))</f>
        <v>SRC-AG-EGZPO</v>
      </c>
      <c r="M97" s="10" t="str">
        <f>INDEX(Feiertagsregeln!$Z$7:$Z$198,MATCH($K97,Feiertagsregeln!$A$7:$A$198,0))</f>
        <v>§ 21</v>
      </c>
      <c r="N97" s="10" t="s">
        <v>71</v>
      </c>
      <c r="O97" s="10" t="str">
        <f>INDEX(Feiertagsregeln!$AA$7:$AA$198,MATCH($K97,Feiertagsregeln!$A$7:$A$198,0))</f>
        <v>Ganztägig</v>
      </c>
    </row>
    <row r="98" spans="1:15" ht="38" customHeight="1">
      <c r="A98" s="15">
        <f>INDEX(Feiertagsregeln!$X$7:$X$198,MATCH($K98,Feiertagsregeln!$A$7:$A$198,0))</f>
        <v>46600</v>
      </c>
      <c r="B98" s="11" t="str">
        <f t="shared" si="1"/>
        <v>Sonntag</v>
      </c>
      <c r="C98" s="11" t="s">
        <v>67</v>
      </c>
      <c r="D98" s="11" t="s">
        <v>76</v>
      </c>
      <c r="E98" s="11" t="str">
        <f>INDEX(Feiertagsregeln!$D$7:$D$198,MATCH($K98,Feiertagsregeln!$A$7:$A$198,0))</f>
        <v>Bundesfeiertag</v>
      </c>
      <c r="F98" s="11" t="str">
        <f>INDEX(Feiertagsregeln!$E$7:$E$198,MATCH($K98,Feiertagsregeln!$A$7:$A$198,0))</f>
        <v>Fête nationale</v>
      </c>
      <c r="G98" s="22" t="str">
        <f>IF(INDEX(Feiertagsregeln!$F$7:$F$198,MATCH($K98,Feiertagsregeln!$A$7:$A$198,0))="","Noch zu erfassen",INDEX(Feiertagsregeln!$F$7:$F$198,MATCH($K98,Feiertagsregeln!$A$7:$A$198,0)))</f>
        <v>Noch zu erfassen</v>
      </c>
      <c r="H98" s="22" t="str">
        <f>IF(INDEX(Feiertagsregeln!$G$7:$G$198,MATCH($K98,Feiertagsregeln!$A$7:$A$198,0))="","Noch zu erfassen",INDEX(Feiertagsregeln!$G$7:$G$198,MATCH($K98,Feiertagsregeln!$A$7:$A$198,0)))</f>
        <v>Noch zu erfassen</v>
      </c>
      <c r="I98" s="11" t="str">
        <f>INDEX(Feiertagsregeln!$H$7:$H$198,MATCH($K98,Feiertagsregeln!$A$7:$A$198,0))</f>
        <v>publicHoliday</v>
      </c>
      <c r="J98" s="11" t="s">
        <v>69</v>
      </c>
      <c r="K98" s="11" t="s">
        <v>51</v>
      </c>
      <c r="L98" s="11" t="str">
        <f>INDEX(Feiertagsregeln!$Y$7:$Y$198,MATCH($K98,Feiertagsregeln!$A$7:$A$198,0))</f>
        <v>SRC-BUNDESFEIERTAG-19940701</v>
      </c>
      <c r="M98" s="11" t="str">
        <f>INDEX(Feiertagsregeln!$Z$7:$Z$198,MATCH($K98,Feiertagsregeln!$A$7:$A$198,0))</f>
        <v>Art. 1</v>
      </c>
      <c r="N98" s="11" t="s">
        <v>71</v>
      </c>
      <c r="O98" s="11" t="str">
        <f>INDEX(Feiertagsregeln!$AA$7:$AA$198,MATCH($K98,Feiertagsregeln!$A$7:$A$198,0))</f>
        <v>Ganztägig</v>
      </c>
    </row>
    <row r="99" spans="1:15" ht="38" customHeight="1">
      <c r="A99" s="14">
        <f>INDEX(Feiertagsregeln!$X$7:$X$198,MATCH($K99,Feiertagsregeln!$A$7:$A$198,0))</f>
        <v>46600</v>
      </c>
      <c r="B99" s="10" t="str">
        <f t="shared" si="1"/>
        <v>Sonntag</v>
      </c>
      <c r="C99" s="10" t="s">
        <v>67</v>
      </c>
      <c r="D99" s="10" t="s">
        <v>72</v>
      </c>
      <c r="E99" s="10" t="str">
        <f>INDEX(Feiertagsregeln!$D$7:$D$198,MATCH($K99,Feiertagsregeln!$A$7:$A$198,0))</f>
        <v>Bundesfeiertag</v>
      </c>
      <c r="F99" s="10" t="str">
        <f>INDEX(Feiertagsregeln!$E$7:$E$198,MATCH($K99,Feiertagsregeln!$A$7:$A$198,0))</f>
        <v>Fête nationale</v>
      </c>
      <c r="G99" s="21" t="str">
        <f>IF(INDEX(Feiertagsregeln!$F$7:$F$198,MATCH($K99,Feiertagsregeln!$A$7:$A$198,0))="","Noch zu erfassen",INDEX(Feiertagsregeln!$F$7:$F$198,MATCH($K99,Feiertagsregeln!$A$7:$A$198,0)))</f>
        <v>Noch zu erfassen</v>
      </c>
      <c r="H99" s="21" t="str">
        <f>IF(INDEX(Feiertagsregeln!$G$7:$G$198,MATCH($K99,Feiertagsregeln!$A$7:$A$198,0))="","Noch zu erfassen",INDEX(Feiertagsregeln!$G$7:$G$198,MATCH($K99,Feiertagsregeln!$A$7:$A$198,0)))</f>
        <v>Noch zu erfassen</v>
      </c>
      <c r="I99" s="10" t="str">
        <f>INDEX(Feiertagsregeln!$H$7:$H$198,MATCH($K99,Feiertagsregeln!$A$7:$A$198,0))</f>
        <v>publicHoliday</v>
      </c>
      <c r="J99" s="10" t="s">
        <v>69</v>
      </c>
      <c r="K99" s="10" t="s">
        <v>51</v>
      </c>
      <c r="L99" s="10" t="str">
        <f>INDEX(Feiertagsregeln!$Y$7:$Y$198,MATCH($K99,Feiertagsregeln!$A$7:$A$198,0))</f>
        <v>SRC-BUNDESFEIERTAG-19940701</v>
      </c>
      <c r="M99" s="10" t="str">
        <f>INDEX(Feiertagsregeln!$Z$7:$Z$198,MATCH($K99,Feiertagsregeln!$A$7:$A$198,0))</f>
        <v>Art. 1</v>
      </c>
      <c r="N99" s="10" t="s">
        <v>71</v>
      </c>
      <c r="O99" s="10" t="str">
        <f>INDEX(Feiertagsregeln!$AA$7:$AA$198,MATCH($K99,Feiertagsregeln!$A$7:$A$198,0))</f>
        <v>Ganztägig</v>
      </c>
    </row>
    <row r="100" spans="1:15" ht="38" customHeight="1">
      <c r="A100" s="15">
        <f>INDEX(Feiertagsregeln!$X$7:$X$198,MATCH($K100,Feiertagsregeln!$A$7:$A$198,0))</f>
        <v>46600</v>
      </c>
      <c r="B100" s="11" t="str">
        <f t="shared" si="1"/>
        <v>Sonntag</v>
      </c>
      <c r="C100" s="11" t="s">
        <v>67</v>
      </c>
      <c r="D100" s="11" t="s">
        <v>68</v>
      </c>
      <c r="E100" s="11" t="str">
        <f>INDEX(Feiertagsregeln!$D$7:$D$198,MATCH($K100,Feiertagsregeln!$A$7:$A$198,0))</f>
        <v>Bundesfeiertag</v>
      </c>
      <c r="F100" s="11" t="str">
        <f>INDEX(Feiertagsregeln!$E$7:$E$198,MATCH($K100,Feiertagsregeln!$A$7:$A$198,0))</f>
        <v>Fête nationale</v>
      </c>
      <c r="G100" s="22" t="str">
        <f>IF(INDEX(Feiertagsregeln!$F$7:$F$198,MATCH($K100,Feiertagsregeln!$A$7:$A$198,0))="","Noch zu erfassen",INDEX(Feiertagsregeln!$F$7:$F$198,MATCH($K100,Feiertagsregeln!$A$7:$A$198,0)))</f>
        <v>Noch zu erfassen</v>
      </c>
      <c r="H100" s="22" t="str">
        <f>IF(INDEX(Feiertagsregeln!$G$7:$G$198,MATCH($K100,Feiertagsregeln!$A$7:$A$198,0))="","Noch zu erfassen",INDEX(Feiertagsregeln!$G$7:$G$198,MATCH($K100,Feiertagsregeln!$A$7:$A$198,0)))</f>
        <v>Noch zu erfassen</v>
      </c>
      <c r="I100" s="11" t="str">
        <f>INDEX(Feiertagsregeln!$H$7:$H$198,MATCH($K100,Feiertagsregeln!$A$7:$A$198,0))</f>
        <v>publicHoliday</v>
      </c>
      <c r="J100" s="11" t="s">
        <v>69</v>
      </c>
      <c r="K100" s="11" t="s">
        <v>51</v>
      </c>
      <c r="L100" s="11" t="str">
        <f>INDEX(Feiertagsregeln!$Y$7:$Y$198,MATCH($K100,Feiertagsregeln!$A$7:$A$198,0))</f>
        <v>SRC-BUNDESFEIERTAG-19940701</v>
      </c>
      <c r="M100" s="11" t="str">
        <f>INDEX(Feiertagsregeln!$Z$7:$Z$198,MATCH($K100,Feiertagsregeln!$A$7:$A$198,0))</f>
        <v>Art. 1</v>
      </c>
      <c r="N100" s="11" t="s">
        <v>71</v>
      </c>
      <c r="O100" s="11" t="str">
        <f>INDEX(Feiertagsregeln!$AA$7:$AA$198,MATCH($K100,Feiertagsregeln!$A$7:$A$198,0))</f>
        <v>Ganztägig</v>
      </c>
    </row>
    <row r="101" spans="1:15" ht="38" customHeight="1">
      <c r="A101" s="14">
        <f>INDEX(Feiertagsregeln!$X$7:$X$198,MATCH($K101,Feiertagsregeln!$A$7:$A$198,0))</f>
        <v>46600</v>
      </c>
      <c r="B101" s="10" t="str">
        <f t="shared" si="1"/>
        <v>Sonntag</v>
      </c>
      <c r="C101" s="10" t="s">
        <v>67</v>
      </c>
      <c r="D101" s="10" t="s">
        <v>99</v>
      </c>
      <c r="E101" s="10" t="str">
        <f>INDEX(Feiertagsregeln!$D$7:$D$198,MATCH($K101,Feiertagsregeln!$A$7:$A$198,0))</f>
        <v>Bundesfeiertag</v>
      </c>
      <c r="F101" s="10" t="str">
        <f>INDEX(Feiertagsregeln!$E$7:$E$198,MATCH($K101,Feiertagsregeln!$A$7:$A$198,0))</f>
        <v>Fête nationale</v>
      </c>
      <c r="G101" s="21" t="str">
        <f>IF(INDEX(Feiertagsregeln!$F$7:$F$198,MATCH($K101,Feiertagsregeln!$A$7:$A$198,0))="","Noch zu erfassen",INDEX(Feiertagsregeln!$F$7:$F$198,MATCH($K101,Feiertagsregeln!$A$7:$A$198,0)))</f>
        <v>Noch zu erfassen</v>
      </c>
      <c r="H101" s="21" t="str">
        <f>IF(INDEX(Feiertagsregeln!$G$7:$G$198,MATCH($K101,Feiertagsregeln!$A$7:$A$198,0))="","Noch zu erfassen",INDEX(Feiertagsregeln!$G$7:$G$198,MATCH($K101,Feiertagsregeln!$A$7:$A$198,0)))</f>
        <v>Noch zu erfassen</v>
      </c>
      <c r="I101" s="10" t="str">
        <f>INDEX(Feiertagsregeln!$H$7:$H$198,MATCH($K101,Feiertagsregeln!$A$7:$A$198,0))</f>
        <v>publicHoliday</v>
      </c>
      <c r="J101" s="10" t="s">
        <v>69</v>
      </c>
      <c r="K101" s="10" t="s">
        <v>51</v>
      </c>
      <c r="L101" s="10" t="str">
        <f>INDEX(Feiertagsregeln!$Y$7:$Y$198,MATCH($K101,Feiertagsregeln!$A$7:$A$198,0))</f>
        <v>SRC-BUNDESFEIERTAG-19940701</v>
      </c>
      <c r="M101" s="10" t="str">
        <f>INDEX(Feiertagsregeln!$Z$7:$Z$198,MATCH($K101,Feiertagsregeln!$A$7:$A$198,0))</f>
        <v>Art. 1</v>
      </c>
      <c r="N101" s="10" t="s">
        <v>71</v>
      </c>
      <c r="O101" s="10" t="str">
        <f>INDEX(Feiertagsregeln!$AA$7:$AA$198,MATCH($K101,Feiertagsregeln!$A$7:$A$198,0))</f>
        <v>Ganztägig</v>
      </c>
    </row>
    <row r="102" spans="1:15" ht="38" customHeight="1">
      <c r="A102" s="15">
        <f>INDEX(Feiertagsregeln!$X$7:$X$198,MATCH($K102,Feiertagsregeln!$A$7:$A$198,0))</f>
        <v>46600</v>
      </c>
      <c r="B102" s="11" t="str">
        <f t="shared" si="1"/>
        <v>Sonntag</v>
      </c>
      <c r="C102" s="11" t="s">
        <v>67</v>
      </c>
      <c r="D102" s="11" t="s">
        <v>108</v>
      </c>
      <c r="E102" s="11" t="str">
        <f>INDEX(Feiertagsregeln!$D$7:$D$198,MATCH($K102,Feiertagsregeln!$A$7:$A$198,0))</f>
        <v>Bundesfeiertag</v>
      </c>
      <c r="F102" s="11" t="str">
        <f>INDEX(Feiertagsregeln!$E$7:$E$198,MATCH($K102,Feiertagsregeln!$A$7:$A$198,0))</f>
        <v>Fête nationale</v>
      </c>
      <c r="G102" s="22" t="str">
        <f>IF(INDEX(Feiertagsregeln!$F$7:$F$198,MATCH($K102,Feiertagsregeln!$A$7:$A$198,0))="","Noch zu erfassen",INDEX(Feiertagsregeln!$F$7:$F$198,MATCH($K102,Feiertagsregeln!$A$7:$A$198,0)))</f>
        <v>Noch zu erfassen</v>
      </c>
      <c r="H102" s="22" t="str">
        <f>IF(INDEX(Feiertagsregeln!$G$7:$G$198,MATCH($K102,Feiertagsregeln!$A$7:$A$198,0))="","Noch zu erfassen",INDEX(Feiertagsregeln!$G$7:$G$198,MATCH($K102,Feiertagsregeln!$A$7:$A$198,0)))</f>
        <v>Noch zu erfassen</v>
      </c>
      <c r="I102" s="11" t="str">
        <f>INDEX(Feiertagsregeln!$H$7:$H$198,MATCH($K102,Feiertagsregeln!$A$7:$A$198,0))</f>
        <v>publicHoliday</v>
      </c>
      <c r="J102" s="11" t="s">
        <v>69</v>
      </c>
      <c r="K102" s="11" t="s">
        <v>51</v>
      </c>
      <c r="L102" s="11" t="str">
        <f>INDEX(Feiertagsregeln!$Y$7:$Y$198,MATCH($K102,Feiertagsregeln!$A$7:$A$198,0))</f>
        <v>SRC-BUNDESFEIERTAG-19940701</v>
      </c>
      <c r="M102" s="11" t="str">
        <f>INDEX(Feiertagsregeln!$Z$7:$Z$198,MATCH($K102,Feiertagsregeln!$A$7:$A$198,0))</f>
        <v>Art. 1</v>
      </c>
      <c r="N102" s="11" t="s">
        <v>71</v>
      </c>
      <c r="O102" s="11" t="str">
        <f>INDEX(Feiertagsregeln!$AA$7:$AA$198,MATCH($K102,Feiertagsregeln!$A$7:$A$198,0))</f>
        <v>Ganztägig</v>
      </c>
    </row>
    <row r="103" spans="1:15" ht="38" customHeight="1">
      <c r="A103" s="14">
        <f>INDEX(Feiertagsregeln!$X$7:$X$198,MATCH($K103,Feiertagsregeln!$A$7:$A$198,0))</f>
        <v>46600</v>
      </c>
      <c r="B103" s="10" t="str">
        <f t="shared" si="1"/>
        <v>Sonntag</v>
      </c>
      <c r="C103" s="10" t="s">
        <v>67</v>
      </c>
      <c r="D103" s="10" t="s">
        <v>117</v>
      </c>
      <c r="E103" s="10" t="str">
        <f>INDEX(Feiertagsregeln!$D$7:$D$198,MATCH($K103,Feiertagsregeln!$A$7:$A$198,0))</f>
        <v>Bundesfeiertag</v>
      </c>
      <c r="F103" s="10" t="str">
        <f>INDEX(Feiertagsregeln!$E$7:$E$198,MATCH($K103,Feiertagsregeln!$A$7:$A$198,0))</f>
        <v>Fête nationale</v>
      </c>
      <c r="G103" s="21" t="str">
        <f>IF(INDEX(Feiertagsregeln!$F$7:$F$198,MATCH($K103,Feiertagsregeln!$A$7:$A$198,0))="","Noch zu erfassen",INDEX(Feiertagsregeln!$F$7:$F$198,MATCH($K103,Feiertagsregeln!$A$7:$A$198,0)))</f>
        <v>Noch zu erfassen</v>
      </c>
      <c r="H103" s="21" t="str">
        <f>IF(INDEX(Feiertagsregeln!$G$7:$G$198,MATCH($K103,Feiertagsregeln!$A$7:$A$198,0))="","Noch zu erfassen",INDEX(Feiertagsregeln!$G$7:$G$198,MATCH($K103,Feiertagsregeln!$A$7:$A$198,0)))</f>
        <v>Noch zu erfassen</v>
      </c>
      <c r="I103" s="10" t="str">
        <f>INDEX(Feiertagsregeln!$H$7:$H$198,MATCH($K103,Feiertagsregeln!$A$7:$A$198,0))</f>
        <v>publicHoliday</v>
      </c>
      <c r="J103" s="10" t="s">
        <v>69</v>
      </c>
      <c r="K103" s="10" t="s">
        <v>51</v>
      </c>
      <c r="L103" s="10" t="str">
        <f>INDEX(Feiertagsregeln!$Y$7:$Y$198,MATCH($K103,Feiertagsregeln!$A$7:$A$198,0))</f>
        <v>SRC-BUNDESFEIERTAG-19940701</v>
      </c>
      <c r="M103" s="10" t="str">
        <f>INDEX(Feiertagsregeln!$Z$7:$Z$198,MATCH($K103,Feiertagsregeln!$A$7:$A$198,0))</f>
        <v>Art. 1</v>
      </c>
      <c r="N103" s="10" t="s">
        <v>71</v>
      </c>
      <c r="O103" s="10" t="str">
        <f>INDEX(Feiertagsregeln!$AA$7:$AA$198,MATCH($K103,Feiertagsregeln!$A$7:$A$198,0))</f>
        <v>Ganztägig</v>
      </c>
    </row>
    <row r="104" spans="1:15" ht="38" customHeight="1">
      <c r="A104" s="15">
        <f>INDEX(Feiertagsregeln!$X$7:$X$198,MATCH($K104,Feiertagsregeln!$A$7:$A$198,0))</f>
        <v>46600</v>
      </c>
      <c r="B104" s="11" t="str">
        <f t="shared" si="1"/>
        <v>Sonntag</v>
      </c>
      <c r="C104" s="11" t="s">
        <v>67</v>
      </c>
      <c r="D104" s="11" t="s">
        <v>126</v>
      </c>
      <c r="E104" s="11" t="str">
        <f>INDEX(Feiertagsregeln!$D$7:$D$198,MATCH($K104,Feiertagsregeln!$A$7:$A$198,0))</f>
        <v>Bundesfeiertag</v>
      </c>
      <c r="F104" s="11" t="str">
        <f>INDEX(Feiertagsregeln!$E$7:$E$198,MATCH($K104,Feiertagsregeln!$A$7:$A$198,0))</f>
        <v>Fête nationale</v>
      </c>
      <c r="G104" s="22" t="str">
        <f>IF(INDEX(Feiertagsregeln!$F$7:$F$198,MATCH($K104,Feiertagsregeln!$A$7:$A$198,0))="","Noch zu erfassen",INDEX(Feiertagsregeln!$F$7:$F$198,MATCH($K104,Feiertagsregeln!$A$7:$A$198,0)))</f>
        <v>Noch zu erfassen</v>
      </c>
      <c r="H104" s="22" t="str">
        <f>IF(INDEX(Feiertagsregeln!$G$7:$G$198,MATCH($K104,Feiertagsregeln!$A$7:$A$198,0))="","Noch zu erfassen",INDEX(Feiertagsregeln!$G$7:$G$198,MATCH($K104,Feiertagsregeln!$A$7:$A$198,0)))</f>
        <v>Noch zu erfassen</v>
      </c>
      <c r="I104" s="11" t="str">
        <f>INDEX(Feiertagsregeln!$H$7:$H$198,MATCH($K104,Feiertagsregeln!$A$7:$A$198,0))</f>
        <v>publicHoliday</v>
      </c>
      <c r="J104" s="11" t="s">
        <v>69</v>
      </c>
      <c r="K104" s="11" t="s">
        <v>51</v>
      </c>
      <c r="L104" s="11" t="str">
        <f>INDEX(Feiertagsregeln!$Y$7:$Y$198,MATCH($K104,Feiertagsregeln!$A$7:$A$198,0))</f>
        <v>SRC-BUNDESFEIERTAG-19940701</v>
      </c>
      <c r="M104" s="11" t="str">
        <f>INDEX(Feiertagsregeln!$Z$7:$Z$198,MATCH($K104,Feiertagsregeln!$A$7:$A$198,0))</f>
        <v>Art. 1</v>
      </c>
      <c r="N104" s="11" t="s">
        <v>71</v>
      </c>
      <c r="O104" s="11" t="str">
        <f>INDEX(Feiertagsregeln!$AA$7:$AA$198,MATCH($K104,Feiertagsregeln!$A$7:$A$198,0))</f>
        <v>Ganztägig</v>
      </c>
    </row>
    <row r="105" spans="1:15" ht="38" customHeight="1">
      <c r="A105" s="14">
        <f>INDEX(Feiertagsregeln!$X$7:$X$198,MATCH($K105,Feiertagsregeln!$A$7:$A$198,0))</f>
        <v>46600</v>
      </c>
      <c r="B105" s="10" t="str">
        <f t="shared" si="1"/>
        <v>Sonntag</v>
      </c>
      <c r="C105" s="10" t="s">
        <v>67</v>
      </c>
      <c r="D105" s="10" t="s">
        <v>135</v>
      </c>
      <c r="E105" s="10" t="str">
        <f>INDEX(Feiertagsregeln!$D$7:$D$198,MATCH($K105,Feiertagsregeln!$A$7:$A$198,0))</f>
        <v>Bundesfeiertag</v>
      </c>
      <c r="F105" s="10" t="str">
        <f>INDEX(Feiertagsregeln!$E$7:$E$198,MATCH($K105,Feiertagsregeln!$A$7:$A$198,0))</f>
        <v>Fête nationale</v>
      </c>
      <c r="G105" s="21" t="str">
        <f>IF(INDEX(Feiertagsregeln!$F$7:$F$198,MATCH($K105,Feiertagsregeln!$A$7:$A$198,0))="","Noch zu erfassen",INDEX(Feiertagsregeln!$F$7:$F$198,MATCH($K105,Feiertagsregeln!$A$7:$A$198,0)))</f>
        <v>Noch zu erfassen</v>
      </c>
      <c r="H105" s="21" t="str">
        <f>IF(INDEX(Feiertagsregeln!$G$7:$G$198,MATCH($K105,Feiertagsregeln!$A$7:$A$198,0))="","Noch zu erfassen",INDEX(Feiertagsregeln!$G$7:$G$198,MATCH($K105,Feiertagsregeln!$A$7:$A$198,0)))</f>
        <v>Noch zu erfassen</v>
      </c>
      <c r="I105" s="10" t="str">
        <f>INDEX(Feiertagsregeln!$H$7:$H$198,MATCH($K105,Feiertagsregeln!$A$7:$A$198,0))</f>
        <v>publicHoliday</v>
      </c>
      <c r="J105" s="10" t="s">
        <v>69</v>
      </c>
      <c r="K105" s="10" t="s">
        <v>51</v>
      </c>
      <c r="L105" s="10" t="str">
        <f>INDEX(Feiertagsregeln!$Y$7:$Y$198,MATCH($K105,Feiertagsregeln!$A$7:$A$198,0))</f>
        <v>SRC-BUNDESFEIERTAG-19940701</v>
      </c>
      <c r="M105" s="10" t="str">
        <f>INDEX(Feiertagsregeln!$Z$7:$Z$198,MATCH($K105,Feiertagsregeln!$A$7:$A$198,0))</f>
        <v>Art. 1</v>
      </c>
      <c r="N105" s="10" t="s">
        <v>71</v>
      </c>
      <c r="O105" s="10" t="str">
        <f>INDEX(Feiertagsregeln!$AA$7:$AA$198,MATCH($K105,Feiertagsregeln!$A$7:$A$198,0))</f>
        <v>Ganztägig</v>
      </c>
    </row>
    <row r="106" spans="1:15" ht="42" customHeight="1">
      <c r="A106" s="15">
        <f>INDEX(Feiertagsregeln!$X$7:$X$198,MATCH($K106,Feiertagsregeln!$A$7:$A$198,0))</f>
        <v>46388</v>
      </c>
      <c r="B106" s="11" t="str">
        <f t="shared" si="1"/>
        <v>Freitag</v>
      </c>
      <c r="C106" s="11" t="s">
        <v>157</v>
      </c>
      <c r="D106" s="11" t="s">
        <v>158</v>
      </c>
      <c r="E106" s="11" t="str">
        <f>INDEX(Feiertagsregeln!$D$7:$D$198,MATCH($K106,Feiertagsregeln!$A$7:$A$198,0))</f>
        <v>Neujahr</v>
      </c>
      <c r="F106" s="11" t="str">
        <f>INDEX(Feiertagsregeln!$E$7:$E$198,MATCH($K106,Feiertagsregeln!$A$7:$A$198,0))</f>
        <v>Nouvel An</v>
      </c>
      <c r="G106" s="22" t="str">
        <f>IF(INDEX(Feiertagsregeln!$F$7:$F$198,MATCH($K106,Feiertagsregeln!$A$7:$A$198,0))="","Noch zu erfassen",INDEX(Feiertagsregeln!$F$7:$F$198,MATCH($K106,Feiertagsregeln!$A$7:$A$198,0)))</f>
        <v>Capo d’anno</v>
      </c>
      <c r="H106" s="22" t="str">
        <f>IF(INDEX(Feiertagsregeln!$G$7:$G$198,MATCH($K106,Feiertagsregeln!$A$7:$A$198,0))="","Noch zu erfassen",INDEX(Feiertagsregeln!$G$7:$G$198,MATCH($K106,Feiertagsregeln!$A$7:$A$198,0)))</f>
        <v>Bumaun</v>
      </c>
      <c r="I106" s="11" t="str">
        <f>INDEX(Feiertagsregeln!$H$7:$H$198,MATCH($K106,Feiertagsregeln!$A$7:$A$198,0))</f>
        <v>publicHoliday</v>
      </c>
      <c r="J106" s="11" t="s">
        <v>69</v>
      </c>
      <c r="K106" s="11" t="s">
        <v>159</v>
      </c>
      <c r="L106" s="11" t="str">
        <f>INDEX(Feiertagsregeln!$Y$7:$Y$198,MATCH($K106,Feiertagsregeln!$A$7:$A$198,0))</f>
        <v>SRC-TI-FEIERTAGE-843200</v>
      </c>
      <c r="M106" s="11" t="str">
        <f>INDEX(Feiertagsregeln!$Z$7:$Z$198,MATCH($K106,Feiertagsregeln!$A$7:$A$198,0))</f>
        <v>Art. 1</v>
      </c>
      <c r="N106" s="11" t="s">
        <v>160</v>
      </c>
      <c r="O106" s="11" t="str">
        <f>INDEX(Feiertagsregeln!$AA$7:$AA$198,MATCH($K106,Feiertagsregeln!$A$7:$A$198,0))</f>
        <v>Ganztägig</v>
      </c>
    </row>
    <row r="107" spans="1:15" ht="42" customHeight="1">
      <c r="A107" s="14">
        <f>INDEX(Feiertagsregeln!$X$7:$X$198,MATCH($K107,Feiertagsregeln!$A$7:$A$198,0))</f>
        <v>46393</v>
      </c>
      <c r="B107" s="10" t="str">
        <f t="shared" si="1"/>
        <v>Mittwoch</v>
      </c>
      <c r="C107" s="10" t="s">
        <v>157</v>
      </c>
      <c r="D107" s="10" t="s">
        <v>158</v>
      </c>
      <c r="E107" s="10" t="str">
        <f>INDEX(Feiertagsregeln!$D$7:$D$198,MATCH($K107,Feiertagsregeln!$A$7:$A$198,0))</f>
        <v>Heilige Drei Könige</v>
      </c>
      <c r="F107" s="10" t="str">
        <f>INDEX(Feiertagsregeln!$E$7:$E$198,MATCH($K107,Feiertagsregeln!$A$7:$A$198,0))</f>
        <v>Épiphanie</v>
      </c>
      <c r="G107" s="21" t="str">
        <f>IF(INDEX(Feiertagsregeln!$F$7:$F$198,MATCH($K107,Feiertagsregeln!$A$7:$A$198,0))="","Noch zu erfassen",INDEX(Feiertagsregeln!$F$7:$F$198,MATCH($K107,Feiertagsregeln!$A$7:$A$198,0)))</f>
        <v>Epifania</v>
      </c>
      <c r="H107" s="21" t="str">
        <f>IF(INDEX(Feiertagsregeln!$G$7:$G$198,MATCH($K107,Feiertagsregeln!$A$7:$A$198,0))="","Noch zu erfassen",INDEX(Feiertagsregeln!$G$7:$G$198,MATCH($K107,Feiertagsregeln!$A$7:$A$198,0)))</f>
        <v>Bavania</v>
      </c>
      <c r="I107" s="10" t="str">
        <f>INDEX(Feiertagsregeln!$H$7:$H$198,MATCH($K107,Feiertagsregeln!$A$7:$A$198,0))</f>
        <v>publicHoliday</v>
      </c>
      <c r="J107" s="10" t="s">
        <v>69</v>
      </c>
      <c r="K107" s="10" t="s">
        <v>161</v>
      </c>
      <c r="L107" s="10" t="str">
        <f>INDEX(Feiertagsregeln!$Y$7:$Y$198,MATCH($K107,Feiertagsregeln!$A$7:$A$198,0))</f>
        <v>SRC-TI-FEIERTAGE-843200</v>
      </c>
      <c r="M107" s="10" t="str">
        <f>INDEX(Feiertagsregeln!$Z$7:$Z$198,MATCH($K107,Feiertagsregeln!$A$7:$A$198,0))</f>
        <v>Art. 1</v>
      </c>
      <c r="N107" s="10" t="s">
        <v>162</v>
      </c>
      <c r="O107" s="10" t="str">
        <f>INDEX(Feiertagsregeln!$AA$7:$AA$198,MATCH($K107,Feiertagsregeln!$A$7:$A$198,0))</f>
        <v>Ganztägig</v>
      </c>
    </row>
    <row r="108" spans="1:15" ht="42" customHeight="1">
      <c r="A108" s="15">
        <f>INDEX(Feiertagsregeln!$X$7:$X$198,MATCH($K108,Feiertagsregeln!$A$7:$A$198,0))</f>
        <v>46465</v>
      </c>
      <c r="B108" s="11" t="str">
        <f t="shared" si="1"/>
        <v>Freitag</v>
      </c>
      <c r="C108" s="11" t="s">
        <v>157</v>
      </c>
      <c r="D108" s="11" t="s">
        <v>158</v>
      </c>
      <c r="E108" s="11" t="str">
        <f>INDEX(Feiertagsregeln!$D$7:$D$198,MATCH($K108,Feiertagsregeln!$A$7:$A$198,0))</f>
        <v>Josefstag</v>
      </c>
      <c r="F108" s="11" t="str">
        <f>INDEX(Feiertagsregeln!$E$7:$E$198,MATCH($K108,Feiertagsregeln!$A$7:$A$198,0))</f>
        <v>Saint-Joseph</v>
      </c>
      <c r="G108" s="22" t="str">
        <f>IF(INDEX(Feiertagsregeln!$F$7:$F$198,MATCH($K108,Feiertagsregeln!$A$7:$A$198,0))="","Noch zu erfassen",INDEX(Feiertagsregeln!$F$7:$F$198,MATCH($K108,Feiertagsregeln!$A$7:$A$198,0)))</f>
        <v>San Giuseppe</v>
      </c>
      <c r="H108" s="22" t="str">
        <f>IF(INDEX(Feiertagsregeln!$G$7:$G$198,MATCH($K108,Feiertagsregeln!$A$7:$A$198,0))="","Noch zu erfassen",INDEX(Feiertagsregeln!$G$7:$G$198,MATCH($K108,Feiertagsregeln!$A$7:$A$198,0)))</f>
        <v>Son Giusep</v>
      </c>
      <c r="I108" s="11" t="str">
        <f>INDEX(Feiertagsregeln!$H$7:$H$198,MATCH($K108,Feiertagsregeln!$A$7:$A$198,0))</f>
        <v>publicHoliday</v>
      </c>
      <c r="J108" s="11" t="s">
        <v>69</v>
      </c>
      <c r="K108" s="11" t="s">
        <v>163</v>
      </c>
      <c r="L108" s="11" t="str">
        <f>INDEX(Feiertagsregeln!$Y$7:$Y$198,MATCH($K108,Feiertagsregeln!$A$7:$A$198,0))</f>
        <v>SRC-TI-FEIERTAGE-843200</v>
      </c>
      <c r="M108" s="11" t="str">
        <f>INDEX(Feiertagsregeln!$Z$7:$Z$198,MATCH($K108,Feiertagsregeln!$A$7:$A$198,0))</f>
        <v>Art. 1</v>
      </c>
      <c r="N108" s="11" t="s">
        <v>162</v>
      </c>
      <c r="O108" s="11" t="str">
        <f>INDEX(Feiertagsregeln!$AA$7:$AA$198,MATCH($K108,Feiertagsregeln!$A$7:$A$198,0))</f>
        <v>Ganztägig</v>
      </c>
    </row>
    <row r="109" spans="1:15" ht="42" customHeight="1">
      <c r="A109" s="14">
        <f>INDEX(Feiertagsregeln!$X$7:$X$198,MATCH($K109,Feiertagsregeln!$A$7:$A$198,0))</f>
        <v>46475</v>
      </c>
      <c r="B109" s="10" t="str">
        <f t="shared" si="1"/>
        <v>Montag</v>
      </c>
      <c r="C109" s="10" t="s">
        <v>157</v>
      </c>
      <c r="D109" s="10" t="s">
        <v>158</v>
      </c>
      <c r="E109" s="10" t="str">
        <f>INDEX(Feiertagsregeln!$D$7:$D$198,MATCH($K109,Feiertagsregeln!$A$7:$A$198,0))</f>
        <v>Ostermontag</v>
      </c>
      <c r="F109" s="10" t="str">
        <f>INDEX(Feiertagsregeln!$E$7:$E$198,MATCH($K109,Feiertagsregeln!$A$7:$A$198,0))</f>
        <v>Lundi de Pâques</v>
      </c>
      <c r="G109" s="21" t="str">
        <f>IF(INDEX(Feiertagsregeln!$F$7:$F$198,MATCH($K109,Feiertagsregeln!$A$7:$A$198,0))="","Noch zu erfassen",INDEX(Feiertagsregeln!$F$7:$F$198,MATCH($K109,Feiertagsregeln!$A$7:$A$198,0)))</f>
        <v>Lunedì di Pasqua</v>
      </c>
      <c r="H109" s="21" t="str">
        <f>IF(INDEX(Feiertagsregeln!$G$7:$G$198,MATCH($K109,Feiertagsregeln!$A$7:$A$198,0))="","Noch zu erfassen",INDEX(Feiertagsregeln!$G$7:$G$198,MATCH($K109,Feiertagsregeln!$A$7:$A$198,0)))</f>
        <v>Glindesdi da Pasca</v>
      </c>
      <c r="I109" s="10" t="str">
        <f>INDEX(Feiertagsregeln!$H$7:$H$198,MATCH($K109,Feiertagsregeln!$A$7:$A$198,0))</f>
        <v>publicHoliday</v>
      </c>
      <c r="J109" s="10" t="s">
        <v>69</v>
      </c>
      <c r="K109" s="10" t="s">
        <v>164</v>
      </c>
      <c r="L109" s="10" t="str">
        <f>INDEX(Feiertagsregeln!$Y$7:$Y$198,MATCH($K109,Feiertagsregeln!$A$7:$A$198,0))</f>
        <v>SRC-TI-FEIERTAGE-843200</v>
      </c>
      <c r="M109" s="10" t="str">
        <f>INDEX(Feiertagsregeln!$Z$7:$Z$198,MATCH($K109,Feiertagsregeln!$A$7:$A$198,0))</f>
        <v>Art. 1</v>
      </c>
      <c r="N109" s="10" t="s">
        <v>160</v>
      </c>
      <c r="O109" s="10" t="str">
        <f>INDEX(Feiertagsregeln!$AA$7:$AA$198,MATCH($K109,Feiertagsregeln!$A$7:$A$198,0))</f>
        <v>Ganztägig</v>
      </c>
    </row>
    <row r="110" spans="1:15" ht="42" customHeight="1">
      <c r="A110" s="15">
        <f>INDEX(Feiertagsregeln!$X$7:$X$198,MATCH($K110,Feiertagsregeln!$A$7:$A$198,0))</f>
        <v>46508</v>
      </c>
      <c r="B110" s="11" t="str">
        <f t="shared" si="1"/>
        <v>Samstag</v>
      </c>
      <c r="C110" s="11" t="s">
        <v>157</v>
      </c>
      <c r="D110" s="11" t="s">
        <v>158</v>
      </c>
      <c r="E110" s="11" t="str">
        <f>INDEX(Feiertagsregeln!$D$7:$D$198,MATCH($K110,Feiertagsregeln!$A$7:$A$198,0))</f>
        <v>Tag der Arbeit (1. Mai)</v>
      </c>
      <c r="F110" s="11" t="str">
        <f>INDEX(Feiertagsregeln!$E$7:$E$198,MATCH($K110,Feiertagsregeln!$A$7:$A$198,0))</f>
        <v>Fête du travail (1er mai)</v>
      </c>
      <c r="G110" s="22" t="str">
        <f>IF(INDEX(Feiertagsregeln!$F$7:$F$198,MATCH($K110,Feiertagsregeln!$A$7:$A$198,0))="","Noch zu erfassen",INDEX(Feiertagsregeln!$F$7:$F$198,MATCH($K110,Feiertagsregeln!$A$7:$A$198,0)))</f>
        <v>Primo maggio</v>
      </c>
      <c r="H110" s="22" t="str">
        <f>IF(INDEX(Feiertagsregeln!$G$7:$G$198,MATCH($K110,Feiertagsregeln!$A$7:$A$198,0))="","Noch zu erfassen",INDEX(Feiertagsregeln!$G$7:$G$198,MATCH($K110,Feiertagsregeln!$A$7:$A$198,0)))</f>
        <v>Di da la lavur (1. da matg)</v>
      </c>
      <c r="I110" s="11" t="str">
        <f>INDEX(Feiertagsregeln!$H$7:$H$198,MATCH($K110,Feiertagsregeln!$A$7:$A$198,0))</f>
        <v>publicHoliday</v>
      </c>
      <c r="J110" s="11" t="s">
        <v>69</v>
      </c>
      <c r="K110" s="11" t="s">
        <v>165</v>
      </c>
      <c r="L110" s="11" t="str">
        <f>INDEX(Feiertagsregeln!$Y$7:$Y$198,MATCH($K110,Feiertagsregeln!$A$7:$A$198,0))</f>
        <v>SRC-TI-FEIERTAGE-843200</v>
      </c>
      <c r="M110" s="11" t="str">
        <f>INDEX(Feiertagsregeln!$Z$7:$Z$198,MATCH($K110,Feiertagsregeln!$A$7:$A$198,0))</f>
        <v>Art. 1</v>
      </c>
      <c r="N110" s="11" t="s">
        <v>162</v>
      </c>
      <c r="O110" s="11" t="str">
        <f>INDEX(Feiertagsregeln!$AA$7:$AA$198,MATCH($K110,Feiertagsregeln!$A$7:$A$198,0))</f>
        <v>Ganztägig</v>
      </c>
    </row>
    <row r="111" spans="1:15" ht="42" customHeight="1">
      <c r="A111" s="14">
        <f>INDEX(Feiertagsregeln!$X$7:$X$198,MATCH($K111,Feiertagsregeln!$A$7:$A$198,0))</f>
        <v>46513</v>
      </c>
      <c r="B111" s="10" t="str">
        <f t="shared" si="1"/>
        <v>Donnerstag</v>
      </c>
      <c r="C111" s="10" t="s">
        <v>157</v>
      </c>
      <c r="D111" s="10" t="s">
        <v>158</v>
      </c>
      <c r="E111" s="10" t="str">
        <f>INDEX(Feiertagsregeln!$D$7:$D$198,MATCH($K111,Feiertagsregeln!$A$7:$A$198,0))</f>
        <v>Auffahrt</v>
      </c>
      <c r="F111" s="10" t="str">
        <f>INDEX(Feiertagsregeln!$E$7:$E$198,MATCH($K111,Feiertagsregeln!$A$7:$A$198,0))</f>
        <v>Ascension</v>
      </c>
      <c r="G111" s="21" t="str">
        <f>IF(INDEX(Feiertagsregeln!$F$7:$F$198,MATCH($K111,Feiertagsregeln!$A$7:$A$198,0))="","Noch zu erfassen",INDEX(Feiertagsregeln!$F$7:$F$198,MATCH($K111,Feiertagsregeln!$A$7:$A$198,0)))</f>
        <v>Ascensione</v>
      </c>
      <c r="H111" s="21" t="str">
        <f>IF(INDEX(Feiertagsregeln!$G$7:$G$198,MATCH($K111,Feiertagsregeln!$A$7:$A$198,0))="","Noch zu erfassen",INDEX(Feiertagsregeln!$G$7:$G$198,MATCH($K111,Feiertagsregeln!$A$7:$A$198,0)))</f>
        <v>Ascensiun</v>
      </c>
      <c r="I111" s="10" t="str">
        <f>INDEX(Feiertagsregeln!$H$7:$H$198,MATCH($K111,Feiertagsregeln!$A$7:$A$198,0))</f>
        <v>publicHoliday</v>
      </c>
      <c r="J111" s="10" t="s">
        <v>69</v>
      </c>
      <c r="K111" s="10" t="s">
        <v>166</v>
      </c>
      <c r="L111" s="10" t="str">
        <f>INDEX(Feiertagsregeln!$Y$7:$Y$198,MATCH($K111,Feiertagsregeln!$A$7:$A$198,0))</f>
        <v>SRC-TI-FEIERTAGE-843200</v>
      </c>
      <c r="M111" s="10" t="str">
        <f>INDEX(Feiertagsregeln!$Z$7:$Z$198,MATCH($K111,Feiertagsregeln!$A$7:$A$198,0))</f>
        <v>Art. 1</v>
      </c>
      <c r="N111" s="10" t="s">
        <v>160</v>
      </c>
      <c r="O111" s="10" t="str">
        <f>INDEX(Feiertagsregeln!$AA$7:$AA$198,MATCH($K111,Feiertagsregeln!$A$7:$A$198,0))</f>
        <v>Ganztägig</v>
      </c>
    </row>
    <row r="112" spans="1:15" ht="42" customHeight="1">
      <c r="A112" s="15">
        <f>INDEX(Feiertagsregeln!$X$7:$X$198,MATCH($K112,Feiertagsregeln!$A$7:$A$198,0))</f>
        <v>46524</v>
      </c>
      <c r="B112" s="11" t="str">
        <f t="shared" si="1"/>
        <v>Montag</v>
      </c>
      <c r="C112" s="11" t="s">
        <v>157</v>
      </c>
      <c r="D112" s="11" t="s">
        <v>158</v>
      </c>
      <c r="E112" s="11" t="str">
        <f>INDEX(Feiertagsregeln!$D$7:$D$198,MATCH($K112,Feiertagsregeln!$A$7:$A$198,0))</f>
        <v>Pfingstmontag</v>
      </c>
      <c r="F112" s="11" t="str">
        <f>INDEX(Feiertagsregeln!$E$7:$E$198,MATCH($K112,Feiertagsregeln!$A$7:$A$198,0))</f>
        <v>Lundi de Pentecôte</v>
      </c>
      <c r="G112" s="22" t="str">
        <f>IF(INDEX(Feiertagsregeln!$F$7:$F$198,MATCH($K112,Feiertagsregeln!$A$7:$A$198,0))="","Noch zu erfassen",INDEX(Feiertagsregeln!$F$7:$F$198,MATCH($K112,Feiertagsregeln!$A$7:$A$198,0)))</f>
        <v>Lunedì di Pentecoste</v>
      </c>
      <c r="H112" s="22" t="str">
        <f>IF(INDEX(Feiertagsregeln!$G$7:$G$198,MATCH($K112,Feiertagsregeln!$A$7:$A$198,0))="","Noch zu erfassen",INDEX(Feiertagsregeln!$G$7:$G$198,MATCH($K112,Feiertagsregeln!$A$7:$A$198,0)))</f>
        <v>Glindesdi da Tschuncaisma</v>
      </c>
      <c r="I112" s="11" t="str">
        <f>INDEX(Feiertagsregeln!$H$7:$H$198,MATCH($K112,Feiertagsregeln!$A$7:$A$198,0))</f>
        <v>publicHoliday</v>
      </c>
      <c r="J112" s="11" t="s">
        <v>69</v>
      </c>
      <c r="K112" s="11" t="s">
        <v>167</v>
      </c>
      <c r="L112" s="11" t="str">
        <f>INDEX(Feiertagsregeln!$Y$7:$Y$198,MATCH($K112,Feiertagsregeln!$A$7:$A$198,0))</f>
        <v>SRC-TI-FEIERTAGE-843200</v>
      </c>
      <c r="M112" s="11" t="str">
        <f>INDEX(Feiertagsregeln!$Z$7:$Z$198,MATCH($K112,Feiertagsregeln!$A$7:$A$198,0))</f>
        <v>Art. 1</v>
      </c>
      <c r="N112" s="11" t="s">
        <v>160</v>
      </c>
      <c r="O112" s="11" t="str">
        <f>INDEX(Feiertagsregeln!$AA$7:$AA$198,MATCH($K112,Feiertagsregeln!$A$7:$A$198,0))</f>
        <v>Ganztägig</v>
      </c>
    </row>
    <row r="113" spans="1:15" ht="42" customHeight="1">
      <c r="A113" s="14">
        <f>INDEX(Feiertagsregeln!$X$7:$X$198,MATCH($K113,Feiertagsregeln!$A$7:$A$198,0))</f>
        <v>46534</v>
      </c>
      <c r="B113" s="10" t="str">
        <f t="shared" si="1"/>
        <v>Donnerstag</v>
      </c>
      <c r="C113" s="10" t="s">
        <v>157</v>
      </c>
      <c r="D113" s="10" t="s">
        <v>158</v>
      </c>
      <c r="E113" s="10" t="str">
        <f>INDEX(Feiertagsregeln!$D$7:$D$198,MATCH($K113,Feiertagsregeln!$A$7:$A$198,0))</f>
        <v>Fronleichnam</v>
      </c>
      <c r="F113" s="10" t="str">
        <f>INDEX(Feiertagsregeln!$E$7:$E$198,MATCH($K113,Feiertagsregeln!$A$7:$A$198,0))</f>
        <v>Fête-Dieu</v>
      </c>
      <c r="G113" s="21" t="str">
        <f>IF(INDEX(Feiertagsregeln!$F$7:$F$198,MATCH($K113,Feiertagsregeln!$A$7:$A$198,0))="","Noch zu erfassen",INDEX(Feiertagsregeln!$F$7:$F$198,MATCH($K113,Feiertagsregeln!$A$7:$A$198,0)))</f>
        <v>Corpus Domini</v>
      </c>
      <c r="H113" s="21" t="str">
        <f>IF(INDEX(Feiertagsregeln!$G$7:$G$198,MATCH($K113,Feiertagsregeln!$A$7:$A$198,0))="","Noch zu erfassen",INDEX(Feiertagsregeln!$G$7:$G$198,MATCH($K113,Feiertagsregeln!$A$7:$A$198,0)))</f>
        <v>Sontgilcrest</v>
      </c>
      <c r="I113" s="10" t="str">
        <f>INDEX(Feiertagsregeln!$H$7:$H$198,MATCH($K113,Feiertagsregeln!$A$7:$A$198,0))</f>
        <v>publicHoliday</v>
      </c>
      <c r="J113" s="10" t="s">
        <v>69</v>
      </c>
      <c r="K113" s="10" t="s">
        <v>168</v>
      </c>
      <c r="L113" s="10" t="str">
        <f>INDEX(Feiertagsregeln!$Y$7:$Y$198,MATCH($K113,Feiertagsregeln!$A$7:$A$198,0))</f>
        <v>SRC-TI-FEIERTAGE-843200</v>
      </c>
      <c r="M113" s="10" t="str">
        <f>INDEX(Feiertagsregeln!$Z$7:$Z$198,MATCH($K113,Feiertagsregeln!$A$7:$A$198,0))</f>
        <v>Art. 1</v>
      </c>
      <c r="N113" s="10" t="s">
        <v>162</v>
      </c>
      <c r="O113" s="10" t="str">
        <f>INDEX(Feiertagsregeln!$AA$7:$AA$198,MATCH($K113,Feiertagsregeln!$A$7:$A$198,0))</f>
        <v>Ganztägig</v>
      </c>
    </row>
    <row r="114" spans="1:15" ht="42" customHeight="1">
      <c r="A114" s="15">
        <f>INDEX(Feiertagsregeln!$X$7:$X$198,MATCH($K114,Feiertagsregeln!$A$7:$A$198,0))</f>
        <v>46567</v>
      </c>
      <c r="B114" s="11" t="str">
        <f t="shared" si="1"/>
        <v>Dienstag</v>
      </c>
      <c r="C114" s="11" t="s">
        <v>157</v>
      </c>
      <c r="D114" s="11" t="s">
        <v>158</v>
      </c>
      <c r="E114" s="11" t="str">
        <f>INDEX(Feiertagsregeln!$D$7:$D$198,MATCH($K114,Feiertagsregeln!$A$7:$A$198,0))</f>
        <v>Peter und Paul</v>
      </c>
      <c r="F114" s="11" t="str">
        <f>INDEX(Feiertagsregeln!$E$7:$E$198,MATCH($K114,Feiertagsregeln!$A$7:$A$198,0))</f>
        <v>Saints Pierre et Paul</v>
      </c>
      <c r="G114" s="22" t="str">
        <f>IF(INDEX(Feiertagsregeln!$F$7:$F$198,MATCH($K114,Feiertagsregeln!$A$7:$A$198,0))="","Noch zu erfassen",INDEX(Feiertagsregeln!$F$7:$F$198,MATCH($K114,Feiertagsregeln!$A$7:$A$198,0)))</f>
        <v>San Pietro e Paolo</v>
      </c>
      <c r="H114" s="22" t="str">
        <f>IF(INDEX(Feiertagsregeln!$G$7:$G$198,MATCH($K114,Feiertagsregeln!$A$7:$A$198,0))="","Noch zu erfassen",INDEX(Feiertagsregeln!$G$7:$G$198,MATCH($K114,Feiertagsregeln!$A$7:$A$198,0)))</f>
        <v>Son Peder e son Paul</v>
      </c>
      <c r="I114" s="11" t="str">
        <f>INDEX(Feiertagsregeln!$H$7:$H$198,MATCH($K114,Feiertagsregeln!$A$7:$A$198,0))</f>
        <v>publicHoliday</v>
      </c>
      <c r="J114" s="11" t="s">
        <v>69</v>
      </c>
      <c r="K114" s="11" t="s">
        <v>169</v>
      </c>
      <c r="L114" s="11" t="str">
        <f>INDEX(Feiertagsregeln!$Y$7:$Y$198,MATCH($K114,Feiertagsregeln!$A$7:$A$198,0))</f>
        <v>SRC-TI-FEIERTAGE-843200</v>
      </c>
      <c r="M114" s="11" t="str">
        <f>INDEX(Feiertagsregeln!$Z$7:$Z$198,MATCH($K114,Feiertagsregeln!$A$7:$A$198,0))</f>
        <v>Art. 1</v>
      </c>
      <c r="N114" s="11" t="s">
        <v>162</v>
      </c>
      <c r="O114" s="11" t="str">
        <f>INDEX(Feiertagsregeln!$AA$7:$AA$198,MATCH($K114,Feiertagsregeln!$A$7:$A$198,0))</f>
        <v>Ganztägig</v>
      </c>
    </row>
    <row r="115" spans="1:15" ht="42" customHeight="1">
      <c r="A115" s="14">
        <f>INDEX(Feiertagsregeln!$X$7:$X$198,MATCH($K115,Feiertagsregeln!$A$7:$A$198,0))</f>
        <v>46600</v>
      </c>
      <c r="B115" s="10" t="str">
        <f t="shared" si="1"/>
        <v>Sonntag</v>
      </c>
      <c r="C115" s="10" t="s">
        <v>157</v>
      </c>
      <c r="D115" s="10" t="s">
        <v>158</v>
      </c>
      <c r="E115" s="10" t="str">
        <f>INDEX(Feiertagsregeln!$D$7:$D$198,MATCH($K115,Feiertagsregeln!$A$7:$A$198,0))</f>
        <v>Bundesfeiertag</v>
      </c>
      <c r="F115" s="10" t="str">
        <f>INDEX(Feiertagsregeln!$E$7:$E$198,MATCH($K115,Feiertagsregeln!$A$7:$A$198,0))</f>
        <v>Fête nationale</v>
      </c>
      <c r="G115" s="21" t="str">
        <f>IF(INDEX(Feiertagsregeln!$F$7:$F$198,MATCH($K115,Feiertagsregeln!$A$7:$A$198,0))="","Noch zu erfassen",INDEX(Feiertagsregeln!$F$7:$F$198,MATCH($K115,Feiertagsregeln!$A$7:$A$198,0)))</f>
        <v>Primo agosto</v>
      </c>
      <c r="H115" s="21" t="str">
        <f>IF(INDEX(Feiertagsregeln!$G$7:$G$198,MATCH($K115,Feiertagsregeln!$A$7:$A$198,0))="","Noch zu erfassen",INDEX(Feiertagsregeln!$G$7:$G$198,MATCH($K115,Feiertagsregeln!$A$7:$A$198,0)))</f>
        <v>Festa naziunala svizra</v>
      </c>
      <c r="I115" s="10" t="str">
        <f>INDEX(Feiertagsregeln!$H$7:$H$198,MATCH($K115,Feiertagsregeln!$A$7:$A$198,0))</f>
        <v>publicHoliday</v>
      </c>
      <c r="J115" s="10" t="s">
        <v>69</v>
      </c>
      <c r="K115" s="10" t="s">
        <v>170</v>
      </c>
      <c r="L115" s="10" t="str">
        <f>INDEX(Feiertagsregeln!$Y$7:$Y$198,MATCH($K115,Feiertagsregeln!$A$7:$A$198,0))</f>
        <v>SRC-TI-FEIERTAGE-843200</v>
      </c>
      <c r="M115" s="10" t="str">
        <f>INDEX(Feiertagsregeln!$Z$7:$Z$198,MATCH($K115,Feiertagsregeln!$A$7:$A$198,0))</f>
        <v>Art. 1</v>
      </c>
      <c r="N115" s="10" t="s">
        <v>160</v>
      </c>
      <c r="O115" s="10" t="str">
        <f>INDEX(Feiertagsregeln!$AA$7:$AA$198,MATCH($K115,Feiertagsregeln!$A$7:$A$198,0))</f>
        <v>Ganztägig</v>
      </c>
    </row>
    <row r="116" spans="1:15" ht="42" customHeight="1">
      <c r="A116" s="15">
        <f>INDEX(Feiertagsregeln!$X$7:$X$198,MATCH($K116,Feiertagsregeln!$A$7:$A$198,0))</f>
        <v>46614</v>
      </c>
      <c r="B116" s="11" t="str">
        <f t="shared" si="1"/>
        <v>Sonntag</v>
      </c>
      <c r="C116" s="11" t="s">
        <v>157</v>
      </c>
      <c r="D116" s="11" t="s">
        <v>158</v>
      </c>
      <c r="E116" s="11" t="str">
        <f>INDEX(Feiertagsregeln!$D$7:$D$198,MATCH($K116,Feiertagsregeln!$A$7:$A$198,0))</f>
        <v>Mariä Himmelfahrt</v>
      </c>
      <c r="F116" s="11" t="str">
        <f>INDEX(Feiertagsregeln!$E$7:$E$198,MATCH($K116,Feiertagsregeln!$A$7:$A$198,0))</f>
        <v>Assomption</v>
      </c>
      <c r="G116" s="22" t="str">
        <f>IF(INDEX(Feiertagsregeln!$F$7:$F$198,MATCH($K116,Feiertagsregeln!$A$7:$A$198,0))="","Noch zu erfassen",INDEX(Feiertagsregeln!$F$7:$F$198,MATCH($K116,Feiertagsregeln!$A$7:$A$198,0)))</f>
        <v>Assunzione</v>
      </c>
      <c r="H116" s="22" t="str">
        <f>IF(INDEX(Feiertagsregeln!$G$7:$G$198,MATCH($K116,Feiertagsregeln!$A$7:$A$198,0))="","Noch zu erfassen",INDEX(Feiertagsregeln!$G$7:$G$198,MATCH($K116,Feiertagsregeln!$A$7:$A$198,0)))</f>
        <v>Nossadunna d’avust</v>
      </c>
      <c r="I116" s="11" t="str">
        <f>INDEX(Feiertagsregeln!$H$7:$H$198,MATCH($K116,Feiertagsregeln!$A$7:$A$198,0))</f>
        <v>publicHoliday</v>
      </c>
      <c r="J116" s="11" t="s">
        <v>69</v>
      </c>
      <c r="K116" s="11" t="s">
        <v>171</v>
      </c>
      <c r="L116" s="11" t="str">
        <f>INDEX(Feiertagsregeln!$Y$7:$Y$198,MATCH($K116,Feiertagsregeln!$A$7:$A$198,0))</f>
        <v>SRC-TI-FEIERTAGE-843200</v>
      </c>
      <c r="M116" s="11" t="str">
        <f>INDEX(Feiertagsregeln!$Z$7:$Z$198,MATCH($K116,Feiertagsregeln!$A$7:$A$198,0))</f>
        <v>Art. 1</v>
      </c>
      <c r="N116" s="11" t="s">
        <v>162</v>
      </c>
      <c r="O116" s="11" t="str">
        <f>INDEX(Feiertagsregeln!$AA$7:$AA$198,MATCH($K116,Feiertagsregeln!$A$7:$A$198,0))</f>
        <v>Ganztägig</v>
      </c>
    </row>
    <row r="117" spans="1:15" ht="42" customHeight="1">
      <c r="A117" s="14">
        <f>INDEX(Feiertagsregeln!$X$7:$X$198,MATCH($K117,Feiertagsregeln!$A$7:$A$198,0))</f>
        <v>46692</v>
      </c>
      <c r="B117" s="10" t="str">
        <f t="shared" si="1"/>
        <v>Montag</v>
      </c>
      <c r="C117" s="10" t="s">
        <v>157</v>
      </c>
      <c r="D117" s="10" t="s">
        <v>158</v>
      </c>
      <c r="E117" s="10" t="str">
        <f>INDEX(Feiertagsregeln!$D$7:$D$198,MATCH($K117,Feiertagsregeln!$A$7:$A$198,0))</f>
        <v>Allerheiligen</v>
      </c>
      <c r="F117" s="10" t="str">
        <f>INDEX(Feiertagsregeln!$E$7:$E$198,MATCH($K117,Feiertagsregeln!$A$7:$A$198,0))</f>
        <v>Toussaint</v>
      </c>
      <c r="G117" s="21" t="str">
        <f>IF(INDEX(Feiertagsregeln!$F$7:$F$198,MATCH($K117,Feiertagsregeln!$A$7:$A$198,0))="","Noch zu erfassen",INDEX(Feiertagsregeln!$F$7:$F$198,MATCH($K117,Feiertagsregeln!$A$7:$A$198,0)))</f>
        <v>Ognissanti</v>
      </c>
      <c r="H117" s="21" t="str">
        <f>IF(INDEX(Feiertagsregeln!$G$7:$G$198,MATCH($K117,Feiertagsregeln!$A$7:$A$198,0))="","Noch zu erfassen",INDEX(Feiertagsregeln!$G$7:$G$198,MATCH($K117,Feiertagsregeln!$A$7:$A$198,0)))</f>
        <v>Numnasontga</v>
      </c>
      <c r="I117" s="10" t="str">
        <f>INDEX(Feiertagsregeln!$H$7:$H$198,MATCH($K117,Feiertagsregeln!$A$7:$A$198,0))</f>
        <v>publicHoliday</v>
      </c>
      <c r="J117" s="10" t="s">
        <v>69</v>
      </c>
      <c r="K117" s="10" t="s">
        <v>172</v>
      </c>
      <c r="L117" s="10" t="str">
        <f>INDEX(Feiertagsregeln!$Y$7:$Y$198,MATCH($K117,Feiertagsregeln!$A$7:$A$198,0))</f>
        <v>SRC-TI-FEIERTAGE-843200</v>
      </c>
      <c r="M117" s="10" t="str">
        <f>INDEX(Feiertagsregeln!$Z$7:$Z$198,MATCH($K117,Feiertagsregeln!$A$7:$A$198,0))</f>
        <v>Art. 1</v>
      </c>
      <c r="N117" s="10" t="s">
        <v>162</v>
      </c>
      <c r="O117" s="10" t="str">
        <f>INDEX(Feiertagsregeln!$AA$7:$AA$198,MATCH($K117,Feiertagsregeln!$A$7:$A$198,0))</f>
        <v>Ganztägig</v>
      </c>
    </row>
    <row r="118" spans="1:15" ht="42" customHeight="1">
      <c r="A118" s="15">
        <f>INDEX(Feiertagsregeln!$X$7:$X$198,MATCH($K118,Feiertagsregeln!$A$7:$A$198,0))</f>
        <v>46729</v>
      </c>
      <c r="B118" s="11" t="str">
        <f t="shared" si="1"/>
        <v>Mittwoch</v>
      </c>
      <c r="C118" s="11" t="s">
        <v>157</v>
      </c>
      <c r="D118" s="11" t="s">
        <v>158</v>
      </c>
      <c r="E118" s="11" t="str">
        <f>INDEX(Feiertagsregeln!$D$7:$D$198,MATCH($K118,Feiertagsregeln!$A$7:$A$198,0))</f>
        <v>Mariä Empfängnis</v>
      </c>
      <c r="F118" s="11" t="str">
        <f>INDEX(Feiertagsregeln!$E$7:$E$198,MATCH($K118,Feiertagsregeln!$A$7:$A$198,0))</f>
        <v>Immaculée Conception</v>
      </c>
      <c r="G118" s="22" t="str">
        <f>IF(INDEX(Feiertagsregeln!$F$7:$F$198,MATCH($K118,Feiertagsregeln!$A$7:$A$198,0))="","Noch zu erfassen",INDEX(Feiertagsregeln!$F$7:$F$198,MATCH($K118,Feiertagsregeln!$A$7:$A$198,0)))</f>
        <v>Immacolata</v>
      </c>
      <c r="H118" s="22" t="str">
        <f>IF(INDEX(Feiertagsregeln!$G$7:$G$198,MATCH($K118,Feiertagsregeln!$A$7:$A$198,0))="","Noch zu erfassen",INDEX(Feiertagsregeln!$G$7:$G$198,MATCH($K118,Feiertagsregeln!$A$7:$A$198,0)))</f>
        <v>Immaculada concepziun da Maria</v>
      </c>
      <c r="I118" s="11" t="str">
        <f>INDEX(Feiertagsregeln!$H$7:$H$198,MATCH($K118,Feiertagsregeln!$A$7:$A$198,0))</f>
        <v>publicHoliday</v>
      </c>
      <c r="J118" s="11" t="s">
        <v>69</v>
      </c>
      <c r="K118" s="11" t="s">
        <v>173</v>
      </c>
      <c r="L118" s="11" t="str">
        <f>INDEX(Feiertagsregeln!$Y$7:$Y$198,MATCH($K118,Feiertagsregeln!$A$7:$A$198,0))</f>
        <v>SRC-TI-FEIERTAGE-843200</v>
      </c>
      <c r="M118" s="11" t="str">
        <f>INDEX(Feiertagsregeln!$Z$7:$Z$198,MATCH($K118,Feiertagsregeln!$A$7:$A$198,0))</f>
        <v>Art. 1</v>
      </c>
      <c r="N118" s="11" t="s">
        <v>162</v>
      </c>
      <c r="O118" s="11" t="str">
        <f>INDEX(Feiertagsregeln!$AA$7:$AA$198,MATCH($K118,Feiertagsregeln!$A$7:$A$198,0))</f>
        <v>Ganztägig</v>
      </c>
    </row>
    <row r="119" spans="1:15" ht="42" customHeight="1">
      <c r="A119" s="14">
        <f>INDEX(Feiertagsregeln!$X$7:$X$198,MATCH($K119,Feiertagsregeln!$A$7:$A$198,0))</f>
        <v>46746</v>
      </c>
      <c r="B119" s="10" t="str">
        <f t="shared" si="1"/>
        <v>Samstag</v>
      </c>
      <c r="C119" s="10" t="s">
        <v>157</v>
      </c>
      <c r="D119" s="10" t="s">
        <v>158</v>
      </c>
      <c r="E119" s="10" t="str">
        <f>INDEX(Feiertagsregeln!$D$7:$D$198,MATCH($K119,Feiertagsregeln!$A$7:$A$198,0))</f>
        <v>Weihnachten</v>
      </c>
      <c r="F119" s="10" t="str">
        <f>INDEX(Feiertagsregeln!$E$7:$E$198,MATCH($K119,Feiertagsregeln!$A$7:$A$198,0))</f>
        <v>Noël</v>
      </c>
      <c r="G119" s="21" t="str">
        <f>IF(INDEX(Feiertagsregeln!$F$7:$F$198,MATCH($K119,Feiertagsregeln!$A$7:$A$198,0))="","Noch zu erfassen",INDEX(Feiertagsregeln!$F$7:$F$198,MATCH($K119,Feiertagsregeln!$A$7:$A$198,0)))</f>
        <v>Natale</v>
      </c>
      <c r="H119" s="21" t="str">
        <f>IF(INDEX(Feiertagsregeln!$G$7:$G$198,MATCH($K119,Feiertagsregeln!$A$7:$A$198,0))="","Noch zu erfassen",INDEX(Feiertagsregeln!$G$7:$G$198,MATCH($K119,Feiertagsregeln!$A$7:$A$198,0)))</f>
        <v>Di da Nadal</v>
      </c>
      <c r="I119" s="10" t="str">
        <f>INDEX(Feiertagsregeln!$H$7:$H$198,MATCH($K119,Feiertagsregeln!$A$7:$A$198,0))</f>
        <v>publicHoliday</v>
      </c>
      <c r="J119" s="10" t="s">
        <v>69</v>
      </c>
      <c r="K119" s="10" t="s">
        <v>174</v>
      </c>
      <c r="L119" s="10" t="str">
        <f>INDEX(Feiertagsregeln!$Y$7:$Y$198,MATCH($K119,Feiertagsregeln!$A$7:$A$198,0))</f>
        <v>SRC-TI-FEIERTAGE-843200</v>
      </c>
      <c r="M119" s="10" t="str">
        <f>INDEX(Feiertagsregeln!$Z$7:$Z$198,MATCH($K119,Feiertagsregeln!$A$7:$A$198,0))</f>
        <v>Art. 1</v>
      </c>
      <c r="N119" s="10" t="s">
        <v>160</v>
      </c>
      <c r="O119" s="10" t="str">
        <f>INDEX(Feiertagsregeln!$AA$7:$AA$198,MATCH($K119,Feiertagsregeln!$A$7:$A$198,0))</f>
        <v>Ganztägig</v>
      </c>
    </row>
    <row r="120" spans="1:15" ht="42" customHeight="1">
      <c r="A120" s="15">
        <f>INDEX(Feiertagsregeln!$X$7:$X$198,MATCH($K120,Feiertagsregeln!$A$7:$A$198,0))</f>
        <v>46747</v>
      </c>
      <c r="B120" s="11" t="str">
        <f t="shared" si="1"/>
        <v>Sonntag</v>
      </c>
      <c r="C120" s="11" t="s">
        <v>157</v>
      </c>
      <c r="D120" s="11" t="s">
        <v>158</v>
      </c>
      <c r="E120" s="11" t="str">
        <f>INDEX(Feiertagsregeln!$D$7:$D$198,MATCH($K120,Feiertagsregeln!$A$7:$A$198,0))</f>
        <v>Stephanstag</v>
      </c>
      <c r="F120" s="11" t="str">
        <f>INDEX(Feiertagsregeln!$E$7:$E$198,MATCH($K120,Feiertagsregeln!$A$7:$A$198,0))</f>
        <v>Saint-Étienne</v>
      </c>
      <c r="G120" s="22" t="str">
        <f>IF(INDEX(Feiertagsregeln!$F$7:$F$198,MATCH($K120,Feiertagsregeln!$A$7:$A$198,0))="","Noch zu erfassen",INDEX(Feiertagsregeln!$F$7:$F$198,MATCH($K120,Feiertagsregeln!$A$7:$A$198,0)))</f>
        <v>Santo Stefano</v>
      </c>
      <c r="H120" s="22" t="str">
        <f>IF(INDEX(Feiertagsregeln!$G$7:$G$198,MATCH($K120,Feiertagsregeln!$A$7:$A$198,0))="","Noch zu erfassen",INDEX(Feiertagsregeln!$G$7:$G$198,MATCH($K120,Feiertagsregeln!$A$7:$A$198,0)))</f>
        <v>Son Steffan</v>
      </c>
      <c r="I120" s="11" t="str">
        <f>INDEX(Feiertagsregeln!$H$7:$H$198,MATCH($K120,Feiertagsregeln!$A$7:$A$198,0))</f>
        <v>publicHoliday</v>
      </c>
      <c r="J120" s="11" t="s">
        <v>69</v>
      </c>
      <c r="K120" s="11" t="s">
        <v>175</v>
      </c>
      <c r="L120" s="11" t="str">
        <f>INDEX(Feiertagsregeln!$Y$7:$Y$198,MATCH($K120,Feiertagsregeln!$A$7:$A$198,0))</f>
        <v>SRC-TI-FEIERTAGE-843200</v>
      </c>
      <c r="M120" s="11" t="str">
        <f>INDEX(Feiertagsregeln!$Z$7:$Z$198,MATCH($K120,Feiertagsregeln!$A$7:$A$198,0))</f>
        <v>Art. 1</v>
      </c>
      <c r="N120" s="11" t="s">
        <v>160</v>
      </c>
      <c r="O120" s="11" t="str">
        <f>INDEX(Feiertagsregeln!$AA$7:$AA$198,MATCH($K120,Feiertagsregeln!$A$7:$A$198,0))</f>
        <v>Ganztägig</v>
      </c>
    </row>
    <row r="121" spans="1:15" ht="42" customHeight="1">
      <c r="A121" s="14">
        <f>INDEX(Feiertagsregeln!$X$7:$X$198,MATCH($K121,Feiertagsregeln!$A$7:$A$198,0))</f>
        <v>46388</v>
      </c>
      <c r="B121" s="10" t="str">
        <f t="shared" si="1"/>
        <v>Freitag</v>
      </c>
      <c r="C121" s="10" t="s">
        <v>176</v>
      </c>
      <c r="D121" s="10" t="s">
        <v>177</v>
      </c>
      <c r="E121" s="10" t="str">
        <f>INDEX(Feiertagsregeln!$D$7:$D$198,MATCH($K121,Feiertagsregeln!$A$7:$A$198,0))</f>
        <v>Neujahr</v>
      </c>
      <c r="F121" s="10" t="str">
        <f>INDEX(Feiertagsregeln!$E$7:$E$198,MATCH($K121,Feiertagsregeln!$A$7:$A$198,0))</f>
        <v>Nouvel An</v>
      </c>
      <c r="G121" s="21" t="str">
        <f>IF(INDEX(Feiertagsregeln!$F$7:$F$198,MATCH($K121,Feiertagsregeln!$A$7:$A$198,0))="","Noch zu erfassen",INDEX(Feiertagsregeln!$F$7:$F$198,MATCH($K121,Feiertagsregeln!$A$7:$A$198,0)))</f>
        <v>Capodanno</v>
      </c>
      <c r="H121" s="21" t="str">
        <f>IF(INDEX(Feiertagsregeln!$G$7:$G$198,MATCH($K121,Feiertagsregeln!$A$7:$A$198,0))="","Noch zu erfassen",INDEX(Feiertagsregeln!$G$7:$G$198,MATCH($K121,Feiertagsregeln!$A$7:$A$198,0)))</f>
        <v>Bumaun</v>
      </c>
      <c r="I121" s="10" t="str">
        <f>INDEX(Feiertagsregeln!$H$7:$H$198,MATCH($K121,Feiertagsregeln!$A$7:$A$198,0))</f>
        <v>publicHoliday</v>
      </c>
      <c r="J121" s="10" t="s">
        <v>69</v>
      </c>
      <c r="K121" s="10" t="s">
        <v>178</v>
      </c>
      <c r="L121" s="10" t="str">
        <f>INDEX(Feiertagsregeln!$Y$7:$Y$198,MATCH($K121,Feiertagsregeln!$A$7:$A$198,0))</f>
        <v>SRC-GR-RUHETAGE-520100-20160101</v>
      </c>
      <c r="M121" s="10" t="str">
        <f>INDEX(Feiertagsregeln!$Z$7:$Z$198,MATCH($K121,Feiertagsregeln!$A$7:$A$198,0))</f>
        <v>Art. 2 Abs. 1 Bst. b</v>
      </c>
      <c r="N121" s="10" t="s">
        <v>179</v>
      </c>
      <c r="O121" s="10" t="str">
        <f>INDEX(Feiertagsregeln!$AA$7:$AA$198,MATCH($K121,Feiertagsregeln!$A$7:$A$198,0))</f>
        <v>Ganztägig</v>
      </c>
    </row>
    <row r="122" spans="1:15" ht="42" customHeight="1">
      <c r="A122" s="15">
        <f>INDEX(Feiertagsregeln!$X$7:$X$198,MATCH($K122,Feiertagsregeln!$A$7:$A$198,0))</f>
        <v>46472</v>
      </c>
      <c r="B122" s="11" t="str">
        <f t="shared" si="1"/>
        <v>Freitag</v>
      </c>
      <c r="C122" s="11" t="s">
        <v>176</v>
      </c>
      <c r="D122" s="11" t="s">
        <v>177</v>
      </c>
      <c r="E122" s="11" t="str">
        <f>INDEX(Feiertagsregeln!$D$7:$D$198,MATCH($K122,Feiertagsregeln!$A$7:$A$198,0))</f>
        <v>Karfreitag</v>
      </c>
      <c r="F122" s="11" t="str">
        <f>INDEX(Feiertagsregeln!$E$7:$E$198,MATCH($K122,Feiertagsregeln!$A$7:$A$198,0))</f>
        <v>Vendredi saint</v>
      </c>
      <c r="G122" s="22" t="str">
        <f>IF(INDEX(Feiertagsregeln!$F$7:$F$198,MATCH($K122,Feiertagsregeln!$A$7:$A$198,0))="","Noch zu erfassen",INDEX(Feiertagsregeln!$F$7:$F$198,MATCH($K122,Feiertagsregeln!$A$7:$A$198,0)))</f>
        <v>Venerdì Santo</v>
      </c>
      <c r="H122" s="22" t="str">
        <f>IF(INDEX(Feiertagsregeln!$G$7:$G$198,MATCH($K122,Feiertagsregeln!$A$7:$A$198,0))="","Noch zu erfassen",INDEX(Feiertagsregeln!$G$7:$G$198,MATCH($K122,Feiertagsregeln!$A$7:$A$198,0)))</f>
        <v>Venderdi sontg</v>
      </c>
      <c r="I122" s="11" t="str">
        <f>INDEX(Feiertagsregeln!$H$7:$H$198,MATCH($K122,Feiertagsregeln!$A$7:$A$198,0))</f>
        <v>publicHoliday</v>
      </c>
      <c r="J122" s="11" t="s">
        <v>69</v>
      </c>
      <c r="K122" s="11" t="s">
        <v>180</v>
      </c>
      <c r="L122" s="11" t="str">
        <f>INDEX(Feiertagsregeln!$Y$7:$Y$198,MATCH($K122,Feiertagsregeln!$A$7:$A$198,0))</f>
        <v>SRC-GR-RUHETAGE-520100-20160101</v>
      </c>
      <c r="M122" s="11" t="str">
        <f>INDEX(Feiertagsregeln!$Z$7:$Z$198,MATCH($K122,Feiertagsregeln!$A$7:$A$198,0))</f>
        <v>Art. 2 Abs. 1 Bst. b und Abs. 2</v>
      </c>
      <c r="N122" s="11" t="s">
        <v>179</v>
      </c>
      <c r="O122" s="11" t="str">
        <f>INDEX(Feiertagsregeln!$AA$7:$AA$198,MATCH($K122,Feiertagsregeln!$A$7:$A$198,0))</f>
        <v>Ganztägig</v>
      </c>
    </row>
    <row r="123" spans="1:15" ht="42" customHeight="1">
      <c r="A123" s="14">
        <f>INDEX(Feiertagsregeln!$X$7:$X$198,MATCH($K123,Feiertagsregeln!$A$7:$A$198,0))</f>
        <v>46474</v>
      </c>
      <c r="B123" s="10" t="str">
        <f t="shared" si="1"/>
        <v>Sonntag</v>
      </c>
      <c r="C123" s="10" t="s">
        <v>176</v>
      </c>
      <c r="D123" s="10" t="s">
        <v>177</v>
      </c>
      <c r="E123" s="10" t="str">
        <f>INDEX(Feiertagsregeln!$D$7:$D$198,MATCH($K123,Feiertagsregeln!$A$7:$A$198,0))</f>
        <v>Ostersonntag</v>
      </c>
      <c r="F123" s="10" t="str">
        <f>INDEX(Feiertagsregeln!$E$7:$E$198,MATCH($K123,Feiertagsregeln!$A$7:$A$198,0))</f>
        <v>Pâques</v>
      </c>
      <c r="G123" s="21" t="str">
        <f>IF(INDEX(Feiertagsregeln!$F$7:$F$198,MATCH($K123,Feiertagsregeln!$A$7:$A$198,0))="","Noch zu erfassen",INDEX(Feiertagsregeln!$F$7:$F$198,MATCH($K123,Feiertagsregeln!$A$7:$A$198,0)))</f>
        <v>Domenica di Pasqua</v>
      </c>
      <c r="H123" s="21" t="str">
        <f>IF(INDEX(Feiertagsregeln!$G$7:$G$198,MATCH($K123,Feiertagsregeln!$A$7:$A$198,0))="","Noch zu erfassen",INDEX(Feiertagsregeln!$G$7:$G$198,MATCH($K123,Feiertagsregeln!$A$7:$A$198,0)))</f>
        <v>Dumengia da Pasca</v>
      </c>
      <c r="I123" s="10" t="str">
        <f>INDEX(Feiertagsregeln!$H$7:$H$198,MATCH($K123,Feiertagsregeln!$A$7:$A$198,0))</f>
        <v>publicHoliday</v>
      </c>
      <c r="J123" s="10" t="s">
        <v>69</v>
      </c>
      <c r="K123" s="10" t="s">
        <v>181</v>
      </c>
      <c r="L123" s="10" t="str">
        <f>INDEX(Feiertagsregeln!$Y$7:$Y$198,MATCH($K123,Feiertagsregeln!$A$7:$A$198,0))</f>
        <v>SRC-GR-RUHETAGE-520100-20160101</v>
      </c>
      <c r="M123" s="10" t="str">
        <f>INDEX(Feiertagsregeln!$Z$7:$Z$198,MATCH($K123,Feiertagsregeln!$A$7:$A$198,0))</f>
        <v>Art. 2 Abs. 2</v>
      </c>
      <c r="N123" s="10" t="s">
        <v>179</v>
      </c>
      <c r="O123" s="10" t="str">
        <f>INDEX(Feiertagsregeln!$AA$7:$AA$198,MATCH($K123,Feiertagsregeln!$A$7:$A$198,0))</f>
        <v>Ganztägig</v>
      </c>
    </row>
    <row r="124" spans="1:15" ht="42" customHeight="1">
      <c r="A124" s="15">
        <f>INDEX(Feiertagsregeln!$X$7:$X$198,MATCH($K124,Feiertagsregeln!$A$7:$A$198,0))</f>
        <v>46475</v>
      </c>
      <c r="B124" s="11" t="str">
        <f t="shared" si="1"/>
        <v>Montag</v>
      </c>
      <c r="C124" s="11" t="s">
        <v>176</v>
      </c>
      <c r="D124" s="11" t="s">
        <v>177</v>
      </c>
      <c r="E124" s="11" t="str">
        <f>INDEX(Feiertagsregeln!$D$7:$D$198,MATCH($K124,Feiertagsregeln!$A$7:$A$198,0))</f>
        <v>Ostermontag</v>
      </c>
      <c r="F124" s="11" t="str">
        <f>INDEX(Feiertagsregeln!$E$7:$E$198,MATCH($K124,Feiertagsregeln!$A$7:$A$198,0))</f>
        <v>Lundi de Pâques</v>
      </c>
      <c r="G124" s="22" t="str">
        <f>IF(INDEX(Feiertagsregeln!$F$7:$F$198,MATCH($K124,Feiertagsregeln!$A$7:$A$198,0))="","Noch zu erfassen",INDEX(Feiertagsregeln!$F$7:$F$198,MATCH($K124,Feiertagsregeln!$A$7:$A$198,0)))</f>
        <v>Lunedì di Pasqua</v>
      </c>
      <c r="H124" s="22" t="str">
        <f>IF(INDEX(Feiertagsregeln!$G$7:$G$198,MATCH($K124,Feiertagsregeln!$A$7:$A$198,0))="","Noch zu erfassen",INDEX(Feiertagsregeln!$G$7:$G$198,MATCH($K124,Feiertagsregeln!$A$7:$A$198,0)))</f>
        <v>Glindesdi da Pasca</v>
      </c>
      <c r="I124" s="11" t="str">
        <f>INDEX(Feiertagsregeln!$H$7:$H$198,MATCH($K124,Feiertagsregeln!$A$7:$A$198,0))</f>
        <v>publicHoliday</v>
      </c>
      <c r="J124" s="11" t="s">
        <v>69</v>
      </c>
      <c r="K124" s="11" t="s">
        <v>182</v>
      </c>
      <c r="L124" s="11" t="str">
        <f>INDEX(Feiertagsregeln!$Y$7:$Y$198,MATCH($K124,Feiertagsregeln!$A$7:$A$198,0))</f>
        <v>SRC-GR-RUHETAGE-520100-20160101</v>
      </c>
      <c r="M124" s="11" t="str">
        <f>INDEX(Feiertagsregeln!$Z$7:$Z$198,MATCH($K124,Feiertagsregeln!$A$7:$A$198,0))</f>
        <v>Art. 2 Abs. 1 Bst. b</v>
      </c>
      <c r="N124" s="11" t="s">
        <v>179</v>
      </c>
      <c r="O124" s="11" t="str">
        <f>INDEX(Feiertagsregeln!$AA$7:$AA$198,MATCH($K124,Feiertagsregeln!$A$7:$A$198,0))</f>
        <v>Ganztägig</v>
      </c>
    </row>
    <row r="125" spans="1:15" ht="42" customHeight="1">
      <c r="A125" s="14">
        <f>INDEX(Feiertagsregeln!$X$7:$X$198,MATCH($K125,Feiertagsregeln!$A$7:$A$198,0))</f>
        <v>46513</v>
      </c>
      <c r="B125" s="10" t="str">
        <f t="shared" si="1"/>
        <v>Donnerstag</v>
      </c>
      <c r="C125" s="10" t="s">
        <v>176</v>
      </c>
      <c r="D125" s="10" t="s">
        <v>177</v>
      </c>
      <c r="E125" s="10" t="str">
        <f>INDEX(Feiertagsregeln!$D$7:$D$198,MATCH($K125,Feiertagsregeln!$A$7:$A$198,0))</f>
        <v>Auffahrt</v>
      </c>
      <c r="F125" s="10" t="str">
        <f>INDEX(Feiertagsregeln!$E$7:$E$198,MATCH($K125,Feiertagsregeln!$A$7:$A$198,0))</f>
        <v>Ascension</v>
      </c>
      <c r="G125" s="21" t="str">
        <f>IF(INDEX(Feiertagsregeln!$F$7:$F$198,MATCH($K125,Feiertagsregeln!$A$7:$A$198,0))="","Noch zu erfassen",INDEX(Feiertagsregeln!$F$7:$F$198,MATCH($K125,Feiertagsregeln!$A$7:$A$198,0)))</f>
        <v>Ascensione</v>
      </c>
      <c r="H125" s="21" t="str">
        <f>IF(INDEX(Feiertagsregeln!$G$7:$G$198,MATCH($K125,Feiertagsregeln!$A$7:$A$198,0))="","Noch zu erfassen",INDEX(Feiertagsregeln!$G$7:$G$198,MATCH($K125,Feiertagsregeln!$A$7:$A$198,0)))</f>
        <v>Ascensiun</v>
      </c>
      <c r="I125" s="10" t="str">
        <f>INDEX(Feiertagsregeln!$H$7:$H$198,MATCH($K125,Feiertagsregeln!$A$7:$A$198,0))</f>
        <v>publicHoliday</v>
      </c>
      <c r="J125" s="10" t="s">
        <v>69</v>
      </c>
      <c r="K125" s="10" t="s">
        <v>183</v>
      </c>
      <c r="L125" s="10" t="str">
        <f>INDEX(Feiertagsregeln!$Y$7:$Y$198,MATCH($K125,Feiertagsregeln!$A$7:$A$198,0))</f>
        <v>SRC-GR-RUHETAGE-520100-20160101</v>
      </c>
      <c r="M125" s="10" t="str">
        <f>INDEX(Feiertagsregeln!$Z$7:$Z$198,MATCH($K125,Feiertagsregeln!$A$7:$A$198,0))</f>
        <v>Art. 2 Abs. 1 Bst. b</v>
      </c>
      <c r="N125" s="10" t="s">
        <v>179</v>
      </c>
      <c r="O125" s="10" t="str">
        <f>INDEX(Feiertagsregeln!$AA$7:$AA$198,MATCH($K125,Feiertagsregeln!$A$7:$A$198,0))</f>
        <v>Ganztägig</v>
      </c>
    </row>
    <row r="126" spans="1:15" ht="42" customHeight="1">
      <c r="A126" s="15">
        <f>INDEX(Feiertagsregeln!$X$7:$X$198,MATCH($K126,Feiertagsregeln!$A$7:$A$198,0))</f>
        <v>46523</v>
      </c>
      <c r="B126" s="11" t="str">
        <f t="shared" si="1"/>
        <v>Sonntag</v>
      </c>
      <c r="C126" s="11" t="s">
        <v>176</v>
      </c>
      <c r="D126" s="11" t="s">
        <v>177</v>
      </c>
      <c r="E126" s="11" t="str">
        <f>INDEX(Feiertagsregeln!$D$7:$D$198,MATCH($K126,Feiertagsregeln!$A$7:$A$198,0))</f>
        <v>Pfingstsonntag</v>
      </c>
      <c r="F126" s="11" t="str">
        <f>INDEX(Feiertagsregeln!$E$7:$E$198,MATCH($K126,Feiertagsregeln!$A$7:$A$198,0))</f>
        <v>Pentecôte</v>
      </c>
      <c r="G126" s="22" t="str">
        <f>IF(INDEX(Feiertagsregeln!$F$7:$F$198,MATCH($K126,Feiertagsregeln!$A$7:$A$198,0))="","Noch zu erfassen",INDEX(Feiertagsregeln!$F$7:$F$198,MATCH($K126,Feiertagsregeln!$A$7:$A$198,0)))</f>
        <v>Domenica di Pentecoste</v>
      </c>
      <c r="H126" s="22" t="str">
        <f>IF(INDEX(Feiertagsregeln!$G$7:$G$198,MATCH($K126,Feiertagsregeln!$A$7:$A$198,0))="","Noch zu erfassen",INDEX(Feiertagsregeln!$G$7:$G$198,MATCH($K126,Feiertagsregeln!$A$7:$A$198,0)))</f>
        <v>Dumengia da Tschuncaisma</v>
      </c>
      <c r="I126" s="11" t="str">
        <f>INDEX(Feiertagsregeln!$H$7:$H$198,MATCH($K126,Feiertagsregeln!$A$7:$A$198,0))</f>
        <v>publicHoliday</v>
      </c>
      <c r="J126" s="11" t="s">
        <v>69</v>
      </c>
      <c r="K126" s="11" t="s">
        <v>184</v>
      </c>
      <c r="L126" s="11" t="str">
        <f>INDEX(Feiertagsregeln!$Y$7:$Y$198,MATCH($K126,Feiertagsregeln!$A$7:$A$198,0))</f>
        <v>SRC-GR-RUHETAGE-520100-20160101</v>
      </c>
      <c r="M126" s="11" t="str">
        <f>INDEX(Feiertagsregeln!$Z$7:$Z$198,MATCH($K126,Feiertagsregeln!$A$7:$A$198,0))</f>
        <v>Art. 2 Abs. 2</v>
      </c>
      <c r="N126" s="11" t="s">
        <v>179</v>
      </c>
      <c r="O126" s="11" t="str">
        <f>INDEX(Feiertagsregeln!$AA$7:$AA$198,MATCH($K126,Feiertagsregeln!$A$7:$A$198,0))</f>
        <v>Ganztägig</v>
      </c>
    </row>
    <row r="127" spans="1:15" ht="42" customHeight="1">
      <c r="A127" s="14">
        <f>INDEX(Feiertagsregeln!$X$7:$X$198,MATCH($K127,Feiertagsregeln!$A$7:$A$198,0))</f>
        <v>46524</v>
      </c>
      <c r="B127" s="10" t="str">
        <f t="shared" si="1"/>
        <v>Montag</v>
      </c>
      <c r="C127" s="10" t="s">
        <v>176</v>
      </c>
      <c r="D127" s="10" t="s">
        <v>177</v>
      </c>
      <c r="E127" s="10" t="str">
        <f>INDEX(Feiertagsregeln!$D$7:$D$198,MATCH($K127,Feiertagsregeln!$A$7:$A$198,0))</f>
        <v>Pfingstmontag</v>
      </c>
      <c r="F127" s="10" t="str">
        <f>INDEX(Feiertagsregeln!$E$7:$E$198,MATCH($K127,Feiertagsregeln!$A$7:$A$198,0))</f>
        <v>Lundi de Pentecôte</v>
      </c>
      <c r="G127" s="21" t="str">
        <f>IF(INDEX(Feiertagsregeln!$F$7:$F$198,MATCH($K127,Feiertagsregeln!$A$7:$A$198,0))="","Noch zu erfassen",INDEX(Feiertagsregeln!$F$7:$F$198,MATCH($K127,Feiertagsregeln!$A$7:$A$198,0)))</f>
        <v>Lunedì di Pentecoste</v>
      </c>
      <c r="H127" s="21" t="str">
        <f>IF(INDEX(Feiertagsregeln!$G$7:$G$198,MATCH($K127,Feiertagsregeln!$A$7:$A$198,0))="","Noch zu erfassen",INDEX(Feiertagsregeln!$G$7:$G$198,MATCH($K127,Feiertagsregeln!$A$7:$A$198,0)))</f>
        <v>Glindesdi da Tschuncaisma</v>
      </c>
      <c r="I127" s="10" t="str">
        <f>INDEX(Feiertagsregeln!$H$7:$H$198,MATCH($K127,Feiertagsregeln!$A$7:$A$198,0))</f>
        <v>publicHoliday</v>
      </c>
      <c r="J127" s="10" t="s">
        <v>69</v>
      </c>
      <c r="K127" s="10" t="s">
        <v>185</v>
      </c>
      <c r="L127" s="10" t="str">
        <f>INDEX(Feiertagsregeln!$Y$7:$Y$198,MATCH($K127,Feiertagsregeln!$A$7:$A$198,0))</f>
        <v>SRC-GR-RUHETAGE-520100-20160101</v>
      </c>
      <c r="M127" s="10" t="str">
        <f>INDEX(Feiertagsregeln!$Z$7:$Z$198,MATCH($K127,Feiertagsregeln!$A$7:$A$198,0))</f>
        <v>Art. 2 Abs. 1 Bst. b</v>
      </c>
      <c r="N127" s="10" t="s">
        <v>179</v>
      </c>
      <c r="O127" s="10" t="str">
        <f>INDEX(Feiertagsregeln!$AA$7:$AA$198,MATCH($K127,Feiertagsregeln!$A$7:$A$198,0))</f>
        <v>Ganztägig</v>
      </c>
    </row>
    <row r="128" spans="1:15" ht="42" customHeight="1">
      <c r="A128" s="15">
        <f>INDEX(Feiertagsregeln!$X$7:$X$198,MATCH($K128,Feiertagsregeln!$A$7:$A$198,0))</f>
        <v>46600</v>
      </c>
      <c r="B128" s="11" t="str">
        <f t="shared" si="1"/>
        <v>Sonntag</v>
      </c>
      <c r="C128" s="11" t="s">
        <v>176</v>
      </c>
      <c r="D128" s="11" t="s">
        <v>177</v>
      </c>
      <c r="E128" s="11" t="str">
        <f>INDEX(Feiertagsregeln!$D$7:$D$198,MATCH($K128,Feiertagsregeln!$A$7:$A$198,0))</f>
        <v>Bundesfeiertag</v>
      </c>
      <c r="F128" s="11" t="str">
        <f>INDEX(Feiertagsregeln!$E$7:$E$198,MATCH($K128,Feiertagsregeln!$A$7:$A$198,0))</f>
        <v>Fête nationale</v>
      </c>
      <c r="G128" s="22" t="str">
        <f>IF(INDEX(Feiertagsregeln!$F$7:$F$198,MATCH($K128,Feiertagsregeln!$A$7:$A$198,0))="","Noch zu erfassen",INDEX(Feiertagsregeln!$F$7:$F$198,MATCH($K128,Feiertagsregeln!$A$7:$A$198,0)))</f>
        <v>Primo agosto</v>
      </c>
      <c r="H128" s="22" t="str">
        <f>IF(INDEX(Feiertagsregeln!$G$7:$G$198,MATCH($K128,Feiertagsregeln!$A$7:$A$198,0))="","Noch zu erfassen",INDEX(Feiertagsregeln!$G$7:$G$198,MATCH($K128,Feiertagsregeln!$A$7:$A$198,0)))</f>
        <v>Festa naziunala svizra</v>
      </c>
      <c r="I128" s="11" t="str">
        <f>INDEX(Feiertagsregeln!$H$7:$H$198,MATCH($K128,Feiertagsregeln!$A$7:$A$198,0))</f>
        <v>publicHoliday</v>
      </c>
      <c r="J128" s="11" t="s">
        <v>69</v>
      </c>
      <c r="K128" s="11" t="s">
        <v>186</v>
      </c>
      <c r="L128" s="11" t="str">
        <f>INDEX(Feiertagsregeln!$Y$7:$Y$198,MATCH($K128,Feiertagsregeln!$A$7:$A$198,0))</f>
        <v>SRC-BUNDESFEIERTAG-19940701</v>
      </c>
      <c r="M128" s="11" t="str">
        <f>INDEX(Feiertagsregeln!$Z$7:$Z$198,MATCH($K128,Feiertagsregeln!$A$7:$A$198,0))</f>
        <v>Art. 1</v>
      </c>
      <c r="N128" s="11" t="s">
        <v>179</v>
      </c>
      <c r="O128" s="11" t="str">
        <f>INDEX(Feiertagsregeln!$AA$7:$AA$198,MATCH($K128,Feiertagsregeln!$A$7:$A$198,0))</f>
        <v>Ganztägig</v>
      </c>
    </row>
    <row r="129" spans="1:15" ht="42" customHeight="1">
      <c r="A129" s="14">
        <f>INDEX(Feiertagsregeln!$X$7:$X$198,MATCH($K129,Feiertagsregeln!$A$7:$A$198,0))</f>
        <v>46649</v>
      </c>
      <c r="B129" s="10" t="str">
        <f t="shared" si="1"/>
        <v>Sonntag</v>
      </c>
      <c r="C129" s="10" t="s">
        <v>176</v>
      </c>
      <c r="D129" s="10" t="s">
        <v>177</v>
      </c>
      <c r="E129" s="10" t="str">
        <f>INDEX(Feiertagsregeln!$D$7:$D$198,MATCH($K129,Feiertagsregeln!$A$7:$A$198,0))</f>
        <v>Eidgenössischer Bettag</v>
      </c>
      <c r="F129" s="10" t="str">
        <f>INDEX(Feiertagsregeln!$E$7:$E$198,MATCH($K129,Feiertagsregeln!$A$7:$A$198,0))</f>
        <v>Jeûne fédéral</v>
      </c>
      <c r="G129" s="21" t="str">
        <f>IF(INDEX(Feiertagsregeln!$F$7:$F$198,MATCH($K129,Feiertagsregeln!$A$7:$A$198,0))="","Noch zu erfassen",INDEX(Feiertagsregeln!$F$7:$F$198,MATCH($K129,Feiertagsregeln!$A$7:$A$198,0)))</f>
        <v>Festa federale di preghiera</v>
      </c>
      <c r="H129" s="21" t="str">
        <f>IF(INDEX(Feiertagsregeln!$G$7:$G$198,MATCH($K129,Feiertagsregeln!$A$7:$A$198,0))="","Noch zu erfassen",INDEX(Feiertagsregeln!$G$7:$G$198,MATCH($K129,Feiertagsregeln!$A$7:$A$198,0)))</f>
        <v>Di da la rogaziun federala</v>
      </c>
      <c r="I129" s="10" t="str">
        <f>INDEX(Feiertagsregeln!$H$7:$H$198,MATCH($K129,Feiertagsregeln!$A$7:$A$198,0))</f>
        <v>publicHoliday</v>
      </c>
      <c r="J129" s="10" t="s">
        <v>69</v>
      </c>
      <c r="K129" s="10" t="s">
        <v>187</v>
      </c>
      <c r="L129" s="10" t="str">
        <f>INDEX(Feiertagsregeln!$Y$7:$Y$198,MATCH($K129,Feiertagsregeln!$A$7:$A$198,0))</f>
        <v>SRC-GR-RUHETAGE-520100-20160101</v>
      </c>
      <c r="M129" s="10" t="str">
        <f>INDEX(Feiertagsregeln!$Z$7:$Z$198,MATCH($K129,Feiertagsregeln!$A$7:$A$198,0))</f>
        <v>Art. 2 Abs. 2</v>
      </c>
      <c r="N129" s="10" t="s">
        <v>179</v>
      </c>
      <c r="O129" s="10" t="str">
        <f>INDEX(Feiertagsregeln!$AA$7:$AA$198,MATCH($K129,Feiertagsregeln!$A$7:$A$198,0))</f>
        <v>Ganztägig</v>
      </c>
    </row>
    <row r="130" spans="1:15" ht="42" customHeight="1">
      <c r="A130" s="15">
        <f>INDEX(Feiertagsregeln!$X$7:$X$198,MATCH($K130,Feiertagsregeln!$A$7:$A$198,0))</f>
        <v>46746</v>
      </c>
      <c r="B130" s="11" t="str">
        <f t="shared" si="1"/>
        <v>Samstag</v>
      </c>
      <c r="C130" s="11" t="s">
        <v>176</v>
      </c>
      <c r="D130" s="11" t="s">
        <v>177</v>
      </c>
      <c r="E130" s="11" t="str">
        <f>INDEX(Feiertagsregeln!$D$7:$D$198,MATCH($K130,Feiertagsregeln!$A$7:$A$198,0))</f>
        <v>Weihnachtstag</v>
      </c>
      <c r="F130" s="11" t="str">
        <f>INDEX(Feiertagsregeln!$E$7:$E$198,MATCH($K130,Feiertagsregeln!$A$7:$A$198,0))</f>
        <v>Noël</v>
      </c>
      <c r="G130" s="22" t="str">
        <f>IF(INDEX(Feiertagsregeln!$F$7:$F$198,MATCH($K130,Feiertagsregeln!$A$7:$A$198,0))="","Noch zu erfassen",INDEX(Feiertagsregeln!$F$7:$F$198,MATCH($K130,Feiertagsregeln!$A$7:$A$198,0)))</f>
        <v>Natale</v>
      </c>
      <c r="H130" s="22" t="str">
        <f>IF(INDEX(Feiertagsregeln!$G$7:$G$198,MATCH($K130,Feiertagsregeln!$A$7:$A$198,0))="","Noch zu erfassen",INDEX(Feiertagsregeln!$G$7:$G$198,MATCH($K130,Feiertagsregeln!$A$7:$A$198,0)))</f>
        <v>Di da Nadal</v>
      </c>
      <c r="I130" s="11" t="str">
        <f>INDEX(Feiertagsregeln!$H$7:$H$198,MATCH($K130,Feiertagsregeln!$A$7:$A$198,0))</f>
        <v>publicHoliday</v>
      </c>
      <c r="J130" s="11" t="s">
        <v>69</v>
      </c>
      <c r="K130" s="11" t="s">
        <v>188</v>
      </c>
      <c r="L130" s="11" t="str">
        <f>INDEX(Feiertagsregeln!$Y$7:$Y$198,MATCH($K130,Feiertagsregeln!$A$7:$A$198,0))</f>
        <v>SRC-GR-RUHETAGE-520100-20160101</v>
      </c>
      <c r="M130" s="11" t="str">
        <f>INDEX(Feiertagsregeln!$Z$7:$Z$198,MATCH($K130,Feiertagsregeln!$A$7:$A$198,0))</f>
        <v>Art. 2 Abs. 1 Bst. b und Abs. 2</v>
      </c>
      <c r="N130" s="11" t="s">
        <v>179</v>
      </c>
      <c r="O130" s="11" t="str">
        <f>INDEX(Feiertagsregeln!$AA$7:$AA$198,MATCH($K130,Feiertagsregeln!$A$7:$A$198,0))</f>
        <v>Ganztägig</v>
      </c>
    </row>
    <row r="131" spans="1:15" ht="42" customHeight="1">
      <c r="A131" s="14">
        <f>INDEX(Feiertagsregeln!$X$7:$X$198,MATCH($K131,Feiertagsregeln!$A$7:$A$198,0))</f>
        <v>46747</v>
      </c>
      <c r="B131" s="10" t="str">
        <f t="shared" si="1"/>
        <v>Sonntag</v>
      </c>
      <c r="C131" s="10" t="s">
        <v>176</v>
      </c>
      <c r="D131" s="10" t="s">
        <v>177</v>
      </c>
      <c r="E131" s="10" t="str">
        <f>INDEX(Feiertagsregeln!$D$7:$D$198,MATCH($K131,Feiertagsregeln!$A$7:$A$198,0))</f>
        <v>Stefanstag</v>
      </c>
      <c r="F131" s="10" t="str">
        <f>INDEX(Feiertagsregeln!$E$7:$E$198,MATCH($K131,Feiertagsregeln!$A$7:$A$198,0))</f>
        <v>Saint-Étienne</v>
      </c>
      <c r="G131" s="21" t="str">
        <f>IF(INDEX(Feiertagsregeln!$F$7:$F$198,MATCH($K131,Feiertagsregeln!$A$7:$A$198,0))="","Noch zu erfassen",INDEX(Feiertagsregeln!$F$7:$F$198,MATCH($K131,Feiertagsregeln!$A$7:$A$198,0)))</f>
        <v>Santo Stefano</v>
      </c>
      <c r="H131" s="21" t="str">
        <f>IF(INDEX(Feiertagsregeln!$G$7:$G$198,MATCH($K131,Feiertagsregeln!$A$7:$A$198,0))="","Noch zu erfassen",INDEX(Feiertagsregeln!$G$7:$G$198,MATCH($K131,Feiertagsregeln!$A$7:$A$198,0)))</f>
        <v>Son Steffan</v>
      </c>
      <c r="I131" s="10" t="str">
        <f>INDEX(Feiertagsregeln!$H$7:$H$198,MATCH($K131,Feiertagsregeln!$A$7:$A$198,0))</f>
        <v>publicHoliday</v>
      </c>
      <c r="J131" s="10" t="s">
        <v>69</v>
      </c>
      <c r="K131" s="10" t="s">
        <v>189</v>
      </c>
      <c r="L131" s="10" t="str">
        <f>INDEX(Feiertagsregeln!$Y$7:$Y$198,MATCH($K131,Feiertagsregeln!$A$7:$A$198,0))</f>
        <v>SRC-GR-RUHETAGE-520100-20160101</v>
      </c>
      <c r="M131" s="10" t="str">
        <f>INDEX(Feiertagsregeln!$Z$7:$Z$198,MATCH($K131,Feiertagsregeln!$A$7:$A$198,0))</f>
        <v>Art. 2 Abs. 1 Bst. b</v>
      </c>
      <c r="N131" s="10" t="s">
        <v>179</v>
      </c>
      <c r="O131" s="10" t="str">
        <f>INDEX(Feiertagsregeln!$AA$7:$AA$198,MATCH($K131,Feiertagsregeln!$A$7:$A$198,0))</f>
        <v>Ganztägig</v>
      </c>
    </row>
    <row r="132" spans="1:15" ht="44" customHeight="1">
      <c r="A132" s="15">
        <f>INDEX(Feiertagsregeln!$X$7:$X$198,MATCH($K132,Feiertagsregeln!$A$7:$A$198,0))</f>
        <v>46388</v>
      </c>
      <c r="B132" s="11" t="str">
        <f t="shared" si="1"/>
        <v>Freitag</v>
      </c>
      <c r="C132" s="11" t="s">
        <v>190</v>
      </c>
      <c r="D132" s="11" t="s">
        <v>191</v>
      </c>
      <c r="E132" s="11" t="str">
        <f>INDEX(Feiertagsregeln!$D$7:$D$198,MATCH($K132,Feiertagsregeln!$A$7:$A$198,0))</f>
        <v>Neujahr</v>
      </c>
      <c r="F132" s="11" t="str">
        <f>INDEX(Feiertagsregeln!$E$7:$E$198,MATCH($K132,Feiertagsregeln!$A$7:$A$198,0))</f>
        <v>Nouvel An</v>
      </c>
      <c r="G132" s="22" t="str">
        <f>IF(INDEX(Feiertagsregeln!$F$7:$F$198,MATCH($K132,Feiertagsregeln!$A$7:$A$198,0))="","Noch zu erfassen",INDEX(Feiertagsregeln!$F$7:$F$198,MATCH($K132,Feiertagsregeln!$A$7:$A$198,0)))</f>
        <v>Capo d’anno</v>
      </c>
      <c r="H132" s="22" t="str">
        <f>IF(INDEX(Feiertagsregeln!$G$7:$G$198,MATCH($K132,Feiertagsregeln!$A$7:$A$198,0))="","Noch zu erfassen",INDEX(Feiertagsregeln!$G$7:$G$198,MATCH($K132,Feiertagsregeln!$A$7:$A$198,0)))</f>
        <v>Bumaun</v>
      </c>
      <c r="I132" s="11" t="str">
        <f>INDEX(Feiertagsregeln!$H$7:$H$198,MATCH($K132,Feiertagsregeln!$A$7:$A$198,0))</f>
        <v>publicHoliday</v>
      </c>
      <c r="J132" s="11" t="s">
        <v>69</v>
      </c>
      <c r="K132" s="11" t="s">
        <v>192</v>
      </c>
      <c r="L132" s="11" t="str">
        <f>INDEX(Feiertagsregeln!$Y$7:$Y$198,MATCH($K132,Feiertagsregeln!$A$7:$A$198,0))</f>
        <v>SRC-VS-RUHEREG-822200-19661202</v>
      </c>
      <c r="M132" s="11" t="str">
        <f>INDEX(Feiertagsregeln!$Z$7:$Z$198,MATCH($K132,Feiertagsregeln!$A$7:$A$198,0))</f>
        <v>Art. 1</v>
      </c>
      <c r="N132" s="11" t="s">
        <v>193</v>
      </c>
      <c r="O132" s="11" t="str">
        <f>INDEX(Feiertagsregeln!$AA$7:$AA$198,MATCH($K132,Feiertagsregeln!$A$7:$A$198,0))</f>
        <v>Ganztägig</v>
      </c>
    </row>
    <row r="133" spans="1:15" ht="44" customHeight="1">
      <c r="A133" s="14">
        <f>INDEX(Feiertagsregeln!$X$7:$X$198,MATCH($K133,Feiertagsregeln!$A$7:$A$198,0))</f>
        <v>46465</v>
      </c>
      <c r="B133" s="10" t="str">
        <f t="shared" si="1"/>
        <v>Freitag</v>
      </c>
      <c r="C133" s="10" t="s">
        <v>190</v>
      </c>
      <c r="D133" s="10" t="s">
        <v>191</v>
      </c>
      <c r="E133" s="10" t="str">
        <f>INDEX(Feiertagsregeln!$D$7:$D$198,MATCH($K133,Feiertagsregeln!$A$7:$A$198,0))</f>
        <v>Josefstag</v>
      </c>
      <c r="F133" s="10" t="str">
        <f>INDEX(Feiertagsregeln!$E$7:$E$198,MATCH($K133,Feiertagsregeln!$A$7:$A$198,0))</f>
        <v>Saint-Joseph</v>
      </c>
      <c r="G133" s="21" t="str">
        <f>IF(INDEX(Feiertagsregeln!$F$7:$F$198,MATCH($K133,Feiertagsregeln!$A$7:$A$198,0))="","Noch zu erfassen",INDEX(Feiertagsregeln!$F$7:$F$198,MATCH($K133,Feiertagsregeln!$A$7:$A$198,0)))</f>
        <v>San Giuseppe</v>
      </c>
      <c r="H133" s="21" t="str">
        <f>IF(INDEX(Feiertagsregeln!$G$7:$G$198,MATCH($K133,Feiertagsregeln!$A$7:$A$198,0))="","Noch zu erfassen",INDEX(Feiertagsregeln!$G$7:$G$198,MATCH($K133,Feiertagsregeln!$A$7:$A$198,0)))</f>
        <v>Son Giusep</v>
      </c>
      <c r="I133" s="10" t="str">
        <f>INDEX(Feiertagsregeln!$H$7:$H$198,MATCH($K133,Feiertagsregeln!$A$7:$A$198,0))</f>
        <v>publicHoliday</v>
      </c>
      <c r="J133" s="10" t="s">
        <v>69</v>
      </c>
      <c r="K133" s="10" t="s">
        <v>194</v>
      </c>
      <c r="L133" s="10" t="str">
        <f>INDEX(Feiertagsregeln!$Y$7:$Y$198,MATCH($K133,Feiertagsregeln!$A$7:$A$198,0))</f>
        <v>SRC-VS-RUHEREG-822200-19661202</v>
      </c>
      <c r="M133" s="10" t="str">
        <f>INDEX(Feiertagsregeln!$Z$7:$Z$198,MATCH($K133,Feiertagsregeln!$A$7:$A$198,0))</f>
        <v>Art. 1</v>
      </c>
      <c r="N133" s="10" t="s">
        <v>193</v>
      </c>
      <c r="O133" s="10" t="str">
        <f>INDEX(Feiertagsregeln!$AA$7:$AA$198,MATCH($K133,Feiertagsregeln!$A$7:$A$198,0))</f>
        <v>Ganztägig</v>
      </c>
    </row>
    <row r="134" spans="1:15" ht="44" customHeight="1">
      <c r="A134" s="15">
        <f>INDEX(Feiertagsregeln!$X$7:$X$198,MATCH($K134,Feiertagsregeln!$A$7:$A$198,0))</f>
        <v>46513</v>
      </c>
      <c r="B134" s="11" t="str">
        <f t="shared" si="1"/>
        <v>Donnerstag</v>
      </c>
      <c r="C134" s="11" t="s">
        <v>190</v>
      </c>
      <c r="D134" s="11" t="s">
        <v>191</v>
      </c>
      <c r="E134" s="11" t="str">
        <f>INDEX(Feiertagsregeln!$D$7:$D$198,MATCH($K134,Feiertagsregeln!$A$7:$A$198,0))</f>
        <v>Auffahrt</v>
      </c>
      <c r="F134" s="11" t="str">
        <f>INDEX(Feiertagsregeln!$E$7:$E$198,MATCH($K134,Feiertagsregeln!$A$7:$A$198,0))</f>
        <v>Ascension</v>
      </c>
      <c r="G134" s="22" t="str">
        <f>IF(INDEX(Feiertagsregeln!$F$7:$F$198,MATCH($K134,Feiertagsregeln!$A$7:$A$198,0))="","Noch zu erfassen",INDEX(Feiertagsregeln!$F$7:$F$198,MATCH($K134,Feiertagsregeln!$A$7:$A$198,0)))</f>
        <v>Ascensione</v>
      </c>
      <c r="H134" s="22" t="str">
        <f>IF(INDEX(Feiertagsregeln!$G$7:$G$198,MATCH($K134,Feiertagsregeln!$A$7:$A$198,0))="","Noch zu erfassen",INDEX(Feiertagsregeln!$G$7:$G$198,MATCH($K134,Feiertagsregeln!$A$7:$A$198,0)))</f>
        <v>Ascensiun</v>
      </c>
      <c r="I134" s="11" t="str">
        <f>INDEX(Feiertagsregeln!$H$7:$H$198,MATCH($K134,Feiertagsregeln!$A$7:$A$198,0))</f>
        <v>publicHoliday</v>
      </c>
      <c r="J134" s="11" t="s">
        <v>69</v>
      </c>
      <c r="K134" s="11" t="s">
        <v>195</v>
      </c>
      <c r="L134" s="11" t="str">
        <f>INDEX(Feiertagsregeln!$Y$7:$Y$198,MATCH($K134,Feiertagsregeln!$A$7:$A$198,0))</f>
        <v>SRC-VS-RUHEREG-822200-19661202</v>
      </c>
      <c r="M134" s="11" t="str">
        <f>INDEX(Feiertagsregeln!$Z$7:$Z$198,MATCH($K134,Feiertagsregeln!$A$7:$A$198,0))</f>
        <v>Art. 1</v>
      </c>
      <c r="N134" s="11" t="s">
        <v>193</v>
      </c>
      <c r="O134" s="11" t="str">
        <f>INDEX(Feiertagsregeln!$AA$7:$AA$198,MATCH($K134,Feiertagsregeln!$A$7:$A$198,0))</f>
        <v>Ganztägig</v>
      </c>
    </row>
    <row r="135" spans="1:15" ht="44" customHeight="1">
      <c r="A135" s="14">
        <f>INDEX(Feiertagsregeln!$X$7:$X$198,MATCH($K135,Feiertagsregeln!$A$7:$A$198,0))</f>
        <v>46534</v>
      </c>
      <c r="B135" s="10" t="str">
        <f t="shared" ref="B135:B198" si="2">IF(ISNUMBER(A135),CHOOSE(WEEKDAY(A135,2),"Montag","Dienstag","Mittwoch","Donnerstag","Freitag","Samstag","Sonntag")&amp;IF(O135="Ab 12.00 Uhr",", ab 12.00 Uhr",""),"n.a.")</f>
        <v>Donnerstag</v>
      </c>
      <c r="C135" s="10" t="s">
        <v>190</v>
      </c>
      <c r="D135" s="10" t="s">
        <v>191</v>
      </c>
      <c r="E135" s="10" t="str">
        <f>INDEX(Feiertagsregeln!$D$7:$D$198,MATCH($K135,Feiertagsregeln!$A$7:$A$198,0))</f>
        <v>Fronleichnam</v>
      </c>
      <c r="F135" s="10" t="str">
        <f>INDEX(Feiertagsregeln!$E$7:$E$198,MATCH($K135,Feiertagsregeln!$A$7:$A$198,0))</f>
        <v>Fête-Dieu</v>
      </c>
      <c r="G135" s="21" t="str">
        <f>IF(INDEX(Feiertagsregeln!$F$7:$F$198,MATCH($K135,Feiertagsregeln!$A$7:$A$198,0))="","Noch zu erfassen",INDEX(Feiertagsregeln!$F$7:$F$198,MATCH($K135,Feiertagsregeln!$A$7:$A$198,0)))</f>
        <v>Corpus Domini</v>
      </c>
      <c r="H135" s="21" t="str">
        <f>IF(INDEX(Feiertagsregeln!$G$7:$G$198,MATCH($K135,Feiertagsregeln!$A$7:$A$198,0))="","Noch zu erfassen",INDEX(Feiertagsregeln!$G$7:$G$198,MATCH($K135,Feiertagsregeln!$A$7:$A$198,0)))</f>
        <v>Sontgilcrest</v>
      </c>
      <c r="I135" s="10" t="str">
        <f>INDEX(Feiertagsregeln!$H$7:$H$198,MATCH($K135,Feiertagsregeln!$A$7:$A$198,0))</f>
        <v>publicHoliday</v>
      </c>
      <c r="J135" s="10" t="s">
        <v>69</v>
      </c>
      <c r="K135" s="10" t="s">
        <v>196</v>
      </c>
      <c r="L135" s="10" t="str">
        <f>INDEX(Feiertagsregeln!$Y$7:$Y$198,MATCH($K135,Feiertagsregeln!$A$7:$A$198,0))</f>
        <v>SRC-VS-RUHEREG-822200-19661202</v>
      </c>
      <c r="M135" s="10" t="str">
        <f>INDEX(Feiertagsregeln!$Z$7:$Z$198,MATCH($K135,Feiertagsregeln!$A$7:$A$198,0))</f>
        <v>Art. 1</v>
      </c>
      <c r="N135" s="10" t="s">
        <v>193</v>
      </c>
      <c r="O135" s="10" t="str">
        <f>INDEX(Feiertagsregeln!$AA$7:$AA$198,MATCH($K135,Feiertagsregeln!$A$7:$A$198,0))</f>
        <v>Ganztägig</v>
      </c>
    </row>
    <row r="136" spans="1:15" ht="44" customHeight="1">
      <c r="A136" s="15">
        <f>INDEX(Feiertagsregeln!$X$7:$X$198,MATCH($K136,Feiertagsregeln!$A$7:$A$198,0))</f>
        <v>46600</v>
      </c>
      <c r="B136" s="11" t="str">
        <f t="shared" si="2"/>
        <v>Sonntag</v>
      </c>
      <c r="C136" s="11" t="s">
        <v>190</v>
      </c>
      <c r="D136" s="11" t="s">
        <v>191</v>
      </c>
      <c r="E136" s="11" t="str">
        <f>INDEX(Feiertagsregeln!$D$7:$D$198,MATCH($K136,Feiertagsregeln!$A$7:$A$198,0))</f>
        <v>Bundesfeiertag</v>
      </c>
      <c r="F136" s="11" t="str">
        <f>INDEX(Feiertagsregeln!$E$7:$E$198,MATCH($K136,Feiertagsregeln!$A$7:$A$198,0))</f>
        <v>Fête nationale</v>
      </c>
      <c r="G136" s="22" t="str">
        <f>IF(INDEX(Feiertagsregeln!$F$7:$F$198,MATCH($K136,Feiertagsregeln!$A$7:$A$198,0))="","Noch zu erfassen",INDEX(Feiertagsregeln!$F$7:$F$198,MATCH($K136,Feiertagsregeln!$A$7:$A$198,0)))</f>
        <v>Primo agosto</v>
      </c>
      <c r="H136" s="22" t="str">
        <f>IF(INDEX(Feiertagsregeln!$G$7:$G$198,MATCH($K136,Feiertagsregeln!$A$7:$A$198,0))="","Noch zu erfassen",INDEX(Feiertagsregeln!$G$7:$G$198,MATCH($K136,Feiertagsregeln!$A$7:$A$198,0)))</f>
        <v>Festa naziunala svizra</v>
      </c>
      <c r="I136" s="11" t="str">
        <f>INDEX(Feiertagsregeln!$H$7:$H$198,MATCH($K136,Feiertagsregeln!$A$7:$A$198,0))</f>
        <v>publicHoliday</v>
      </c>
      <c r="J136" s="11" t="s">
        <v>69</v>
      </c>
      <c r="K136" s="11" t="s">
        <v>197</v>
      </c>
      <c r="L136" s="11" t="str">
        <f>INDEX(Feiertagsregeln!$Y$7:$Y$198,MATCH($K136,Feiertagsregeln!$A$7:$A$198,0))</f>
        <v>SRC-BUNDESFEIERTAG-19940701</v>
      </c>
      <c r="M136" s="11" t="str">
        <f>INDEX(Feiertagsregeln!$Z$7:$Z$198,MATCH($K136,Feiertagsregeln!$A$7:$A$198,0))</f>
        <v>Art. 1</v>
      </c>
      <c r="N136" s="11" t="s">
        <v>193</v>
      </c>
      <c r="O136" s="11" t="str">
        <f>INDEX(Feiertagsregeln!$AA$7:$AA$198,MATCH($K136,Feiertagsregeln!$A$7:$A$198,0))</f>
        <v>Ganztägig</v>
      </c>
    </row>
    <row r="137" spans="1:15" ht="44" customHeight="1">
      <c r="A137" s="14">
        <f>INDEX(Feiertagsregeln!$X$7:$X$198,MATCH($K137,Feiertagsregeln!$A$7:$A$198,0))</f>
        <v>46614</v>
      </c>
      <c r="B137" s="10" t="str">
        <f t="shared" si="2"/>
        <v>Sonntag</v>
      </c>
      <c r="C137" s="10" t="s">
        <v>190</v>
      </c>
      <c r="D137" s="10" t="s">
        <v>191</v>
      </c>
      <c r="E137" s="10" t="str">
        <f>INDEX(Feiertagsregeln!$D$7:$D$198,MATCH($K137,Feiertagsregeln!$A$7:$A$198,0))</f>
        <v>Mariä Himmelfahrt</v>
      </c>
      <c r="F137" s="10" t="str">
        <f>INDEX(Feiertagsregeln!$E$7:$E$198,MATCH($K137,Feiertagsregeln!$A$7:$A$198,0))</f>
        <v>Assomption</v>
      </c>
      <c r="G137" s="21" t="str">
        <f>IF(INDEX(Feiertagsregeln!$F$7:$F$198,MATCH($K137,Feiertagsregeln!$A$7:$A$198,0))="","Noch zu erfassen",INDEX(Feiertagsregeln!$F$7:$F$198,MATCH($K137,Feiertagsregeln!$A$7:$A$198,0)))</f>
        <v>Assunzione</v>
      </c>
      <c r="H137" s="21" t="str">
        <f>IF(INDEX(Feiertagsregeln!$G$7:$G$198,MATCH($K137,Feiertagsregeln!$A$7:$A$198,0))="","Noch zu erfassen",INDEX(Feiertagsregeln!$G$7:$G$198,MATCH($K137,Feiertagsregeln!$A$7:$A$198,0)))</f>
        <v>Nossadunna d’avust</v>
      </c>
      <c r="I137" s="10" t="str">
        <f>INDEX(Feiertagsregeln!$H$7:$H$198,MATCH($K137,Feiertagsregeln!$A$7:$A$198,0))</f>
        <v>publicHoliday</v>
      </c>
      <c r="J137" s="10" t="s">
        <v>69</v>
      </c>
      <c r="K137" s="10" t="s">
        <v>198</v>
      </c>
      <c r="L137" s="10" t="str">
        <f>INDEX(Feiertagsregeln!$Y$7:$Y$198,MATCH($K137,Feiertagsregeln!$A$7:$A$198,0))</f>
        <v>SRC-VS-RUHEREG-822200-19661202</v>
      </c>
      <c r="M137" s="10" t="str">
        <f>INDEX(Feiertagsregeln!$Z$7:$Z$198,MATCH($K137,Feiertagsregeln!$A$7:$A$198,0))</f>
        <v>Art. 1</v>
      </c>
      <c r="N137" s="10" t="s">
        <v>193</v>
      </c>
      <c r="O137" s="10" t="str">
        <f>INDEX(Feiertagsregeln!$AA$7:$AA$198,MATCH($K137,Feiertagsregeln!$A$7:$A$198,0))</f>
        <v>Ganztägig</v>
      </c>
    </row>
    <row r="138" spans="1:15" ht="44" customHeight="1">
      <c r="A138" s="15">
        <f>INDEX(Feiertagsregeln!$X$7:$X$198,MATCH($K138,Feiertagsregeln!$A$7:$A$198,0))</f>
        <v>46692</v>
      </c>
      <c r="B138" s="11" t="str">
        <f t="shared" si="2"/>
        <v>Montag</v>
      </c>
      <c r="C138" s="11" t="s">
        <v>190</v>
      </c>
      <c r="D138" s="11" t="s">
        <v>191</v>
      </c>
      <c r="E138" s="11" t="str">
        <f>INDEX(Feiertagsregeln!$D$7:$D$198,MATCH($K138,Feiertagsregeln!$A$7:$A$198,0))</f>
        <v>Allerheiligen</v>
      </c>
      <c r="F138" s="11" t="str">
        <f>INDEX(Feiertagsregeln!$E$7:$E$198,MATCH($K138,Feiertagsregeln!$A$7:$A$198,0))</f>
        <v>Toussaint</v>
      </c>
      <c r="G138" s="22" t="str">
        <f>IF(INDEX(Feiertagsregeln!$F$7:$F$198,MATCH($K138,Feiertagsregeln!$A$7:$A$198,0))="","Noch zu erfassen",INDEX(Feiertagsregeln!$F$7:$F$198,MATCH($K138,Feiertagsregeln!$A$7:$A$198,0)))</f>
        <v>Ognissanti</v>
      </c>
      <c r="H138" s="22" t="str">
        <f>IF(INDEX(Feiertagsregeln!$G$7:$G$198,MATCH($K138,Feiertagsregeln!$A$7:$A$198,0))="","Noch zu erfassen",INDEX(Feiertagsregeln!$G$7:$G$198,MATCH($K138,Feiertagsregeln!$A$7:$A$198,0)))</f>
        <v>Numnasontga</v>
      </c>
      <c r="I138" s="11" t="str">
        <f>INDEX(Feiertagsregeln!$H$7:$H$198,MATCH($K138,Feiertagsregeln!$A$7:$A$198,0))</f>
        <v>publicHoliday</v>
      </c>
      <c r="J138" s="11" t="s">
        <v>69</v>
      </c>
      <c r="K138" s="11" t="s">
        <v>199</v>
      </c>
      <c r="L138" s="11" t="str">
        <f>INDEX(Feiertagsregeln!$Y$7:$Y$198,MATCH($K138,Feiertagsregeln!$A$7:$A$198,0))</f>
        <v>SRC-VS-RUHEREG-822200-19661202</v>
      </c>
      <c r="M138" s="11" t="str">
        <f>INDEX(Feiertagsregeln!$Z$7:$Z$198,MATCH($K138,Feiertagsregeln!$A$7:$A$198,0))</f>
        <v>Art. 1</v>
      </c>
      <c r="N138" s="11" t="s">
        <v>193</v>
      </c>
      <c r="O138" s="11" t="str">
        <f>INDEX(Feiertagsregeln!$AA$7:$AA$198,MATCH($K138,Feiertagsregeln!$A$7:$A$198,0))</f>
        <v>Ganztägig</v>
      </c>
    </row>
    <row r="139" spans="1:15" ht="44" customHeight="1">
      <c r="A139" s="14">
        <f>INDEX(Feiertagsregeln!$X$7:$X$198,MATCH($K139,Feiertagsregeln!$A$7:$A$198,0))</f>
        <v>46729</v>
      </c>
      <c r="B139" s="10" t="str">
        <f t="shared" si="2"/>
        <v>Mittwoch</v>
      </c>
      <c r="C139" s="10" t="s">
        <v>190</v>
      </c>
      <c r="D139" s="10" t="s">
        <v>191</v>
      </c>
      <c r="E139" s="10" t="str">
        <f>INDEX(Feiertagsregeln!$D$7:$D$198,MATCH($K139,Feiertagsregeln!$A$7:$A$198,0))</f>
        <v>Mariä Empfängnis</v>
      </c>
      <c r="F139" s="10" t="str">
        <f>INDEX(Feiertagsregeln!$E$7:$E$198,MATCH($K139,Feiertagsregeln!$A$7:$A$198,0))</f>
        <v>Immaculée Conception</v>
      </c>
      <c r="G139" s="21" t="str">
        <f>IF(INDEX(Feiertagsregeln!$F$7:$F$198,MATCH($K139,Feiertagsregeln!$A$7:$A$198,0))="","Noch zu erfassen",INDEX(Feiertagsregeln!$F$7:$F$198,MATCH($K139,Feiertagsregeln!$A$7:$A$198,0)))</f>
        <v>Immacolata</v>
      </c>
      <c r="H139" s="21" t="str">
        <f>IF(INDEX(Feiertagsregeln!$G$7:$G$198,MATCH($K139,Feiertagsregeln!$A$7:$A$198,0))="","Noch zu erfassen",INDEX(Feiertagsregeln!$G$7:$G$198,MATCH($K139,Feiertagsregeln!$A$7:$A$198,0)))</f>
        <v>Immaculada concepziun da Maria</v>
      </c>
      <c r="I139" s="10" t="str">
        <f>INDEX(Feiertagsregeln!$H$7:$H$198,MATCH($K139,Feiertagsregeln!$A$7:$A$198,0))</f>
        <v>publicHoliday</v>
      </c>
      <c r="J139" s="10" t="s">
        <v>69</v>
      </c>
      <c r="K139" s="10" t="s">
        <v>200</v>
      </c>
      <c r="L139" s="10" t="str">
        <f>INDEX(Feiertagsregeln!$Y$7:$Y$198,MATCH($K139,Feiertagsregeln!$A$7:$A$198,0))</f>
        <v>SRC-VS-RUHEREG-822200-19661202</v>
      </c>
      <c r="M139" s="10" t="str">
        <f>INDEX(Feiertagsregeln!$Z$7:$Z$198,MATCH($K139,Feiertagsregeln!$A$7:$A$198,0))</f>
        <v>Art. 1</v>
      </c>
      <c r="N139" s="10" t="s">
        <v>193</v>
      </c>
      <c r="O139" s="10" t="str">
        <f>INDEX(Feiertagsregeln!$AA$7:$AA$198,MATCH($K139,Feiertagsregeln!$A$7:$A$198,0))</f>
        <v>Ganztägig</v>
      </c>
    </row>
    <row r="140" spans="1:15" ht="44" customHeight="1">
      <c r="A140" s="15">
        <f>INDEX(Feiertagsregeln!$X$7:$X$198,MATCH($K140,Feiertagsregeln!$A$7:$A$198,0))</f>
        <v>46746</v>
      </c>
      <c r="B140" s="11" t="str">
        <f t="shared" si="2"/>
        <v>Samstag</v>
      </c>
      <c r="C140" s="11" t="s">
        <v>190</v>
      </c>
      <c r="D140" s="11" t="s">
        <v>191</v>
      </c>
      <c r="E140" s="11" t="str">
        <f>INDEX(Feiertagsregeln!$D$7:$D$198,MATCH($K140,Feiertagsregeln!$A$7:$A$198,0))</f>
        <v>Weihnachten</v>
      </c>
      <c r="F140" s="11" t="str">
        <f>INDEX(Feiertagsregeln!$E$7:$E$198,MATCH($K140,Feiertagsregeln!$A$7:$A$198,0))</f>
        <v>Noël</v>
      </c>
      <c r="G140" s="22" t="str">
        <f>IF(INDEX(Feiertagsregeln!$F$7:$F$198,MATCH($K140,Feiertagsregeln!$A$7:$A$198,0))="","Noch zu erfassen",INDEX(Feiertagsregeln!$F$7:$F$198,MATCH($K140,Feiertagsregeln!$A$7:$A$198,0)))</f>
        <v>Natale</v>
      </c>
      <c r="H140" s="22" t="str">
        <f>IF(INDEX(Feiertagsregeln!$G$7:$G$198,MATCH($K140,Feiertagsregeln!$A$7:$A$198,0))="","Noch zu erfassen",INDEX(Feiertagsregeln!$G$7:$G$198,MATCH($K140,Feiertagsregeln!$A$7:$A$198,0)))</f>
        <v>Di da Nadal</v>
      </c>
      <c r="I140" s="11" t="str">
        <f>INDEX(Feiertagsregeln!$H$7:$H$198,MATCH($K140,Feiertagsregeln!$A$7:$A$198,0))</f>
        <v>publicHoliday</v>
      </c>
      <c r="J140" s="11" t="s">
        <v>69</v>
      </c>
      <c r="K140" s="11" t="s">
        <v>201</v>
      </c>
      <c r="L140" s="11" t="str">
        <f>INDEX(Feiertagsregeln!$Y$7:$Y$198,MATCH($K140,Feiertagsregeln!$A$7:$A$198,0))</f>
        <v>SRC-VS-RUHEREG-822200-19661202</v>
      </c>
      <c r="M140" s="11" t="str">
        <f>INDEX(Feiertagsregeln!$Z$7:$Z$198,MATCH($K140,Feiertagsregeln!$A$7:$A$198,0))</f>
        <v>Art. 1</v>
      </c>
      <c r="N140" s="11" t="s">
        <v>193</v>
      </c>
      <c r="O140" s="11" t="str">
        <f>INDEX(Feiertagsregeln!$AA$7:$AA$198,MATCH($K140,Feiertagsregeln!$A$7:$A$198,0))</f>
        <v>Ganztägig</v>
      </c>
    </row>
    <row r="141" spans="1:15" ht="44" customHeight="1">
      <c r="A141" s="14">
        <f>INDEX(Feiertagsregeln!$X$7:$X$198,MATCH($K141,Feiertagsregeln!$A$7:$A$198,0))</f>
        <v>46389</v>
      </c>
      <c r="B141" s="10" t="str">
        <f t="shared" si="2"/>
        <v>Samstag</v>
      </c>
      <c r="C141" s="10" t="s">
        <v>190</v>
      </c>
      <c r="D141" s="10" t="s">
        <v>202</v>
      </c>
      <c r="E141" s="10" t="str">
        <f>INDEX(Feiertagsregeln!$D$7:$D$198,MATCH($K141,Feiertagsregeln!$A$7:$A$198,0))</f>
        <v>2. Januar</v>
      </c>
      <c r="F141" s="10" t="str">
        <f>INDEX(Feiertagsregeln!$E$7:$E$198,MATCH($K141,Feiertagsregeln!$A$7:$A$198,0))</f>
        <v>2 janvier</v>
      </c>
      <c r="G141" s="21" t="str">
        <f>IF(INDEX(Feiertagsregeln!$F$7:$F$198,MATCH($K141,Feiertagsregeln!$A$7:$A$198,0))="","Noch zu erfassen",INDEX(Feiertagsregeln!$F$7:$F$198,MATCH($K141,Feiertagsregeln!$A$7:$A$198,0)))</f>
        <v>Noch zu erfassen</v>
      </c>
      <c r="H141" s="21" t="str">
        <f>IF(INDEX(Feiertagsregeln!$G$7:$G$198,MATCH($K141,Feiertagsregeln!$A$7:$A$198,0))="","Noch zu erfassen",INDEX(Feiertagsregeln!$G$7:$G$198,MATCH($K141,Feiertagsregeln!$A$7:$A$198,0)))</f>
        <v>Noch zu erfassen</v>
      </c>
      <c r="I141" s="10" t="str">
        <f>INDEX(Feiertagsregeln!$H$7:$H$198,MATCH($K141,Feiertagsregeln!$A$7:$A$198,0))</f>
        <v>proceduralEquivalentDay</v>
      </c>
      <c r="J141" s="10" t="s">
        <v>69</v>
      </c>
      <c r="K141" s="10" t="s">
        <v>203</v>
      </c>
      <c r="L141" s="10" t="str">
        <f>INDEX(Feiertagsregeln!$Y$7:$Y$198,MATCH($K141,Feiertagsregeln!$A$7:$A$198,0))</f>
        <v>SRC-VS-RPFLG-1731-20240101</v>
      </c>
      <c r="M141" s="10" t="str">
        <f>INDEX(Feiertagsregeln!$Z$7:$Z$198,MATCH($K141,Feiertagsregeln!$A$7:$A$198,0))</f>
        <v>Art. 37 Abs. 1 Bst. c</v>
      </c>
      <c r="N141" s="10" t="s">
        <v>193</v>
      </c>
      <c r="O141" s="10" t="str">
        <f>INDEX(Feiertagsregeln!$AA$7:$AA$198,MATCH($K141,Feiertagsregeln!$A$7:$A$198,0))</f>
        <v>Ganztägig</v>
      </c>
    </row>
    <row r="142" spans="1:15" ht="44" customHeight="1">
      <c r="A142" s="15">
        <f>INDEX(Feiertagsregeln!$X$7:$X$198,MATCH($K142,Feiertagsregeln!$A$7:$A$198,0))</f>
        <v>46475</v>
      </c>
      <c r="B142" s="11" t="str">
        <f t="shared" si="2"/>
        <v>Montag</v>
      </c>
      <c r="C142" s="11" t="s">
        <v>190</v>
      </c>
      <c r="D142" s="11" t="s">
        <v>202</v>
      </c>
      <c r="E142" s="11" t="str">
        <f>INDEX(Feiertagsregeln!$D$7:$D$198,MATCH($K142,Feiertagsregeln!$A$7:$A$198,0))</f>
        <v>Ostermontag</v>
      </c>
      <c r="F142" s="11" t="str">
        <f>INDEX(Feiertagsregeln!$E$7:$E$198,MATCH($K142,Feiertagsregeln!$A$7:$A$198,0))</f>
        <v>Lundi de Pâques</v>
      </c>
      <c r="G142" s="22" t="str">
        <f>IF(INDEX(Feiertagsregeln!$F$7:$F$198,MATCH($K142,Feiertagsregeln!$A$7:$A$198,0))="","Noch zu erfassen",INDEX(Feiertagsregeln!$F$7:$F$198,MATCH($K142,Feiertagsregeln!$A$7:$A$198,0)))</f>
        <v>Lunedì di Pasqua</v>
      </c>
      <c r="H142" s="22" t="str">
        <f>IF(INDEX(Feiertagsregeln!$G$7:$G$198,MATCH($K142,Feiertagsregeln!$A$7:$A$198,0))="","Noch zu erfassen",INDEX(Feiertagsregeln!$G$7:$G$198,MATCH($K142,Feiertagsregeln!$A$7:$A$198,0)))</f>
        <v>Glindesdi da Pasca</v>
      </c>
      <c r="I142" s="11" t="str">
        <f>INDEX(Feiertagsregeln!$H$7:$H$198,MATCH($K142,Feiertagsregeln!$A$7:$A$198,0))</f>
        <v>proceduralEquivalentDay</v>
      </c>
      <c r="J142" s="11" t="s">
        <v>69</v>
      </c>
      <c r="K142" s="11" t="s">
        <v>204</v>
      </c>
      <c r="L142" s="11" t="str">
        <f>INDEX(Feiertagsregeln!$Y$7:$Y$198,MATCH($K142,Feiertagsregeln!$A$7:$A$198,0))</f>
        <v>SRC-VS-RPFLG-1731-20240101</v>
      </c>
      <c r="M142" s="11" t="str">
        <f>INDEX(Feiertagsregeln!$Z$7:$Z$198,MATCH($K142,Feiertagsregeln!$A$7:$A$198,0))</f>
        <v>Art. 37 Abs. 1 Bst. c</v>
      </c>
      <c r="N142" s="11" t="s">
        <v>193</v>
      </c>
      <c r="O142" s="11" t="str">
        <f>INDEX(Feiertagsregeln!$AA$7:$AA$198,MATCH($K142,Feiertagsregeln!$A$7:$A$198,0))</f>
        <v>Ganztägig</v>
      </c>
    </row>
    <row r="143" spans="1:15" ht="44" customHeight="1">
      <c r="A143" s="14">
        <f>INDEX(Feiertagsregeln!$X$7:$X$198,MATCH($K143,Feiertagsregeln!$A$7:$A$198,0))</f>
        <v>46524</v>
      </c>
      <c r="B143" s="10" t="str">
        <f t="shared" si="2"/>
        <v>Montag</v>
      </c>
      <c r="C143" s="10" t="s">
        <v>190</v>
      </c>
      <c r="D143" s="10" t="s">
        <v>202</v>
      </c>
      <c r="E143" s="10" t="str">
        <f>INDEX(Feiertagsregeln!$D$7:$D$198,MATCH($K143,Feiertagsregeln!$A$7:$A$198,0))</f>
        <v>Pfingstmontag</v>
      </c>
      <c r="F143" s="10" t="str">
        <f>INDEX(Feiertagsregeln!$E$7:$E$198,MATCH($K143,Feiertagsregeln!$A$7:$A$198,0))</f>
        <v>Lundi de Pentecôte</v>
      </c>
      <c r="G143" s="21" t="str">
        <f>IF(INDEX(Feiertagsregeln!$F$7:$F$198,MATCH($K143,Feiertagsregeln!$A$7:$A$198,0))="","Noch zu erfassen",INDEX(Feiertagsregeln!$F$7:$F$198,MATCH($K143,Feiertagsregeln!$A$7:$A$198,0)))</f>
        <v>Lunedì di Pentecoste</v>
      </c>
      <c r="H143" s="21" t="str">
        <f>IF(INDEX(Feiertagsregeln!$G$7:$G$198,MATCH($K143,Feiertagsregeln!$A$7:$A$198,0))="","Noch zu erfassen",INDEX(Feiertagsregeln!$G$7:$G$198,MATCH($K143,Feiertagsregeln!$A$7:$A$198,0)))</f>
        <v>Glindesdi da Tschuncaisma</v>
      </c>
      <c r="I143" s="10" t="str">
        <f>INDEX(Feiertagsregeln!$H$7:$H$198,MATCH($K143,Feiertagsregeln!$A$7:$A$198,0))</f>
        <v>proceduralEquivalentDay</v>
      </c>
      <c r="J143" s="10" t="s">
        <v>69</v>
      </c>
      <c r="K143" s="10" t="s">
        <v>205</v>
      </c>
      <c r="L143" s="10" t="str">
        <f>INDEX(Feiertagsregeln!$Y$7:$Y$198,MATCH($K143,Feiertagsregeln!$A$7:$A$198,0))</f>
        <v>SRC-VS-RPFLG-1731-20240101</v>
      </c>
      <c r="M143" s="10" t="str">
        <f>INDEX(Feiertagsregeln!$Z$7:$Z$198,MATCH($K143,Feiertagsregeln!$A$7:$A$198,0))</f>
        <v>Art. 37 Abs. 1 Bst. c</v>
      </c>
      <c r="N143" s="10" t="s">
        <v>193</v>
      </c>
      <c r="O143" s="10" t="str">
        <f>INDEX(Feiertagsregeln!$AA$7:$AA$198,MATCH($K143,Feiertagsregeln!$A$7:$A$198,0))</f>
        <v>Ganztägig</v>
      </c>
    </row>
    <row r="144" spans="1:15" ht="44" customHeight="1">
      <c r="A144" s="15">
        <f>INDEX(Feiertagsregeln!$X$7:$X$198,MATCH($K144,Feiertagsregeln!$A$7:$A$198,0))</f>
        <v>46747</v>
      </c>
      <c r="B144" s="11" t="str">
        <f t="shared" si="2"/>
        <v>Sonntag</v>
      </c>
      <c r="C144" s="11" t="s">
        <v>190</v>
      </c>
      <c r="D144" s="11" t="s">
        <v>202</v>
      </c>
      <c r="E144" s="11" t="str">
        <f>INDEX(Feiertagsregeln!$D$7:$D$198,MATCH($K144,Feiertagsregeln!$A$7:$A$198,0))</f>
        <v>26. Dezember (Stephanstag)</v>
      </c>
      <c r="F144" s="11" t="str">
        <f>INDEX(Feiertagsregeln!$E$7:$E$198,MATCH($K144,Feiertagsregeln!$A$7:$A$198,0))</f>
        <v>26 décembre (Saint-Étienne)</v>
      </c>
      <c r="G144" s="22" t="str">
        <f>IF(INDEX(Feiertagsregeln!$F$7:$F$198,MATCH($K144,Feiertagsregeln!$A$7:$A$198,0))="","Noch zu erfassen",INDEX(Feiertagsregeln!$F$7:$F$198,MATCH($K144,Feiertagsregeln!$A$7:$A$198,0)))</f>
        <v>Santo Stefano</v>
      </c>
      <c r="H144" s="22" t="str">
        <f>IF(INDEX(Feiertagsregeln!$G$7:$G$198,MATCH($K144,Feiertagsregeln!$A$7:$A$198,0))="","Noch zu erfassen",INDEX(Feiertagsregeln!$G$7:$G$198,MATCH($K144,Feiertagsregeln!$A$7:$A$198,0)))</f>
        <v>Son Steffan</v>
      </c>
      <c r="I144" s="11" t="str">
        <f>INDEX(Feiertagsregeln!$H$7:$H$198,MATCH($K144,Feiertagsregeln!$A$7:$A$198,0))</f>
        <v>proceduralEquivalentDay</v>
      </c>
      <c r="J144" s="11" t="s">
        <v>69</v>
      </c>
      <c r="K144" s="11" t="s">
        <v>206</v>
      </c>
      <c r="L144" s="11" t="str">
        <f>INDEX(Feiertagsregeln!$Y$7:$Y$198,MATCH($K144,Feiertagsregeln!$A$7:$A$198,0))</f>
        <v>SRC-VS-RPFLG-1731-20240101</v>
      </c>
      <c r="M144" s="11" t="str">
        <f>INDEX(Feiertagsregeln!$Z$7:$Z$198,MATCH($K144,Feiertagsregeln!$A$7:$A$198,0))</f>
        <v>Art. 37 Abs. 1 Bst. c</v>
      </c>
      <c r="N144" s="11" t="s">
        <v>193</v>
      </c>
      <c r="O144" s="11" t="str">
        <f>INDEX(Feiertagsregeln!$AA$7:$AA$198,MATCH($K144,Feiertagsregeln!$A$7:$A$198,0))</f>
        <v>Ganztägig</v>
      </c>
    </row>
    <row r="145" spans="1:15" ht="44" customHeight="1">
      <c r="A145" s="14">
        <f>INDEX(Feiertagsregeln!$X$7:$X$198,MATCH($K145,Feiertagsregeln!$A$7:$A$198,0))</f>
        <v>46388</v>
      </c>
      <c r="B145" s="10" t="str">
        <f t="shared" si="2"/>
        <v>Freitag</v>
      </c>
      <c r="C145" s="10" t="s">
        <v>207</v>
      </c>
      <c r="D145" s="10" t="s">
        <v>208</v>
      </c>
      <c r="E145" s="10" t="str">
        <f>INDEX(Feiertagsregeln!$D$7:$D$198,MATCH($K145,Feiertagsregeln!$A$7:$A$198,0))</f>
        <v>Neujahr</v>
      </c>
      <c r="F145" s="10" t="str">
        <f>INDEX(Feiertagsregeln!$E$7:$E$198,MATCH($K145,Feiertagsregeln!$A$7:$A$198,0))</f>
        <v>Nouvel An</v>
      </c>
      <c r="G145" s="21" t="str">
        <f>IF(INDEX(Feiertagsregeln!$F$7:$F$198,MATCH($K145,Feiertagsregeln!$A$7:$A$198,0))="","Noch zu erfassen",INDEX(Feiertagsregeln!$F$7:$F$198,MATCH($K145,Feiertagsregeln!$A$7:$A$198,0)))</f>
        <v>Capo d’anno</v>
      </c>
      <c r="H145" s="21" t="str">
        <f>IF(INDEX(Feiertagsregeln!$G$7:$G$198,MATCH($K145,Feiertagsregeln!$A$7:$A$198,0))="","Noch zu erfassen",INDEX(Feiertagsregeln!$G$7:$G$198,MATCH($K145,Feiertagsregeln!$A$7:$A$198,0)))</f>
        <v>Bumaun</v>
      </c>
      <c r="I145" s="10" t="str">
        <f>INDEX(Feiertagsregeln!$H$7:$H$198,MATCH($K145,Feiertagsregeln!$A$7:$A$198,0))</f>
        <v>labourLawHoliday</v>
      </c>
      <c r="J145" s="10" t="s">
        <v>69</v>
      </c>
      <c r="K145" s="10" t="s">
        <v>209</v>
      </c>
      <c r="L145" s="10" t="str">
        <f>INDEX(Feiertagsregeln!$Y$7:$Y$198,MATCH($K145,Feiertagsregeln!$A$7:$A$198,0))</f>
        <v>SRC-FR-BAMG-866111-V8126</v>
      </c>
      <c r="M145" s="10" t="str">
        <f>INDEX(Feiertagsregeln!$Z$7:$Z$198,MATCH($K145,Feiertagsregeln!$A$7:$A$198,0))</f>
        <v>Art. 49 Abs. 2</v>
      </c>
      <c r="N145" s="10" t="s">
        <v>193</v>
      </c>
      <c r="O145" s="10" t="str">
        <f>INDEX(Feiertagsregeln!$AA$7:$AA$198,MATCH($K145,Feiertagsregeln!$A$7:$A$198,0))</f>
        <v>Ganztägig</v>
      </c>
    </row>
    <row r="146" spans="1:15" ht="44" customHeight="1">
      <c r="A146" s="15">
        <f>INDEX(Feiertagsregeln!$X$7:$X$198,MATCH($K146,Feiertagsregeln!$A$7:$A$198,0))</f>
        <v>46472</v>
      </c>
      <c r="B146" s="11" t="str">
        <f t="shared" si="2"/>
        <v>Freitag</v>
      </c>
      <c r="C146" s="11" t="s">
        <v>207</v>
      </c>
      <c r="D146" s="11" t="s">
        <v>208</v>
      </c>
      <c r="E146" s="11" t="str">
        <f>INDEX(Feiertagsregeln!$D$7:$D$198,MATCH($K146,Feiertagsregeln!$A$7:$A$198,0))</f>
        <v>Karfreitag</v>
      </c>
      <c r="F146" s="11" t="str">
        <f>INDEX(Feiertagsregeln!$E$7:$E$198,MATCH($K146,Feiertagsregeln!$A$7:$A$198,0))</f>
        <v>Vendredi saint</v>
      </c>
      <c r="G146" s="22" t="str">
        <f>IF(INDEX(Feiertagsregeln!$F$7:$F$198,MATCH($K146,Feiertagsregeln!$A$7:$A$198,0))="","Noch zu erfassen",INDEX(Feiertagsregeln!$F$7:$F$198,MATCH($K146,Feiertagsregeln!$A$7:$A$198,0)))</f>
        <v>Venerdì Santo</v>
      </c>
      <c r="H146" s="22" t="str">
        <f>IF(INDEX(Feiertagsregeln!$G$7:$G$198,MATCH($K146,Feiertagsregeln!$A$7:$A$198,0))="","Noch zu erfassen",INDEX(Feiertagsregeln!$G$7:$G$198,MATCH($K146,Feiertagsregeln!$A$7:$A$198,0)))</f>
        <v>Venderdi sontg</v>
      </c>
      <c r="I146" s="11" t="str">
        <f>INDEX(Feiertagsregeln!$H$7:$H$198,MATCH($K146,Feiertagsregeln!$A$7:$A$198,0))</f>
        <v>labourLawHoliday</v>
      </c>
      <c r="J146" s="11" t="s">
        <v>69</v>
      </c>
      <c r="K146" s="11" t="s">
        <v>210</v>
      </c>
      <c r="L146" s="11" t="str">
        <f>INDEX(Feiertagsregeln!$Y$7:$Y$198,MATCH($K146,Feiertagsregeln!$A$7:$A$198,0))</f>
        <v>SRC-FR-BAMG-866111-V8126</v>
      </c>
      <c r="M146" s="11" t="str">
        <f>INDEX(Feiertagsregeln!$Z$7:$Z$198,MATCH($K146,Feiertagsregeln!$A$7:$A$198,0))</f>
        <v>Art. 49 Abs. 2</v>
      </c>
      <c r="N146" s="11" t="s">
        <v>193</v>
      </c>
      <c r="O146" s="11" t="str">
        <f>INDEX(Feiertagsregeln!$AA$7:$AA$198,MATCH($K146,Feiertagsregeln!$A$7:$A$198,0))</f>
        <v>Ganztägig</v>
      </c>
    </row>
    <row r="147" spans="1:15" ht="44" customHeight="1">
      <c r="A147" s="14">
        <f>INDEX(Feiertagsregeln!$X$7:$X$198,MATCH($K147,Feiertagsregeln!$A$7:$A$198,0))</f>
        <v>46513</v>
      </c>
      <c r="B147" s="10" t="str">
        <f t="shared" si="2"/>
        <v>Donnerstag</v>
      </c>
      <c r="C147" s="10" t="s">
        <v>207</v>
      </c>
      <c r="D147" s="10" t="s">
        <v>208</v>
      </c>
      <c r="E147" s="10" t="str">
        <f>INDEX(Feiertagsregeln!$D$7:$D$198,MATCH($K147,Feiertagsregeln!$A$7:$A$198,0))</f>
        <v>Auffahrt</v>
      </c>
      <c r="F147" s="10" t="str">
        <f>INDEX(Feiertagsregeln!$E$7:$E$198,MATCH($K147,Feiertagsregeln!$A$7:$A$198,0))</f>
        <v>Ascension</v>
      </c>
      <c r="G147" s="21" t="str">
        <f>IF(INDEX(Feiertagsregeln!$F$7:$F$198,MATCH($K147,Feiertagsregeln!$A$7:$A$198,0))="","Noch zu erfassen",INDEX(Feiertagsregeln!$F$7:$F$198,MATCH($K147,Feiertagsregeln!$A$7:$A$198,0)))</f>
        <v>Ascensione</v>
      </c>
      <c r="H147" s="21" t="str">
        <f>IF(INDEX(Feiertagsregeln!$G$7:$G$198,MATCH($K147,Feiertagsregeln!$A$7:$A$198,0))="","Noch zu erfassen",INDEX(Feiertagsregeln!$G$7:$G$198,MATCH($K147,Feiertagsregeln!$A$7:$A$198,0)))</f>
        <v>Ascensiun</v>
      </c>
      <c r="I147" s="10" t="str">
        <f>INDEX(Feiertagsregeln!$H$7:$H$198,MATCH($K147,Feiertagsregeln!$A$7:$A$198,0))</f>
        <v>labourLawHoliday</v>
      </c>
      <c r="J147" s="10" t="s">
        <v>69</v>
      </c>
      <c r="K147" s="10" t="s">
        <v>211</v>
      </c>
      <c r="L147" s="10" t="str">
        <f>INDEX(Feiertagsregeln!$Y$7:$Y$198,MATCH($K147,Feiertagsregeln!$A$7:$A$198,0))</f>
        <v>SRC-FR-BAMG-866111-V8126</v>
      </c>
      <c r="M147" s="10" t="str">
        <f>INDEX(Feiertagsregeln!$Z$7:$Z$198,MATCH($K147,Feiertagsregeln!$A$7:$A$198,0))</f>
        <v>Art. 49 Abs. 2</v>
      </c>
      <c r="N147" s="10" t="s">
        <v>193</v>
      </c>
      <c r="O147" s="10" t="str">
        <f>INDEX(Feiertagsregeln!$AA$7:$AA$198,MATCH($K147,Feiertagsregeln!$A$7:$A$198,0))</f>
        <v>Ganztägig</v>
      </c>
    </row>
    <row r="148" spans="1:15" ht="44" customHeight="1">
      <c r="A148" s="15">
        <f>INDEX(Feiertagsregeln!$X$7:$X$198,MATCH($K148,Feiertagsregeln!$A$7:$A$198,0))</f>
        <v>46534</v>
      </c>
      <c r="B148" s="11" t="str">
        <f t="shared" si="2"/>
        <v>Donnerstag</v>
      </c>
      <c r="C148" s="11" t="s">
        <v>207</v>
      </c>
      <c r="D148" s="11" t="s">
        <v>208</v>
      </c>
      <c r="E148" s="11" t="str">
        <f>INDEX(Feiertagsregeln!$D$7:$D$198,MATCH($K148,Feiertagsregeln!$A$7:$A$198,0))</f>
        <v>Fronleichnam</v>
      </c>
      <c r="F148" s="11" t="str">
        <f>INDEX(Feiertagsregeln!$E$7:$E$198,MATCH($K148,Feiertagsregeln!$A$7:$A$198,0))</f>
        <v>Fête-Dieu</v>
      </c>
      <c r="G148" s="22" t="str">
        <f>IF(INDEX(Feiertagsregeln!$F$7:$F$198,MATCH($K148,Feiertagsregeln!$A$7:$A$198,0))="","Noch zu erfassen",INDEX(Feiertagsregeln!$F$7:$F$198,MATCH($K148,Feiertagsregeln!$A$7:$A$198,0)))</f>
        <v>Corpus Domini</v>
      </c>
      <c r="H148" s="22" t="str">
        <f>IF(INDEX(Feiertagsregeln!$G$7:$G$198,MATCH($K148,Feiertagsregeln!$A$7:$A$198,0))="","Noch zu erfassen",INDEX(Feiertagsregeln!$G$7:$G$198,MATCH($K148,Feiertagsregeln!$A$7:$A$198,0)))</f>
        <v>Sontgilcrest</v>
      </c>
      <c r="I148" s="11" t="str">
        <f>INDEX(Feiertagsregeln!$H$7:$H$198,MATCH($K148,Feiertagsregeln!$A$7:$A$198,0))</f>
        <v>labourLawHoliday</v>
      </c>
      <c r="J148" s="11" t="s">
        <v>69</v>
      </c>
      <c r="K148" s="11" t="s">
        <v>212</v>
      </c>
      <c r="L148" s="11" t="str">
        <f>INDEX(Feiertagsregeln!$Y$7:$Y$198,MATCH($K148,Feiertagsregeln!$A$7:$A$198,0))</f>
        <v>SRC-FR-BAMG-866111-V8126</v>
      </c>
      <c r="M148" s="11" t="str">
        <f>INDEX(Feiertagsregeln!$Z$7:$Z$198,MATCH($K148,Feiertagsregeln!$A$7:$A$198,0))</f>
        <v>Art. 49 Abs. 3 Bst. a</v>
      </c>
      <c r="N148" s="11" t="s">
        <v>193</v>
      </c>
      <c r="O148" s="11" t="str">
        <f>INDEX(Feiertagsregeln!$AA$7:$AA$198,MATCH($K148,Feiertagsregeln!$A$7:$A$198,0))</f>
        <v>Ganztägig</v>
      </c>
    </row>
    <row r="149" spans="1:15" ht="44" customHeight="1">
      <c r="A149" s="14">
        <f>INDEX(Feiertagsregeln!$X$7:$X$198,MATCH($K149,Feiertagsregeln!$A$7:$A$198,0))</f>
        <v>46600</v>
      </c>
      <c r="B149" s="10" t="str">
        <f t="shared" si="2"/>
        <v>Sonntag</v>
      </c>
      <c r="C149" s="10" t="s">
        <v>207</v>
      </c>
      <c r="D149" s="10" t="s">
        <v>208</v>
      </c>
      <c r="E149" s="10" t="str">
        <f>INDEX(Feiertagsregeln!$D$7:$D$198,MATCH($K149,Feiertagsregeln!$A$7:$A$198,0))</f>
        <v>Bundesfeiertag</v>
      </c>
      <c r="F149" s="10" t="str">
        <f>INDEX(Feiertagsregeln!$E$7:$E$198,MATCH($K149,Feiertagsregeln!$A$7:$A$198,0))</f>
        <v>Fête nationale</v>
      </c>
      <c r="G149" s="21" t="str">
        <f>IF(INDEX(Feiertagsregeln!$F$7:$F$198,MATCH($K149,Feiertagsregeln!$A$7:$A$198,0))="","Noch zu erfassen",INDEX(Feiertagsregeln!$F$7:$F$198,MATCH($K149,Feiertagsregeln!$A$7:$A$198,0)))</f>
        <v>Primo agosto</v>
      </c>
      <c r="H149" s="21" t="str">
        <f>IF(INDEX(Feiertagsregeln!$G$7:$G$198,MATCH($K149,Feiertagsregeln!$A$7:$A$198,0))="","Noch zu erfassen",INDEX(Feiertagsregeln!$G$7:$G$198,MATCH($K149,Feiertagsregeln!$A$7:$A$198,0)))</f>
        <v>Festa naziunala svizra</v>
      </c>
      <c r="I149" s="10" t="str">
        <f>INDEX(Feiertagsregeln!$H$7:$H$198,MATCH($K149,Feiertagsregeln!$A$7:$A$198,0))</f>
        <v>publicHoliday</v>
      </c>
      <c r="J149" s="10" t="s">
        <v>69</v>
      </c>
      <c r="K149" s="10" t="s">
        <v>213</v>
      </c>
      <c r="L149" s="10" t="str">
        <f>INDEX(Feiertagsregeln!$Y$7:$Y$198,MATCH($K149,Feiertagsregeln!$A$7:$A$198,0))</f>
        <v>SRC-BUNDESFEIERTAG-19940701</v>
      </c>
      <c r="M149" s="10" t="str">
        <f>INDEX(Feiertagsregeln!$Z$7:$Z$198,MATCH($K149,Feiertagsregeln!$A$7:$A$198,0))</f>
        <v>SR 116, Art. 1, neue offene Anwendung auf dieses Geltungsprofil</v>
      </c>
      <c r="N149" s="10" t="s">
        <v>193</v>
      </c>
      <c r="O149" s="10" t="str">
        <f>INDEX(Feiertagsregeln!$AA$7:$AA$198,MATCH($K149,Feiertagsregeln!$A$7:$A$198,0))</f>
        <v>Ganztägig</v>
      </c>
    </row>
    <row r="150" spans="1:15" ht="44" customHeight="1">
      <c r="A150" s="15">
        <f>INDEX(Feiertagsregeln!$X$7:$X$198,MATCH($K150,Feiertagsregeln!$A$7:$A$198,0))</f>
        <v>46614</v>
      </c>
      <c r="B150" s="11" t="str">
        <f t="shared" si="2"/>
        <v>Sonntag</v>
      </c>
      <c r="C150" s="11" t="s">
        <v>207</v>
      </c>
      <c r="D150" s="11" t="s">
        <v>208</v>
      </c>
      <c r="E150" s="11" t="str">
        <f>INDEX(Feiertagsregeln!$D$7:$D$198,MATCH($K150,Feiertagsregeln!$A$7:$A$198,0))</f>
        <v>Mariä Himmelfahrt</v>
      </c>
      <c r="F150" s="11" t="str">
        <f>INDEX(Feiertagsregeln!$E$7:$E$198,MATCH($K150,Feiertagsregeln!$A$7:$A$198,0))</f>
        <v>Assomption</v>
      </c>
      <c r="G150" s="22" t="str">
        <f>IF(INDEX(Feiertagsregeln!$F$7:$F$198,MATCH($K150,Feiertagsregeln!$A$7:$A$198,0))="","Noch zu erfassen",INDEX(Feiertagsregeln!$F$7:$F$198,MATCH($K150,Feiertagsregeln!$A$7:$A$198,0)))</f>
        <v>Assunzione</v>
      </c>
      <c r="H150" s="22" t="str">
        <f>IF(INDEX(Feiertagsregeln!$G$7:$G$198,MATCH($K150,Feiertagsregeln!$A$7:$A$198,0))="","Noch zu erfassen",INDEX(Feiertagsregeln!$G$7:$G$198,MATCH($K150,Feiertagsregeln!$A$7:$A$198,0)))</f>
        <v>Nossadunna d’avust</v>
      </c>
      <c r="I150" s="11" t="str">
        <f>INDEX(Feiertagsregeln!$H$7:$H$198,MATCH($K150,Feiertagsregeln!$A$7:$A$198,0))</f>
        <v>labourLawHoliday</v>
      </c>
      <c r="J150" s="11" t="s">
        <v>69</v>
      </c>
      <c r="K150" s="11" t="s">
        <v>214</v>
      </c>
      <c r="L150" s="11" t="str">
        <f>INDEX(Feiertagsregeln!$Y$7:$Y$198,MATCH($K150,Feiertagsregeln!$A$7:$A$198,0))</f>
        <v>SRC-FR-BAMG-866111-V8126</v>
      </c>
      <c r="M150" s="11" t="str">
        <f>INDEX(Feiertagsregeln!$Z$7:$Z$198,MATCH($K150,Feiertagsregeln!$A$7:$A$198,0))</f>
        <v>Art. 49 Abs. 3 Bst. a</v>
      </c>
      <c r="N150" s="11" t="s">
        <v>193</v>
      </c>
      <c r="O150" s="11" t="str">
        <f>INDEX(Feiertagsregeln!$AA$7:$AA$198,MATCH($K150,Feiertagsregeln!$A$7:$A$198,0))</f>
        <v>Ganztägig</v>
      </c>
    </row>
    <row r="151" spans="1:15" ht="44" customHeight="1">
      <c r="A151" s="14">
        <f>INDEX(Feiertagsregeln!$X$7:$X$198,MATCH($K151,Feiertagsregeln!$A$7:$A$198,0))</f>
        <v>46692</v>
      </c>
      <c r="B151" s="10" t="str">
        <f t="shared" si="2"/>
        <v>Montag</v>
      </c>
      <c r="C151" s="10" t="s">
        <v>207</v>
      </c>
      <c r="D151" s="10" t="s">
        <v>208</v>
      </c>
      <c r="E151" s="10" t="str">
        <f>INDEX(Feiertagsregeln!$D$7:$D$198,MATCH($K151,Feiertagsregeln!$A$7:$A$198,0))</f>
        <v>Allerheiligen</v>
      </c>
      <c r="F151" s="10" t="str">
        <f>INDEX(Feiertagsregeln!$E$7:$E$198,MATCH($K151,Feiertagsregeln!$A$7:$A$198,0))</f>
        <v>Toussaint</v>
      </c>
      <c r="G151" s="21" t="str">
        <f>IF(INDEX(Feiertagsregeln!$F$7:$F$198,MATCH($K151,Feiertagsregeln!$A$7:$A$198,0))="","Noch zu erfassen",INDEX(Feiertagsregeln!$F$7:$F$198,MATCH($K151,Feiertagsregeln!$A$7:$A$198,0)))</f>
        <v>Ognissanti</v>
      </c>
      <c r="H151" s="21" t="str">
        <f>IF(INDEX(Feiertagsregeln!$G$7:$G$198,MATCH($K151,Feiertagsregeln!$A$7:$A$198,0))="","Noch zu erfassen",INDEX(Feiertagsregeln!$G$7:$G$198,MATCH($K151,Feiertagsregeln!$A$7:$A$198,0)))</f>
        <v>Numnasontga</v>
      </c>
      <c r="I151" s="10" t="str">
        <f>INDEX(Feiertagsregeln!$H$7:$H$198,MATCH($K151,Feiertagsregeln!$A$7:$A$198,0))</f>
        <v>labourLawHoliday</v>
      </c>
      <c r="J151" s="10" t="s">
        <v>69</v>
      </c>
      <c r="K151" s="10" t="s">
        <v>215</v>
      </c>
      <c r="L151" s="10" t="str">
        <f>INDEX(Feiertagsregeln!$Y$7:$Y$198,MATCH($K151,Feiertagsregeln!$A$7:$A$198,0))</f>
        <v>SRC-FR-BAMG-866111-V8126</v>
      </c>
      <c r="M151" s="10" t="str">
        <f>INDEX(Feiertagsregeln!$Z$7:$Z$198,MATCH($K151,Feiertagsregeln!$A$7:$A$198,0))</f>
        <v>Art. 49 Abs. 3 Bst. a</v>
      </c>
      <c r="N151" s="10" t="s">
        <v>193</v>
      </c>
      <c r="O151" s="10" t="str">
        <f>INDEX(Feiertagsregeln!$AA$7:$AA$198,MATCH($K151,Feiertagsregeln!$A$7:$A$198,0))</f>
        <v>Ganztägig</v>
      </c>
    </row>
    <row r="152" spans="1:15" ht="44" customHeight="1">
      <c r="A152" s="15">
        <f>INDEX(Feiertagsregeln!$X$7:$X$198,MATCH($K152,Feiertagsregeln!$A$7:$A$198,0))</f>
        <v>46729</v>
      </c>
      <c r="B152" s="11" t="str">
        <f t="shared" si="2"/>
        <v>Mittwoch</v>
      </c>
      <c r="C152" s="11" t="s">
        <v>207</v>
      </c>
      <c r="D152" s="11" t="s">
        <v>208</v>
      </c>
      <c r="E152" s="11" t="str">
        <f>INDEX(Feiertagsregeln!$D$7:$D$198,MATCH($K152,Feiertagsregeln!$A$7:$A$198,0))</f>
        <v>Mariä Empfängnis</v>
      </c>
      <c r="F152" s="11" t="str">
        <f>INDEX(Feiertagsregeln!$E$7:$E$198,MATCH($K152,Feiertagsregeln!$A$7:$A$198,0))</f>
        <v>Immaculée Conception</v>
      </c>
      <c r="G152" s="22" t="str">
        <f>IF(INDEX(Feiertagsregeln!$F$7:$F$198,MATCH($K152,Feiertagsregeln!$A$7:$A$198,0))="","Noch zu erfassen",INDEX(Feiertagsregeln!$F$7:$F$198,MATCH($K152,Feiertagsregeln!$A$7:$A$198,0)))</f>
        <v>Immacolata</v>
      </c>
      <c r="H152" s="22" t="str">
        <f>IF(INDEX(Feiertagsregeln!$G$7:$G$198,MATCH($K152,Feiertagsregeln!$A$7:$A$198,0))="","Noch zu erfassen",INDEX(Feiertagsregeln!$G$7:$G$198,MATCH($K152,Feiertagsregeln!$A$7:$A$198,0)))</f>
        <v>Immaculada concepziun da Maria</v>
      </c>
      <c r="I152" s="11" t="str">
        <f>INDEX(Feiertagsregeln!$H$7:$H$198,MATCH($K152,Feiertagsregeln!$A$7:$A$198,0))</f>
        <v>labourLawHoliday</v>
      </c>
      <c r="J152" s="11" t="s">
        <v>69</v>
      </c>
      <c r="K152" s="11" t="s">
        <v>216</v>
      </c>
      <c r="L152" s="11" t="str">
        <f>INDEX(Feiertagsregeln!$Y$7:$Y$198,MATCH($K152,Feiertagsregeln!$A$7:$A$198,0))</f>
        <v>SRC-FR-BAMG-866111-V8126</v>
      </c>
      <c r="M152" s="11" t="str">
        <f>INDEX(Feiertagsregeln!$Z$7:$Z$198,MATCH($K152,Feiertagsregeln!$A$7:$A$198,0))</f>
        <v>Art. 49 Abs. 3 Bst. a</v>
      </c>
      <c r="N152" s="11" t="s">
        <v>193</v>
      </c>
      <c r="O152" s="11" t="str">
        <f>INDEX(Feiertagsregeln!$AA$7:$AA$198,MATCH($K152,Feiertagsregeln!$A$7:$A$198,0))</f>
        <v>Ganztägig</v>
      </c>
    </row>
    <row r="153" spans="1:15" ht="44" customHeight="1">
      <c r="A153" s="14">
        <f>INDEX(Feiertagsregeln!$X$7:$X$198,MATCH($K153,Feiertagsregeln!$A$7:$A$198,0))</f>
        <v>46746</v>
      </c>
      <c r="B153" s="10" t="str">
        <f t="shared" si="2"/>
        <v>Samstag</v>
      </c>
      <c r="C153" s="10" t="s">
        <v>207</v>
      </c>
      <c r="D153" s="10" t="s">
        <v>208</v>
      </c>
      <c r="E153" s="10" t="str">
        <f>INDEX(Feiertagsregeln!$D$7:$D$198,MATCH($K153,Feiertagsregeln!$A$7:$A$198,0))</f>
        <v>Weihnachten</v>
      </c>
      <c r="F153" s="10" t="str">
        <f>INDEX(Feiertagsregeln!$E$7:$E$198,MATCH($K153,Feiertagsregeln!$A$7:$A$198,0))</f>
        <v>Noël</v>
      </c>
      <c r="G153" s="21" t="str">
        <f>IF(INDEX(Feiertagsregeln!$F$7:$F$198,MATCH($K153,Feiertagsregeln!$A$7:$A$198,0))="","Noch zu erfassen",INDEX(Feiertagsregeln!$F$7:$F$198,MATCH($K153,Feiertagsregeln!$A$7:$A$198,0)))</f>
        <v>Natale</v>
      </c>
      <c r="H153" s="21" t="str">
        <f>IF(INDEX(Feiertagsregeln!$G$7:$G$198,MATCH($K153,Feiertagsregeln!$A$7:$A$198,0))="","Noch zu erfassen",INDEX(Feiertagsregeln!$G$7:$G$198,MATCH($K153,Feiertagsregeln!$A$7:$A$198,0)))</f>
        <v>Di da Nadal</v>
      </c>
      <c r="I153" s="10" t="str">
        <f>INDEX(Feiertagsregeln!$H$7:$H$198,MATCH($K153,Feiertagsregeln!$A$7:$A$198,0))</f>
        <v>labourLawHoliday</v>
      </c>
      <c r="J153" s="10" t="s">
        <v>69</v>
      </c>
      <c r="K153" s="10" t="s">
        <v>217</v>
      </c>
      <c r="L153" s="10" t="str">
        <f>INDEX(Feiertagsregeln!$Y$7:$Y$198,MATCH($K153,Feiertagsregeln!$A$7:$A$198,0))</f>
        <v>SRC-FR-BAMG-866111-V8126</v>
      </c>
      <c r="M153" s="10" t="str">
        <f>INDEX(Feiertagsregeln!$Z$7:$Z$198,MATCH($K153,Feiertagsregeln!$A$7:$A$198,0))</f>
        <v>Art. 49 Abs. 2</v>
      </c>
      <c r="N153" s="10" t="s">
        <v>193</v>
      </c>
      <c r="O153" s="10" t="str">
        <f>INDEX(Feiertagsregeln!$AA$7:$AA$198,MATCH($K153,Feiertagsregeln!$A$7:$A$198,0))</f>
        <v>Ganztägig</v>
      </c>
    </row>
    <row r="154" spans="1:15" ht="44" customHeight="1">
      <c r="A154" s="15">
        <f>INDEX(Feiertagsregeln!$X$7:$X$198,MATCH($K154,Feiertagsregeln!$A$7:$A$198,0))</f>
        <v>46388</v>
      </c>
      <c r="B154" s="11" t="str">
        <f t="shared" si="2"/>
        <v>Freitag</v>
      </c>
      <c r="C154" s="11" t="s">
        <v>207</v>
      </c>
      <c r="D154" s="11" t="s">
        <v>218</v>
      </c>
      <c r="E154" s="11" t="str">
        <f>INDEX(Feiertagsregeln!$D$7:$D$198,MATCH($K154,Feiertagsregeln!$A$7:$A$198,0))</f>
        <v>Neujahr</v>
      </c>
      <c r="F154" s="11" t="str">
        <f>INDEX(Feiertagsregeln!$E$7:$E$198,MATCH($K154,Feiertagsregeln!$A$7:$A$198,0))</f>
        <v>Nouvel An</v>
      </c>
      <c r="G154" s="22" t="str">
        <f>IF(INDEX(Feiertagsregeln!$F$7:$F$198,MATCH($K154,Feiertagsregeln!$A$7:$A$198,0))="","Noch zu erfassen",INDEX(Feiertagsregeln!$F$7:$F$198,MATCH($K154,Feiertagsregeln!$A$7:$A$198,0)))</f>
        <v>Capo d’anno</v>
      </c>
      <c r="H154" s="22" t="str">
        <f>IF(INDEX(Feiertagsregeln!$G$7:$G$198,MATCH($K154,Feiertagsregeln!$A$7:$A$198,0))="","Noch zu erfassen",INDEX(Feiertagsregeln!$G$7:$G$198,MATCH($K154,Feiertagsregeln!$A$7:$A$198,0)))</f>
        <v>Bumaun</v>
      </c>
      <c r="I154" s="11" t="str">
        <f>INDEX(Feiertagsregeln!$H$7:$H$198,MATCH($K154,Feiertagsregeln!$A$7:$A$198,0))</f>
        <v>labourLawHoliday</v>
      </c>
      <c r="J154" s="11" t="s">
        <v>69</v>
      </c>
      <c r="K154" s="11" t="s">
        <v>219</v>
      </c>
      <c r="L154" s="11" t="str">
        <f>INDEX(Feiertagsregeln!$Y$7:$Y$198,MATCH($K154,Feiertagsregeln!$A$7:$A$198,0))</f>
        <v>SRC-FR-BAMG-866111-V8126</v>
      </c>
      <c r="M154" s="11" t="str">
        <f>INDEX(Feiertagsregeln!$Z$7:$Z$198,MATCH($K154,Feiertagsregeln!$A$7:$A$198,0))</f>
        <v>Art. 49 Abs. 2</v>
      </c>
      <c r="N154" s="11" t="s">
        <v>193</v>
      </c>
      <c r="O154" s="11" t="str">
        <f>INDEX(Feiertagsregeln!$AA$7:$AA$198,MATCH($K154,Feiertagsregeln!$A$7:$A$198,0))</f>
        <v>Ganztägig</v>
      </c>
    </row>
    <row r="155" spans="1:15" ht="44" customHeight="1">
      <c r="A155" s="14">
        <f>INDEX(Feiertagsregeln!$X$7:$X$198,MATCH($K155,Feiertagsregeln!$A$7:$A$198,0))</f>
        <v>46389</v>
      </c>
      <c r="B155" s="10" t="str">
        <f t="shared" si="2"/>
        <v>Samstag</v>
      </c>
      <c r="C155" s="10" t="s">
        <v>207</v>
      </c>
      <c r="D155" s="10" t="s">
        <v>218</v>
      </c>
      <c r="E155" s="10" t="str">
        <f>INDEX(Feiertagsregeln!$D$7:$D$198,MATCH($K155,Feiertagsregeln!$A$7:$A$198,0))</f>
        <v>Berchtoldstag</v>
      </c>
      <c r="F155" s="10" t="str">
        <f>INDEX(Feiertagsregeln!$E$7:$E$198,MATCH($K155,Feiertagsregeln!$A$7:$A$198,0))</f>
        <v>Lendemain du Nouvel-An</v>
      </c>
      <c r="G155" s="21" t="str">
        <f>IF(INDEX(Feiertagsregeln!$F$7:$F$198,MATCH($K155,Feiertagsregeln!$A$7:$A$198,0))="","Noch zu erfassen",INDEX(Feiertagsregeln!$F$7:$F$198,MATCH($K155,Feiertagsregeln!$A$7:$A$198,0)))</f>
        <v>Giorno di Berchtold</v>
      </c>
      <c r="H155" s="21" t="str">
        <f>IF(INDEX(Feiertagsregeln!$G$7:$G$198,MATCH($K155,Feiertagsregeln!$A$7:$A$198,0))="","Noch zu erfassen",INDEX(Feiertagsregeln!$G$7:$G$198,MATCH($K155,Feiertagsregeln!$A$7:$A$198,0)))</f>
        <v>Di da Berchtold</v>
      </c>
      <c r="I155" s="10" t="str">
        <f>INDEX(Feiertagsregeln!$H$7:$H$198,MATCH($K155,Feiertagsregeln!$A$7:$A$198,0))</f>
        <v>labourLawHoliday</v>
      </c>
      <c r="J155" s="10" t="s">
        <v>69</v>
      </c>
      <c r="K155" s="10" t="s">
        <v>220</v>
      </c>
      <c r="L155" s="10" t="str">
        <f>INDEX(Feiertagsregeln!$Y$7:$Y$198,MATCH($K155,Feiertagsregeln!$A$7:$A$198,0))</f>
        <v>SRC-FR-BAMG-866111-V8126</v>
      </c>
      <c r="M155" s="10" t="str">
        <f>INDEX(Feiertagsregeln!$Z$7:$Z$198,MATCH($K155,Feiertagsregeln!$A$7:$A$198,0))</f>
        <v>Art. 49 Abs. 3 Bst. b</v>
      </c>
      <c r="N155" s="10" t="s">
        <v>193</v>
      </c>
      <c r="O155" s="10" t="str">
        <f>INDEX(Feiertagsregeln!$AA$7:$AA$198,MATCH($K155,Feiertagsregeln!$A$7:$A$198,0))</f>
        <v>Ganztägig</v>
      </c>
    </row>
    <row r="156" spans="1:15" ht="44" customHeight="1">
      <c r="A156" s="15">
        <f>INDEX(Feiertagsregeln!$X$7:$X$198,MATCH($K156,Feiertagsregeln!$A$7:$A$198,0))</f>
        <v>46472</v>
      </c>
      <c r="B156" s="11" t="str">
        <f t="shared" si="2"/>
        <v>Freitag</v>
      </c>
      <c r="C156" s="11" t="s">
        <v>207</v>
      </c>
      <c r="D156" s="11" t="s">
        <v>218</v>
      </c>
      <c r="E156" s="11" t="str">
        <f>INDEX(Feiertagsregeln!$D$7:$D$198,MATCH($K156,Feiertagsregeln!$A$7:$A$198,0))</f>
        <v>Karfreitag</v>
      </c>
      <c r="F156" s="11" t="str">
        <f>INDEX(Feiertagsregeln!$E$7:$E$198,MATCH($K156,Feiertagsregeln!$A$7:$A$198,0))</f>
        <v>Vendredi saint</v>
      </c>
      <c r="G156" s="22" t="str">
        <f>IF(INDEX(Feiertagsregeln!$F$7:$F$198,MATCH($K156,Feiertagsregeln!$A$7:$A$198,0))="","Noch zu erfassen",INDEX(Feiertagsregeln!$F$7:$F$198,MATCH($K156,Feiertagsregeln!$A$7:$A$198,0)))</f>
        <v>Venerdì Santo</v>
      </c>
      <c r="H156" s="22" t="str">
        <f>IF(INDEX(Feiertagsregeln!$G$7:$G$198,MATCH($K156,Feiertagsregeln!$A$7:$A$198,0))="","Noch zu erfassen",INDEX(Feiertagsregeln!$G$7:$G$198,MATCH($K156,Feiertagsregeln!$A$7:$A$198,0)))</f>
        <v>Venderdi sontg</v>
      </c>
      <c r="I156" s="11" t="str">
        <f>INDEX(Feiertagsregeln!$H$7:$H$198,MATCH($K156,Feiertagsregeln!$A$7:$A$198,0))</f>
        <v>labourLawHoliday</v>
      </c>
      <c r="J156" s="11" t="s">
        <v>69</v>
      </c>
      <c r="K156" s="11" t="s">
        <v>221</v>
      </c>
      <c r="L156" s="11" t="str">
        <f>INDEX(Feiertagsregeln!$Y$7:$Y$198,MATCH($K156,Feiertagsregeln!$A$7:$A$198,0))</f>
        <v>SRC-FR-BAMG-866111-V8126</v>
      </c>
      <c r="M156" s="11" t="str">
        <f>INDEX(Feiertagsregeln!$Z$7:$Z$198,MATCH($K156,Feiertagsregeln!$A$7:$A$198,0))</f>
        <v>Art. 49 Abs. 2</v>
      </c>
      <c r="N156" s="11" t="s">
        <v>193</v>
      </c>
      <c r="O156" s="11" t="str">
        <f>INDEX(Feiertagsregeln!$AA$7:$AA$198,MATCH($K156,Feiertagsregeln!$A$7:$A$198,0))</f>
        <v>Ganztägig</v>
      </c>
    </row>
    <row r="157" spans="1:15" ht="44" customHeight="1">
      <c r="A157" s="14">
        <f>INDEX(Feiertagsregeln!$X$7:$X$198,MATCH($K157,Feiertagsregeln!$A$7:$A$198,0))</f>
        <v>46475</v>
      </c>
      <c r="B157" s="10" t="str">
        <f t="shared" si="2"/>
        <v>Montag</v>
      </c>
      <c r="C157" s="10" t="s">
        <v>207</v>
      </c>
      <c r="D157" s="10" t="s">
        <v>218</v>
      </c>
      <c r="E157" s="10" t="str">
        <f>INDEX(Feiertagsregeln!$D$7:$D$198,MATCH($K157,Feiertagsregeln!$A$7:$A$198,0))</f>
        <v>Ostermontag</v>
      </c>
      <c r="F157" s="10" t="str">
        <f>INDEX(Feiertagsregeln!$E$7:$E$198,MATCH($K157,Feiertagsregeln!$A$7:$A$198,0))</f>
        <v>Lundi de Pâques</v>
      </c>
      <c r="G157" s="21" t="str">
        <f>IF(INDEX(Feiertagsregeln!$F$7:$F$198,MATCH($K157,Feiertagsregeln!$A$7:$A$198,0))="","Noch zu erfassen",INDEX(Feiertagsregeln!$F$7:$F$198,MATCH($K157,Feiertagsregeln!$A$7:$A$198,0)))</f>
        <v>Lunedì di Pasqua</v>
      </c>
      <c r="H157" s="21" t="str">
        <f>IF(INDEX(Feiertagsregeln!$G$7:$G$198,MATCH($K157,Feiertagsregeln!$A$7:$A$198,0))="","Noch zu erfassen",INDEX(Feiertagsregeln!$G$7:$G$198,MATCH($K157,Feiertagsregeln!$A$7:$A$198,0)))</f>
        <v>Glindesdi da Pasca</v>
      </c>
      <c r="I157" s="10" t="str">
        <f>INDEX(Feiertagsregeln!$H$7:$H$198,MATCH($K157,Feiertagsregeln!$A$7:$A$198,0))</f>
        <v>labourLawHoliday</v>
      </c>
      <c r="J157" s="10" t="s">
        <v>69</v>
      </c>
      <c r="K157" s="10" t="s">
        <v>222</v>
      </c>
      <c r="L157" s="10" t="str">
        <f>INDEX(Feiertagsregeln!$Y$7:$Y$198,MATCH($K157,Feiertagsregeln!$A$7:$A$198,0))</f>
        <v>SRC-FR-BAMG-866111-V8126</v>
      </c>
      <c r="M157" s="10" t="str">
        <f>INDEX(Feiertagsregeln!$Z$7:$Z$198,MATCH($K157,Feiertagsregeln!$A$7:$A$198,0))</f>
        <v>Art. 49 Abs. 3 Bst. b</v>
      </c>
      <c r="N157" s="10" t="s">
        <v>193</v>
      </c>
      <c r="O157" s="10" t="str">
        <f>INDEX(Feiertagsregeln!$AA$7:$AA$198,MATCH($K157,Feiertagsregeln!$A$7:$A$198,0))</f>
        <v>Ganztägig</v>
      </c>
    </row>
    <row r="158" spans="1:15" ht="44" customHeight="1">
      <c r="A158" s="15">
        <f>INDEX(Feiertagsregeln!$X$7:$X$198,MATCH($K158,Feiertagsregeln!$A$7:$A$198,0))</f>
        <v>46513</v>
      </c>
      <c r="B158" s="11" t="str">
        <f t="shared" si="2"/>
        <v>Donnerstag</v>
      </c>
      <c r="C158" s="11" t="s">
        <v>207</v>
      </c>
      <c r="D158" s="11" t="s">
        <v>218</v>
      </c>
      <c r="E158" s="11" t="str">
        <f>INDEX(Feiertagsregeln!$D$7:$D$198,MATCH($K158,Feiertagsregeln!$A$7:$A$198,0))</f>
        <v>Auffahrt</v>
      </c>
      <c r="F158" s="11" t="str">
        <f>INDEX(Feiertagsregeln!$E$7:$E$198,MATCH($K158,Feiertagsregeln!$A$7:$A$198,0))</f>
        <v>Ascension</v>
      </c>
      <c r="G158" s="22" t="str">
        <f>IF(INDEX(Feiertagsregeln!$F$7:$F$198,MATCH($K158,Feiertagsregeln!$A$7:$A$198,0))="","Noch zu erfassen",INDEX(Feiertagsregeln!$F$7:$F$198,MATCH($K158,Feiertagsregeln!$A$7:$A$198,0)))</f>
        <v>Ascensione</v>
      </c>
      <c r="H158" s="22" t="str">
        <f>IF(INDEX(Feiertagsregeln!$G$7:$G$198,MATCH($K158,Feiertagsregeln!$A$7:$A$198,0))="","Noch zu erfassen",INDEX(Feiertagsregeln!$G$7:$G$198,MATCH($K158,Feiertagsregeln!$A$7:$A$198,0)))</f>
        <v>Ascensiun</v>
      </c>
      <c r="I158" s="11" t="str">
        <f>INDEX(Feiertagsregeln!$H$7:$H$198,MATCH($K158,Feiertagsregeln!$A$7:$A$198,0))</f>
        <v>labourLawHoliday</v>
      </c>
      <c r="J158" s="11" t="s">
        <v>69</v>
      </c>
      <c r="K158" s="11" t="s">
        <v>223</v>
      </c>
      <c r="L158" s="11" t="str">
        <f>INDEX(Feiertagsregeln!$Y$7:$Y$198,MATCH($K158,Feiertagsregeln!$A$7:$A$198,0))</f>
        <v>SRC-FR-BAMG-866111-V8126</v>
      </c>
      <c r="M158" s="11" t="str">
        <f>INDEX(Feiertagsregeln!$Z$7:$Z$198,MATCH($K158,Feiertagsregeln!$A$7:$A$198,0))</f>
        <v>Art. 49 Abs. 2</v>
      </c>
      <c r="N158" s="11" t="s">
        <v>193</v>
      </c>
      <c r="O158" s="11" t="str">
        <f>INDEX(Feiertagsregeln!$AA$7:$AA$198,MATCH($K158,Feiertagsregeln!$A$7:$A$198,0))</f>
        <v>Ganztägig</v>
      </c>
    </row>
    <row r="159" spans="1:15" ht="44" customHeight="1">
      <c r="A159" s="14">
        <f>INDEX(Feiertagsregeln!$X$7:$X$198,MATCH($K159,Feiertagsregeln!$A$7:$A$198,0))</f>
        <v>46524</v>
      </c>
      <c r="B159" s="10" t="str">
        <f t="shared" si="2"/>
        <v>Montag</v>
      </c>
      <c r="C159" s="10" t="s">
        <v>207</v>
      </c>
      <c r="D159" s="10" t="s">
        <v>218</v>
      </c>
      <c r="E159" s="10" t="str">
        <f>INDEX(Feiertagsregeln!$D$7:$D$198,MATCH($K159,Feiertagsregeln!$A$7:$A$198,0))</f>
        <v>Pfingstmontag</v>
      </c>
      <c r="F159" s="10" t="str">
        <f>INDEX(Feiertagsregeln!$E$7:$E$198,MATCH($K159,Feiertagsregeln!$A$7:$A$198,0))</f>
        <v>Lundi de Pentecôte</v>
      </c>
      <c r="G159" s="21" t="str">
        <f>IF(INDEX(Feiertagsregeln!$F$7:$F$198,MATCH($K159,Feiertagsregeln!$A$7:$A$198,0))="","Noch zu erfassen",INDEX(Feiertagsregeln!$F$7:$F$198,MATCH($K159,Feiertagsregeln!$A$7:$A$198,0)))</f>
        <v>Lunedì di Pentecoste</v>
      </c>
      <c r="H159" s="21" t="str">
        <f>IF(INDEX(Feiertagsregeln!$G$7:$G$198,MATCH($K159,Feiertagsregeln!$A$7:$A$198,0))="","Noch zu erfassen",INDEX(Feiertagsregeln!$G$7:$G$198,MATCH($K159,Feiertagsregeln!$A$7:$A$198,0)))</f>
        <v>Glindesdi da Tschuncaisma</v>
      </c>
      <c r="I159" s="10" t="str">
        <f>INDEX(Feiertagsregeln!$H$7:$H$198,MATCH($K159,Feiertagsregeln!$A$7:$A$198,0))</f>
        <v>labourLawHoliday</v>
      </c>
      <c r="J159" s="10" t="s">
        <v>69</v>
      </c>
      <c r="K159" s="10" t="s">
        <v>224</v>
      </c>
      <c r="L159" s="10" t="str">
        <f>INDEX(Feiertagsregeln!$Y$7:$Y$198,MATCH($K159,Feiertagsregeln!$A$7:$A$198,0))</f>
        <v>SRC-FR-BAMG-866111-V8126</v>
      </c>
      <c r="M159" s="10" t="str">
        <f>INDEX(Feiertagsregeln!$Z$7:$Z$198,MATCH($K159,Feiertagsregeln!$A$7:$A$198,0))</f>
        <v>Art. 49 Abs. 3 Bst. b</v>
      </c>
      <c r="N159" s="10" t="s">
        <v>193</v>
      </c>
      <c r="O159" s="10" t="str">
        <f>INDEX(Feiertagsregeln!$AA$7:$AA$198,MATCH($K159,Feiertagsregeln!$A$7:$A$198,0))</f>
        <v>Ganztägig</v>
      </c>
    </row>
    <row r="160" spans="1:15" ht="44" customHeight="1">
      <c r="A160" s="15">
        <f>INDEX(Feiertagsregeln!$X$7:$X$198,MATCH($K160,Feiertagsregeln!$A$7:$A$198,0))</f>
        <v>46600</v>
      </c>
      <c r="B160" s="11" t="str">
        <f t="shared" si="2"/>
        <v>Sonntag</v>
      </c>
      <c r="C160" s="11" t="s">
        <v>207</v>
      </c>
      <c r="D160" s="11" t="s">
        <v>218</v>
      </c>
      <c r="E160" s="11" t="str">
        <f>INDEX(Feiertagsregeln!$D$7:$D$198,MATCH($K160,Feiertagsregeln!$A$7:$A$198,0))</f>
        <v>Bundesfeiertag</v>
      </c>
      <c r="F160" s="11" t="str">
        <f>INDEX(Feiertagsregeln!$E$7:$E$198,MATCH($K160,Feiertagsregeln!$A$7:$A$198,0))</f>
        <v>Fête nationale</v>
      </c>
      <c r="G160" s="22" t="str">
        <f>IF(INDEX(Feiertagsregeln!$F$7:$F$198,MATCH($K160,Feiertagsregeln!$A$7:$A$198,0))="","Noch zu erfassen",INDEX(Feiertagsregeln!$F$7:$F$198,MATCH($K160,Feiertagsregeln!$A$7:$A$198,0)))</f>
        <v>Primo agosto</v>
      </c>
      <c r="H160" s="22" t="str">
        <f>IF(INDEX(Feiertagsregeln!$G$7:$G$198,MATCH($K160,Feiertagsregeln!$A$7:$A$198,0))="","Noch zu erfassen",INDEX(Feiertagsregeln!$G$7:$G$198,MATCH($K160,Feiertagsregeln!$A$7:$A$198,0)))</f>
        <v>Festa naziunala svizra</v>
      </c>
      <c r="I160" s="11" t="str">
        <f>INDEX(Feiertagsregeln!$H$7:$H$198,MATCH($K160,Feiertagsregeln!$A$7:$A$198,0))</f>
        <v>publicHoliday</v>
      </c>
      <c r="J160" s="11" t="s">
        <v>69</v>
      </c>
      <c r="K160" s="11" t="s">
        <v>225</v>
      </c>
      <c r="L160" s="11" t="str">
        <f>INDEX(Feiertagsregeln!$Y$7:$Y$198,MATCH($K160,Feiertagsregeln!$A$7:$A$198,0))</f>
        <v>SRC-BUNDESFEIERTAG-19940701</v>
      </c>
      <c r="M160" s="11" t="str">
        <f>INDEX(Feiertagsregeln!$Z$7:$Z$198,MATCH($K160,Feiertagsregeln!$A$7:$A$198,0))</f>
        <v>SR 116, Art. 1, neue offene Anwendung auf dieses Geltungsprofil</v>
      </c>
      <c r="N160" s="11" t="s">
        <v>193</v>
      </c>
      <c r="O160" s="11" t="str">
        <f>INDEX(Feiertagsregeln!$AA$7:$AA$198,MATCH($K160,Feiertagsregeln!$A$7:$A$198,0))</f>
        <v>Ganztägig</v>
      </c>
    </row>
    <row r="161" spans="1:15" ht="44" customHeight="1">
      <c r="A161" s="14">
        <f>INDEX(Feiertagsregeln!$X$7:$X$198,MATCH($K161,Feiertagsregeln!$A$7:$A$198,0))</f>
        <v>46746</v>
      </c>
      <c r="B161" s="10" t="str">
        <f t="shared" si="2"/>
        <v>Samstag</v>
      </c>
      <c r="C161" s="10" t="s">
        <v>207</v>
      </c>
      <c r="D161" s="10" t="s">
        <v>218</v>
      </c>
      <c r="E161" s="10" t="str">
        <f>INDEX(Feiertagsregeln!$D$7:$D$198,MATCH($K161,Feiertagsregeln!$A$7:$A$198,0))</f>
        <v>Weihnachten</v>
      </c>
      <c r="F161" s="10" t="str">
        <f>INDEX(Feiertagsregeln!$E$7:$E$198,MATCH($K161,Feiertagsregeln!$A$7:$A$198,0))</f>
        <v>Noël</v>
      </c>
      <c r="G161" s="21" t="str">
        <f>IF(INDEX(Feiertagsregeln!$F$7:$F$198,MATCH($K161,Feiertagsregeln!$A$7:$A$198,0))="","Noch zu erfassen",INDEX(Feiertagsregeln!$F$7:$F$198,MATCH($K161,Feiertagsregeln!$A$7:$A$198,0)))</f>
        <v>Natale</v>
      </c>
      <c r="H161" s="21" t="str">
        <f>IF(INDEX(Feiertagsregeln!$G$7:$G$198,MATCH($K161,Feiertagsregeln!$A$7:$A$198,0))="","Noch zu erfassen",INDEX(Feiertagsregeln!$G$7:$G$198,MATCH($K161,Feiertagsregeln!$A$7:$A$198,0)))</f>
        <v>Di da Nadal</v>
      </c>
      <c r="I161" s="10" t="str">
        <f>INDEX(Feiertagsregeln!$H$7:$H$198,MATCH($K161,Feiertagsregeln!$A$7:$A$198,0))</f>
        <v>labourLawHoliday</v>
      </c>
      <c r="J161" s="10" t="s">
        <v>69</v>
      </c>
      <c r="K161" s="10" t="s">
        <v>226</v>
      </c>
      <c r="L161" s="10" t="str">
        <f>INDEX(Feiertagsregeln!$Y$7:$Y$198,MATCH($K161,Feiertagsregeln!$A$7:$A$198,0))</f>
        <v>SRC-FR-BAMG-866111-V8126</v>
      </c>
      <c r="M161" s="10" t="str">
        <f>INDEX(Feiertagsregeln!$Z$7:$Z$198,MATCH($K161,Feiertagsregeln!$A$7:$A$198,0))</f>
        <v>Art. 49 Abs. 2</v>
      </c>
      <c r="N161" s="10" t="s">
        <v>193</v>
      </c>
      <c r="O161" s="10" t="str">
        <f>INDEX(Feiertagsregeln!$AA$7:$AA$198,MATCH($K161,Feiertagsregeln!$A$7:$A$198,0))</f>
        <v>Ganztägig</v>
      </c>
    </row>
    <row r="162" spans="1:15" ht="44" customHeight="1">
      <c r="A162" s="15">
        <f>INDEX(Feiertagsregeln!$X$7:$X$198,MATCH($K162,Feiertagsregeln!$A$7:$A$198,0))</f>
        <v>46747</v>
      </c>
      <c r="B162" s="11" t="str">
        <f t="shared" si="2"/>
        <v>Sonntag</v>
      </c>
      <c r="C162" s="11" t="s">
        <v>207</v>
      </c>
      <c r="D162" s="11" t="s">
        <v>218</v>
      </c>
      <c r="E162" s="11" t="str">
        <f>INDEX(Feiertagsregeln!$D$7:$D$198,MATCH($K162,Feiertagsregeln!$A$7:$A$198,0))</f>
        <v>Stephanstag</v>
      </c>
      <c r="F162" s="11" t="str">
        <f>INDEX(Feiertagsregeln!$E$7:$E$198,MATCH($K162,Feiertagsregeln!$A$7:$A$198,0))</f>
        <v>Lendemain de Noël</v>
      </c>
      <c r="G162" s="22" t="str">
        <f>IF(INDEX(Feiertagsregeln!$F$7:$F$198,MATCH($K162,Feiertagsregeln!$A$7:$A$198,0))="","Noch zu erfassen",INDEX(Feiertagsregeln!$F$7:$F$198,MATCH($K162,Feiertagsregeln!$A$7:$A$198,0)))</f>
        <v>Santo Stefano</v>
      </c>
      <c r="H162" s="22" t="str">
        <f>IF(INDEX(Feiertagsregeln!$G$7:$G$198,MATCH($K162,Feiertagsregeln!$A$7:$A$198,0))="","Noch zu erfassen",INDEX(Feiertagsregeln!$G$7:$G$198,MATCH($K162,Feiertagsregeln!$A$7:$A$198,0)))</f>
        <v>Son Steffan</v>
      </c>
      <c r="I162" s="11" t="str">
        <f>INDEX(Feiertagsregeln!$H$7:$H$198,MATCH($K162,Feiertagsregeln!$A$7:$A$198,0))</f>
        <v>labourLawHoliday</v>
      </c>
      <c r="J162" s="11" t="s">
        <v>69</v>
      </c>
      <c r="K162" s="11" t="s">
        <v>227</v>
      </c>
      <c r="L162" s="11" t="str">
        <f>INDEX(Feiertagsregeln!$Y$7:$Y$198,MATCH($K162,Feiertagsregeln!$A$7:$A$198,0))</f>
        <v>SRC-FR-BAMG-866111-V8126</v>
      </c>
      <c r="M162" s="11" t="str">
        <f>INDEX(Feiertagsregeln!$Z$7:$Z$198,MATCH($K162,Feiertagsregeln!$A$7:$A$198,0))</f>
        <v>Art. 49 Abs. 3 Bst. b</v>
      </c>
      <c r="N162" s="11" t="s">
        <v>193</v>
      </c>
      <c r="O162" s="11" t="str">
        <f>INDEX(Feiertagsregeln!$AA$7:$AA$198,MATCH($K162,Feiertagsregeln!$A$7:$A$198,0))</f>
        <v>Ganztägig</v>
      </c>
    </row>
    <row r="163" spans="1:15" ht="44" customHeight="1">
      <c r="A163" s="14">
        <f>INDEX(Feiertagsregeln!$X$7:$X$198,MATCH($K163,Feiertagsregeln!$A$7:$A$198,0))</f>
        <v>46388</v>
      </c>
      <c r="B163" s="10" t="str">
        <f t="shared" si="2"/>
        <v>Freitag</v>
      </c>
      <c r="C163" s="10" t="s">
        <v>207</v>
      </c>
      <c r="D163" s="10" t="s">
        <v>228</v>
      </c>
      <c r="E163" s="10" t="str">
        <f>INDEX(Feiertagsregeln!$D$7:$D$198,MATCH($K163,Feiertagsregeln!$A$7:$A$198,0))</f>
        <v>Neujahr</v>
      </c>
      <c r="F163" s="10" t="str">
        <f>INDEX(Feiertagsregeln!$E$7:$E$198,MATCH($K163,Feiertagsregeln!$A$7:$A$198,0))</f>
        <v>Nouvel An</v>
      </c>
      <c r="G163" s="21" t="str">
        <f>IF(INDEX(Feiertagsregeln!$F$7:$F$198,MATCH($K163,Feiertagsregeln!$A$7:$A$198,0))="","Noch zu erfassen",INDEX(Feiertagsregeln!$F$7:$F$198,MATCH($K163,Feiertagsregeln!$A$7:$A$198,0)))</f>
        <v>Capo d’anno</v>
      </c>
      <c r="H163" s="21" t="str">
        <f>IF(INDEX(Feiertagsregeln!$G$7:$G$198,MATCH($K163,Feiertagsregeln!$A$7:$A$198,0))="","Noch zu erfassen",INDEX(Feiertagsregeln!$G$7:$G$198,MATCH($K163,Feiertagsregeln!$A$7:$A$198,0)))</f>
        <v>Bumaun</v>
      </c>
      <c r="I163" s="10" t="str">
        <f>INDEX(Feiertagsregeln!$H$7:$H$198,MATCH($K163,Feiertagsregeln!$A$7:$A$198,0))</f>
        <v>proceduralEquivalentDay</v>
      </c>
      <c r="J163" s="10" t="s">
        <v>69</v>
      </c>
      <c r="K163" s="10" t="s">
        <v>229</v>
      </c>
      <c r="L163" s="10" t="str">
        <f>INDEX(Feiertagsregeln!$Y$7:$Y$198,MATCH($K163,Feiertagsregeln!$A$7:$A$198,0))</f>
        <v>SRC-FR-JG-1301-V7926</v>
      </c>
      <c r="M163" s="10" t="str">
        <f>INDEX(Feiertagsregeln!$Z$7:$Z$198,MATCH($K163,Feiertagsregeln!$A$7:$A$198,0))</f>
        <v>Art. 121 Abs. 2</v>
      </c>
      <c r="N163" s="10" t="s">
        <v>193</v>
      </c>
      <c r="O163" s="10" t="str">
        <f>INDEX(Feiertagsregeln!$AA$7:$AA$198,MATCH($K163,Feiertagsregeln!$A$7:$A$198,0))</f>
        <v>Ganztägig</v>
      </c>
    </row>
    <row r="164" spans="1:15" ht="44" customHeight="1">
      <c r="A164" s="15">
        <f>INDEX(Feiertagsregeln!$X$7:$X$198,MATCH($K164,Feiertagsregeln!$A$7:$A$198,0))</f>
        <v>46389</v>
      </c>
      <c r="B164" s="11" t="str">
        <f t="shared" si="2"/>
        <v>Samstag</v>
      </c>
      <c r="C164" s="11" t="s">
        <v>207</v>
      </c>
      <c r="D164" s="11" t="s">
        <v>228</v>
      </c>
      <c r="E164" s="11" t="str">
        <f>INDEX(Feiertagsregeln!$D$7:$D$198,MATCH($K164,Feiertagsregeln!$A$7:$A$198,0))</f>
        <v>Berchtoldstag</v>
      </c>
      <c r="F164" s="11" t="str">
        <f>INDEX(Feiertagsregeln!$E$7:$E$198,MATCH($K164,Feiertagsregeln!$A$7:$A$198,0))</f>
        <v>Lendemain du Nouvel-An</v>
      </c>
      <c r="G164" s="22" t="str">
        <f>IF(INDEX(Feiertagsregeln!$F$7:$F$198,MATCH($K164,Feiertagsregeln!$A$7:$A$198,0))="","Noch zu erfassen",INDEX(Feiertagsregeln!$F$7:$F$198,MATCH($K164,Feiertagsregeln!$A$7:$A$198,0)))</f>
        <v>Giorno di Berchtold</v>
      </c>
      <c r="H164" s="22" t="str">
        <f>IF(INDEX(Feiertagsregeln!$G$7:$G$198,MATCH($K164,Feiertagsregeln!$A$7:$A$198,0))="","Noch zu erfassen",INDEX(Feiertagsregeln!$G$7:$G$198,MATCH($K164,Feiertagsregeln!$A$7:$A$198,0)))</f>
        <v>Di da Berchtold</v>
      </c>
      <c r="I164" s="11" t="str">
        <f>INDEX(Feiertagsregeln!$H$7:$H$198,MATCH($K164,Feiertagsregeln!$A$7:$A$198,0))</f>
        <v>proceduralEquivalentDay</v>
      </c>
      <c r="J164" s="11" t="s">
        <v>69</v>
      </c>
      <c r="K164" s="11" t="s">
        <v>230</v>
      </c>
      <c r="L164" s="11" t="str">
        <f>INDEX(Feiertagsregeln!$Y$7:$Y$198,MATCH($K164,Feiertagsregeln!$A$7:$A$198,0))</f>
        <v>SRC-FR-JG-1301-V7926</v>
      </c>
      <c r="M164" s="11" t="str">
        <f>INDEX(Feiertagsregeln!$Z$7:$Z$198,MATCH($K164,Feiertagsregeln!$A$7:$A$198,0))</f>
        <v>Art. 121 Abs. 2</v>
      </c>
      <c r="N164" s="11" t="s">
        <v>193</v>
      </c>
      <c r="O164" s="11" t="str">
        <f>INDEX(Feiertagsregeln!$AA$7:$AA$198,MATCH($K164,Feiertagsregeln!$A$7:$A$198,0))</f>
        <v>Ganztägig</v>
      </c>
    </row>
    <row r="165" spans="1:15" ht="44" customHeight="1">
      <c r="A165" s="14">
        <f>INDEX(Feiertagsregeln!$X$7:$X$198,MATCH($K165,Feiertagsregeln!$A$7:$A$198,0))</f>
        <v>46472</v>
      </c>
      <c r="B165" s="10" t="str">
        <f t="shared" si="2"/>
        <v>Freitag</v>
      </c>
      <c r="C165" s="10" t="s">
        <v>207</v>
      </c>
      <c r="D165" s="10" t="s">
        <v>228</v>
      </c>
      <c r="E165" s="10" t="str">
        <f>INDEX(Feiertagsregeln!$D$7:$D$198,MATCH($K165,Feiertagsregeln!$A$7:$A$198,0))</f>
        <v>Karfreitag</v>
      </c>
      <c r="F165" s="10" t="str">
        <f>INDEX(Feiertagsregeln!$E$7:$E$198,MATCH($K165,Feiertagsregeln!$A$7:$A$198,0))</f>
        <v>Vendredi saint</v>
      </c>
      <c r="G165" s="21" t="str">
        <f>IF(INDEX(Feiertagsregeln!$F$7:$F$198,MATCH($K165,Feiertagsregeln!$A$7:$A$198,0))="","Noch zu erfassen",INDEX(Feiertagsregeln!$F$7:$F$198,MATCH($K165,Feiertagsregeln!$A$7:$A$198,0)))</f>
        <v>Venerdì Santo</v>
      </c>
      <c r="H165" s="21" t="str">
        <f>IF(INDEX(Feiertagsregeln!$G$7:$G$198,MATCH($K165,Feiertagsregeln!$A$7:$A$198,0))="","Noch zu erfassen",INDEX(Feiertagsregeln!$G$7:$G$198,MATCH($K165,Feiertagsregeln!$A$7:$A$198,0)))</f>
        <v>Venderdi sontg</v>
      </c>
      <c r="I165" s="10" t="str">
        <f>INDEX(Feiertagsregeln!$H$7:$H$198,MATCH($K165,Feiertagsregeln!$A$7:$A$198,0))</f>
        <v>proceduralEquivalentDay</v>
      </c>
      <c r="J165" s="10" t="s">
        <v>69</v>
      </c>
      <c r="K165" s="10" t="s">
        <v>231</v>
      </c>
      <c r="L165" s="10" t="str">
        <f>INDEX(Feiertagsregeln!$Y$7:$Y$198,MATCH($K165,Feiertagsregeln!$A$7:$A$198,0))</f>
        <v>SRC-FR-JG-1301-V7926</v>
      </c>
      <c r="M165" s="10" t="str">
        <f>INDEX(Feiertagsregeln!$Z$7:$Z$198,MATCH($K165,Feiertagsregeln!$A$7:$A$198,0))</f>
        <v>Art. 121 Abs. 2</v>
      </c>
      <c r="N165" s="10" t="s">
        <v>193</v>
      </c>
      <c r="O165" s="10" t="str">
        <f>INDEX(Feiertagsregeln!$AA$7:$AA$198,MATCH($K165,Feiertagsregeln!$A$7:$A$198,0))</f>
        <v>Ganztägig</v>
      </c>
    </row>
    <row r="166" spans="1:15" ht="44" customHeight="1">
      <c r="A166" s="15">
        <f>INDEX(Feiertagsregeln!$X$7:$X$198,MATCH($K166,Feiertagsregeln!$A$7:$A$198,0))</f>
        <v>46474</v>
      </c>
      <c r="B166" s="11" t="str">
        <f t="shared" si="2"/>
        <v>Sonntag</v>
      </c>
      <c r="C166" s="11" t="s">
        <v>207</v>
      </c>
      <c r="D166" s="11" t="s">
        <v>228</v>
      </c>
      <c r="E166" s="11" t="str">
        <f>INDEX(Feiertagsregeln!$D$7:$D$198,MATCH($K166,Feiertagsregeln!$A$7:$A$198,0))</f>
        <v>Ostern</v>
      </c>
      <c r="F166" s="11" t="str">
        <f>INDEX(Feiertagsregeln!$E$7:$E$198,MATCH($K166,Feiertagsregeln!$A$7:$A$198,0))</f>
        <v>Pâques</v>
      </c>
      <c r="G166" s="22" t="str">
        <f>IF(INDEX(Feiertagsregeln!$F$7:$F$198,MATCH($K166,Feiertagsregeln!$A$7:$A$198,0))="","Noch zu erfassen",INDEX(Feiertagsregeln!$F$7:$F$198,MATCH($K166,Feiertagsregeln!$A$7:$A$198,0)))</f>
        <v>Domenica di Pasqua</v>
      </c>
      <c r="H166" s="22" t="str">
        <f>IF(INDEX(Feiertagsregeln!$G$7:$G$198,MATCH($K166,Feiertagsregeln!$A$7:$A$198,0))="","Noch zu erfassen",INDEX(Feiertagsregeln!$G$7:$G$198,MATCH($K166,Feiertagsregeln!$A$7:$A$198,0)))</f>
        <v>Dumengia da Pasca</v>
      </c>
      <c r="I166" s="11" t="str">
        <f>INDEX(Feiertagsregeln!$H$7:$H$198,MATCH($K166,Feiertagsregeln!$A$7:$A$198,0))</f>
        <v>proceduralEquivalentDay</v>
      </c>
      <c r="J166" s="11" t="s">
        <v>69</v>
      </c>
      <c r="K166" s="11" t="s">
        <v>232</v>
      </c>
      <c r="L166" s="11" t="str">
        <f>INDEX(Feiertagsregeln!$Y$7:$Y$198,MATCH($K166,Feiertagsregeln!$A$7:$A$198,0))</f>
        <v>SRC-FR-JG-1301-V7926</v>
      </c>
      <c r="M166" s="11" t="str">
        <f>INDEX(Feiertagsregeln!$Z$7:$Z$198,MATCH($K166,Feiertagsregeln!$A$7:$A$198,0))</f>
        <v>Art. 121 Abs. 2</v>
      </c>
      <c r="N166" s="11" t="s">
        <v>193</v>
      </c>
      <c r="O166" s="11" t="str">
        <f>INDEX(Feiertagsregeln!$AA$7:$AA$198,MATCH($K166,Feiertagsregeln!$A$7:$A$198,0))</f>
        <v>Ganztägig</v>
      </c>
    </row>
    <row r="167" spans="1:15" ht="44" customHeight="1">
      <c r="A167" s="14">
        <f>INDEX(Feiertagsregeln!$X$7:$X$198,MATCH($K167,Feiertagsregeln!$A$7:$A$198,0))</f>
        <v>46475</v>
      </c>
      <c r="B167" s="10" t="str">
        <f t="shared" si="2"/>
        <v>Montag</v>
      </c>
      <c r="C167" s="10" t="s">
        <v>207</v>
      </c>
      <c r="D167" s="10" t="s">
        <v>228</v>
      </c>
      <c r="E167" s="10" t="str">
        <f>INDEX(Feiertagsregeln!$D$7:$D$198,MATCH($K167,Feiertagsregeln!$A$7:$A$198,0))</f>
        <v>Ostermontag</v>
      </c>
      <c r="F167" s="10" t="str">
        <f>INDEX(Feiertagsregeln!$E$7:$E$198,MATCH($K167,Feiertagsregeln!$A$7:$A$198,0))</f>
        <v>Lundi de Pâques</v>
      </c>
      <c r="G167" s="21" t="str">
        <f>IF(INDEX(Feiertagsregeln!$F$7:$F$198,MATCH($K167,Feiertagsregeln!$A$7:$A$198,0))="","Noch zu erfassen",INDEX(Feiertagsregeln!$F$7:$F$198,MATCH($K167,Feiertagsregeln!$A$7:$A$198,0)))</f>
        <v>Lunedì di Pasqua</v>
      </c>
      <c r="H167" s="21" t="str">
        <f>IF(INDEX(Feiertagsregeln!$G$7:$G$198,MATCH($K167,Feiertagsregeln!$A$7:$A$198,0))="","Noch zu erfassen",INDEX(Feiertagsregeln!$G$7:$G$198,MATCH($K167,Feiertagsregeln!$A$7:$A$198,0)))</f>
        <v>Glindesdi da Pasca</v>
      </c>
      <c r="I167" s="10" t="str">
        <f>INDEX(Feiertagsregeln!$H$7:$H$198,MATCH($K167,Feiertagsregeln!$A$7:$A$198,0))</f>
        <v>proceduralEquivalentDay</v>
      </c>
      <c r="J167" s="10" t="s">
        <v>69</v>
      </c>
      <c r="K167" s="10" t="s">
        <v>233</v>
      </c>
      <c r="L167" s="10" t="str">
        <f>INDEX(Feiertagsregeln!$Y$7:$Y$198,MATCH($K167,Feiertagsregeln!$A$7:$A$198,0))</f>
        <v>SRC-FR-JG-1301-V7926</v>
      </c>
      <c r="M167" s="10" t="str">
        <f>INDEX(Feiertagsregeln!$Z$7:$Z$198,MATCH($K167,Feiertagsregeln!$A$7:$A$198,0))</f>
        <v>Art. 121 Abs. 2</v>
      </c>
      <c r="N167" s="10" t="s">
        <v>193</v>
      </c>
      <c r="O167" s="10" t="str">
        <f>INDEX(Feiertagsregeln!$AA$7:$AA$198,MATCH($K167,Feiertagsregeln!$A$7:$A$198,0))</f>
        <v>Ganztägig</v>
      </c>
    </row>
    <row r="168" spans="1:15" ht="44" customHeight="1">
      <c r="A168" s="15">
        <f>INDEX(Feiertagsregeln!$X$7:$X$198,MATCH($K168,Feiertagsregeln!$A$7:$A$198,0))</f>
        <v>46513</v>
      </c>
      <c r="B168" s="11" t="str">
        <f t="shared" si="2"/>
        <v>Donnerstag</v>
      </c>
      <c r="C168" s="11" t="s">
        <v>207</v>
      </c>
      <c r="D168" s="11" t="s">
        <v>228</v>
      </c>
      <c r="E168" s="11" t="str">
        <f>INDEX(Feiertagsregeln!$D$7:$D$198,MATCH($K168,Feiertagsregeln!$A$7:$A$198,0))</f>
        <v>Auffahrt</v>
      </c>
      <c r="F168" s="11" t="str">
        <f>INDEX(Feiertagsregeln!$E$7:$E$198,MATCH($K168,Feiertagsregeln!$A$7:$A$198,0))</f>
        <v>Ascension</v>
      </c>
      <c r="G168" s="22" t="str">
        <f>IF(INDEX(Feiertagsregeln!$F$7:$F$198,MATCH($K168,Feiertagsregeln!$A$7:$A$198,0))="","Noch zu erfassen",INDEX(Feiertagsregeln!$F$7:$F$198,MATCH($K168,Feiertagsregeln!$A$7:$A$198,0)))</f>
        <v>Ascensione</v>
      </c>
      <c r="H168" s="22" t="str">
        <f>IF(INDEX(Feiertagsregeln!$G$7:$G$198,MATCH($K168,Feiertagsregeln!$A$7:$A$198,0))="","Noch zu erfassen",INDEX(Feiertagsregeln!$G$7:$G$198,MATCH($K168,Feiertagsregeln!$A$7:$A$198,0)))</f>
        <v>Ascensiun</v>
      </c>
      <c r="I168" s="11" t="str">
        <f>INDEX(Feiertagsregeln!$H$7:$H$198,MATCH($K168,Feiertagsregeln!$A$7:$A$198,0))</f>
        <v>proceduralEquivalentDay</v>
      </c>
      <c r="J168" s="11" t="s">
        <v>69</v>
      </c>
      <c r="K168" s="11" t="s">
        <v>234</v>
      </c>
      <c r="L168" s="11" t="str">
        <f>INDEX(Feiertagsregeln!$Y$7:$Y$198,MATCH($K168,Feiertagsregeln!$A$7:$A$198,0))</f>
        <v>SRC-FR-JG-1301-V7926</v>
      </c>
      <c r="M168" s="11" t="str">
        <f>INDEX(Feiertagsregeln!$Z$7:$Z$198,MATCH($K168,Feiertagsregeln!$A$7:$A$198,0))</f>
        <v>Art. 121 Abs. 2</v>
      </c>
      <c r="N168" s="11" t="s">
        <v>193</v>
      </c>
      <c r="O168" s="11" t="str">
        <f>INDEX(Feiertagsregeln!$AA$7:$AA$198,MATCH($K168,Feiertagsregeln!$A$7:$A$198,0))</f>
        <v>Ganztägig</v>
      </c>
    </row>
    <row r="169" spans="1:15" ht="44" customHeight="1">
      <c r="A169" s="14">
        <f>INDEX(Feiertagsregeln!$X$7:$X$198,MATCH($K169,Feiertagsregeln!$A$7:$A$198,0))</f>
        <v>46523</v>
      </c>
      <c r="B169" s="10" t="str">
        <f t="shared" si="2"/>
        <v>Sonntag</v>
      </c>
      <c r="C169" s="10" t="s">
        <v>207</v>
      </c>
      <c r="D169" s="10" t="s">
        <v>228</v>
      </c>
      <c r="E169" s="10" t="str">
        <f>INDEX(Feiertagsregeln!$D$7:$D$198,MATCH($K169,Feiertagsregeln!$A$7:$A$198,0))</f>
        <v>Pfingsten</v>
      </c>
      <c r="F169" s="10" t="str">
        <f>INDEX(Feiertagsregeln!$E$7:$E$198,MATCH($K169,Feiertagsregeln!$A$7:$A$198,0))</f>
        <v>Pentecôte</v>
      </c>
      <c r="G169" s="21" t="str">
        <f>IF(INDEX(Feiertagsregeln!$F$7:$F$198,MATCH($K169,Feiertagsregeln!$A$7:$A$198,0))="","Noch zu erfassen",INDEX(Feiertagsregeln!$F$7:$F$198,MATCH($K169,Feiertagsregeln!$A$7:$A$198,0)))</f>
        <v>Domenica di Pentecoste</v>
      </c>
      <c r="H169" s="21" t="str">
        <f>IF(INDEX(Feiertagsregeln!$G$7:$G$198,MATCH($K169,Feiertagsregeln!$A$7:$A$198,0))="","Noch zu erfassen",INDEX(Feiertagsregeln!$G$7:$G$198,MATCH($K169,Feiertagsregeln!$A$7:$A$198,0)))</f>
        <v>Dumengia da Tschuncaisma</v>
      </c>
      <c r="I169" s="10" t="str">
        <f>INDEX(Feiertagsregeln!$H$7:$H$198,MATCH($K169,Feiertagsregeln!$A$7:$A$198,0))</f>
        <v>proceduralEquivalentDay</v>
      </c>
      <c r="J169" s="10" t="s">
        <v>69</v>
      </c>
      <c r="K169" s="10" t="s">
        <v>235</v>
      </c>
      <c r="L169" s="10" t="str">
        <f>INDEX(Feiertagsregeln!$Y$7:$Y$198,MATCH($K169,Feiertagsregeln!$A$7:$A$198,0))</f>
        <v>SRC-FR-JG-1301-V7926</v>
      </c>
      <c r="M169" s="10" t="str">
        <f>INDEX(Feiertagsregeln!$Z$7:$Z$198,MATCH($K169,Feiertagsregeln!$A$7:$A$198,0))</f>
        <v>Art. 121 Abs. 2</v>
      </c>
      <c r="N169" s="10" t="s">
        <v>193</v>
      </c>
      <c r="O169" s="10" t="str">
        <f>INDEX(Feiertagsregeln!$AA$7:$AA$198,MATCH($K169,Feiertagsregeln!$A$7:$A$198,0))</f>
        <v>Ganztägig</v>
      </c>
    </row>
    <row r="170" spans="1:15" ht="44" customHeight="1">
      <c r="A170" s="15">
        <f>INDEX(Feiertagsregeln!$X$7:$X$198,MATCH($K170,Feiertagsregeln!$A$7:$A$198,0))</f>
        <v>46524</v>
      </c>
      <c r="B170" s="11" t="str">
        <f t="shared" si="2"/>
        <v>Montag</v>
      </c>
      <c r="C170" s="11" t="s">
        <v>207</v>
      </c>
      <c r="D170" s="11" t="s">
        <v>228</v>
      </c>
      <c r="E170" s="11" t="str">
        <f>INDEX(Feiertagsregeln!$D$7:$D$198,MATCH($K170,Feiertagsregeln!$A$7:$A$198,0))</f>
        <v>Pfingstmontag</v>
      </c>
      <c r="F170" s="11" t="str">
        <f>INDEX(Feiertagsregeln!$E$7:$E$198,MATCH($K170,Feiertagsregeln!$A$7:$A$198,0))</f>
        <v>Lundi de Pentecôte</v>
      </c>
      <c r="G170" s="22" t="str">
        <f>IF(INDEX(Feiertagsregeln!$F$7:$F$198,MATCH($K170,Feiertagsregeln!$A$7:$A$198,0))="","Noch zu erfassen",INDEX(Feiertagsregeln!$F$7:$F$198,MATCH($K170,Feiertagsregeln!$A$7:$A$198,0)))</f>
        <v>Lunedì di Pentecoste</v>
      </c>
      <c r="H170" s="22" t="str">
        <f>IF(INDEX(Feiertagsregeln!$G$7:$G$198,MATCH($K170,Feiertagsregeln!$A$7:$A$198,0))="","Noch zu erfassen",INDEX(Feiertagsregeln!$G$7:$G$198,MATCH($K170,Feiertagsregeln!$A$7:$A$198,0)))</f>
        <v>Glindesdi da Tschuncaisma</v>
      </c>
      <c r="I170" s="11" t="str">
        <f>INDEX(Feiertagsregeln!$H$7:$H$198,MATCH($K170,Feiertagsregeln!$A$7:$A$198,0))</f>
        <v>proceduralEquivalentDay</v>
      </c>
      <c r="J170" s="11" t="s">
        <v>69</v>
      </c>
      <c r="K170" s="11" t="s">
        <v>236</v>
      </c>
      <c r="L170" s="11" t="str">
        <f>INDEX(Feiertagsregeln!$Y$7:$Y$198,MATCH($K170,Feiertagsregeln!$A$7:$A$198,0))</f>
        <v>SRC-FR-JG-1301-V7926</v>
      </c>
      <c r="M170" s="11" t="str">
        <f>INDEX(Feiertagsregeln!$Z$7:$Z$198,MATCH($K170,Feiertagsregeln!$A$7:$A$198,0))</f>
        <v>Art. 121 Abs. 2</v>
      </c>
      <c r="N170" s="11" t="s">
        <v>193</v>
      </c>
      <c r="O170" s="11" t="str">
        <f>INDEX(Feiertagsregeln!$AA$7:$AA$198,MATCH($K170,Feiertagsregeln!$A$7:$A$198,0))</f>
        <v>Ganztägig</v>
      </c>
    </row>
    <row r="171" spans="1:15" ht="44" customHeight="1">
      <c r="A171" s="14">
        <f>INDEX(Feiertagsregeln!$X$7:$X$198,MATCH($K171,Feiertagsregeln!$A$7:$A$198,0))</f>
        <v>46534</v>
      </c>
      <c r="B171" s="10" t="str">
        <f t="shared" si="2"/>
        <v>Donnerstag</v>
      </c>
      <c r="C171" s="10" t="s">
        <v>207</v>
      </c>
      <c r="D171" s="10" t="s">
        <v>228</v>
      </c>
      <c r="E171" s="10" t="str">
        <f>INDEX(Feiertagsregeln!$D$7:$D$198,MATCH($K171,Feiertagsregeln!$A$7:$A$198,0))</f>
        <v>Fronleichnam</v>
      </c>
      <c r="F171" s="10" t="str">
        <f>INDEX(Feiertagsregeln!$E$7:$E$198,MATCH($K171,Feiertagsregeln!$A$7:$A$198,0))</f>
        <v>Fête-Dieu</v>
      </c>
      <c r="G171" s="21" t="str">
        <f>IF(INDEX(Feiertagsregeln!$F$7:$F$198,MATCH($K171,Feiertagsregeln!$A$7:$A$198,0))="","Noch zu erfassen",INDEX(Feiertagsregeln!$F$7:$F$198,MATCH($K171,Feiertagsregeln!$A$7:$A$198,0)))</f>
        <v>Corpus Domini</v>
      </c>
      <c r="H171" s="21" t="str">
        <f>IF(INDEX(Feiertagsregeln!$G$7:$G$198,MATCH($K171,Feiertagsregeln!$A$7:$A$198,0))="","Noch zu erfassen",INDEX(Feiertagsregeln!$G$7:$G$198,MATCH($K171,Feiertagsregeln!$A$7:$A$198,0)))</f>
        <v>Sontgilcrest</v>
      </c>
      <c r="I171" s="10" t="str">
        <f>INDEX(Feiertagsregeln!$H$7:$H$198,MATCH($K171,Feiertagsregeln!$A$7:$A$198,0))</f>
        <v>proceduralEquivalentDay</v>
      </c>
      <c r="J171" s="10" t="s">
        <v>69</v>
      </c>
      <c r="K171" s="10" t="s">
        <v>237</v>
      </c>
      <c r="L171" s="10" t="str">
        <f>INDEX(Feiertagsregeln!$Y$7:$Y$198,MATCH($K171,Feiertagsregeln!$A$7:$A$198,0))</f>
        <v>SRC-FR-JG-1301-V7926</v>
      </c>
      <c r="M171" s="10" t="str">
        <f>INDEX(Feiertagsregeln!$Z$7:$Z$198,MATCH($K171,Feiertagsregeln!$A$7:$A$198,0))</f>
        <v>Art. 121 Abs. 2</v>
      </c>
      <c r="N171" s="10" t="s">
        <v>193</v>
      </c>
      <c r="O171" s="10" t="str">
        <f>INDEX(Feiertagsregeln!$AA$7:$AA$198,MATCH($K171,Feiertagsregeln!$A$7:$A$198,0))</f>
        <v>Ganztägig</v>
      </c>
    </row>
    <row r="172" spans="1:15" ht="44" customHeight="1">
      <c r="A172" s="15">
        <f>INDEX(Feiertagsregeln!$X$7:$X$198,MATCH($K172,Feiertagsregeln!$A$7:$A$198,0))</f>
        <v>46600</v>
      </c>
      <c r="B172" s="11" t="str">
        <f t="shared" si="2"/>
        <v>Sonntag</v>
      </c>
      <c r="C172" s="11" t="s">
        <v>207</v>
      </c>
      <c r="D172" s="11" t="s">
        <v>228</v>
      </c>
      <c r="E172" s="11" t="str">
        <f>INDEX(Feiertagsregeln!$D$7:$D$198,MATCH($K172,Feiertagsregeln!$A$7:$A$198,0))</f>
        <v>Bundesfeiertag</v>
      </c>
      <c r="F172" s="11" t="str">
        <f>INDEX(Feiertagsregeln!$E$7:$E$198,MATCH($K172,Feiertagsregeln!$A$7:$A$198,0))</f>
        <v>Fête nationale</v>
      </c>
      <c r="G172" s="22" t="str">
        <f>IF(INDEX(Feiertagsregeln!$F$7:$F$198,MATCH($K172,Feiertagsregeln!$A$7:$A$198,0))="","Noch zu erfassen",INDEX(Feiertagsregeln!$F$7:$F$198,MATCH($K172,Feiertagsregeln!$A$7:$A$198,0)))</f>
        <v>Primo agosto</v>
      </c>
      <c r="H172" s="22" t="str">
        <f>IF(INDEX(Feiertagsregeln!$G$7:$G$198,MATCH($K172,Feiertagsregeln!$A$7:$A$198,0))="","Noch zu erfassen",INDEX(Feiertagsregeln!$G$7:$G$198,MATCH($K172,Feiertagsregeln!$A$7:$A$198,0)))</f>
        <v>Festa naziunala svizra</v>
      </c>
      <c r="I172" s="11" t="str">
        <f>INDEX(Feiertagsregeln!$H$7:$H$198,MATCH($K172,Feiertagsregeln!$A$7:$A$198,0))</f>
        <v>proceduralEquivalentDay</v>
      </c>
      <c r="J172" s="11" t="s">
        <v>69</v>
      </c>
      <c r="K172" s="11" t="s">
        <v>238</v>
      </c>
      <c r="L172" s="11" t="str">
        <f>INDEX(Feiertagsregeln!$Y$7:$Y$198,MATCH($K172,Feiertagsregeln!$A$7:$A$198,0))</f>
        <v>SRC-FR-JG-1301-V7926</v>
      </c>
      <c r="M172" s="11" t="str">
        <f>INDEX(Feiertagsregeln!$Z$7:$Z$198,MATCH($K172,Feiertagsregeln!$A$7:$A$198,0))</f>
        <v>Art. 121 Abs. 2</v>
      </c>
      <c r="N172" s="11" t="s">
        <v>193</v>
      </c>
      <c r="O172" s="11" t="str">
        <f>INDEX(Feiertagsregeln!$AA$7:$AA$198,MATCH($K172,Feiertagsregeln!$A$7:$A$198,0))</f>
        <v>Ganztägig</v>
      </c>
    </row>
    <row r="173" spans="1:15" ht="44" customHeight="1">
      <c r="A173" s="14">
        <f>INDEX(Feiertagsregeln!$X$7:$X$198,MATCH($K173,Feiertagsregeln!$A$7:$A$198,0))</f>
        <v>46614</v>
      </c>
      <c r="B173" s="10" t="str">
        <f t="shared" si="2"/>
        <v>Sonntag</v>
      </c>
      <c r="C173" s="10" t="s">
        <v>207</v>
      </c>
      <c r="D173" s="10" t="s">
        <v>228</v>
      </c>
      <c r="E173" s="10" t="str">
        <f>INDEX(Feiertagsregeln!$D$7:$D$198,MATCH($K173,Feiertagsregeln!$A$7:$A$198,0))</f>
        <v>Mariä Himmelfahrt</v>
      </c>
      <c r="F173" s="10" t="str">
        <f>INDEX(Feiertagsregeln!$E$7:$E$198,MATCH($K173,Feiertagsregeln!$A$7:$A$198,0))</f>
        <v>Assomption</v>
      </c>
      <c r="G173" s="21" t="str">
        <f>IF(INDEX(Feiertagsregeln!$F$7:$F$198,MATCH($K173,Feiertagsregeln!$A$7:$A$198,0))="","Noch zu erfassen",INDEX(Feiertagsregeln!$F$7:$F$198,MATCH($K173,Feiertagsregeln!$A$7:$A$198,0)))</f>
        <v>Assunzione</v>
      </c>
      <c r="H173" s="21" t="str">
        <f>IF(INDEX(Feiertagsregeln!$G$7:$G$198,MATCH($K173,Feiertagsregeln!$A$7:$A$198,0))="","Noch zu erfassen",INDEX(Feiertagsregeln!$G$7:$G$198,MATCH($K173,Feiertagsregeln!$A$7:$A$198,0)))</f>
        <v>Nossadunna d’avust</v>
      </c>
      <c r="I173" s="10" t="str">
        <f>INDEX(Feiertagsregeln!$H$7:$H$198,MATCH($K173,Feiertagsregeln!$A$7:$A$198,0))</f>
        <v>proceduralEquivalentDay</v>
      </c>
      <c r="J173" s="10" t="s">
        <v>69</v>
      </c>
      <c r="K173" s="10" t="s">
        <v>239</v>
      </c>
      <c r="L173" s="10" t="str">
        <f>INDEX(Feiertagsregeln!$Y$7:$Y$198,MATCH($K173,Feiertagsregeln!$A$7:$A$198,0))</f>
        <v>SRC-FR-JG-1301-V7926</v>
      </c>
      <c r="M173" s="10" t="str">
        <f>INDEX(Feiertagsregeln!$Z$7:$Z$198,MATCH($K173,Feiertagsregeln!$A$7:$A$198,0))</f>
        <v>Art. 121 Abs. 2</v>
      </c>
      <c r="N173" s="10" t="s">
        <v>193</v>
      </c>
      <c r="O173" s="10" t="str">
        <f>INDEX(Feiertagsregeln!$AA$7:$AA$198,MATCH($K173,Feiertagsregeln!$A$7:$A$198,0))</f>
        <v>Ganztägig</v>
      </c>
    </row>
    <row r="174" spans="1:15" ht="44" customHeight="1">
      <c r="A174" s="15">
        <f>INDEX(Feiertagsregeln!$X$7:$X$198,MATCH($K174,Feiertagsregeln!$A$7:$A$198,0))</f>
        <v>46692</v>
      </c>
      <c r="B174" s="11" t="str">
        <f t="shared" si="2"/>
        <v>Montag</v>
      </c>
      <c r="C174" s="11" t="s">
        <v>207</v>
      </c>
      <c r="D174" s="11" t="s">
        <v>228</v>
      </c>
      <c r="E174" s="11" t="str">
        <f>INDEX(Feiertagsregeln!$D$7:$D$198,MATCH($K174,Feiertagsregeln!$A$7:$A$198,0))</f>
        <v>Allerheiligen</v>
      </c>
      <c r="F174" s="11" t="str">
        <f>INDEX(Feiertagsregeln!$E$7:$E$198,MATCH($K174,Feiertagsregeln!$A$7:$A$198,0))</f>
        <v>Toussaint</v>
      </c>
      <c r="G174" s="22" t="str">
        <f>IF(INDEX(Feiertagsregeln!$F$7:$F$198,MATCH($K174,Feiertagsregeln!$A$7:$A$198,0))="","Noch zu erfassen",INDEX(Feiertagsregeln!$F$7:$F$198,MATCH($K174,Feiertagsregeln!$A$7:$A$198,0)))</f>
        <v>Ognissanti</v>
      </c>
      <c r="H174" s="22" t="str">
        <f>IF(INDEX(Feiertagsregeln!$G$7:$G$198,MATCH($K174,Feiertagsregeln!$A$7:$A$198,0))="","Noch zu erfassen",INDEX(Feiertagsregeln!$G$7:$G$198,MATCH($K174,Feiertagsregeln!$A$7:$A$198,0)))</f>
        <v>Numnasontga</v>
      </c>
      <c r="I174" s="11" t="str">
        <f>INDEX(Feiertagsregeln!$H$7:$H$198,MATCH($K174,Feiertagsregeln!$A$7:$A$198,0))</f>
        <v>proceduralEquivalentDay</v>
      </c>
      <c r="J174" s="11" t="s">
        <v>69</v>
      </c>
      <c r="K174" s="11" t="s">
        <v>240</v>
      </c>
      <c r="L174" s="11" t="str">
        <f>INDEX(Feiertagsregeln!$Y$7:$Y$198,MATCH($K174,Feiertagsregeln!$A$7:$A$198,0))</f>
        <v>SRC-FR-JG-1301-V7926</v>
      </c>
      <c r="M174" s="11" t="str">
        <f>INDEX(Feiertagsregeln!$Z$7:$Z$198,MATCH($K174,Feiertagsregeln!$A$7:$A$198,0))</f>
        <v>Art. 121 Abs. 2</v>
      </c>
      <c r="N174" s="11" t="s">
        <v>193</v>
      </c>
      <c r="O174" s="11" t="str">
        <f>INDEX(Feiertagsregeln!$AA$7:$AA$198,MATCH($K174,Feiertagsregeln!$A$7:$A$198,0))</f>
        <v>Ganztägig</v>
      </c>
    </row>
    <row r="175" spans="1:15" ht="44" customHeight="1">
      <c r="A175" s="14">
        <f>INDEX(Feiertagsregeln!$X$7:$X$198,MATCH($K175,Feiertagsregeln!$A$7:$A$198,0))</f>
        <v>46729</v>
      </c>
      <c r="B175" s="10" t="str">
        <f t="shared" si="2"/>
        <v>Mittwoch</v>
      </c>
      <c r="C175" s="10" t="s">
        <v>207</v>
      </c>
      <c r="D175" s="10" t="s">
        <v>228</v>
      </c>
      <c r="E175" s="10" t="str">
        <f>INDEX(Feiertagsregeln!$D$7:$D$198,MATCH($K175,Feiertagsregeln!$A$7:$A$198,0))</f>
        <v>Mariä Empfängnis</v>
      </c>
      <c r="F175" s="10" t="str">
        <f>INDEX(Feiertagsregeln!$E$7:$E$198,MATCH($K175,Feiertagsregeln!$A$7:$A$198,0))</f>
        <v>Immaculée Conception</v>
      </c>
      <c r="G175" s="21" t="str">
        <f>IF(INDEX(Feiertagsregeln!$F$7:$F$198,MATCH($K175,Feiertagsregeln!$A$7:$A$198,0))="","Noch zu erfassen",INDEX(Feiertagsregeln!$F$7:$F$198,MATCH($K175,Feiertagsregeln!$A$7:$A$198,0)))</f>
        <v>Immacolata</v>
      </c>
      <c r="H175" s="21" t="str">
        <f>IF(INDEX(Feiertagsregeln!$G$7:$G$198,MATCH($K175,Feiertagsregeln!$A$7:$A$198,0))="","Noch zu erfassen",INDEX(Feiertagsregeln!$G$7:$G$198,MATCH($K175,Feiertagsregeln!$A$7:$A$198,0)))</f>
        <v>Immaculada concepziun da Maria</v>
      </c>
      <c r="I175" s="10" t="str">
        <f>INDEX(Feiertagsregeln!$H$7:$H$198,MATCH($K175,Feiertagsregeln!$A$7:$A$198,0))</f>
        <v>proceduralEquivalentDay</v>
      </c>
      <c r="J175" s="10" t="s">
        <v>69</v>
      </c>
      <c r="K175" s="10" t="s">
        <v>241</v>
      </c>
      <c r="L175" s="10" t="str">
        <f>INDEX(Feiertagsregeln!$Y$7:$Y$198,MATCH($K175,Feiertagsregeln!$A$7:$A$198,0))</f>
        <v>SRC-FR-JG-1301-V7926</v>
      </c>
      <c r="M175" s="10" t="str">
        <f>INDEX(Feiertagsregeln!$Z$7:$Z$198,MATCH($K175,Feiertagsregeln!$A$7:$A$198,0))</f>
        <v>Art. 121 Abs. 2</v>
      </c>
      <c r="N175" s="10" t="s">
        <v>193</v>
      </c>
      <c r="O175" s="10" t="str">
        <f>INDEX(Feiertagsregeln!$AA$7:$AA$198,MATCH($K175,Feiertagsregeln!$A$7:$A$198,0))</f>
        <v>Ganztägig</v>
      </c>
    </row>
    <row r="176" spans="1:15" ht="44" customHeight="1">
      <c r="A176" s="15">
        <f>INDEX(Feiertagsregeln!$X$7:$X$198,MATCH($K176,Feiertagsregeln!$A$7:$A$198,0))</f>
        <v>46746</v>
      </c>
      <c r="B176" s="11" t="str">
        <f t="shared" si="2"/>
        <v>Samstag</v>
      </c>
      <c r="C176" s="11" t="s">
        <v>207</v>
      </c>
      <c r="D176" s="11" t="s">
        <v>228</v>
      </c>
      <c r="E176" s="11" t="str">
        <f>INDEX(Feiertagsregeln!$D$7:$D$198,MATCH($K176,Feiertagsregeln!$A$7:$A$198,0))</f>
        <v>Weihnachten</v>
      </c>
      <c r="F176" s="11" t="str">
        <f>INDEX(Feiertagsregeln!$E$7:$E$198,MATCH($K176,Feiertagsregeln!$A$7:$A$198,0))</f>
        <v>Noël</v>
      </c>
      <c r="G176" s="22" t="str">
        <f>IF(INDEX(Feiertagsregeln!$F$7:$F$198,MATCH($K176,Feiertagsregeln!$A$7:$A$198,0))="","Noch zu erfassen",INDEX(Feiertagsregeln!$F$7:$F$198,MATCH($K176,Feiertagsregeln!$A$7:$A$198,0)))</f>
        <v>Natale</v>
      </c>
      <c r="H176" s="22" t="str">
        <f>IF(INDEX(Feiertagsregeln!$G$7:$G$198,MATCH($K176,Feiertagsregeln!$A$7:$A$198,0))="","Noch zu erfassen",INDEX(Feiertagsregeln!$G$7:$G$198,MATCH($K176,Feiertagsregeln!$A$7:$A$198,0)))</f>
        <v>Di da Nadal</v>
      </c>
      <c r="I176" s="11" t="str">
        <f>INDEX(Feiertagsregeln!$H$7:$H$198,MATCH($K176,Feiertagsregeln!$A$7:$A$198,0))</f>
        <v>proceduralEquivalentDay</v>
      </c>
      <c r="J176" s="11" t="s">
        <v>69</v>
      </c>
      <c r="K176" s="11" t="s">
        <v>242</v>
      </c>
      <c r="L176" s="11" t="str">
        <f>INDEX(Feiertagsregeln!$Y$7:$Y$198,MATCH($K176,Feiertagsregeln!$A$7:$A$198,0))</f>
        <v>SRC-FR-JG-1301-V7926</v>
      </c>
      <c r="M176" s="11" t="str">
        <f>INDEX(Feiertagsregeln!$Z$7:$Z$198,MATCH($K176,Feiertagsregeln!$A$7:$A$198,0))</f>
        <v>Art. 121 Abs. 2</v>
      </c>
      <c r="N176" s="11" t="s">
        <v>193</v>
      </c>
      <c r="O176" s="11" t="str">
        <f>INDEX(Feiertagsregeln!$AA$7:$AA$198,MATCH($K176,Feiertagsregeln!$A$7:$A$198,0))</f>
        <v>Ganztägig</v>
      </c>
    </row>
    <row r="177" spans="1:15" ht="44" customHeight="1">
      <c r="A177" s="14">
        <f>INDEX(Feiertagsregeln!$X$7:$X$198,MATCH($K177,Feiertagsregeln!$A$7:$A$198,0))</f>
        <v>46747</v>
      </c>
      <c r="B177" s="10" t="str">
        <f t="shared" si="2"/>
        <v>Sonntag</v>
      </c>
      <c r="C177" s="10" t="s">
        <v>207</v>
      </c>
      <c r="D177" s="10" t="s">
        <v>228</v>
      </c>
      <c r="E177" s="10" t="str">
        <f>INDEX(Feiertagsregeln!$D$7:$D$198,MATCH($K177,Feiertagsregeln!$A$7:$A$198,0))</f>
        <v>Stephanstag</v>
      </c>
      <c r="F177" s="10" t="str">
        <f>INDEX(Feiertagsregeln!$E$7:$E$198,MATCH($K177,Feiertagsregeln!$A$7:$A$198,0))</f>
        <v>Lendemain de Noël</v>
      </c>
      <c r="G177" s="21" t="str">
        <f>IF(INDEX(Feiertagsregeln!$F$7:$F$198,MATCH($K177,Feiertagsregeln!$A$7:$A$198,0))="","Noch zu erfassen",INDEX(Feiertagsregeln!$F$7:$F$198,MATCH($K177,Feiertagsregeln!$A$7:$A$198,0)))</f>
        <v>Santo Stefano</v>
      </c>
      <c r="H177" s="21" t="str">
        <f>IF(INDEX(Feiertagsregeln!$G$7:$G$198,MATCH($K177,Feiertagsregeln!$A$7:$A$198,0))="","Noch zu erfassen",INDEX(Feiertagsregeln!$G$7:$G$198,MATCH($K177,Feiertagsregeln!$A$7:$A$198,0)))</f>
        <v>Son Steffan</v>
      </c>
      <c r="I177" s="10" t="str">
        <f>INDEX(Feiertagsregeln!$H$7:$H$198,MATCH($K177,Feiertagsregeln!$A$7:$A$198,0))</f>
        <v>proceduralEquivalentDay</v>
      </c>
      <c r="J177" s="10" t="s">
        <v>69</v>
      </c>
      <c r="K177" s="10" t="s">
        <v>243</v>
      </c>
      <c r="L177" s="10" t="str">
        <f>INDEX(Feiertagsregeln!$Y$7:$Y$198,MATCH($K177,Feiertagsregeln!$A$7:$A$198,0))</f>
        <v>SRC-FR-JG-1301-V7926</v>
      </c>
      <c r="M177" s="10" t="str">
        <f>INDEX(Feiertagsregeln!$Z$7:$Z$198,MATCH($K177,Feiertagsregeln!$A$7:$A$198,0))</f>
        <v>Art. 121 Abs. 2</v>
      </c>
      <c r="N177" s="10" t="s">
        <v>193</v>
      </c>
      <c r="O177" s="10" t="str">
        <f>INDEX(Feiertagsregeln!$AA$7:$AA$198,MATCH($K177,Feiertagsregeln!$A$7:$A$198,0))</f>
        <v>Ganztägig</v>
      </c>
    </row>
    <row r="178" spans="1:15" ht="44" customHeight="1">
      <c r="A178" s="15">
        <f>INDEX(Feiertagsregeln!$X$7:$X$198,MATCH($K178,Feiertagsregeln!$A$7:$A$198,0))</f>
        <v>46388</v>
      </c>
      <c r="B178" s="11" t="str">
        <f t="shared" si="2"/>
        <v>Freitag</v>
      </c>
      <c r="C178" s="11" t="s">
        <v>244</v>
      </c>
      <c r="D178" s="11" t="s">
        <v>245</v>
      </c>
      <c r="E178" s="11" t="str">
        <f>INDEX(Feiertagsregeln!$D$7:$D$198,MATCH($K178,Feiertagsregeln!$A$7:$A$198,0))</f>
        <v>Neujahr</v>
      </c>
      <c r="F178" s="11" t="str">
        <f>INDEX(Feiertagsregeln!$E$7:$E$198,MATCH($K178,Feiertagsregeln!$A$7:$A$198,0))</f>
        <v>Nouvel An</v>
      </c>
      <c r="G178" s="22" t="str">
        <f>IF(INDEX(Feiertagsregeln!$F$7:$F$198,MATCH($K178,Feiertagsregeln!$A$7:$A$198,0))="","Noch zu erfassen",INDEX(Feiertagsregeln!$F$7:$F$198,MATCH($K178,Feiertagsregeln!$A$7:$A$198,0)))</f>
        <v>Capo d’anno</v>
      </c>
      <c r="H178" s="22" t="str">
        <f>IF(INDEX(Feiertagsregeln!$G$7:$G$198,MATCH($K178,Feiertagsregeln!$A$7:$A$198,0))="","Noch zu erfassen",INDEX(Feiertagsregeln!$G$7:$G$198,MATCH($K178,Feiertagsregeln!$A$7:$A$198,0)))</f>
        <v>Bumaun</v>
      </c>
      <c r="I178" s="11" t="str">
        <f>INDEX(Feiertagsregeln!$H$7:$H$198,MATCH($K178,Feiertagsregeln!$A$7:$A$198,0))</f>
        <v>publicHoliday</v>
      </c>
      <c r="J178" s="11" t="s">
        <v>69</v>
      </c>
      <c r="K178" s="11" t="s">
        <v>246</v>
      </c>
      <c r="L178" s="11" t="str">
        <f>INDEX(Feiertagsregeln!$Y$7:$Y$198,MATCH($K178,Feiertagsregeln!$A$7:$A$198,0))</f>
        <v>SRC-SO-RTG-51241-V4319</v>
      </c>
      <c r="M178" s="11" t="str">
        <f>INDEX(Feiertagsregeln!$Z$7:$Z$198,MATCH($K178,Feiertagsregeln!$A$7:$A$198,0))</f>
        <v>§ 2 Abs. 1 Bst. b</v>
      </c>
      <c r="N178" s="11" t="s">
        <v>193</v>
      </c>
      <c r="O178" s="11" t="str">
        <f>INDEX(Feiertagsregeln!$AA$7:$AA$198,MATCH($K178,Feiertagsregeln!$A$7:$A$198,0))</f>
        <v>Ganztägig</v>
      </c>
    </row>
    <row r="179" spans="1:15" ht="44" customHeight="1">
      <c r="A179" s="14">
        <f>INDEX(Feiertagsregeln!$X$7:$X$198,MATCH($K179,Feiertagsregeln!$A$7:$A$198,0))</f>
        <v>46472</v>
      </c>
      <c r="B179" s="10" t="str">
        <f t="shared" si="2"/>
        <v>Freitag</v>
      </c>
      <c r="C179" s="10" t="s">
        <v>244</v>
      </c>
      <c r="D179" s="10" t="s">
        <v>245</v>
      </c>
      <c r="E179" s="10" t="str">
        <f>INDEX(Feiertagsregeln!$D$7:$D$198,MATCH($K179,Feiertagsregeln!$A$7:$A$198,0))</f>
        <v>Karfreitag</v>
      </c>
      <c r="F179" s="10" t="str">
        <f>INDEX(Feiertagsregeln!$E$7:$E$198,MATCH($K179,Feiertagsregeln!$A$7:$A$198,0))</f>
        <v>Vendredi saint</v>
      </c>
      <c r="G179" s="21" t="str">
        <f>IF(INDEX(Feiertagsregeln!$F$7:$F$198,MATCH($K179,Feiertagsregeln!$A$7:$A$198,0))="","Noch zu erfassen",INDEX(Feiertagsregeln!$F$7:$F$198,MATCH($K179,Feiertagsregeln!$A$7:$A$198,0)))</f>
        <v>Venerdì Santo</v>
      </c>
      <c r="H179" s="21" t="str">
        <f>IF(INDEX(Feiertagsregeln!$G$7:$G$198,MATCH($K179,Feiertagsregeln!$A$7:$A$198,0))="","Noch zu erfassen",INDEX(Feiertagsregeln!$G$7:$G$198,MATCH($K179,Feiertagsregeln!$A$7:$A$198,0)))</f>
        <v>Venderdi sontg</v>
      </c>
      <c r="I179" s="10" t="str">
        <f>INDEX(Feiertagsregeln!$H$7:$H$198,MATCH($K179,Feiertagsregeln!$A$7:$A$198,0))</f>
        <v>publicHoliday</v>
      </c>
      <c r="J179" s="10" t="s">
        <v>69</v>
      </c>
      <c r="K179" s="10" t="s">
        <v>247</v>
      </c>
      <c r="L179" s="10" t="str">
        <f>INDEX(Feiertagsregeln!$Y$7:$Y$198,MATCH($K179,Feiertagsregeln!$A$7:$A$198,0))</f>
        <v>SRC-SO-RTG-51241-V4319</v>
      </c>
      <c r="M179" s="10" t="str">
        <f>INDEX(Feiertagsregeln!$Z$7:$Z$198,MATCH($K179,Feiertagsregeln!$A$7:$A$198,0))</f>
        <v>§ 2 Abs. 1 Bst. c</v>
      </c>
      <c r="N179" s="10" t="s">
        <v>193</v>
      </c>
      <c r="O179" s="10" t="str">
        <f>INDEX(Feiertagsregeln!$AA$7:$AA$198,MATCH($K179,Feiertagsregeln!$A$7:$A$198,0))</f>
        <v>Ganztägig</v>
      </c>
    </row>
    <row r="180" spans="1:15" ht="44" customHeight="1">
      <c r="A180" s="15">
        <f>INDEX(Feiertagsregeln!$X$7:$X$198,MATCH($K180,Feiertagsregeln!$A$7:$A$198,0))</f>
        <v>46474</v>
      </c>
      <c r="B180" s="11" t="str">
        <f t="shared" si="2"/>
        <v>Sonntag</v>
      </c>
      <c r="C180" s="11" t="s">
        <v>244</v>
      </c>
      <c r="D180" s="11" t="s">
        <v>245</v>
      </c>
      <c r="E180" s="11" t="str">
        <f>INDEX(Feiertagsregeln!$D$7:$D$198,MATCH($K180,Feiertagsregeln!$A$7:$A$198,0))</f>
        <v>Ostern</v>
      </c>
      <c r="F180" s="11" t="str">
        <f>INDEX(Feiertagsregeln!$E$7:$E$198,MATCH($K180,Feiertagsregeln!$A$7:$A$198,0))</f>
        <v>Pâques</v>
      </c>
      <c r="G180" s="22" t="str">
        <f>IF(INDEX(Feiertagsregeln!$F$7:$F$198,MATCH($K180,Feiertagsregeln!$A$7:$A$198,0))="","Noch zu erfassen",INDEX(Feiertagsregeln!$F$7:$F$198,MATCH($K180,Feiertagsregeln!$A$7:$A$198,0)))</f>
        <v>Domenica di Pasqua</v>
      </c>
      <c r="H180" s="22" t="str">
        <f>IF(INDEX(Feiertagsregeln!$G$7:$G$198,MATCH($K180,Feiertagsregeln!$A$7:$A$198,0))="","Noch zu erfassen",INDEX(Feiertagsregeln!$G$7:$G$198,MATCH($K180,Feiertagsregeln!$A$7:$A$198,0)))</f>
        <v>Dumengia da Pasca</v>
      </c>
      <c r="I180" s="11" t="str">
        <f>INDEX(Feiertagsregeln!$H$7:$H$198,MATCH($K180,Feiertagsregeln!$A$7:$A$198,0))</f>
        <v>publicHoliday</v>
      </c>
      <c r="J180" s="11" t="s">
        <v>69</v>
      </c>
      <c r="K180" s="11" t="s">
        <v>248</v>
      </c>
      <c r="L180" s="11" t="str">
        <f>INDEX(Feiertagsregeln!$Y$7:$Y$198,MATCH($K180,Feiertagsregeln!$A$7:$A$198,0))</f>
        <v>SRC-SO-RTG-51241-V4319</v>
      </c>
      <c r="M180" s="11" t="str">
        <f>INDEX(Feiertagsregeln!$Z$7:$Z$198,MATCH($K180,Feiertagsregeln!$A$7:$A$198,0))</f>
        <v>§ 2 Abs. 1 Bst. c</v>
      </c>
      <c r="N180" s="11" t="s">
        <v>193</v>
      </c>
      <c r="O180" s="11" t="str">
        <f>INDEX(Feiertagsregeln!$AA$7:$AA$198,MATCH($K180,Feiertagsregeln!$A$7:$A$198,0))</f>
        <v>Ganztägig</v>
      </c>
    </row>
    <row r="181" spans="1:15" ht="44" customHeight="1">
      <c r="A181" s="14">
        <f>INDEX(Feiertagsregeln!$X$7:$X$198,MATCH($K181,Feiertagsregeln!$A$7:$A$198,0))</f>
        <v>46508</v>
      </c>
      <c r="B181" s="10" t="str">
        <f t="shared" si="2"/>
        <v>Samstag, ab 12.00 Uhr</v>
      </c>
      <c r="C181" s="10" t="s">
        <v>244</v>
      </c>
      <c r="D181" s="10" t="s">
        <v>245</v>
      </c>
      <c r="E181" s="10" t="str">
        <f>INDEX(Feiertagsregeln!$D$7:$D$198,MATCH($K181,Feiertagsregeln!$A$7:$A$198,0))</f>
        <v>1. Mai</v>
      </c>
      <c r="F181" s="10" t="str">
        <f>INDEX(Feiertagsregeln!$E$7:$E$198,MATCH($K181,Feiertagsregeln!$A$7:$A$198,0))</f>
        <v>1er mai</v>
      </c>
      <c r="G181" s="21" t="str">
        <f>IF(INDEX(Feiertagsregeln!$F$7:$F$198,MATCH($K181,Feiertagsregeln!$A$7:$A$198,0))="","Noch zu erfassen",INDEX(Feiertagsregeln!$F$7:$F$198,MATCH($K181,Feiertagsregeln!$A$7:$A$198,0)))</f>
        <v>Primo maggio</v>
      </c>
      <c r="H181" s="21" t="str">
        <f>IF(INDEX(Feiertagsregeln!$G$7:$G$198,MATCH($K181,Feiertagsregeln!$A$7:$A$198,0))="","Noch zu erfassen",INDEX(Feiertagsregeln!$G$7:$G$198,MATCH($K181,Feiertagsregeln!$A$7:$A$198,0)))</f>
        <v>1. da matg</v>
      </c>
      <c r="I181" s="10" t="str">
        <f>INDEX(Feiertagsregeln!$H$7:$H$198,MATCH($K181,Feiertagsregeln!$A$7:$A$198,0))</f>
        <v>publicHoliday</v>
      </c>
      <c r="J181" s="10" t="s">
        <v>69</v>
      </c>
      <c r="K181" s="10" t="s">
        <v>249</v>
      </c>
      <c r="L181" s="10" t="str">
        <f>INDEX(Feiertagsregeln!$Y$7:$Y$198,MATCH($K181,Feiertagsregeln!$A$7:$A$198,0))</f>
        <v>SRC-SO-RTG-51241-V4319</v>
      </c>
      <c r="M181" s="10" t="str">
        <f>INDEX(Feiertagsregeln!$Z$7:$Z$198,MATCH($K181,Feiertagsregeln!$A$7:$A$198,0))</f>
        <v>§ 2 Abs. 1 Bst. b, 1. Mai ab 12.00 Uhr</v>
      </c>
      <c r="N181" s="10" t="s">
        <v>250</v>
      </c>
      <c r="O181" s="10" t="str">
        <f>INDEX(Feiertagsregeln!$AA$7:$AA$198,MATCH($K181,Feiertagsregeln!$A$7:$A$198,0))</f>
        <v>Ab 12.00 Uhr</v>
      </c>
    </row>
    <row r="182" spans="1:15" ht="44" customHeight="1">
      <c r="A182" s="15">
        <f>INDEX(Feiertagsregeln!$X$7:$X$198,MATCH($K182,Feiertagsregeln!$A$7:$A$198,0))</f>
        <v>46513</v>
      </c>
      <c r="B182" s="11" t="str">
        <f t="shared" si="2"/>
        <v>Donnerstag</v>
      </c>
      <c r="C182" s="11" t="s">
        <v>244</v>
      </c>
      <c r="D182" s="11" t="s">
        <v>245</v>
      </c>
      <c r="E182" s="11" t="str">
        <f>INDEX(Feiertagsregeln!$D$7:$D$198,MATCH($K182,Feiertagsregeln!$A$7:$A$198,0))</f>
        <v>Auffahrt</v>
      </c>
      <c r="F182" s="11" t="str">
        <f>INDEX(Feiertagsregeln!$E$7:$E$198,MATCH($K182,Feiertagsregeln!$A$7:$A$198,0))</f>
        <v>Ascension</v>
      </c>
      <c r="G182" s="22" t="str">
        <f>IF(INDEX(Feiertagsregeln!$F$7:$F$198,MATCH($K182,Feiertagsregeln!$A$7:$A$198,0))="","Noch zu erfassen",INDEX(Feiertagsregeln!$F$7:$F$198,MATCH($K182,Feiertagsregeln!$A$7:$A$198,0)))</f>
        <v>Ascensione</v>
      </c>
      <c r="H182" s="22" t="str">
        <f>IF(INDEX(Feiertagsregeln!$G$7:$G$198,MATCH($K182,Feiertagsregeln!$A$7:$A$198,0))="","Noch zu erfassen",INDEX(Feiertagsregeln!$G$7:$G$198,MATCH($K182,Feiertagsregeln!$A$7:$A$198,0)))</f>
        <v>Ascensiun</v>
      </c>
      <c r="I182" s="11" t="str">
        <f>INDEX(Feiertagsregeln!$H$7:$H$198,MATCH($K182,Feiertagsregeln!$A$7:$A$198,0))</f>
        <v>publicHoliday</v>
      </c>
      <c r="J182" s="11" t="s">
        <v>69</v>
      </c>
      <c r="K182" s="11" t="s">
        <v>251</v>
      </c>
      <c r="L182" s="11" t="str">
        <f>INDEX(Feiertagsregeln!$Y$7:$Y$198,MATCH($K182,Feiertagsregeln!$A$7:$A$198,0))</f>
        <v>SRC-SO-RTG-51241-V4319</v>
      </c>
      <c r="M182" s="11" t="str">
        <f>INDEX(Feiertagsregeln!$Z$7:$Z$198,MATCH($K182,Feiertagsregeln!$A$7:$A$198,0))</f>
        <v>§ 2 Abs. 1 Bst. b</v>
      </c>
      <c r="N182" s="11" t="s">
        <v>193</v>
      </c>
      <c r="O182" s="11" t="str">
        <f>INDEX(Feiertagsregeln!$AA$7:$AA$198,MATCH($K182,Feiertagsregeln!$A$7:$A$198,0))</f>
        <v>Ganztägig</v>
      </c>
    </row>
    <row r="183" spans="1:15" ht="44" customHeight="1">
      <c r="A183" s="14">
        <f>INDEX(Feiertagsregeln!$X$7:$X$198,MATCH($K183,Feiertagsregeln!$A$7:$A$198,0))</f>
        <v>46523</v>
      </c>
      <c r="B183" s="10" t="str">
        <f t="shared" si="2"/>
        <v>Sonntag</v>
      </c>
      <c r="C183" s="10" t="s">
        <v>244</v>
      </c>
      <c r="D183" s="10" t="s">
        <v>245</v>
      </c>
      <c r="E183" s="10" t="str">
        <f>INDEX(Feiertagsregeln!$D$7:$D$198,MATCH($K183,Feiertagsregeln!$A$7:$A$198,0))</f>
        <v>Pfingsten</v>
      </c>
      <c r="F183" s="10" t="str">
        <f>INDEX(Feiertagsregeln!$E$7:$E$198,MATCH($K183,Feiertagsregeln!$A$7:$A$198,0))</f>
        <v>Pentecôte</v>
      </c>
      <c r="G183" s="21" t="str">
        <f>IF(INDEX(Feiertagsregeln!$F$7:$F$198,MATCH($K183,Feiertagsregeln!$A$7:$A$198,0))="","Noch zu erfassen",INDEX(Feiertagsregeln!$F$7:$F$198,MATCH($K183,Feiertagsregeln!$A$7:$A$198,0)))</f>
        <v>Domenica di Pentecoste</v>
      </c>
      <c r="H183" s="21" t="str">
        <f>IF(INDEX(Feiertagsregeln!$G$7:$G$198,MATCH($K183,Feiertagsregeln!$A$7:$A$198,0))="","Noch zu erfassen",INDEX(Feiertagsregeln!$G$7:$G$198,MATCH($K183,Feiertagsregeln!$A$7:$A$198,0)))</f>
        <v>Dumengia da Tschuncaisma</v>
      </c>
      <c r="I183" s="10" t="str">
        <f>INDEX(Feiertagsregeln!$H$7:$H$198,MATCH($K183,Feiertagsregeln!$A$7:$A$198,0))</f>
        <v>publicHoliday</v>
      </c>
      <c r="J183" s="10" t="s">
        <v>69</v>
      </c>
      <c r="K183" s="10" t="s">
        <v>252</v>
      </c>
      <c r="L183" s="10" t="str">
        <f>INDEX(Feiertagsregeln!$Y$7:$Y$198,MATCH($K183,Feiertagsregeln!$A$7:$A$198,0))</f>
        <v>SRC-SO-RTG-51241-V4319</v>
      </c>
      <c r="M183" s="10" t="str">
        <f>INDEX(Feiertagsregeln!$Z$7:$Z$198,MATCH($K183,Feiertagsregeln!$A$7:$A$198,0))</f>
        <v>§ 2 Abs. 1 Bst. c</v>
      </c>
      <c r="N183" s="10" t="s">
        <v>193</v>
      </c>
      <c r="O183" s="10" t="str">
        <f>INDEX(Feiertagsregeln!$AA$7:$AA$198,MATCH($K183,Feiertagsregeln!$A$7:$A$198,0))</f>
        <v>Ganztägig</v>
      </c>
    </row>
    <row r="184" spans="1:15" ht="44" customHeight="1">
      <c r="A184" s="15">
        <f>INDEX(Feiertagsregeln!$X$7:$X$198,MATCH($K184,Feiertagsregeln!$A$7:$A$198,0))</f>
        <v>46534</v>
      </c>
      <c r="B184" s="11" t="str">
        <f t="shared" si="2"/>
        <v>Donnerstag</v>
      </c>
      <c r="C184" s="11" t="s">
        <v>244</v>
      </c>
      <c r="D184" s="11" t="s">
        <v>245</v>
      </c>
      <c r="E184" s="11" t="str">
        <f>INDEX(Feiertagsregeln!$D$7:$D$198,MATCH($K184,Feiertagsregeln!$A$7:$A$198,0))</f>
        <v>Fronleichnam</v>
      </c>
      <c r="F184" s="11" t="str">
        <f>INDEX(Feiertagsregeln!$E$7:$E$198,MATCH($K184,Feiertagsregeln!$A$7:$A$198,0))</f>
        <v>Fête-Dieu</v>
      </c>
      <c r="G184" s="22" t="str">
        <f>IF(INDEX(Feiertagsregeln!$F$7:$F$198,MATCH($K184,Feiertagsregeln!$A$7:$A$198,0))="","Noch zu erfassen",INDEX(Feiertagsregeln!$F$7:$F$198,MATCH($K184,Feiertagsregeln!$A$7:$A$198,0)))</f>
        <v>Corpus Domini</v>
      </c>
      <c r="H184" s="22" t="str">
        <f>IF(INDEX(Feiertagsregeln!$G$7:$G$198,MATCH($K184,Feiertagsregeln!$A$7:$A$198,0))="","Noch zu erfassen",INDEX(Feiertagsregeln!$G$7:$G$198,MATCH($K184,Feiertagsregeln!$A$7:$A$198,0)))</f>
        <v>Sontgilcrest</v>
      </c>
      <c r="I184" s="11" t="str">
        <f>INDEX(Feiertagsregeln!$H$7:$H$198,MATCH($K184,Feiertagsregeln!$A$7:$A$198,0))</f>
        <v>publicHoliday</v>
      </c>
      <c r="J184" s="11" t="s">
        <v>69</v>
      </c>
      <c r="K184" s="11" t="s">
        <v>253</v>
      </c>
      <c r="L184" s="11" t="str">
        <f>INDEX(Feiertagsregeln!$Y$7:$Y$198,MATCH($K184,Feiertagsregeln!$A$7:$A$198,0))</f>
        <v>SRC-SO-RTG-51241-V4319</v>
      </c>
      <c r="M184" s="11" t="str">
        <f>INDEX(Feiertagsregeln!$Z$7:$Z$198,MATCH($K184,Feiertagsregeln!$A$7:$A$198,0))</f>
        <v>§ 2 Abs. 1 Bst. b</v>
      </c>
      <c r="N184" s="11" t="s">
        <v>193</v>
      </c>
      <c r="O184" s="11" t="str">
        <f>INDEX(Feiertagsregeln!$AA$7:$AA$198,MATCH($K184,Feiertagsregeln!$A$7:$A$198,0))</f>
        <v>Ganztägig</v>
      </c>
    </row>
    <row r="185" spans="1:15" ht="44" customHeight="1">
      <c r="A185" s="14">
        <f>INDEX(Feiertagsregeln!$X$7:$X$198,MATCH($K185,Feiertagsregeln!$A$7:$A$198,0))</f>
        <v>46600</v>
      </c>
      <c r="B185" s="10" t="str">
        <f t="shared" si="2"/>
        <v>Sonntag</v>
      </c>
      <c r="C185" s="10" t="s">
        <v>244</v>
      </c>
      <c r="D185" s="10" t="s">
        <v>245</v>
      </c>
      <c r="E185" s="10" t="str">
        <f>INDEX(Feiertagsregeln!$D$7:$D$198,MATCH($K185,Feiertagsregeln!$A$7:$A$198,0))</f>
        <v>Bundesfeiertag</v>
      </c>
      <c r="F185" s="10" t="str">
        <f>INDEX(Feiertagsregeln!$E$7:$E$198,MATCH($K185,Feiertagsregeln!$A$7:$A$198,0))</f>
        <v>Fête nationale</v>
      </c>
      <c r="G185" s="21" t="str">
        <f>IF(INDEX(Feiertagsregeln!$F$7:$F$198,MATCH($K185,Feiertagsregeln!$A$7:$A$198,0))="","Noch zu erfassen",INDEX(Feiertagsregeln!$F$7:$F$198,MATCH($K185,Feiertagsregeln!$A$7:$A$198,0)))</f>
        <v>Primo agosto</v>
      </c>
      <c r="H185" s="21" t="str">
        <f>IF(INDEX(Feiertagsregeln!$G$7:$G$198,MATCH($K185,Feiertagsregeln!$A$7:$A$198,0))="","Noch zu erfassen",INDEX(Feiertagsregeln!$G$7:$G$198,MATCH($K185,Feiertagsregeln!$A$7:$A$198,0)))</f>
        <v>Festa naziunala svizra</v>
      </c>
      <c r="I185" s="10" t="str">
        <f>INDEX(Feiertagsregeln!$H$7:$H$198,MATCH($K185,Feiertagsregeln!$A$7:$A$198,0))</f>
        <v>publicHoliday</v>
      </c>
      <c r="J185" s="10" t="s">
        <v>69</v>
      </c>
      <c r="K185" s="10" t="s">
        <v>254</v>
      </c>
      <c r="L185" s="10" t="str">
        <f>INDEX(Feiertagsregeln!$Y$7:$Y$198,MATCH($K185,Feiertagsregeln!$A$7:$A$198,0))</f>
        <v>SRC-BUNDESFEIERTAG-19940701</v>
      </c>
      <c r="M185" s="10" t="str">
        <f>INDEX(Feiertagsregeln!$Z$7:$Z$198,MATCH($K185,Feiertagsregeln!$A$7:$A$198,0))</f>
        <v>SR 116, Art. 1, neue offene Anwendung auf dieses Geltungsprofil</v>
      </c>
      <c r="N185" s="10" t="s">
        <v>193</v>
      </c>
      <c r="O185" s="10" t="str">
        <f>INDEX(Feiertagsregeln!$AA$7:$AA$198,MATCH($K185,Feiertagsregeln!$A$7:$A$198,0))</f>
        <v>Ganztägig</v>
      </c>
    </row>
    <row r="186" spans="1:15" ht="44" customHeight="1">
      <c r="A186" s="15">
        <f>INDEX(Feiertagsregeln!$X$7:$X$198,MATCH($K186,Feiertagsregeln!$A$7:$A$198,0))</f>
        <v>46614</v>
      </c>
      <c r="B186" s="11" t="str">
        <f t="shared" si="2"/>
        <v>Sonntag</v>
      </c>
      <c r="C186" s="11" t="s">
        <v>244</v>
      </c>
      <c r="D186" s="11" t="s">
        <v>245</v>
      </c>
      <c r="E186" s="11" t="str">
        <f>INDEX(Feiertagsregeln!$D$7:$D$198,MATCH($K186,Feiertagsregeln!$A$7:$A$198,0))</f>
        <v>Mariä Himmelfahrt</v>
      </c>
      <c r="F186" s="11" t="str">
        <f>INDEX(Feiertagsregeln!$E$7:$E$198,MATCH($K186,Feiertagsregeln!$A$7:$A$198,0))</f>
        <v>Assomption</v>
      </c>
      <c r="G186" s="22" t="str">
        <f>IF(INDEX(Feiertagsregeln!$F$7:$F$198,MATCH($K186,Feiertagsregeln!$A$7:$A$198,0))="","Noch zu erfassen",INDEX(Feiertagsregeln!$F$7:$F$198,MATCH($K186,Feiertagsregeln!$A$7:$A$198,0)))</f>
        <v>Assunzione</v>
      </c>
      <c r="H186" s="22" t="str">
        <f>IF(INDEX(Feiertagsregeln!$G$7:$G$198,MATCH($K186,Feiertagsregeln!$A$7:$A$198,0))="","Noch zu erfassen",INDEX(Feiertagsregeln!$G$7:$G$198,MATCH($K186,Feiertagsregeln!$A$7:$A$198,0)))</f>
        <v>Nossadunna d’avust</v>
      </c>
      <c r="I186" s="11" t="str">
        <f>INDEX(Feiertagsregeln!$H$7:$H$198,MATCH($K186,Feiertagsregeln!$A$7:$A$198,0))</f>
        <v>publicHoliday</v>
      </c>
      <c r="J186" s="11" t="s">
        <v>69</v>
      </c>
      <c r="K186" s="11" t="s">
        <v>255</v>
      </c>
      <c r="L186" s="11" t="str">
        <f>INDEX(Feiertagsregeln!$Y$7:$Y$198,MATCH($K186,Feiertagsregeln!$A$7:$A$198,0))</f>
        <v>SRC-SO-RTG-51241-V4319</v>
      </c>
      <c r="M186" s="11" t="str">
        <f>INDEX(Feiertagsregeln!$Z$7:$Z$198,MATCH($K186,Feiertagsregeln!$A$7:$A$198,0))</f>
        <v>§ 2 Abs. 1 Bst. b</v>
      </c>
      <c r="N186" s="11" t="s">
        <v>193</v>
      </c>
      <c r="O186" s="11" t="str">
        <f>INDEX(Feiertagsregeln!$AA$7:$AA$198,MATCH($K186,Feiertagsregeln!$A$7:$A$198,0))</f>
        <v>Ganztägig</v>
      </c>
    </row>
    <row r="187" spans="1:15" ht="44" customHeight="1">
      <c r="A187" s="14">
        <f>INDEX(Feiertagsregeln!$X$7:$X$198,MATCH($K187,Feiertagsregeln!$A$7:$A$198,0))</f>
        <v>46649</v>
      </c>
      <c r="B187" s="10" t="str">
        <f t="shared" si="2"/>
        <v>Sonntag</v>
      </c>
      <c r="C187" s="10" t="s">
        <v>244</v>
      </c>
      <c r="D187" s="10" t="s">
        <v>245</v>
      </c>
      <c r="E187" s="10" t="str">
        <f>INDEX(Feiertagsregeln!$D$7:$D$198,MATCH($K187,Feiertagsregeln!$A$7:$A$198,0))</f>
        <v>Eidgenössischer Dank-, Buss- und Bettag</v>
      </c>
      <c r="F187" s="10" t="str">
        <f>INDEX(Feiertagsregeln!$E$7:$E$198,MATCH($K187,Feiertagsregeln!$A$7:$A$198,0))</f>
        <v>Jeûne fédéral</v>
      </c>
      <c r="G187" s="21" t="str">
        <f>IF(INDEX(Feiertagsregeln!$F$7:$F$198,MATCH($K187,Feiertagsregeln!$A$7:$A$198,0))="","Noch zu erfassen",INDEX(Feiertagsregeln!$F$7:$F$198,MATCH($K187,Feiertagsregeln!$A$7:$A$198,0)))</f>
        <v>Festa federale di preghiera</v>
      </c>
      <c r="H187" s="21" t="str">
        <f>IF(INDEX(Feiertagsregeln!$G$7:$G$198,MATCH($K187,Feiertagsregeln!$A$7:$A$198,0))="","Noch zu erfassen",INDEX(Feiertagsregeln!$G$7:$G$198,MATCH($K187,Feiertagsregeln!$A$7:$A$198,0)))</f>
        <v>Di da la rogaziun federala</v>
      </c>
      <c r="I187" s="10" t="str">
        <f>INDEX(Feiertagsregeln!$H$7:$H$198,MATCH($K187,Feiertagsregeln!$A$7:$A$198,0))</f>
        <v>publicHoliday</v>
      </c>
      <c r="J187" s="10" t="s">
        <v>69</v>
      </c>
      <c r="K187" s="10" t="s">
        <v>256</v>
      </c>
      <c r="L187" s="10" t="str">
        <f>INDEX(Feiertagsregeln!$Y$7:$Y$198,MATCH($K187,Feiertagsregeln!$A$7:$A$198,0))</f>
        <v>SRC-SO-RTG-51241-V4319</v>
      </c>
      <c r="M187" s="10" t="str">
        <f>INDEX(Feiertagsregeln!$Z$7:$Z$198,MATCH($K187,Feiertagsregeln!$A$7:$A$198,0))</f>
        <v>§ 2 Abs. 1 Bst. b</v>
      </c>
      <c r="N187" s="10" t="s">
        <v>193</v>
      </c>
      <c r="O187" s="10" t="str">
        <f>INDEX(Feiertagsregeln!$AA$7:$AA$198,MATCH($K187,Feiertagsregeln!$A$7:$A$198,0))</f>
        <v>Ganztägig</v>
      </c>
    </row>
    <row r="188" spans="1:15" ht="44" customHeight="1">
      <c r="A188" s="15">
        <f>INDEX(Feiertagsregeln!$X$7:$X$198,MATCH($K188,Feiertagsregeln!$A$7:$A$198,0))</f>
        <v>46692</v>
      </c>
      <c r="B188" s="11" t="str">
        <f t="shared" si="2"/>
        <v>Montag</v>
      </c>
      <c r="C188" s="11" t="s">
        <v>244</v>
      </c>
      <c r="D188" s="11" t="s">
        <v>245</v>
      </c>
      <c r="E188" s="11" t="str">
        <f>INDEX(Feiertagsregeln!$D$7:$D$198,MATCH($K188,Feiertagsregeln!$A$7:$A$198,0))</f>
        <v>Allerheiligen</v>
      </c>
      <c r="F188" s="11" t="str">
        <f>INDEX(Feiertagsregeln!$E$7:$E$198,MATCH($K188,Feiertagsregeln!$A$7:$A$198,0))</f>
        <v>Toussaint</v>
      </c>
      <c r="G188" s="22" t="str">
        <f>IF(INDEX(Feiertagsregeln!$F$7:$F$198,MATCH($K188,Feiertagsregeln!$A$7:$A$198,0))="","Noch zu erfassen",INDEX(Feiertagsregeln!$F$7:$F$198,MATCH($K188,Feiertagsregeln!$A$7:$A$198,0)))</f>
        <v>Ognissanti</v>
      </c>
      <c r="H188" s="22" t="str">
        <f>IF(INDEX(Feiertagsregeln!$G$7:$G$198,MATCH($K188,Feiertagsregeln!$A$7:$A$198,0))="","Noch zu erfassen",INDEX(Feiertagsregeln!$G$7:$G$198,MATCH($K188,Feiertagsregeln!$A$7:$A$198,0)))</f>
        <v>Numnasontga</v>
      </c>
      <c r="I188" s="11" t="str">
        <f>INDEX(Feiertagsregeln!$H$7:$H$198,MATCH($K188,Feiertagsregeln!$A$7:$A$198,0))</f>
        <v>publicHoliday</v>
      </c>
      <c r="J188" s="11" t="s">
        <v>69</v>
      </c>
      <c r="K188" s="11" t="s">
        <v>257</v>
      </c>
      <c r="L188" s="11" t="str">
        <f>INDEX(Feiertagsregeln!$Y$7:$Y$198,MATCH($K188,Feiertagsregeln!$A$7:$A$198,0))</f>
        <v>SRC-SO-RTG-51241-V4319</v>
      </c>
      <c r="M188" s="11" t="str">
        <f>INDEX(Feiertagsregeln!$Z$7:$Z$198,MATCH($K188,Feiertagsregeln!$A$7:$A$198,0))</f>
        <v>§ 2 Abs. 1 Bst. b</v>
      </c>
      <c r="N188" s="11" t="s">
        <v>193</v>
      </c>
      <c r="O188" s="11" t="str">
        <f>INDEX(Feiertagsregeln!$AA$7:$AA$198,MATCH($K188,Feiertagsregeln!$A$7:$A$198,0))</f>
        <v>Ganztägig</v>
      </c>
    </row>
    <row r="189" spans="1:15" ht="44" customHeight="1">
      <c r="A189" s="14">
        <f>INDEX(Feiertagsregeln!$X$7:$X$198,MATCH($K189,Feiertagsregeln!$A$7:$A$198,0))</f>
        <v>46746</v>
      </c>
      <c r="B189" s="10" t="str">
        <f t="shared" si="2"/>
        <v>Samstag</v>
      </c>
      <c r="C189" s="10" t="s">
        <v>244</v>
      </c>
      <c r="D189" s="10" t="s">
        <v>245</v>
      </c>
      <c r="E189" s="10" t="str">
        <f>INDEX(Feiertagsregeln!$D$7:$D$198,MATCH($K189,Feiertagsregeln!$A$7:$A$198,0))</f>
        <v>Weihnachten</v>
      </c>
      <c r="F189" s="10" t="str">
        <f>INDEX(Feiertagsregeln!$E$7:$E$198,MATCH($K189,Feiertagsregeln!$A$7:$A$198,0))</f>
        <v>Noël</v>
      </c>
      <c r="G189" s="21" t="str">
        <f>IF(INDEX(Feiertagsregeln!$F$7:$F$198,MATCH($K189,Feiertagsregeln!$A$7:$A$198,0))="","Noch zu erfassen",INDEX(Feiertagsregeln!$F$7:$F$198,MATCH($K189,Feiertagsregeln!$A$7:$A$198,0)))</f>
        <v>Natale</v>
      </c>
      <c r="H189" s="21" t="str">
        <f>IF(INDEX(Feiertagsregeln!$G$7:$G$198,MATCH($K189,Feiertagsregeln!$A$7:$A$198,0))="","Noch zu erfassen",INDEX(Feiertagsregeln!$G$7:$G$198,MATCH($K189,Feiertagsregeln!$A$7:$A$198,0)))</f>
        <v>Di da Nadal</v>
      </c>
      <c r="I189" s="10" t="str">
        <f>INDEX(Feiertagsregeln!$H$7:$H$198,MATCH($K189,Feiertagsregeln!$A$7:$A$198,0))</f>
        <v>publicHoliday</v>
      </c>
      <c r="J189" s="10" t="s">
        <v>69</v>
      </c>
      <c r="K189" s="10" t="s">
        <v>258</v>
      </c>
      <c r="L189" s="10" t="str">
        <f>INDEX(Feiertagsregeln!$Y$7:$Y$198,MATCH($K189,Feiertagsregeln!$A$7:$A$198,0))</f>
        <v>SRC-SO-RTG-51241-V4319</v>
      </c>
      <c r="M189" s="10" t="str">
        <f>INDEX(Feiertagsregeln!$Z$7:$Z$198,MATCH($K189,Feiertagsregeln!$A$7:$A$198,0))</f>
        <v>§ 2 Abs. 1 Bst. c</v>
      </c>
      <c r="N189" s="10" t="s">
        <v>193</v>
      </c>
      <c r="O189" s="10" t="str">
        <f>INDEX(Feiertagsregeln!$AA$7:$AA$198,MATCH($K189,Feiertagsregeln!$A$7:$A$198,0))</f>
        <v>Ganztägig</v>
      </c>
    </row>
    <row r="190" spans="1:15" ht="44" customHeight="1">
      <c r="A190" s="15">
        <f>INDEX(Feiertagsregeln!$X$7:$X$198,MATCH($K190,Feiertagsregeln!$A$7:$A$198,0))</f>
        <v>46388</v>
      </c>
      <c r="B190" s="11" t="str">
        <f t="shared" si="2"/>
        <v>Freitag</v>
      </c>
      <c r="C190" s="11" t="s">
        <v>244</v>
      </c>
      <c r="D190" s="11" t="s">
        <v>259</v>
      </c>
      <c r="E190" s="11" t="str">
        <f>INDEX(Feiertagsregeln!$D$7:$D$198,MATCH($K190,Feiertagsregeln!$A$7:$A$198,0))</f>
        <v>Neujahr</v>
      </c>
      <c r="F190" s="11" t="str">
        <f>INDEX(Feiertagsregeln!$E$7:$E$198,MATCH($K190,Feiertagsregeln!$A$7:$A$198,0))</f>
        <v>Nouvel An</v>
      </c>
      <c r="G190" s="22" t="str">
        <f>IF(INDEX(Feiertagsregeln!$F$7:$F$198,MATCH($K190,Feiertagsregeln!$A$7:$A$198,0))="","Noch zu erfassen",INDEX(Feiertagsregeln!$F$7:$F$198,MATCH($K190,Feiertagsregeln!$A$7:$A$198,0)))</f>
        <v>Capo d’anno</v>
      </c>
      <c r="H190" s="22" t="str">
        <f>IF(INDEX(Feiertagsregeln!$G$7:$G$198,MATCH($K190,Feiertagsregeln!$A$7:$A$198,0))="","Noch zu erfassen",INDEX(Feiertagsregeln!$G$7:$G$198,MATCH($K190,Feiertagsregeln!$A$7:$A$198,0)))</f>
        <v>Bumaun</v>
      </c>
      <c r="I190" s="11" t="str">
        <f>INDEX(Feiertagsregeln!$H$7:$H$198,MATCH($K190,Feiertagsregeln!$A$7:$A$198,0))</f>
        <v>publicHoliday</v>
      </c>
      <c r="J190" s="11" t="s">
        <v>69</v>
      </c>
      <c r="K190" s="11" t="s">
        <v>260</v>
      </c>
      <c r="L190" s="11" t="str">
        <f>INDEX(Feiertagsregeln!$Y$7:$Y$198,MATCH($K190,Feiertagsregeln!$A$7:$A$198,0))</f>
        <v>SRC-SO-RTG-51241-V4319</v>
      </c>
      <c r="M190" s="11" t="str">
        <f>INDEX(Feiertagsregeln!$Z$7:$Z$198,MATCH($K190,Feiertagsregeln!$A$7:$A$198,0))</f>
        <v>§ 2 Abs. 1 Bst. b</v>
      </c>
      <c r="N190" s="11" t="s">
        <v>193</v>
      </c>
      <c r="O190" s="11" t="str">
        <f>INDEX(Feiertagsregeln!$AA$7:$AA$198,MATCH($K190,Feiertagsregeln!$A$7:$A$198,0))</f>
        <v>Ganztägig</v>
      </c>
    </row>
    <row r="191" spans="1:15" ht="44" customHeight="1">
      <c r="A191" s="14">
        <f>INDEX(Feiertagsregeln!$X$7:$X$198,MATCH($K191,Feiertagsregeln!$A$7:$A$198,0))</f>
        <v>46472</v>
      </c>
      <c r="B191" s="10" t="str">
        <f t="shared" si="2"/>
        <v>Freitag</v>
      </c>
      <c r="C191" s="10" t="s">
        <v>244</v>
      </c>
      <c r="D191" s="10" t="s">
        <v>259</v>
      </c>
      <c r="E191" s="10" t="str">
        <f>INDEX(Feiertagsregeln!$D$7:$D$198,MATCH($K191,Feiertagsregeln!$A$7:$A$198,0))</f>
        <v>Karfreitag</v>
      </c>
      <c r="F191" s="10" t="str">
        <f>INDEX(Feiertagsregeln!$E$7:$E$198,MATCH($K191,Feiertagsregeln!$A$7:$A$198,0))</f>
        <v>Vendredi saint</v>
      </c>
      <c r="G191" s="21" t="str">
        <f>IF(INDEX(Feiertagsregeln!$F$7:$F$198,MATCH($K191,Feiertagsregeln!$A$7:$A$198,0))="","Noch zu erfassen",INDEX(Feiertagsregeln!$F$7:$F$198,MATCH($K191,Feiertagsregeln!$A$7:$A$198,0)))</f>
        <v>Venerdì Santo</v>
      </c>
      <c r="H191" s="21" t="str">
        <f>IF(INDEX(Feiertagsregeln!$G$7:$G$198,MATCH($K191,Feiertagsregeln!$A$7:$A$198,0))="","Noch zu erfassen",INDEX(Feiertagsregeln!$G$7:$G$198,MATCH($K191,Feiertagsregeln!$A$7:$A$198,0)))</f>
        <v>Venderdi sontg</v>
      </c>
      <c r="I191" s="10" t="str">
        <f>INDEX(Feiertagsregeln!$H$7:$H$198,MATCH($K191,Feiertagsregeln!$A$7:$A$198,0))</f>
        <v>publicHoliday</v>
      </c>
      <c r="J191" s="10" t="s">
        <v>69</v>
      </c>
      <c r="K191" s="10" t="s">
        <v>261</v>
      </c>
      <c r="L191" s="10" t="str">
        <f>INDEX(Feiertagsregeln!$Y$7:$Y$198,MATCH($K191,Feiertagsregeln!$A$7:$A$198,0))</f>
        <v>SRC-SO-RTG-51241-V4319</v>
      </c>
      <c r="M191" s="10" t="str">
        <f>INDEX(Feiertagsregeln!$Z$7:$Z$198,MATCH($K191,Feiertagsregeln!$A$7:$A$198,0))</f>
        <v>§ 2 Abs. 1 Bst. c</v>
      </c>
      <c r="N191" s="10" t="s">
        <v>193</v>
      </c>
      <c r="O191" s="10" t="str">
        <f>INDEX(Feiertagsregeln!$AA$7:$AA$198,MATCH($K191,Feiertagsregeln!$A$7:$A$198,0))</f>
        <v>Ganztägig</v>
      </c>
    </row>
    <row r="192" spans="1:15" ht="44" customHeight="1">
      <c r="A192" s="15">
        <f>INDEX(Feiertagsregeln!$X$7:$X$198,MATCH($K192,Feiertagsregeln!$A$7:$A$198,0))</f>
        <v>46474</v>
      </c>
      <c r="B192" s="11" t="str">
        <f t="shared" si="2"/>
        <v>Sonntag</v>
      </c>
      <c r="C192" s="11" t="s">
        <v>244</v>
      </c>
      <c r="D192" s="11" t="s">
        <v>259</v>
      </c>
      <c r="E192" s="11" t="str">
        <f>INDEX(Feiertagsregeln!$D$7:$D$198,MATCH($K192,Feiertagsregeln!$A$7:$A$198,0))</f>
        <v>Ostern</v>
      </c>
      <c r="F192" s="11" t="str">
        <f>INDEX(Feiertagsregeln!$E$7:$E$198,MATCH($K192,Feiertagsregeln!$A$7:$A$198,0))</f>
        <v>Pâques</v>
      </c>
      <c r="G192" s="22" t="str">
        <f>IF(INDEX(Feiertagsregeln!$F$7:$F$198,MATCH($K192,Feiertagsregeln!$A$7:$A$198,0))="","Noch zu erfassen",INDEX(Feiertagsregeln!$F$7:$F$198,MATCH($K192,Feiertagsregeln!$A$7:$A$198,0)))</f>
        <v>Domenica di Pasqua</v>
      </c>
      <c r="H192" s="22" t="str">
        <f>IF(INDEX(Feiertagsregeln!$G$7:$G$198,MATCH($K192,Feiertagsregeln!$A$7:$A$198,0))="","Noch zu erfassen",INDEX(Feiertagsregeln!$G$7:$G$198,MATCH($K192,Feiertagsregeln!$A$7:$A$198,0)))</f>
        <v>Dumengia da Pasca</v>
      </c>
      <c r="I192" s="11" t="str">
        <f>INDEX(Feiertagsregeln!$H$7:$H$198,MATCH($K192,Feiertagsregeln!$A$7:$A$198,0))</f>
        <v>publicHoliday</v>
      </c>
      <c r="J192" s="11" t="s">
        <v>69</v>
      </c>
      <c r="K192" s="11" t="s">
        <v>262</v>
      </c>
      <c r="L192" s="11" t="str">
        <f>INDEX(Feiertagsregeln!$Y$7:$Y$198,MATCH($K192,Feiertagsregeln!$A$7:$A$198,0))</f>
        <v>SRC-SO-RTG-51241-V4319</v>
      </c>
      <c r="M192" s="11" t="str">
        <f>INDEX(Feiertagsregeln!$Z$7:$Z$198,MATCH($K192,Feiertagsregeln!$A$7:$A$198,0))</f>
        <v>§ 2 Abs. 1 Bst. c</v>
      </c>
      <c r="N192" s="11" t="s">
        <v>193</v>
      </c>
      <c r="O192" s="11" t="str">
        <f>INDEX(Feiertagsregeln!$AA$7:$AA$198,MATCH($K192,Feiertagsregeln!$A$7:$A$198,0))</f>
        <v>Ganztägig</v>
      </c>
    </row>
    <row r="193" spans="1:15" ht="44" customHeight="1">
      <c r="A193" s="14">
        <f>INDEX(Feiertagsregeln!$X$7:$X$198,MATCH($K193,Feiertagsregeln!$A$7:$A$198,0))</f>
        <v>46508</v>
      </c>
      <c r="B193" s="10" t="str">
        <f t="shared" si="2"/>
        <v>Samstag, ab 12.00 Uhr</v>
      </c>
      <c r="C193" s="10" t="s">
        <v>244</v>
      </c>
      <c r="D193" s="10" t="s">
        <v>259</v>
      </c>
      <c r="E193" s="10" t="str">
        <f>INDEX(Feiertagsregeln!$D$7:$D$198,MATCH($K193,Feiertagsregeln!$A$7:$A$198,0))</f>
        <v>1. Mai</v>
      </c>
      <c r="F193" s="10" t="str">
        <f>INDEX(Feiertagsregeln!$E$7:$E$198,MATCH($K193,Feiertagsregeln!$A$7:$A$198,0))</f>
        <v>1er mai</v>
      </c>
      <c r="G193" s="21" t="str">
        <f>IF(INDEX(Feiertagsregeln!$F$7:$F$198,MATCH($K193,Feiertagsregeln!$A$7:$A$198,0))="","Noch zu erfassen",INDEX(Feiertagsregeln!$F$7:$F$198,MATCH($K193,Feiertagsregeln!$A$7:$A$198,0)))</f>
        <v>Primo maggio</v>
      </c>
      <c r="H193" s="21" t="str">
        <f>IF(INDEX(Feiertagsregeln!$G$7:$G$198,MATCH($K193,Feiertagsregeln!$A$7:$A$198,0))="","Noch zu erfassen",INDEX(Feiertagsregeln!$G$7:$G$198,MATCH($K193,Feiertagsregeln!$A$7:$A$198,0)))</f>
        <v>1. da matg</v>
      </c>
      <c r="I193" s="10" t="str">
        <f>INDEX(Feiertagsregeln!$H$7:$H$198,MATCH($K193,Feiertagsregeln!$A$7:$A$198,0))</f>
        <v>publicHoliday</v>
      </c>
      <c r="J193" s="10" t="s">
        <v>69</v>
      </c>
      <c r="K193" s="10" t="s">
        <v>263</v>
      </c>
      <c r="L193" s="10" t="str">
        <f>INDEX(Feiertagsregeln!$Y$7:$Y$198,MATCH($K193,Feiertagsregeln!$A$7:$A$198,0))</f>
        <v>SRC-SO-RTG-51241-V4319</v>
      </c>
      <c r="M193" s="10" t="str">
        <f>INDEX(Feiertagsregeln!$Z$7:$Z$198,MATCH($K193,Feiertagsregeln!$A$7:$A$198,0))</f>
        <v>§ 2 Abs. 1 Bst. b, 1. Mai ab 12.00 Uhr</v>
      </c>
      <c r="N193" s="10" t="s">
        <v>250</v>
      </c>
      <c r="O193" s="10" t="str">
        <f>INDEX(Feiertagsregeln!$AA$7:$AA$198,MATCH($K193,Feiertagsregeln!$A$7:$A$198,0))</f>
        <v>Ab 12.00 Uhr</v>
      </c>
    </row>
    <row r="194" spans="1:15" ht="44" customHeight="1">
      <c r="A194" s="15">
        <f>INDEX(Feiertagsregeln!$X$7:$X$198,MATCH($K194,Feiertagsregeln!$A$7:$A$198,0))</f>
        <v>46513</v>
      </c>
      <c r="B194" s="11" t="str">
        <f t="shared" si="2"/>
        <v>Donnerstag</v>
      </c>
      <c r="C194" s="11" t="s">
        <v>244</v>
      </c>
      <c r="D194" s="11" t="s">
        <v>259</v>
      </c>
      <c r="E194" s="11" t="str">
        <f>INDEX(Feiertagsregeln!$D$7:$D$198,MATCH($K194,Feiertagsregeln!$A$7:$A$198,0))</f>
        <v>Auffahrt</v>
      </c>
      <c r="F194" s="11" t="str">
        <f>INDEX(Feiertagsregeln!$E$7:$E$198,MATCH($K194,Feiertagsregeln!$A$7:$A$198,0))</f>
        <v>Ascension</v>
      </c>
      <c r="G194" s="22" t="str">
        <f>IF(INDEX(Feiertagsregeln!$F$7:$F$198,MATCH($K194,Feiertagsregeln!$A$7:$A$198,0))="","Noch zu erfassen",INDEX(Feiertagsregeln!$F$7:$F$198,MATCH($K194,Feiertagsregeln!$A$7:$A$198,0)))</f>
        <v>Ascensione</v>
      </c>
      <c r="H194" s="22" t="str">
        <f>IF(INDEX(Feiertagsregeln!$G$7:$G$198,MATCH($K194,Feiertagsregeln!$A$7:$A$198,0))="","Noch zu erfassen",INDEX(Feiertagsregeln!$G$7:$G$198,MATCH($K194,Feiertagsregeln!$A$7:$A$198,0)))</f>
        <v>Ascensiun</v>
      </c>
      <c r="I194" s="11" t="str">
        <f>INDEX(Feiertagsregeln!$H$7:$H$198,MATCH($K194,Feiertagsregeln!$A$7:$A$198,0))</f>
        <v>publicHoliday</v>
      </c>
      <c r="J194" s="11" t="s">
        <v>69</v>
      </c>
      <c r="K194" s="11" t="s">
        <v>264</v>
      </c>
      <c r="L194" s="11" t="str">
        <f>INDEX(Feiertagsregeln!$Y$7:$Y$198,MATCH($K194,Feiertagsregeln!$A$7:$A$198,0))</f>
        <v>SRC-SO-RTG-51241-V4319</v>
      </c>
      <c r="M194" s="11" t="str">
        <f>INDEX(Feiertagsregeln!$Z$7:$Z$198,MATCH($K194,Feiertagsregeln!$A$7:$A$198,0))</f>
        <v>§ 2 Abs. 1 Bst. b</v>
      </c>
      <c r="N194" s="11" t="s">
        <v>193</v>
      </c>
      <c r="O194" s="11" t="str">
        <f>INDEX(Feiertagsregeln!$AA$7:$AA$198,MATCH($K194,Feiertagsregeln!$A$7:$A$198,0))</f>
        <v>Ganztägig</v>
      </c>
    </row>
    <row r="195" spans="1:15" ht="44" customHeight="1">
      <c r="A195" s="14">
        <f>INDEX(Feiertagsregeln!$X$7:$X$198,MATCH($K195,Feiertagsregeln!$A$7:$A$198,0))</f>
        <v>46523</v>
      </c>
      <c r="B195" s="10" t="str">
        <f t="shared" si="2"/>
        <v>Sonntag</v>
      </c>
      <c r="C195" s="10" t="s">
        <v>244</v>
      </c>
      <c r="D195" s="10" t="s">
        <v>259</v>
      </c>
      <c r="E195" s="10" t="str">
        <f>INDEX(Feiertagsregeln!$D$7:$D$198,MATCH($K195,Feiertagsregeln!$A$7:$A$198,0))</f>
        <v>Pfingsten</v>
      </c>
      <c r="F195" s="10" t="str">
        <f>INDEX(Feiertagsregeln!$E$7:$E$198,MATCH($K195,Feiertagsregeln!$A$7:$A$198,0))</f>
        <v>Pentecôte</v>
      </c>
      <c r="G195" s="21" t="str">
        <f>IF(INDEX(Feiertagsregeln!$F$7:$F$198,MATCH($K195,Feiertagsregeln!$A$7:$A$198,0))="","Noch zu erfassen",INDEX(Feiertagsregeln!$F$7:$F$198,MATCH($K195,Feiertagsregeln!$A$7:$A$198,0)))</f>
        <v>Domenica di Pentecoste</v>
      </c>
      <c r="H195" s="21" t="str">
        <f>IF(INDEX(Feiertagsregeln!$G$7:$G$198,MATCH($K195,Feiertagsregeln!$A$7:$A$198,0))="","Noch zu erfassen",INDEX(Feiertagsregeln!$G$7:$G$198,MATCH($K195,Feiertagsregeln!$A$7:$A$198,0)))</f>
        <v>Dumengia da Tschuncaisma</v>
      </c>
      <c r="I195" s="10" t="str">
        <f>INDEX(Feiertagsregeln!$H$7:$H$198,MATCH($K195,Feiertagsregeln!$A$7:$A$198,0))</f>
        <v>publicHoliday</v>
      </c>
      <c r="J195" s="10" t="s">
        <v>69</v>
      </c>
      <c r="K195" s="10" t="s">
        <v>265</v>
      </c>
      <c r="L195" s="10" t="str">
        <f>INDEX(Feiertagsregeln!$Y$7:$Y$198,MATCH($K195,Feiertagsregeln!$A$7:$A$198,0))</f>
        <v>SRC-SO-RTG-51241-V4319</v>
      </c>
      <c r="M195" s="10" t="str">
        <f>INDEX(Feiertagsregeln!$Z$7:$Z$198,MATCH($K195,Feiertagsregeln!$A$7:$A$198,0))</f>
        <v>§ 2 Abs. 1 Bst. c</v>
      </c>
      <c r="N195" s="10" t="s">
        <v>193</v>
      </c>
      <c r="O195" s="10" t="str">
        <f>INDEX(Feiertagsregeln!$AA$7:$AA$198,MATCH($K195,Feiertagsregeln!$A$7:$A$198,0))</f>
        <v>Ganztägig</v>
      </c>
    </row>
    <row r="196" spans="1:15" ht="44" customHeight="1">
      <c r="A196" s="15">
        <f>INDEX(Feiertagsregeln!$X$7:$X$198,MATCH($K196,Feiertagsregeln!$A$7:$A$198,0))</f>
        <v>46600</v>
      </c>
      <c r="B196" s="11" t="str">
        <f t="shared" si="2"/>
        <v>Sonntag</v>
      </c>
      <c r="C196" s="11" t="s">
        <v>244</v>
      </c>
      <c r="D196" s="11" t="s">
        <v>259</v>
      </c>
      <c r="E196" s="11" t="str">
        <f>INDEX(Feiertagsregeln!$D$7:$D$198,MATCH($K196,Feiertagsregeln!$A$7:$A$198,0))</f>
        <v>Bundesfeiertag</v>
      </c>
      <c r="F196" s="11" t="str">
        <f>INDEX(Feiertagsregeln!$E$7:$E$198,MATCH($K196,Feiertagsregeln!$A$7:$A$198,0))</f>
        <v>Fête nationale</v>
      </c>
      <c r="G196" s="22" t="str">
        <f>IF(INDEX(Feiertagsregeln!$F$7:$F$198,MATCH($K196,Feiertagsregeln!$A$7:$A$198,0))="","Noch zu erfassen",INDEX(Feiertagsregeln!$F$7:$F$198,MATCH($K196,Feiertagsregeln!$A$7:$A$198,0)))</f>
        <v>Primo agosto</v>
      </c>
      <c r="H196" s="22" t="str">
        <f>IF(INDEX(Feiertagsregeln!$G$7:$G$198,MATCH($K196,Feiertagsregeln!$A$7:$A$198,0))="","Noch zu erfassen",INDEX(Feiertagsregeln!$G$7:$G$198,MATCH($K196,Feiertagsregeln!$A$7:$A$198,0)))</f>
        <v>Festa naziunala svizra</v>
      </c>
      <c r="I196" s="11" t="str">
        <f>INDEX(Feiertagsregeln!$H$7:$H$198,MATCH($K196,Feiertagsregeln!$A$7:$A$198,0))</f>
        <v>publicHoliday</v>
      </c>
      <c r="J196" s="11" t="s">
        <v>69</v>
      </c>
      <c r="K196" s="11" t="s">
        <v>266</v>
      </c>
      <c r="L196" s="11" t="str">
        <f>INDEX(Feiertagsregeln!$Y$7:$Y$198,MATCH($K196,Feiertagsregeln!$A$7:$A$198,0))</f>
        <v>SRC-BUNDESFEIERTAG-19940701</v>
      </c>
      <c r="M196" s="11" t="str">
        <f>INDEX(Feiertagsregeln!$Z$7:$Z$198,MATCH($K196,Feiertagsregeln!$A$7:$A$198,0))</f>
        <v>SR 116, Art. 1, neue offene Anwendung auf dieses Geltungsprofil</v>
      </c>
      <c r="N196" s="11" t="s">
        <v>193</v>
      </c>
      <c r="O196" s="11" t="str">
        <f>INDEX(Feiertagsregeln!$AA$7:$AA$198,MATCH($K196,Feiertagsregeln!$A$7:$A$198,0))</f>
        <v>Ganztägig</v>
      </c>
    </row>
    <row r="197" spans="1:15" ht="44" customHeight="1">
      <c r="A197" s="14">
        <f>INDEX(Feiertagsregeln!$X$7:$X$198,MATCH($K197,Feiertagsregeln!$A$7:$A$198,0))</f>
        <v>46649</v>
      </c>
      <c r="B197" s="10" t="str">
        <f t="shared" si="2"/>
        <v>Sonntag</v>
      </c>
      <c r="C197" s="10" t="s">
        <v>244</v>
      </c>
      <c r="D197" s="10" t="s">
        <v>259</v>
      </c>
      <c r="E197" s="10" t="str">
        <f>INDEX(Feiertagsregeln!$D$7:$D$198,MATCH($K197,Feiertagsregeln!$A$7:$A$198,0))</f>
        <v>Eidgenössischer Dank-, Buss- und Bettag</v>
      </c>
      <c r="F197" s="10" t="str">
        <f>INDEX(Feiertagsregeln!$E$7:$E$198,MATCH($K197,Feiertagsregeln!$A$7:$A$198,0))</f>
        <v>Jeûne fédéral</v>
      </c>
      <c r="G197" s="21" t="str">
        <f>IF(INDEX(Feiertagsregeln!$F$7:$F$198,MATCH($K197,Feiertagsregeln!$A$7:$A$198,0))="","Noch zu erfassen",INDEX(Feiertagsregeln!$F$7:$F$198,MATCH($K197,Feiertagsregeln!$A$7:$A$198,0)))</f>
        <v>Festa federale di preghiera</v>
      </c>
      <c r="H197" s="21" t="str">
        <f>IF(INDEX(Feiertagsregeln!$G$7:$G$198,MATCH($K197,Feiertagsregeln!$A$7:$A$198,0))="","Noch zu erfassen",INDEX(Feiertagsregeln!$G$7:$G$198,MATCH($K197,Feiertagsregeln!$A$7:$A$198,0)))</f>
        <v>Di da la rogaziun federala</v>
      </c>
      <c r="I197" s="10" t="str">
        <f>INDEX(Feiertagsregeln!$H$7:$H$198,MATCH($K197,Feiertagsregeln!$A$7:$A$198,0))</f>
        <v>publicHoliday</v>
      </c>
      <c r="J197" s="10" t="s">
        <v>69</v>
      </c>
      <c r="K197" s="10" t="s">
        <v>267</v>
      </c>
      <c r="L197" s="10" t="str">
        <f>INDEX(Feiertagsregeln!$Y$7:$Y$198,MATCH($K197,Feiertagsregeln!$A$7:$A$198,0))</f>
        <v>SRC-SO-RTG-51241-V4319</v>
      </c>
      <c r="M197" s="10" t="str">
        <f>INDEX(Feiertagsregeln!$Z$7:$Z$198,MATCH($K197,Feiertagsregeln!$A$7:$A$198,0))</f>
        <v>§ 2 Abs. 1 Bst. b</v>
      </c>
      <c r="N197" s="10" t="s">
        <v>193</v>
      </c>
      <c r="O197" s="10" t="str">
        <f>INDEX(Feiertagsregeln!$AA$7:$AA$198,MATCH($K197,Feiertagsregeln!$A$7:$A$198,0))</f>
        <v>Ganztägig</v>
      </c>
    </row>
    <row r="198" spans="1:15" ht="44" customHeight="1">
      <c r="A198" s="15">
        <f>INDEX(Feiertagsregeln!$X$7:$X$198,MATCH($K198,Feiertagsregeln!$A$7:$A$198,0))</f>
        <v>46746</v>
      </c>
      <c r="B198" s="11" t="str">
        <f t="shared" si="2"/>
        <v>Samstag</v>
      </c>
      <c r="C198" s="11" t="s">
        <v>244</v>
      </c>
      <c r="D198" s="11" t="s">
        <v>259</v>
      </c>
      <c r="E198" s="11" t="str">
        <f>INDEX(Feiertagsregeln!$D$7:$D$198,MATCH($K198,Feiertagsregeln!$A$7:$A$198,0))</f>
        <v>Weihnachten</v>
      </c>
      <c r="F198" s="11" t="str">
        <f>INDEX(Feiertagsregeln!$E$7:$E$198,MATCH($K198,Feiertagsregeln!$A$7:$A$198,0))</f>
        <v>Noël</v>
      </c>
      <c r="G198" s="22" t="str">
        <f>IF(INDEX(Feiertagsregeln!$F$7:$F$198,MATCH($K198,Feiertagsregeln!$A$7:$A$198,0))="","Noch zu erfassen",INDEX(Feiertagsregeln!$F$7:$F$198,MATCH($K198,Feiertagsregeln!$A$7:$A$198,0)))</f>
        <v>Natale</v>
      </c>
      <c r="H198" s="22" t="str">
        <f>IF(INDEX(Feiertagsregeln!$G$7:$G$198,MATCH($K198,Feiertagsregeln!$A$7:$A$198,0))="","Noch zu erfassen",INDEX(Feiertagsregeln!$G$7:$G$198,MATCH($K198,Feiertagsregeln!$A$7:$A$198,0)))</f>
        <v>Di da Nadal</v>
      </c>
      <c r="I198" s="11" t="str">
        <f>INDEX(Feiertagsregeln!$H$7:$H$198,MATCH($K198,Feiertagsregeln!$A$7:$A$198,0))</f>
        <v>publicHoliday</v>
      </c>
      <c r="J198" s="11" t="s">
        <v>69</v>
      </c>
      <c r="K198" s="11" t="s">
        <v>268</v>
      </c>
      <c r="L198" s="11" t="str">
        <f>INDEX(Feiertagsregeln!$Y$7:$Y$198,MATCH($K198,Feiertagsregeln!$A$7:$A$198,0))</f>
        <v>SRC-SO-RTG-51241-V4319</v>
      </c>
      <c r="M198" s="11" t="str">
        <f>INDEX(Feiertagsregeln!$Z$7:$Z$198,MATCH($K198,Feiertagsregeln!$A$7:$A$198,0))</f>
        <v>§ 2 Abs. 1 Bst. c</v>
      </c>
      <c r="N198" s="11" t="s">
        <v>193</v>
      </c>
      <c r="O198" s="11" t="str">
        <f>INDEX(Feiertagsregeln!$AA$7:$AA$198,MATCH($K198,Feiertagsregeln!$A$7:$A$198,0))</f>
        <v>Ganztägig</v>
      </c>
    </row>
    <row r="199" spans="1:15" ht="44" customHeight="1">
      <c r="A199" s="14">
        <f>INDEX(Feiertagsregeln!$X$7:$X$198,MATCH($K199,Feiertagsregeln!$A$7:$A$198,0))</f>
        <v>46388</v>
      </c>
      <c r="B199" s="10" t="str">
        <f t="shared" ref="B199:B262" si="3">IF(ISNUMBER(A199),CHOOSE(WEEKDAY(A199,2),"Montag","Dienstag","Mittwoch","Donnerstag","Freitag","Samstag","Sonntag")&amp;IF(O199="Ab 12.00 Uhr",", ab 12.00 Uhr",""),"n.a.")</f>
        <v>Freitag</v>
      </c>
      <c r="C199" s="10" t="s">
        <v>269</v>
      </c>
      <c r="D199" s="10" t="s">
        <v>270</v>
      </c>
      <c r="E199" s="10" t="str">
        <f>INDEX(Feiertagsregeln!$D$7:$D$198,MATCH($K199,Feiertagsregeln!$A$7:$A$198,0))</f>
        <v>Neujahr</v>
      </c>
      <c r="F199" s="10" t="str">
        <f>INDEX(Feiertagsregeln!$E$7:$E$198,MATCH($K199,Feiertagsregeln!$A$7:$A$198,0))</f>
        <v>Nouvel An</v>
      </c>
      <c r="G199" s="21" t="str">
        <f>IF(INDEX(Feiertagsregeln!$F$7:$F$198,MATCH($K199,Feiertagsregeln!$A$7:$A$198,0))="","Noch zu erfassen",INDEX(Feiertagsregeln!$F$7:$F$198,MATCH($K199,Feiertagsregeln!$A$7:$A$198,0)))</f>
        <v>Capo d’anno</v>
      </c>
      <c r="H199" s="21" t="str">
        <f>IF(INDEX(Feiertagsregeln!$G$7:$G$198,MATCH($K199,Feiertagsregeln!$A$7:$A$198,0))="","Noch zu erfassen",INDEX(Feiertagsregeln!$G$7:$G$198,MATCH($K199,Feiertagsregeln!$A$7:$A$198,0)))</f>
        <v>Bumaun</v>
      </c>
      <c r="I199" s="10" t="str">
        <f>INDEX(Feiertagsregeln!$H$7:$H$198,MATCH($K199,Feiertagsregeln!$A$7:$A$198,0))</f>
        <v>publicHoliday</v>
      </c>
      <c r="J199" s="10" t="s">
        <v>69</v>
      </c>
      <c r="K199" s="10" t="s">
        <v>271</v>
      </c>
      <c r="L199" s="10" t="str">
        <f>INDEX(Feiertagsregeln!$Y$7:$Y$198,MATCH($K199,Feiertagsregeln!$A$7:$A$198,0))</f>
        <v>SRC-GE-LJF-J145-19910101</v>
      </c>
      <c r="M199" s="10" t="str">
        <f>INDEX(Feiertagsregeln!$Z$7:$Z$198,MATCH($K199,Feiertagsregeln!$A$7:$A$198,0))</f>
        <v>Art. 1 Abs. 1 Bst. a</v>
      </c>
      <c r="N199" s="10" t="s">
        <v>193</v>
      </c>
      <c r="O199" s="10" t="str">
        <f>INDEX(Feiertagsregeln!$AA$7:$AA$198,MATCH($K199,Feiertagsregeln!$A$7:$A$198,0))</f>
        <v>Ganztägig</v>
      </c>
    </row>
    <row r="200" spans="1:15" ht="44" customHeight="1">
      <c r="A200" s="15">
        <f>INDEX(Feiertagsregeln!$X$7:$X$198,MATCH($K200,Feiertagsregeln!$A$7:$A$198,0))</f>
        <v>46472</v>
      </c>
      <c r="B200" s="11" t="str">
        <f t="shared" si="3"/>
        <v>Freitag</v>
      </c>
      <c r="C200" s="11" t="s">
        <v>269</v>
      </c>
      <c r="D200" s="11" t="s">
        <v>270</v>
      </c>
      <c r="E200" s="11" t="str">
        <f>INDEX(Feiertagsregeln!$D$7:$D$198,MATCH($K200,Feiertagsregeln!$A$7:$A$198,0))</f>
        <v>Karfreitag</v>
      </c>
      <c r="F200" s="11" t="str">
        <f>INDEX(Feiertagsregeln!$E$7:$E$198,MATCH($K200,Feiertagsregeln!$A$7:$A$198,0))</f>
        <v>Vendredi saint</v>
      </c>
      <c r="G200" s="22" t="str">
        <f>IF(INDEX(Feiertagsregeln!$F$7:$F$198,MATCH($K200,Feiertagsregeln!$A$7:$A$198,0))="","Noch zu erfassen",INDEX(Feiertagsregeln!$F$7:$F$198,MATCH($K200,Feiertagsregeln!$A$7:$A$198,0)))</f>
        <v>Venerdì Santo</v>
      </c>
      <c r="H200" s="22" t="str">
        <f>IF(INDEX(Feiertagsregeln!$G$7:$G$198,MATCH($K200,Feiertagsregeln!$A$7:$A$198,0))="","Noch zu erfassen",INDEX(Feiertagsregeln!$G$7:$G$198,MATCH($K200,Feiertagsregeln!$A$7:$A$198,0)))</f>
        <v>Venderdi sontg</v>
      </c>
      <c r="I200" s="11" t="str">
        <f>INDEX(Feiertagsregeln!$H$7:$H$198,MATCH($K200,Feiertagsregeln!$A$7:$A$198,0))</f>
        <v>publicHoliday</v>
      </c>
      <c r="J200" s="11" t="s">
        <v>69</v>
      </c>
      <c r="K200" s="11" t="s">
        <v>272</v>
      </c>
      <c r="L200" s="11" t="str">
        <f>INDEX(Feiertagsregeln!$Y$7:$Y$198,MATCH($K200,Feiertagsregeln!$A$7:$A$198,0))</f>
        <v>SRC-GE-LJF-J145-19910101</v>
      </c>
      <c r="M200" s="11" t="str">
        <f>INDEX(Feiertagsregeln!$Z$7:$Z$198,MATCH($K200,Feiertagsregeln!$A$7:$A$198,0))</f>
        <v>Art. 1 Abs. 1 Bst. b</v>
      </c>
      <c r="N200" s="11" t="s">
        <v>193</v>
      </c>
      <c r="O200" s="11" t="str">
        <f>INDEX(Feiertagsregeln!$AA$7:$AA$198,MATCH($K200,Feiertagsregeln!$A$7:$A$198,0))</f>
        <v>Ganztägig</v>
      </c>
    </row>
    <row r="201" spans="1:15" ht="44" customHeight="1">
      <c r="A201" s="14">
        <f>INDEX(Feiertagsregeln!$X$7:$X$198,MATCH($K201,Feiertagsregeln!$A$7:$A$198,0))</f>
        <v>46475</v>
      </c>
      <c r="B201" s="10" t="str">
        <f t="shared" si="3"/>
        <v>Montag</v>
      </c>
      <c r="C201" s="10" t="s">
        <v>269</v>
      </c>
      <c r="D201" s="10" t="s">
        <v>270</v>
      </c>
      <c r="E201" s="10" t="str">
        <f>INDEX(Feiertagsregeln!$D$7:$D$198,MATCH($K201,Feiertagsregeln!$A$7:$A$198,0))</f>
        <v>Ostermontag</v>
      </c>
      <c r="F201" s="10" t="str">
        <f>INDEX(Feiertagsregeln!$E$7:$E$198,MATCH($K201,Feiertagsregeln!$A$7:$A$198,0))</f>
        <v>Lundi de Pâques</v>
      </c>
      <c r="G201" s="21" t="str">
        <f>IF(INDEX(Feiertagsregeln!$F$7:$F$198,MATCH($K201,Feiertagsregeln!$A$7:$A$198,0))="","Noch zu erfassen",INDEX(Feiertagsregeln!$F$7:$F$198,MATCH($K201,Feiertagsregeln!$A$7:$A$198,0)))</f>
        <v>Lunedì di Pasqua</v>
      </c>
      <c r="H201" s="21" t="str">
        <f>IF(INDEX(Feiertagsregeln!$G$7:$G$198,MATCH($K201,Feiertagsregeln!$A$7:$A$198,0))="","Noch zu erfassen",INDEX(Feiertagsregeln!$G$7:$G$198,MATCH($K201,Feiertagsregeln!$A$7:$A$198,0)))</f>
        <v>Glindesdi da Pasca</v>
      </c>
      <c r="I201" s="10" t="str">
        <f>INDEX(Feiertagsregeln!$H$7:$H$198,MATCH($K201,Feiertagsregeln!$A$7:$A$198,0))</f>
        <v>publicHoliday</v>
      </c>
      <c r="J201" s="10" t="s">
        <v>69</v>
      </c>
      <c r="K201" s="10" t="s">
        <v>273</v>
      </c>
      <c r="L201" s="10" t="str">
        <f>INDEX(Feiertagsregeln!$Y$7:$Y$198,MATCH($K201,Feiertagsregeln!$A$7:$A$198,0))</f>
        <v>SRC-GE-LJF-J145-19910101</v>
      </c>
      <c r="M201" s="10" t="str">
        <f>INDEX(Feiertagsregeln!$Z$7:$Z$198,MATCH($K201,Feiertagsregeln!$A$7:$A$198,0))</f>
        <v>Art. 1 Abs. 1 Bst. c</v>
      </c>
      <c r="N201" s="10" t="s">
        <v>193</v>
      </c>
      <c r="O201" s="10" t="str">
        <f>INDEX(Feiertagsregeln!$AA$7:$AA$198,MATCH($K201,Feiertagsregeln!$A$7:$A$198,0))</f>
        <v>Ganztägig</v>
      </c>
    </row>
    <row r="202" spans="1:15" ht="44" customHeight="1">
      <c r="A202" s="15">
        <f>INDEX(Feiertagsregeln!$X$7:$X$198,MATCH($K202,Feiertagsregeln!$A$7:$A$198,0))</f>
        <v>46513</v>
      </c>
      <c r="B202" s="11" t="str">
        <f t="shared" si="3"/>
        <v>Donnerstag</v>
      </c>
      <c r="C202" s="11" t="s">
        <v>269</v>
      </c>
      <c r="D202" s="11" t="s">
        <v>270</v>
      </c>
      <c r="E202" s="11" t="str">
        <f>INDEX(Feiertagsregeln!$D$7:$D$198,MATCH($K202,Feiertagsregeln!$A$7:$A$198,0))</f>
        <v>Auffahrt</v>
      </c>
      <c r="F202" s="11" t="str">
        <f>INDEX(Feiertagsregeln!$E$7:$E$198,MATCH($K202,Feiertagsregeln!$A$7:$A$198,0))</f>
        <v>Ascension</v>
      </c>
      <c r="G202" s="22" t="str">
        <f>IF(INDEX(Feiertagsregeln!$F$7:$F$198,MATCH($K202,Feiertagsregeln!$A$7:$A$198,0))="","Noch zu erfassen",INDEX(Feiertagsregeln!$F$7:$F$198,MATCH($K202,Feiertagsregeln!$A$7:$A$198,0)))</f>
        <v>Ascensione</v>
      </c>
      <c r="H202" s="22" t="str">
        <f>IF(INDEX(Feiertagsregeln!$G$7:$G$198,MATCH($K202,Feiertagsregeln!$A$7:$A$198,0))="","Noch zu erfassen",INDEX(Feiertagsregeln!$G$7:$G$198,MATCH($K202,Feiertagsregeln!$A$7:$A$198,0)))</f>
        <v>Ascensiun</v>
      </c>
      <c r="I202" s="11" t="str">
        <f>INDEX(Feiertagsregeln!$H$7:$H$198,MATCH($K202,Feiertagsregeln!$A$7:$A$198,0))</f>
        <v>publicHoliday</v>
      </c>
      <c r="J202" s="11" t="s">
        <v>69</v>
      </c>
      <c r="K202" s="11" t="s">
        <v>274</v>
      </c>
      <c r="L202" s="11" t="str">
        <f>INDEX(Feiertagsregeln!$Y$7:$Y$198,MATCH($K202,Feiertagsregeln!$A$7:$A$198,0))</f>
        <v>SRC-GE-LJF-J145-19910101</v>
      </c>
      <c r="M202" s="11" t="str">
        <f>INDEX(Feiertagsregeln!$Z$7:$Z$198,MATCH($K202,Feiertagsregeln!$A$7:$A$198,0))</f>
        <v>Art. 1 Abs. 1 Bst. d</v>
      </c>
      <c r="N202" s="11" t="s">
        <v>193</v>
      </c>
      <c r="O202" s="11" t="str">
        <f>INDEX(Feiertagsregeln!$AA$7:$AA$198,MATCH($K202,Feiertagsregeln!$A$7:$A$198,0))</f>
        <v>Ganztägig</v>
      </c>
    </row>
    <row r="203" spans="1:15" ht="44" customHeight="1">
      <c r="A203" s="14">
        <f>INDEX(Feiertagsregeln!$X$7:$X$198,MATCH($K203,Feiertagsregeln!$A$7:$A$198,0))</f>
        <v>46524</v>
      </c>
      <c r="B203" s="10" t="str">
        <f t="shared" si="3"/>
        <v>Montag</v>
      </c>
      <c r="C203" s="10" t="s">
        <v>269</v>
      </c>
      <c r="D203" s="10" t="s">
        <v>270</v>
      </c>
      <c r="E203" s="10" t="str">
        <f>INDEX(Feiertagsregeln!$D$7:$D$198,MATCH($K203,Feiertagsregeln!$A$7:$A$198,0))</f>
        <v>Pfingstmontag</v>
      </c>
      <c r="F203" s="10" t="str">
        <f>INDEX(Feiertagsregeln!$E$7:$E$198,MATCH($K203,Feiertagsregeln!$A$7:$A$198,0))</f>
        <v>Lundi de Pentecôte</v>
      </c>
      <c r="G203" s="21" t="str">
        <f>IF(INDEX(Feiertagsregeln!$F$7:$F$198,MATCH($K203,Feiertagsregeln!$A$7:$A$198,0))="","Noch zu erfassen",INDEX(Feiertagsregeln!$F$7:$F$198,MATCH($K203,Feiertagsregeln!$A$7:$A$198,0)))</f>
        <v>Lunedì di Pentecoste</v>
      </c>
      <c r="H203" s="21" t="str">
        <f>IF(INDEX(Feiertagsregeln!$G$7:$G$198,MATCH($K203,Feiertagsregeln!$A$7:$A$198,0))="","Noch zu erfassen",INDEX(Feiertagsregeln!$G$7:$G$198,MATCH($K203,Feiertagsregeln!$A$7:$A$198,0)))</f>
        <v>Glindesdi da Tschuncaisma</v>
      </c>
      <c r="I203" s="10" t="str">
        <f>INDEX(Feiertagsregeln!$H$7:$H$198,MATCH($K203,Feiertagsregeln!$A$7:$A$198,0))</f>
        <v>publicHoliday</v>
      </c>
      <c r="J203" s="10" t="s">
        <v>69</v>
      </c>
      <c r="K203" s="10" t="s">
        <v>275</v>
      </c>
      <c r="L203" s="10" t="str">
        <f>INDEX(Feiertagsregeln!$Y$7:$Y$198,MATCH($K203,Feiertagsregeln!$A$7:$A$198,0))</f>
        <v>SRC-GE-LJF-J145-19910101</v>
      </c>
      <c r="M203" s="10" t="str">
        <f>INDEX(Feiertagsregeln!$Z$7:$Z$198,MATCH($K203,Feiertagsregeln!$A$7:$A$198,0))</f>
        <v>Art. 1 Abs. 1 Bst. e</v>
      </c>
      <c r="N203" s="10" t="s">
        <v>193</v>
      </c>
      <c r="O203" s="10" t="str">
        <f>INDEX(Feiertagsregeln!$AA$7:$AA$198,MATCH($K203,Feiertagsregeln!$A$7:$A$198,0))</f>
        <v>Ganztägig</v>
      </c>
    </row>
    <row r="204" spans="1:15" ht="44" customHeight="1">
      <c r="A204" s="15">
        <f>INDEX(Feiertagsregeln!$X$7:$X$198,MATCH($K204,Feiertagsregeln!$A$7:$A$198,0))</f>
        <v>46600</v>
      </c>
      <c r="B204" s="11" t="str">
        <f t="shared" si="3"/>
        <v>Sonntag</v>
      </c>
      <c r="C204" s="11" t="s">
        <v>269</v>
      </c>
      <c r="D204" s="11" t="s">
        <v>270</v>
      </c>
      <c r="E204" s="11" t="str">
        <f>INDEX(Feiertagsregeln!$D$7:$D$198,MATCH($K204,Feiertagsregeln!$A$7:$A$198,0))</f>
        <v>Bundesfeiertag</v>
      </c>
      <c r="F204" s="11" t="str">
        <f>INDEX(Feiertagsregeln!$E$7:$E$198,MATCH($K204,Feiertagsregeln!$A$7:$A$198,0))</f>
        <v>Fête nationale</v>
      </c>
      <c r="G204" s="22" t="str">
        <f>IF(INDEX(Feiertagsregeln!$F$7:$F$198,MATCH($K204,Feiertagsregeln!$A$7:$A$198,0))="","Noch zu erfassen",INDEX(Feiertagsregeln!$F$7:$F$198,MATCH($K204,Feiertagsregeln!$A$7:$A$198,0)))</f>
        <v>Primo agosto</v>
      </c>
      <c r="H204" s="22" t="str">
        <f>IF(INDEX(Feiertagsregeln!$G$7:$G$198,MATCH($K204,Feiertagsregeln!$A$7:$A$198,0))="","Noch zu erfassen",INDEX(Feiertagsregeln!$G$7:$G$198,MATCH($K204,Feiertagsregeln!$A$7:$A$198,0)))</f>
        <v>Festa naziunala svizra</v>
      </c>
      <c r="I204" s="11" t="str">
        <f>INDEX(Feiertagsregeln!$H$7:$H$198,MATCH($K204,Feiertagsregeln!$A$7:$A$198,0))</f>
        <v>publicHoliday</v>
      </c>
      <c r="J204" s="11" t="s">
        <v>69</v>
      </c>
      <c r="K204" s="11" t="s">
        <v>276</v>
      </c>
      <c r="L204" s="11" t="str">
        <f>INDEX(Feiertagsregeln!$Y$7:$Y$198,MATCH($K204,Feiertagsregeln!$A$7:$A$198,0))</f>
        <v>SRC-GE-LJF-J145-19910101</v>
      </c>
      <c r="M204" s="11" t="str">
        <f>INDEX(Feiertagsregeln!$Z$7:$Z$198,MATCH($K204,Feiertagsregeln!$A$7:$A$198,0))</f>
        <v>Art. 1 Abs. 1 Bst. f</v>
      </c>
      <c r="N204" s="11" t="s">
        <v>193</v>
      </c>
      <c r="O204" s="11" t="str">
        <f>INDEX(Feiertagsregeln!$AA$7:$AA$198,MATCH($K204,Feiertagsregeln!$A$7:$A$198,0))</f>
        <v>Ganztägig</v>
      </c>
    </row>
    <row r="205" spans="1:15" ht="44" customHeight="1">
      <c r="A205" s="14">
        <f>INDEX(Feiertagsregeln!$X$7:$X$198,MATCH($K205,Feiertagsregeln!$A$7:$A$198,0))</f>
        <v>46639</v>
      </c>
      <c r="B205" s="10" t="str">
        <f t="shared" si="3"/>
        <v>Donnerstag</v>
      </c>
      <c r="C205" s="10" t="s">
        <v>269</v>
      </c>
      <c r="D205" s="10" t="s">
        <v>270</v>
      </c>
      <c r="E205" s="10" t="str">
        <f>INDEX(Feiertagsregeln!$D$7:$D$198,MATCH($K205,Feiertagsregeln!$A$7:$A$198,0))</f>
        <v>Genfer Bettag</v>
      </c>
      <c r="F205" s="10" t="str">
        <f>INDEX(Feiertagsregeln!$E$7:$E$198,MATCH($K205,Feiertagsregeln!$A$7:$A$198,0))</f>
        <v>Jeûne genevois</v>
      </c>
      <c r="G205" s="21" t="str">
        <f>IF(INDEX(Feiertagsregeln!$F$7:$F$198,MATCH($K205,Feiertagsregeln!$A$7:$A$198,0))="","Noch zu erfassen",INDEX(Feiertagsregeln!$F$7:$F$198,MATCH($K205,Feiertagsregeln!$A$7:$A$198,0)))</f>
        <v>Noch zu erfassen</v>
      </c>
      <c r="H205" s="21" t="str">
        <f>IF(INDEX(Feiertagsregeln!$G$7:$G$198,MATCH($K205,Feiertagsregeln!$A$7:$A$198,0))="","Noch zu erfassen",INDEX(Feiertagsregeln!$G$7:$G$198,MATCH($K205,Feiertagsregeln!$A$7:$A$198,0)))</f>
        <v>Noch zu erfassen</v>
      </c>
      <c r="I205" s="10" t="str">
        <f>INDEX(Feiertagsregeln!$H$7:$H$198,MATCH($K205,Feiertagsregeln!$A$7:$A$198,0))</f>
        <v>publicHoliday</v>
      </c>
      <c r="J205" s="10" t="s">
        <v>69</v>
      </c>
      <c r="K205" s="10" t="s">
        <v>277</v>
      </c>
      <c r="L205" s="10" t="str">
        <f>INDEX(Feiertagsregeln!$Y$7:$Y$198,MATCH($K205,Feiertagsregeln!$A$7:$A$198,0))</f>
        <v>SRC-GE-LJF-J145-19910101</v>
      </c>
      <c r="M205" s="10" t="str">
        <f>INDEX(Feiertagsregeln!$Z$7:$Z$198,MATCH($K205,Feiertagsregeln!$A$7:$A$198,0))</f>
        <v>Art. 1 Abs. 1 Bst. g und Fussnote a</v>
      </c>
      <c r="N205" s="10" t="s">
        <v>193</v>
      </c>
      <c r="O205" s="10" t="str">
        <f>INDEX(Feiertagsregeln!$AA$7:$AA$198,MATCH($K205,Feiertagsregeln!$A$7:$A$198,0))</f>
        <v>Ganztägig</v>
      </c>
    </row>
    <row r="206" spans="1:15" ht="44" customHeight="1">
      <c r="A206" s="15">
        <f>INDEX(Feiertagsregeln!$X$7:$X$198,MATCH($K206,Feiertagsregeln!$A$7:$A$198,0))</f>
        <v>46746</v>
      </c>
      <c r="B206" s="11" t="str">
        <f t="shared" si="3"/>
        <v>Samstag</v>
      </c>
      <c r="C206" s="11" t="s">
        <v>269</v>
      </c>
      <c r="D206" s="11" t="s">
        <v>270</v>
      </c>
      <c r="E206" s="11" t="str">
        <f>INDEX(Feiertagsregeln!$D$7:$D$198,MATCH($K206,Feiertagsregeln!$A$7:$A$198,0))</f>
        <v>Weihnachten</v>
      </c>
      <c r="F206" s="11" t="str">
        <f>INDEX(Feiertagsregeln!$E$7:$E$198,MATCH($K206,Feiertagsregeln!$A$7:$A$198,0))</f>
        <v>Noël</v>
      </c>
      <c r="G206" s="22" t="str">
        <f>IF(INDEX(Feiertagsregeln!$F$7:$F$198,MATCH($K206,Feiertagsregeln!$A$7:$A$198,0))="","Noch zu erfassen",INDEX(Feiertagsregeln!$F$7:$F$198,MATCH($K206,Feiertagsregeln!$A$7:$A$198,0)))</f>
        <v>Natale</v>
      </c>
      <c r="H206" s="22" t="str">
        <f>IF(INDEX(Feiertagsregeln!$G$7:$G$198,MATCH($K206,Feiertagsregeln!$A$7:$A$198,0))="","Noch zu erfassen",INDEX(Feiertagsregeln!$G$7:$G$198,MATCH($K206,Feiertagsregeln!$A$7:$A$198,0)))</f>
        <v>Di da Nadal</v>
      </c>
      <c r="I206" s="11" t="str">
        <f>INDEX(Feiertagsregeln!$H$7:$H$198,MATCH($K206,Feiertagsregeln!$A$7:$A$198,0))</f>
        <v>publicHoliday</v>
      </c>
      <c r="J206" s="11" t="s">
        <v>69</v>
      </c>
      <c r="K206" s="11" t="s">
        <v>278</v>
      </c>
      <c r="L206" s="11" t="str">
        <f>INDEX(Feiertagsregeln!$Y$7:$Y$198,MATCH($K206,Feiertagsregeln!$A$7:$A$198,0))</f>
        <v>SRC-GE-LJF-J145-19910101</v>
      </c>
      <c r="M206" s="11" t="str">
        <f>INDEX(Feiertagsregeln!$Z$7:$Z$198,MATCH($K206,Feiertagsregeln!$A$7:$A$198,0))</f>
        <v>Art. 1 Abs. 1 Bst. h</v>
      </c>
      <c r="N206" s="11" t="s">
        <v>193</v>
      </c>
      <c r="O206" s="11" t="str">
        <f>INDEX(Feiertagsregeln!$AA$7:$AA$198,MATCH($K206,Feiertagsregeln!$A$7:$A$198,0))</f>
        <v>Ganztägig</v>
      </c>
    </row>
    <row r="207" spans="1:15" ht="44" customHeight="1">
      <c r="A207" s="14">
        <f>INDEX(Feiertagsregeln!$X$7:$X$198,MATCH($K207,Feiertagsregeln!$A$7:$A$198,0))</f>
        <v>46752</v>
      </c>
      <c r="B207" s="10" t="str">
        <f t="shared" si="3"/>
        <v>Freitag</v>
      </c>
      <c r="C207" s="10" t="s">
        <v>269</v>
      </c>
      <c r="D207" s="10" t="s">
        <v>270</v>
      </c>
      <c r="E207" s="10" t="str">
        <f>INDEX(Feiertagsregeln!$D$7:$D$198,MATCH($K207,Feiertagsregeln!$A$7:$A$198,0))</f>
        <v>Wiederherstellung der Republik</v>
      </c>
      <c r="F207" s="10" t="str">
        <f>INDEX(Feiertagsregeln!$E$7:$E$198,MATCH($K207,Feiertagsregeln!$A$7:$A$198,0))</f>
        <v>Restauration de la République</v>
      </c>
      <c r="G207" s="21" t="str">
        <f>IF(INDEX(Feiertagsregeln!$F$7:$F$198,MATCH($K207,Feiertagsregeln!$A$7:$A$198,0))="","Noch zu erfassen",INDEX(Feiertagsregeln!$F$7:$F$198,MATCH($K207,Feiertagsregeln!$A$7:$A$198,0)))</f>
        <v>Noch zu erfassen</v>
      </c>
      <c r="H207" s="21" t="str">
        <f>IF(INDEX(Feiertagsregeln!$G$7:$G$198,MATCH($K207,Feiertagsregeln!$A$7:$A$198,0))="","Noch zu erfassen",INDEX(Feiertagsregeln!$G$7:$G$198,MATCH($K207,Feiertagsregeln!$A$7:$A$198,0)))</f>
        <v>Noch zu erfassen</v>
      </c>
      <c r="I207" s="10" t="str">
        <f>INDEX(Feiertagsregeln!$H$7:$H$198,MATCH($K207,Feiertagsregeln!$A$7:$A$198,0))</f>
        <v>publicHoliday</v>
      </c>
      <c r="J207" s="10" t="s">
        <v>69</v>
      </c>
      <c r="K207" s="10" t="s">
        <v>279</v>
      </c>
      <c r="L207" s="10" t="str">
        <f>INDEX(Feiertagsregeln!$Y$7:$Y$198,MATCH($K207,Feiertagsregeln!$A$7:$A$198,0))</f>
        <v>SRC-GE-LJF-J145-19910101</v>
      </c>
      <c r="M207" s="10" t="str">
        <f>INDEX(Feiertagsregeln!$Z$7:$Z$198,MATCH($K207,Feiertagsregeln!$A$7:$A$198,0))</f>
        <v>Art. 1 Abs. 1 Bst. i</v>
      </c>
      <c r="N207" s="10" t="s">
        <v>193</v>
      </c>
      <c r="O207" s="10" t="str">
        <f>INDEX(Feiertagsregeln!$AA$7:$AA$198,MATCH($K207,Feiertagsregeln!$A$7:$A$198,0))</f>
        <v>Ganztägig</v>
      </c>
    </row>
  </sheetData>
  <sheetProtection sheet="1" objects="1" scenarios="1" sort="0" autoFilter="0"/>
  <conditionalFormatting sqref="J7:J207">
    <cfRule type="containsText" dxfId="25" priority="1" operator="containsText" text="open"/>
    <cfRule type="containsText" dxfId="24" priority="2" operator="containsText" text="blocked"/>
  </conditionalFormatting>
  <dataValidations count="1">
    <dataValidation type="list" sqref="J7:J207" xr:uid="{00000000-0002-0000-0100-000000000000}">
      <formula1>"approved,open,blocked"</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3"/>
  <sheetViews>
    <sheetView showGridLines="0" workbookViewId="0">
      <pane xSplit="1" ySplit="6" topLeftCell="B7" activePane="bottomRight" state="frozen"/>
      <selection pane="topRight"/>
      <selection pane="bottomLeft"/>
      <selection pane="bottomRight" activeCell="B7" sqref="B7"/>
    </sheetView>
  </sheetViews>
  <sheetFormatPr baseColWidth="10" defaultColWidth="8.83203125" defaultRowHeight="14"/>
  <cols>
    <col min="1" max="1" width="15" customWidth="1"/>
    <col min="2" max="2" width="28" customWidth="1"/>
    <col min="3" max="3" width="31" customWidth="1"/>
    <col min="4" max="5" width="32" customWidth="1"/>
    <col min="6" max="6" width="15" customWidth="1"/>
    <col min="7" max="7" width="30" customWidth="1"/>
    <col min="8" max="8" width="16" customWidth="1"/>
    <col min="9" max="9" width="64" customWidth="1"/>
  </cols>
  <sheetData>
    <row r="1" spans="1:9" ht="24" customHeight="1">
      <c r="A1" s="2"/>
      <c r="B1" s="2"/>
      <c r="C1" s="2"/>
      <c r="F1" s="2"/>
      <c r="G1" s="2"/>
      <c r="H1" s="2"/>
      <c r="I1" s="2"/>
    </row>
    <row r="2" spans="1:9" ht="24" customHeight="1">
      <c r="A2" s="3" t="s">
        <v>280</v>
      </c>
      <c r="B2" s="2"/>
      <c r="C2" s="2"/>
      <c r="F2" s="2"/>
      <c r="G2" s="2"/>
      <c r="H2" s="2"/>
      <c r="I2" s="2"/>
    </row>
    <row r="3" spans="1:9" ht="24" customHeight="1">
      <c r="A3" s="4"/>
      <c r="B3" s="4"/>
      <c r="C3" s="4"/>
      <c r="F3" s="4"/>
      <c r="G3" s="4"/>
      <c r="H3" s="4"/>
      <c r="I3" s="4"/>
    </row>
    <row r="4" spans="1:9" ht="24" customHeight="1">
      <c r="A4" s="8" t="s">
        <v>281</v>
      </c>
      <c r="B4" s="2"/>
      <c r="C4" s="2"/>
      <c r="F4" s="2"/>
      <c r="G4" s="2"/>
      <c r="H4" s="2"/>
      <c r="I4" s="2"/>
    </row>
    <row r="5" spans="1:9" ht="24" customHeight="1">
      <c r="A5" s="2"/>
      <c r="B5" s="2"/>
      <c r="C5" s="2"/>
      <c r="F5" s="2"/>
      <c r="G5" s="2"/>
      <c r="H5" s="2"/>
      <c r="I5" s="2"/>
    </row>
    <row r="6" spans="1:9" ht="42" customHeight="1">
      <c r="A6" s="9" t="s">
        <v>282</v>
      </c>
      <c r="B6" s="9" t="s">
        <v>283</v>
      </c>
      <c r="C6" s="9" t="s">
        <v>39</v>
      </c>
      <c r="D6" s="20" t="s">
        <v>40</v>
      </c>
      <c r="E6" s="20" t="s">
        <v>41</v>
      </c>
      <c r="F6" s="9" t="s">
        <v>284</v>
      </c>
      <c r="G6" s="9" t="s">
        <v>285</v>
      </c>
      <c r="H6" s="9" t="s">
        <v>43</v>
      </c>
      <c r="I6" s="9" t="s">
        <v>286</v>
      </c>
    </row>
    <row r="7" spans="1:9" ht="38" customHeight="1">
      <c r="A7" s="10" t="s">
        <v>49</v>
      </c>
      <c r="B7" s="24" t="s">
        <v>287</v>
      </c>
      <c r="C7" s="24" t="s">
        <v>288</v>
      </c>
      <c r="D7" s="25"/>
      <c r="E7" s="25"/>
      <c r="F7" s="24"/>
      <c r="G7" s="24" t="s">
        <v>289</v>
      </c>
      <c r="H7" s="24" t="s">
        <v>290</v>
      </c>
      <c r="I7" s="24" t="s">
        <v>291</v>
      </c>
    </row>
    <row r="8" spans="1:9" ht="38" customHeight="1">
      <c r="A8" s="11" t="s">
        <v>292</v>
      </c>
      <c r="B8" s="26" t="s">
        <v>293</v>
      </c>
      <c r="C8" s="26" t="s">
        <v>294</v>
      </c>
      <c r="D8" s="27"/>
      <c r="E8" s="27"/>
      <c r="F8" s="26" t="s">
        <v>49</v>
      </c>
      <c r="G8" s="26" t="s">
        <v>295</v>
      </c>
      <c r="H8" s="26" t="s">
        <v>69</v>
      </c>
      <c r="I8" s="26" t="s">
        <v>296</v>
      </c>
    </row>
    <row r="9" spans="1:9" ht="38" customHeight="1">
      <c r="A9" s="10" t="s">
        <v>53</v>
      </c>
      <c r="B9" s="24" t="s">
        <v>297</v>
      </c>
      <c r="C9" s="24" t="s">
        <v>298</v>
      </c>
      <c r="D9" s="25"/>
      <c r="E9" s="25"/>
      <c r="F9" s="24" t="s">
        <v>49</v>
      </c>
      <c r="G9" s="24" t="s">
        <v>289</v>
      </c>
      <c r="H9" s="24" t="s">
        <v>290</v>
      </c>
      <c r="I9" s="24" t="s">
        <v>299</v>
      </c>
    </row>
    <row r="10" spans="1:9" ht="38" customHeight="1">
      <c r="A10" s="11" t="s">
        <v>300</v>
      </c>
      <c r="B10" s="26" t="s">
        <v>301</v>
      </c>
      <c r="C10" s="26" t="s">
        <v>302</v>
      </c>
      <c r="D10" s="27"/>
      <c r="E10" s="27"/>
      <c r="F10" s="26" t="s">
        <v>49</v>
      </c>
      <c r="G10" s="26" t="s">
        <v>295</v>
      </c>
      <c r="H10" s="26" t="s">
        <v>69</v>
      </c>
      <c r="I10" s="26" t="s">
        <v>296</v>
      </c>
    </row>
    <row r="11" spans="1:9" ht="38" customHeight="1">
      <c r="A11" s="10" t="s">
        <v>303</v>
      </c>
      <c r="B11" s="24" t="s">
        <v>304</v>
      </c>
      <c r="C11" s="24" t="s">
        <v>304</v>
      </c>
      <c r="D11" s="25"/>
      <c r="E11" s="25"/>
      <c r="F11" s="24" t="s">
        <v>49</v>
      </c>
      <c r="G11" s="24" t="s">
        <v>295</v>
      </c>
      <c r="H11" s="24" t="s">
        <v>69</v>
      </c>
      <c r="I11" s="24" t="s">
        <v>296</v>
      </c>
    </row>
    <row r="12" spans="1:9" ht="38" customHeight="1">
      <c r="A12" s="11" t="s">
        <v>305</v>
      </c>
      <c r="B12" s="26" t="s">
        <v>306</v>
      </c>
      <c r="C12" s="26" t="s">
        <v>307</v>
      </c>
      <c r="D12" s="27"/>
      <c r="E12" s="27"/>
      <c r="F12" s="26" t="s">
        <v>49</v>
      </c>
      <c r="G12" s="26" t="s">
        <v>295</v>
      </c>
      <c r="H12" s="26" t="s">
        <v>69</v>
      </c>
      <c r="I12" s="26" t="s">
        <v>296</v>
      </c>
    </row>
    <row r="13" spans="1:9" ht="38" customHeight="1">
      <c r="A13" s="10" t="s">
        <v>308</v>
      </c>
      <c r="B13" s="24" t="s">
        <v>309</v>
      </c>
      <c r="C13" s="24" t="s">
        <v>310</v>
      </c>
      <c r="D13" s="25"/>
      <c r="E13" s="25"/>
      <c r="F13" s="24" t="s">
        <v>49</v>
      </c>
      <c r="G13" s="24" t="s">
        <v>295</v>
      </c>
      <c r="H13" s="24" t="s">
        <v>69</v>
      </c>
      <c r="I13" s="24" t="s">
        <v>296</v>
      </c>
    </row>
    <row r="14" spans="1:9" ht="38" customHeight="1">
      <c r="A14" s="11" t="s">
        <v>311</v>
      </c>
      <c r="B14" s="26" t="s">
        <v>312</v>
      </c>
      <c r="C14" s="26" t="s">
        <v>313</v>
      </c>
      <c r="D14" s="27"/>
      <c r="E14" s="27"/>
      <c r="F14" s="26" t="s">
        <v>49</v>
      </c>
      <c r="G14" s="26" t="s">
        <v>295</v>
      </c>
      <c r="H14" s="26" t="s">
        <v>69</v>
      </c>
      <c r="I14" s="26" t="s">
        <v>296</v>
      </c>
    </row>
    <row r="15" spans="1:9" ht="38" customHeight="1">
      <c r="A15" s="10" t="s">
        <v>314</v>
      </c>
      <c r="B15" s="24" t="s">
        <v>315</v>
      </c>
      <c r="C15" s="24" t="s">
        <v>316</v>
      </c>
      <c r="D15" s="25"/>
      <c r="E15" s="25"/>
      <c r="F15" s="24" t="s">
        <v>49</v>
      </c>
      <c r="G15" s="24" t="s">
        <v>295</v>
      </c>
      <c r="H15" s="24" t="s">
        <v>69</v>
      </c>
      <c r="I15" s="24" t="s">
        <v>296</v>
      </c>
    </row>
    <row r="16" spans="1:9" ht="38" customHeight="1">
      <c r="A16" s="11" t="s">
        <v>317</v>
      </c>
      <c r="B16" s="26" t="s">
        <v>318</v>
      </c>
      <c r="C16" s="26" t="s">
        <v>319</v>
      </c>
      <c r="D16" s="27"/>
      <c r="E16" s="27"/>
      <c r="F16" s="26" t="s">
        <v>49</v>
      </c>
      <c r="G16" s="26" t="s">
        <v>295</v>
      </c>
      <c r="H16" s="26" t="s">
        <v>69</v>
      </c>
      <c r="I16" s="26" t="s">
        <v>296</v>
      </c>
    </row>
    <row r="17" spans="1:9" ht="38" customHeight="1">
      <c r="A17" s="10" t="s">
        <v>207</v>
      </c>
      <c r="B17" s="24" t="s">
        <v>320</v>
      </c>
      <c r="C17" s="24" t="s">
        <v>321</v>
      </c>
      <c r="D17" s="25" t="s">
        <v>322</v>
      </c>
      <c r="E17" s="25" t="s">
        <v>323</v>
      </c>
      <c r="F17" s="24" t="s">
        <v>49</v>
      </c>
      <c r="G17" s="24" t="s">
        <v>324</v>
      </c>
      <c r="H17" s="24" t="s">
        <v>69</v>
      </c>
      <c r="I17" s="24" t="s">
        <v>325</v>
      </c>
    </row>
    <row r="18" spans="1:9" ht="38" customHeight="1">
      <c r="A18" s="11" t="s">
        <v>244</v>
      </c>
      <c r="B18" s="26" t="s">
        <v>326</v>
      </c>
      <c r="C18" s="26" t="s">
        <v>327</v>
      </c>
      <c r="D18" s="27" t="s">
        <v>328</v>
      </c>
      <c r="E18" s="27" t="s">
        <v>329</v>
      </c>
      <c r="F18" s="26" t="s">
        <v>49</v>
      </c>
      <c r="G18" s="26" t="s">
        <v>324</v>
      </c>
      <c r="H18" s="26" t="s">
        <v>69</v>
      </c>
      <c r="I18" s="26" t="s">
        <v>330</v>
      </c>
    </row>
    <row r="19" spans="1:9" ht="38" customHeight="1">
      <c r="A19" s="10" t="s">
        <v>331</v>
      </c>
      <c r="B19" s="24" t="s">
        <v>332</v>
      </c>
      <c r="C19" s="24" t="s">
        <v>333</v>
      </c>
      <c r="D19" s="25"/>
      <c r="E19" s="25"/>
      <c r="F19" s="24" t="s">
        <v>49</v>
      </c>
      <c r="G19" s="24" t="s">
        <v>295</v>
      </c>
      <c r="H19" s="24" t="s">
        <v>69</v>
      </c>
      <c r="I19" s="24" t="s">
        <v>296</v>
      </c>
    </row>
    <row r="20" spans="1:9" ht="38" customHeight="1">
      <c r="A20" s="11" t="s">
        <v>334</v>
      </c>
      <c r="B20" s="26" t="s">
        <v>335</v>
      </c>
      <c r="C20" s="26" t="s">
        <v>336</v>
      </c>
      <c r="D20" s="27"/>
      <c r="E20" s="27"/>
      <c r="F20" s="26" t="s">
        <v>49</v>
      </c>
      <c r="G20" s="26" t="s">
        <v>295</v>
      </c>
      <c r="H20" s="26" t="s">
        <v>69</v>
      </c>
      <c r="I20" s="26" t="s">
        <v>296</v>
      </c>
    </row>
    <row r="21" spans="1:9" ht="38" customHeight="1">
      <c r="A21" s="10" t="s">
        <v>337</v>
      </c>
      <c r="B21" s="24" t="s">
        <v>338</v>
      </c>
      <c r="C21" s="24" t="s">
        <v>339</v>
      </c>
      <c r="D21" s="25"/>
      <c r="E21" s="25"/>
      <c r="F21" s="24" t="s">
        <v>49</v>
      </c>
      <c r="G21" s="24" t="s">
        <v>295</v>
      </c>
      <c r="H21" s="24" t="s">
        <v>69</v>
      </c>
      <c r="I21" s="24" t="s">
        <v>296</v>
      </c>
    </row>
    <row r="22" spans="1:9" ht="38" customHeight="1">
      <c r="A22" s="11" t="s">
        <v>340</v>
      </c>
      <c r="B22" s="26" t="s">
        <v>341</v>
      </c>
      <c r="C22" s="26" t="s">
        <v>342</v>
      </c>
      <c r="D22" s="27"/>
      <c r="E22" s="27"/>
      <c r="F22" s="26" t="s">
        <v>49</v>
      </c>
      <c r="G22" s="26" t="s">
        <v>295</v>
      </c>
      <c r="H22" s="26" t="s">
        <v>69</v>
      </c>
      <c r="I22" s="26" t="s">
        <v>296</v>
      </c>
    </row>
    <row r="23" spans="1:9" ht="38" customHeight="1">
      <c r="A23" s="10" t="s">
        <v>343</v>
      </c>
      <c r="B23" s="24" t="s">
        <v>344</v>
      </c>
      <c r="C23" s="24" t="s">
        <v>345</v>
      </c>
      <c r="D23" s="25"/>
      <c r="E23" s="25"/>
      <c r="F23" s="24" t="s">
        <v>49</v>
      </c>
      <c r="G23" s="24" t="s">
        <v>295</v>
      </c>
      <c r="H23" s="24" t="s">
        <v>69</v>
      </c>
      <c r="I23" s="24" t="s">
        <v>296</v>
      </c>
    </row>
    <row r="24" spans="1:9" ht="38" customHeight="1">
      <c r="A24" s="11" t="s">
        <v>346</v>
      </c>
      <c r="B24" s="26" t="s">
        <v>347</v>
      </c>
      <c r="C24" s="26" t="s">
        <v>348</v>
      </c>
      <c r="D24" s="27"/>
      <c r="E24" s="27"/>
      <c r="F24" s="26" t="s">
        <v>49</v>
      </c>
      <c r="G24" s="26" t="s">
        <v>295</v>
      </c>
      <c r="H24" s="26" t="s">
        <v>69</v>
      </c>
      <c r="I24" s="26" t="s">
        <v>296</v>
      </c>
    </row>
    <row r="25" spans="1:9" ht="38" customHeight="1">
      <c r="A25" s="10" t="s">
        <v>176</v>
      </c>
      <c r="B25" s="24" t="s">
        <v>349</v>
      </c>
      <c r="C25" s="24" t="s">
        <v>350</v>
      </c>
      <c r="D25" s="25" t="s">
        <v>351</v>
      </c>
      <c r="E25" s="25" t="s">
        <v>352</v>
      </c>
      <c r="F25" s="24" t="s">
        <v>49</v>
      </c>
      <c r="G25" s="24" t="s">
        <v>353</v>
      </c>
      <c r="H25" s="24" t="s">
        <v>69</v>
      </c>
      <c r="I25" s="24" t="s">
        <v>354</v>
      </c>
    </row>
    <row r="26" spans="1:9" ht="38" customHeight="1">
      <c r="A26" s="11" t="s">
        <v>67</v>
      </c>
      <c r="B26" s="26" t="s">
        <v>355</v>
      </c>
      <c r="C26" s="26" t="s">
        <v>356</v>
      </c>
      <c r="D26" s="27"/>
      <c r="E26" s="27"/>
      <c r="F26" s="26" t="s">
        <v>49</v>
      </c>
      <c r="G26" s="26" t="s">
        <v>357</v>
      </c>
      <c r="H26" s="26" t="s">
        <v>69</v>
      </c>
      <c r="I26" s="26" t="s">
        <v>358</v>
      </c>
    </row>
    <row r="27" spans="1:9" ht="38" customHeight="1">
      <c r="A27" s="10" t="s">
        <v>359</v>
      </c>
      <c r="B27" s="24" t="s">
        <v>360</v>
      </c>
      <c r="C27" s="24" t="s">
        <v>361</v>
      </c>
      <c r="D27" s="25"/>
      <c r="E27" s="25"/>
      <c r="F27" s="24" t="s">
        <v>49</v>
      </c>
      <c r="G27" s="24" t="s">
        <v>295</v>
      </c>
      <c r="H27" s="24" t="s">
        <v>69</v>
      </c>
      <c r="I27" s="24" t="s">
        <v>296</v>
      </c>
    </row>
    <row r="28" spans="1:9" ht="38" customHeight="1">
      <c r="A28" s="11" t="s">
        <v>157</v>
      </c>
      <c r="B28" s="26" t="s">
        <v>362</v>
      </c>
      <c r="C28" s="26" t="s">
        <v>362</v>
      </c>
      <c r="D28" s="27" t="s">
        <v>363</v>
      </c>
      <c r="E28" s="27" t="s">
        <v>362</v>
      </c>
      <c r="F28" s="26" t="s">
        <v>49</v>
      </c>
      <c r="G28" s="26" t="s">
        <v>353</v>
      </c>
      <c r="H28" s="26" t="s">
        <v>69</v>
      </c>
      <c r="I28" s="26" t="s">
        <v>364</v>
      </c>
    </row>
    <row r="29" spans="1:9" ht="38" customHeight="1">
      <c r="A29" s="10" t="s">
        <v>365</v>
      </c>
      <c r="B29" s="24" t="s">
        <v>366</v>
      </c>
      <c r="C29" s="24" t="s">
        <v>367</v>
      </c>
      <c r="D29" s="25"/>
      <c r="E29" s="25"/>
      <c r="F29" s="24" t="s">
        <v>49</v>
      </c>
      <c r="G29" s="24" t="s">
        <v>295</v>
      </c>
      <c r="H29" s="24" t="s">
        <v>69</v>
      </c>
      <c r="I29" s="24" t="s">
        <v>296</v>
      </c>
    </row>
    <row r="30" spans="1:9" ht="38" customHeight="1">
      <c r="A30" s="11" t="s">
        <v>190</v>
      </c>
      <c r="B30" s="26" t="s">
        <v>368</v>
      </c>
      <c r="C30" s="26" t="s">
        <v>369</v>
      </c>
      <c r="D30" s="27" t="s">
        <v>370</v>
      </c>
      <c r="E30" s="27" t="s">
        <v>371</v>
      </c>
      <c r="F30" s="26" t="s">
        <v>49</v>
      </c>
      <c r="G30" s="26" t="s">
        <v>324</v>
      </c>
      <c r="H30" s="26" t="s">
        <v>69</v>
      </c>
      <c r="I30" s="26" t="s">
        <v>372</v>
      </c>
    </row>
    <row r="31" spans="1:9" ht="38" customHeight="1">
      <c r="A31" s="10" t="s">
        <v>373</v>
      </c>
      <c r="B31" s="24" t="s">
        <v>374</v>
      </c>
      <c r="C31" s="24" t="s">
        <v>375</v>
      </c>
      <c r="D31" s="25"/>
      <c r="E31" s="25"/>
      <c r="F31" s="24" t="s">
        <v>49</v>
      </c>
      <c r="G31" s="24" t="s">
        <v>295</v>
      </c>
      <c r="H31" s="24" t="s">
        <v>69</v>
      </c>
      <c r="I31" s="24" t="s">
        <v>296</v>
      </c>
    </row>
    <row r="32" spans="1:9" ht="38" customHeight="1">
      <c r="A32" s="11" t="s">
        <v>269</v>
      </c>
      <c r="B32" s="26" t="s">
        <v>376</v>
      </c>
      <c r="C32" s="26" t="s">
        <v>377</v>
      </c>
      <c r="D32" s="27" t="s">
        <v>378</v>
      </c>
      <c r="E32" s="27" t="s">
        <v>379</v>
      </c>
      <c r="F32" s="26" t="s">
        <v>49</v>
      </c>
      <c r="G32" s="26" t="s">
        <v>324</v>
      </c>
      <c r="H32" s="26" t="s">
        <v>69</v>
      </c>
      <c r="I32" s="26" t="s">
        <v>380</v>
      </c>
    </row>
    <row r="33" spans="1:9" ht="38" customHeight="1">
      <c r="A33" s="10" t="s">
        <v>381</v>
      </c>
      <c r="B33" s="24" t="s">
        <v>382</v>
      </c>
      <c r="C33" s="24" t="s">
        <v>382</v>
      </c>
      <c r="D33" s="25"/>
      <c r="E33" s="25"/>
      <c r="F33" s="24" t="s">
        <v>49</v>
      </c>
      <c r="G33" s="24" t="s">
        <v>295</v>
      </c>
      <c r="H33" s="24" t="s">
        <v>69</v>
      </c>
      <c r="I33" s="24" t="s">
        <v>296</v>
      </c>
    </row>
  </sheetData>
  <sheetProtection sheet="1" objects="1" scenarios="1" sort="0" autoFilter="0"/>
  <conditionalFormatting sqref="D7:D33">
    <cfRule type="containsBlanks" dxfId="23" priority="3"/>
  </conditionalFormatting>
  <conditionalFormatting sqref="E7:E33">
    <cfRule type="containsBlanks" dxfId="22" priority="4"/>
  </conditionalFormatting>
  <conditionalFormatting sqref="H7:H33">
    <cfRule type="containsText" dxfId="21" priority="1" operator="containsText" text="open"/>
    <cfRule type="containsText" dxfId="20" priority="2" operator="containsText" text="blocked"/>
  </conditionalFormatting>
  <dataValidations count="1">
    <dataValidation type="list" sqref="H7:H33" xr:uid="{00000000-0002-0000-0200-000000000000}">
      <formula1>"approved,open,blocked"</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198"/>
  <sheetViews>
    <sheetView showGridLines="0" zoomScale="120" zoomScaleNormal="120" workbookViewId="0">
      <pane xSplit="1" ySplit="6" topLeftCell="B7" activePane="bottomRight" state="frozen"/>
      <selection pane="topRight"/>
      <selection pane="bottomLeft"/>
      <selection pane="bottomRight" activeCell="A196" sqref="A196"/>
    </sheetView>
  </sheetViews>
  <sheetFormatPr baseColWidth="10" defaultColWidth="8.83203125" defaultRowHeight="14"/>
  <cols>
    <col min="1" max="1" width="42" customWidth="1"/>
    <col min="2" max="2" width="16" customWidth="1"/>
    <col min="3" max="3" width="31" customWidth="1"/>
    <col min="4" max="4" width="35" customWidth="1"/>
    <col min="5" max="7" width="32" customWidth="1"/>
    <col min="8" max="9" width="27" customWidth="1"/>
    <col min="10" max="11" width="10" customWidth="1"/>
    <col min="12" max="12" width="13" customWidth="1"/>
    <col min="13" max="13" width="14" customWidth="1"/>
    <col min="14" max="14" width="13" customWidth="1"/>
    <col min="15" max="16" width="16" customWidth="1"/>
    <col min="17" max="17" width="12" customWidth="1"/>
    <col min="18" max="18" width="15" customWidth="1"/>
    <col min="19" max="19" width="41" customWidth="1"/>
    <col min="20" max="20" width="13" customWidth="1"/>
    <col min="21" max="22" width="24" customWidth="1"/>
    <col min="23" max="23" width="17" customWidth="1"/>
    <col min="24" max="24" width="24" customWidth="1"/>
    <col min="25" max="25" width="42" customWidth="1"/>
    <col min="26" max="26" width="32" customWidth="1"/>
    <col min="27" max="27" width="22" customWidth="1"/>
    <col min="28" max="28" width="3" customWidth="1"/>
    <col min="29" max="29" width="22" customWidth="1"/>
    <col min="30" max="30" width="18" customWidth="1"/>
  </cols>
  <sheetData>
    <row r="1" spans="1:30" ht="24" customHeight="1">
      <c r="A1" s="2"/>
      <c r="B1" s="2"/>
      <c r="C1" s="2"/>
      <c r="D1" s="2"/>
      <c r="E1" s="2"/>
      <c r="H1" s="2"/>
      <c r="I1" s="2"/>
      <c r="J1" s="2"/>
      <c r="K1" s="2"/>
      <c r="L1" s="2"/>
      <c r="M1" s="2"/>
      <c r="N1" s="2"/>
      <c r="O1" s="2"/>
      <c r="P1" s="2"/>
      <c r="Q1" s="2"/>
      <c r="R1" s="2"/>
      <c r="S1" s="2"/>
      <c r="T1" s="2"/>
      <c r="U1" s="2"/>
      <c r="V1" s="2"/>
      <c r="W1" s="2"/>
      <c r="X1" s="2"/>
      <c r="Y1" s="2"/>
      <c r="Z1" s="2"/>
    </row>
    <row r="2" spans="1:30" ht="24" customHeight="1">
      <c r="A2" s="3" t="s">
        <v>383</v>
      </c>
      <c r="B2" s="2"/>
      <c r="C2" s="2"/>
      <c r="D2" s="2"/>
      <c r="E2" s="2"/>
      <c r="H2" s="2"/>
      <c r="I2" s="2"/>
      <c r="J2" s="2"/>
      <c r="K2" s="2"/>
      <c r="L2" s="2"/>
      <c r="M2" s="2"/>
      <c r="N2" s="2"/>
      <c r="O2" s="2"/>
      <c r="P2" s="2"/>
      <c r="Q2" s="2"/>
      <c r="R2" s="2"/>
      <c r="S2" s="2"/>
      <c r="T2" s="2"/>
      <c r="U2" s="2"/>
      <c r="V2" s="2"/>
      <c r="W2" s="2"/>
      <c r="X2" s="2"/>
      <c r="Y2" s="2"/>
      <c r="Z2" s="2"/>
    </row>
    <row r="3" spans="1:30" ht="24" customHeight="1">
      <c r="A3" s="4"/>
      <c r="B3" s="4"/>
      <c r="C3" s="4"/>
      <c r="D3" s="4"/>
      <c r="E3" s="4"/>
      <c r="H3" s="4"/>
      <c r="I3" s="4"/>
      <c r="J3" s="4"/>
      <c r="K3" s="4"/>
      <c r="L3" s="4"/>
      <c r="M3" s="4"/>
      <c r="N3" s="4"/>
      <c r="O3" s="4"/>
      <c r="P3" s="4"/>
      <c r="Q3" s="4"/>
      <c r="R3" s="4"/>
      <c r="S3" s="4"/>
      <c r="T3" s="4"/>
      <c r="U3" s="4"/>
      <c r="V3" s="4"/>
      <c r="W3" s="4"/>
      <c r="X3" s="4"/>
      <c r="Y3" s="4"/>
      <c r="Z3" s="4"/>
    </row>
    <row r="4" spans="1:30" ht="24" customHeight="1">
      <c r="A4" s="8" t="s">
        <v>384</v>
      </c>
      <c r="B4" s="2"/>
      <c r="C4" s="2"/>
      <c r="D4" s="2"/>
      <c r="E4" s="2"/>
      <c r="H4" s="2"/>
      <c r="I4" s="2"/>
      <c r="J4" s="2"/>
      <c r="K4" s="2"/>
      <c r="L4" s="2"/>
      <c r="M4" s="2"/>
      <c r="N4" s="2"/>
      <c r="O4" s="2"/>
      <c r="P4" s="2"/>
      <c r="Q4" s="2"/>
      <c r="R4" s="2"/>
      <c r="S4" s="2"/>
      <c r="T4" s="2"/>
      <c r="U4" s="2"/>
      <c r="V4" s="2"/>
      <c r="W4" s="2"/>
      <c r="X4" s="2"/>
      <c r="Y4" s="2"/>
      <c r="Z4" s="2"/>
    </row>
    <row r="5" spans="1:30" ht="24" customHeight="1">
      <c r="A5" s="2"/>
      <c r="B5" s="2"/>
      <c r="C5" s="2"/>
      <c r="D5" s="2"/>
      <c r="E5" s="2"/>
      <c r="H5" s="2"/>
      <c r="I5" s="2"/>
      <c r="J5" s="2"/>
      <c r="K5" s="2"/>
      <c r="L5" s="2"/>
      <c r="M5" s="2"/>
      <c r="N5" s="2"/>
      <c r="O5" s="2"/>
      <c r="P5" s="2"/>
      <c r="Q5" s="2"/>
      <c r="R5" s="2"/>
      <c r="S5" s="2"/>
      <c r="T5" s="2"/>
      <c r="U5" s="2"/>
      <c r="V5" s="2"/>
      <c r="W5" s="2"/>
      <c r="X5" s="2"/>
      <c r="Y5" s="2"/>
      <c r="Z5" s="2"/>
    </row>
    <row r="6" spans="1:30" ht="42" customHeight="1">
      <c r="A6" s="9" t="s">
        <v>44</v>
      </c>
      <c r="B6" s="9" t="s">
        <v>19</v>
      </c>
      <c r="C6" s="9" t="s">
        <v>385</v>
      </c>
      <c r="D6" s="9" t="s">
        <v>283</v>
      </c>
      <c r="E6" s="9" t="s">
        <v>39</v>
      </c>
      <c r="F6" s="20" t="s">
        <v>40</v>
      </c>
      <c r="G6" s="20" t="s">
        <v>41</v>
      </c>
      <c r="H6" s="9" t="s">
        <v>42</v>
      </c>
      <c r="I6" s="9" t="s">
        <v>386</v>
      </c>
      <c r="J6" s="9" t="s">
        <v>387</v>
      </c>
      <c r="K6" s="9" t="s">
        <v>388</v>
      </c>
      <c r="L6" s="9" t="s">
        <v>389</v>
      </c>
      <c r="M6" s="9" t="s">
        <v>390</v>
      </c>
      <c r="N6" s="9" t="s">
        <v>391</v>
      </c>
      <c r="O6" s="9" t="s">
        <v>392</v>
      </c>
      <c r="P6" s="9" t="s">
        <v>393</v>
      </c>
      <c r="Q6" s="9" t="s">
        <v>394</v>
      </c>
      <c r="R6" s="9" t="s">
        <v>43</v>
      </c>
      <c r="S6" s="9" t="s">
        <v>395</v>
      </c>
      <c r="T6" s="9" t="s">
        <v>396</v>
      </c>
      <c r="U6" s="9" t="s">
        <v>397</v>
      </c>
      <c r="V6" s="9" t="s">
        <v>398</v>
      </c>
      <c r="W6" s="9" t="s">
        <v>399</v>
      </c>
      <c r="X6" s="9" t="s">
        <v>400</v>
      </c>
      <c r="Y6" s="9" t="s">
        <v>45</v>
      </c>
      <c r="Z6" s="9" t="s">
        <v>46</v>
      </c>
      <c r="AA6" s="9" t="s">
        <v>48</v>
      </c>
      <c r="AB6" s="16"/>
      <c r="AC6" s="16" t="s">
        <v>401</v>
      </c>
      <c r="AD6" s="16" t="s">
        <v>402</v>
      </c>
    </row>
    <row r="7" spans="1:30" ht="38" customHeight="1">
      <c r="A7" s="10" t="s">
        <v>51</v>
      </c>
      <c r="B7" s="10" t="s">
        <v>49</v>
      </c>
      <c r="C7" s="10" t="s">
        <v>403</v>
      </c>
      <c r="D7" s="10" t="s">
        <v>404</v>
      </c>
      <c r="E7" s="10" t="s">
        <v>405</v>
      </c>
      <c r="F7" s="25"/>
      <c r="G7" s="25"/>
      <c r="H7" s="10" t="s">
        <v>406</v>
      </c>
      <c r="I7" s="10" t="s">
        <v>407</v>
      </c>
      <c r="J7" s="12">
        <v>8</v>
      </c>
      <c r="K7" s="12">
        <v>1</v>
      </c>
      <c r="L7" s="10"/>
      <c r="M7" s="10"/>
      <c r="N7" s="10"/>
      <c r="O7" s="14">
        <v>34516</v>
      </c>
      <c r="P7" s="14"/>
      <c r="Q7" s="10">
        <v>100</v>
      </c>
      <c r="R7" s="10" t="s">
        <v>290</v>
      </c>
      <c r="S7" s="10" t="s">
        <v>408</v>
      </c>
      <c r="T7" s="10" t="s">
        <v>409</v>
      </c>
      <c r="U7" s="10"/>
      <c r="V7" s="10" t="s">
        <v>410</v>
      </c>
      <c r="W7" s="14">
        <f>IF(AND(ISNUMBER(Übersicht!$B$4),Übersicht!$B$4=INT(Übersicht!$B$4),Übersicht!$B$4&gt;=2026,Übersicht!$B$4&lt;=2028),IF(I7="fixedMonthDay",IF(AND(ISNUMBER(J7),J7=INT(J7),J7&gt;=1,J7&lt;=12,ISNUMBER(K7),K7=INT(K7),K7&gt;=1,K7&lt;=31,MONTH(DATE(Übersicht!$B$4,J7,K7))=J7,DAY(DATE(Übersicht!$B$4,J7,K7))=K7,L7="",M7="",N7=""),DATE(Übersicht!$B$4,J7,K7),NA()),IF(I7="easterOffsetDays",IF(AND(ISNUMBER(L7),L7=INT(L7),L7&gt;=-366,L7&lt;=366,J7="",K7="",M7="",N7=""),$AD$23+L7,NA()),IF(I7="nthWeekdayOfMonth",IF(AND(ISNUMBER(J7),J7=INT(J7),J7&gt;=1,J7&lt;=12,ISNUMBER(M7),M7=INT(M7),M7&gt;=1,M7&lt;=7,ISNUMBER(N7),N7=INT(N7),N7&gt;=1,N7&lt;=5,MONTH(DATE(Übersicht!$B$4,J7,1)+MOD(M7-WEEKDAY(DATE(Übersicht!$B$4,J7,1),2),7)+7*(N7-1))=J7,K7="",L7=""),DATE(Übersicht!$B$4,J7,1)+MOD(M7-WEEKDAY(DATE(Übersicht!$B$4,J7,1),2),7)+7*(N7-1),NA()),IF(I7="nthWeekdayOffsetDays",IF(AND(ISNUMBER(J7),J7=INT(J7),J7&gt;=1,J7&lt;=12,ISNUMBER(M7),M7=INT(M7),M7&gt;=1,M7&lt;=7,ISNUMBER(N7),N7=INT(N7),N7&gt;=1,N7&lt;=5,MONTH(DATE(Übersicht!$B$4,J7,1)+MOD(M7-WEEKDAY(DATE(Übersicht!$B$4,J7,1),2),7)+7*(N7-1))=J7,K7="",ISNUMBER(L7),L7=INT(L7),L7&gt;=-366,L7&lt;=366),DATE(Übersicht!$B$4,J7,1)+MOD(M7-WEEKDAY(DATE(Übersicht!$B$4,J7,1),2),7)+7*(N7-1)+L7,NA()),NA())))),NA())</f>
        <v>46600</v>
      </c>
      <c r="X7" s="14">
        <f t="shared" ref="X7:X38" si="0">IF(AND(ISNUMBER(O7),O7=INT(O7),O7&gt;=-115780,O7&lt;=2958465,OR(P7="",AND(ISNUMBER(P7),P7=INT(P7),P7&gt;=-115780,P7&lt;=2958465,P7&gt;=O7)),OR(AA7="Ganztägig",AA7="Ab 12.00 Uhr")),IF(AND(W7&gt;=O7,OR(P7="",W7&lt;=P7)),W7,"Ausserhalb Geltung"),NA())</f>
        <v>46600</v>
      </c>
      <c r="Y7" s="10" t="s">
        <v>411</v>
      </c>
      <c r="Z7" s="10" t="s">
        <v>412</v>
      </c>
      <c r="AA7" s="10" t="s">
        <v>413</v>
      </c>
      <c r="AB7" s="1"/>
      <c r="AC7" s="1" t="s">
        <v>414</v>
      </c>
      <c r="AD7" s="1">
        <f>Übersicht!$B$4</f>
        <v>2027</v>
      </c>
    </row>
    <row r="8" spans="1:30" ht="38" customHeight="1">
      <c r="A8" s="11" t="s">
        <v>56</v>
      </c>
      <c r="B8" s="11" t="s">
        <v>53</v>
      </c>
      <c r="C8" s="11" t="s">
        <v>415</v>
      </c>
      <c r="D8" s="11" t="s">
        <v>416</v>
      </c>
      <c r="E8" s="11" t="s">
        <v>417</v>
      </c>
      <c r="F8" s="27"/>
      <c r="G8" s="27"/>
      <c r="H8" s="11" t="s">
        <v>406</v>
      </c>
      <c r="I8" s="11" t="s">
        <v>407</v>
      </c>
      <c r="J8" s="13">
        <v>1</v>
      </c>
      <c r="K8" s="13">
        <v>1</v>
      </c>
      <c r="L8" s="11"/>
      <c r="M8" s="11"/>
      <c r="N8" s="11"/>
      <c r="O8" s="15">
        <v>46023</v>
      </c>
      <c r="P8" s="15"/>
      <c r="Q8" s="11">
        <v>100</v>
      </c>
      <c r="R8" s="11" t="s">
        <v>290</v>
      </c>
      <c r="S8" s="11" t="s">
        <v>408</v>
      </c>
      <c r="T8" s="11" t="s">
        <v>409</v>
      </c>
      <c r="U8" s="11"/>
      <c r="V8" s="11" t="s">
        <v>410</v>
      </c>
      <c r="W8" s="15">
        <f>IF(AND(ISNUMBER(Übersicht!$B$4),Übersicht!$B$4=INT(Übersicht!$B$4),Übersicht!$B$4&gt;=2026,Übersicht!$B$4&lt;=2028),IF(I8="fixedMonthDay",IF(AND(ISNUMBER(J8),J8=INT(J8),J8&gt;=1,J8&lt;=12,ISNUMBER(K8),K8=INT(K8),K8&gt;=1,K8&lt;=31,MONTH(DATE(Übersicht!$B$4,J8,K8))=J8,DAY(DATE(Übersicht!$B$4,J8,K8))=K8,L8="",M8="",N8=""),DATE(Übersicht!$B$4,J8,K8),NA()),IF(I8="easterOffsetDays",IF(AND(ISNUMBER(L8),L8=INT(L8),L8&gt;=-366,L8&lt;=366,J8="",K8="",M8="",N8=""),$AD$23+L8,NA()),IF(I8="nthWeekdayOfMonth",IF(AND(ISNUMBER(J8),J8=INT(J8),J8&gt;=1,J8&lt;=12,ISNUMBER(M8),M8=INT(M8),M8&gt;=1,M8&lt;=7,ISNUMBER(N8),N8=INT(N8),N8&gt;=1,N8&lt;=5,MONTH(DATE(Übersicht!$B$4,J8,1)+MOD(M8-WEEKDAY(DATE(Übersicht!$B$4,J8,1),2),7)+7*(N8-1))=J8,K8="",L8=""),DATE(Übersicht!$B$4,J8,1)+MOD(M8-WEEKDAY(DATE(Übersicht!$B$4,J8,1),2),7)+7*(N8-1),NA()),IF(I8="nthWeekdayOffsetDays",IF(AND(ISNUMBER(J8),J8=INT(J8),J8&gt;=1,J8&lt;=12,ISNUMBER(M8),M8=INT(M8),M8&gt;=1,M8&lt;=7,ISNUMBER(N8),N8=INT(N8),N8&gt;=1,N8&lt;=5,MONTH(DATE(Übersicht!$B$4,J8,1)+MOD(M8-WEEKDAY(DATE(Übersicht!$B$4,J8,1),2),7)+7*(N8-1))=J8,K8="",ISNUMBER(L8),L8=INT(L8),L8&gt;=-366,L8&lt;=366),DATE(Übersicht!$B$4,J8,1)+MOD(M8-WEEKDAY(DATE(Übersicht!$B$4,J8,1),2),7)+7*(N8-1)+L8,NA()),NA())))),NA())</f>
        <v>46388</v>
      </c>
      <c r="X8" s="15">
        <f t="shared" si="0"/>
        <v>46388</v>
      </c>
      <c r="Y8" s="11" t="s">
        <v>418</v>
      </c>
      <c r="Z8" s="11" t="s">
        <v>419</v>
      </c>
      <c r="AA8" s="11" t="s">
        <v>413</v>
      </c>
      <c r="AB8" s="1"/>
      <c r="AC8" s="1" t="s">
        <v>420</v>
      </c>
      <c r="AD8" s="1">
        <f>MOD(AD7,19)</f>
        <v>13</v>
      </c>
    </row>
    <row r="9" spans="1:30" ht="38" customHeight="1">
      <c r="A9" s="10" t="s">
        <v>57</v>
      </c>
      <c r="B9" s="10" t="s">
        <v>53</v>
      </c>
      <c r="C9" s="10" t="s">
        <v>415</v>
      </c>
      <c r="D9" s="10" t="s">
        <v>421</v>
      </c>
      <c r="E9" s="10" t="s">
        <v>422</v>
      </c>
      <c r="F9" s="25"/>
      <c r="G9" s="25"/>
      <c r="H9" s="10" t="s">
        <v>406</v>
      </c>
      <c r="I9" s="10" t="s">
        <v>407</v>
      </c>
      <c r="J9" s="12">
        <v>1</v>
      </c>
      <c r="K9" s="12">
        <v>2</v>
      </c>
      <c r="L9" s="10"/>
      <c r="M9" s="10"/>
      <c r="N9" s="10"/>
      <c r="O9" s="14">
        <v>46023</v>
      </c>
      <c r="P9" s="14"/>
      <c r="Q9" s="10">
        <v>100</v>
      </c>
      <c r="R9" s="10" t="s">
        <v>290</v>
      </c>
      <c r="S9" s="10" t="s">
        <v>408</v>
      </c>
      <c r="T9" s="10" t="s">
        <v>409</v>
      </c>
      <c r="U9" s="10"/>
      <c r="V9" s="10" t="s">
        <v>410</v>
      </c>
      <c r="W9" s="14">
        <f>IF(AND(ISNUMBER(Übersicht!$B$4),Übersicht!$B$4=INT(Übersicht!$B$4),Übersicht!$B$4&gt;=2026,Übersicht!$B$4&lt;=2028),IF(I9="fixedMonthDay",IF(AND(ISNUMBER(J9),J9=INT(J9),J9&gt;=1,J9&lt;=12,ISNUMBER(K9),K9=INT(K9),K9&gt;=1,K9&lt;=31,MONTH(DATE(Übersicht!$B$4,J9,K9))=J9,DAY(DATE(Übersicht!$B$4,J9,K9))=K9,L9="",M9="",N9=""),DATE(Übersicht!$B$4,J9,K9),NA()),IF(I9="easterOffsetDays",IF(AND(ISNUMBER(L9),L9=INT(L9),L9&gt;=-366,L9&lt;=366,J9="",K9="",M9="",N9=""),$AD$23+L9,NA()),IF(I9="nthWeekdayOfMonth",IF(AND(ISNUMBER(J9),J9=INT(J9),J9&gt;=1,J9&lt;=12,ISNUMBER(M9),M9=INT(M9),M9&gt;=1,M9&lt;=7,ISNUMBER(N9),N9=INT(N9),N9&gt;=1,N9&lt;=5,MONTH(DATE(Übersicht!$B$4,J9,1)+MOD(M9-WEEKDAY(DATE(Übersicht!$B$4,J9,1),2),7)+7*(N9-1))=J9,K9="",L9=""),DATE(Übersicht!$B$4,J9,1)+MOD(M9-WEEKDAY(DATE(Übersicht!$B$4,J9,1),2),7)+7*(N9-1),NA()),IF(I9="nthWeekdayOffsetDays",IF(AND(ISNUMBER(J9),J9=INT(J9),J9&gt;=1,J9&lt;=12,ISNUMBER(M9),M9=INT(M9),M9&gt;=1,M9&lt;=7,ISNUMBER(N9),N9=INT(N9),N9&gt;=1,N9&lt;=5,MONTH(DATE(Übersicht!$B$4,J9,1)+MOD(M9-WEEKDAY(DATE(Übersicht!$B$4,J9,1),2),7)+7*(N9-1))=J9,K9="",ISNUMBER(L9),L9=INT(L9),L9&gt;=-366,L9&lt;=366),DATE(Übersicht!$B$4,J9,1)+MOD(M9-WEEKDAY(DATE(Übersicht!$B$4,J9,1),2),7)+7*(N9-1)+L9,NA()),NA())))),NA())</f>
        <v>46389</v>
      </c>
      <c r="X9" s="14">
        <f t="shared" si="0"/>
        <v>46389</v>
      </c>
      <c r="Y9" s="10" t="s">
        <v>418</v>
      </c>
      <c r="Z9" s="10" t="s">
        <v>419</v>
      </c>
      <c r="AA9" s="10" t="s">
        <v>413</v>
      </c>
      <c r="AB9" s="1"/>
      <c r="AC9" s="1" t="s">
        <v>423</v>
      </c>
      <c r="AD9" s="1">
        <f>INT(AD7/100)</f>
        <v>20</v>
      </c>
    </row>
    <row r="10" spans="1:30" ht="38" customHeight="1">
      <c r="A10" s="11" t="s">
        <v>58</v>
      </c>
      <c r="B10" s="11" t="s">
        <v>53</v>
      </c>
      <c r="C10" s="11" t="s">
        <v>415</v>
      </c>
      <c r="D10" s="11" t="s">
        <v>424</v>
      </c>
      <c r="E10" s="11" t="s">
        <v>425</v>
      </c>
      <c r="F10" s="27"/>
      <c r="G10" s="27"/>
      <c r="H10" s="11" t="s">
        <v>406</v>
      </c>
      <c r="I10" s="11" t="s">
        <v>426</v>
      </c>
      <c r="J10" s="13"/>
      <c r="K10" s="13"/>
      <c r="L10" s="11">
        <v>-2</v>
      </c>
      <c r="M10" s="11"/>
      <c r="N10" s="11"/>
      <c r="O10" s="15">
        <v>46023</v>
      </c>
      <c r="P10" s="15"/>
      <c r="Q10" s="11">
        <v>100</v>
      </c>
      <c r="R10" s="11" t="s">
        <v>290</v>
      </c>
      <c r="S10" s="11" t="s">
        <v>408</v>
      </c>
      <c r="T10" s="11" t="s">
        <v>409</v>
      </c>
      <c r="U10" s="11"/>
      <c r="V10" s="11" t="s">
        <v>410</v>
      </c>
      <c r="W10" s="15">
        <f>IF(AND(ISNUMBER(Übersicht!$B$4),Übersicht!$B$4=INT(Übersicht!$B$4),Übersicht!$B$4&gt;=2026,Übersicht!$B$4&lt;=2028),IF(I10="fixedMonthDay",IF(AND(ISNUMBER(J10),J10=INT(J10),J10&gt;=1,J10&lt;=12,ISNUMBER(K10),K10=INT(K10),K10&gt;=1,K10&lt;=31,MONTH(DATE(Übersicht!$B$4,J10,K10))=J10,DAY(DATE(Übersicht!$B$4,J10,K10))=K10,L10="",M10="",N10=""),DATE(Übersicht!$B$4,J10,K10),NA()),IF(I10="easterOffsetDays",IF(AND(ISNUMBER(L10),L10=INT(L10),L10&gt;=-366,L10&lt;=366,J10="",K10="",M10="",N10=""),$AD$23+L10,NA()),IF(I10="nthWeekdayOfMonth",IF(AND(ISNUMBER(J10),J10=INT(J10),J10&gt;=1,J10&lt;=12,ISNUMBER(M10),M10=INT(M10),M10&gt;=1,M10&lt;=7,ISNUMBER(N10),N10=INT(N10),N10&gt;=1,N10&lt;=5,MONTH(DATE(Übersicht!$B$4,J10,1)+MOD(M10-WEEKDAY(DATE(Übersicht!$B$4,J10,1),2),7)+7*(N10-1))=J10,K10="",L10=""),DATE(Übersicht!$B$4,J10,1)+MOD(M10-WEEKDAY(DATE(Übersicht!$B$4,J10,1),2),7)+7*(N10-1),NA()),IF(I10="nthWeekdayOffsetDays",IF(AND(ISNUMBER(J10),J10=INT(J10),J10&gt;=1,J10&lt;=12,ISNUMBER(M10),M10=INT(M10),M10&gt;=1,M10&lt;=7,ISNUMBER(N10),N10=INT(N10),N10&gt;=1,N10&lt;=5,MONTH(DATE(Übersicht!$B$4,J10,1)+MOD(M10-WEEKDAY(DATE(Übersicht!$B$4,J10,1),2),7)+7*(N10-1))=J10,K10="",ISNUMBER(L10),L10=INT(L10),L10&gt;=-366,L10&lt;=366),DATE(Übersicht!$B$4,J10,1)+MOD(M10-WEEKDAY(DATE(Übersicht!$B$4,J10,1),2),7)+7*(N10-1)+L10,NA()),NA())))),NA())</f>
        <v>46472</v>
      </c>
      <c r="X10" s="15">
        <f t="shared" si="0"/>
        <v>46472</v>
      </c>
      <c r="Y10" s="11" t="s">
        <v>418</v>
      </c>
      <c r="Z10" s="11" t="s">
        <v>427</v>
      </c>
      <c r="AA10" s="11" t="s">
        <v>413</v>
      </c>
      <c r="AB10" s="1"/>
      <c r="AC10" s="1" t="s">
        <v>428</v>
      </c>
      <c r="AD10" s="1">
        <f>MOD(AD7,100)</f>
        <v>27</v>
      </c>
    </row>
    <row r="11" spans="1:30" ht="38" customHeight="1">
      <c r="A11" s="10" t="s">
        <v>59</v>
      </c>
      <c r="B11" s="10" t="s">
        <v>53</v>
      </c>
      <c r="C11" s="10" t="s">
        <v>415</v>
      </c>
      <c r="D11" s="10" t="s">
        <v>429</v>
      </c>
      <c r="E11" s="10" t="s">
        <v>430</v>
      </c>
      <c r="F11" s="25"/>
      <c r="G11" s="25"/>
      <c r="H11" s="10" t="s">
        <v>406</v>
      </c>
      <c r="I11" s="10" t="s">
        <v>426</v>
      </c>
      <c r="J11" s="12"/>
      <c r="K11" s="12"/>
      <c r="L11" s="10">
        <v>0</v>
      </c>
      <c r="M11" s="10"/>
      <c r="N11" s="10"/>
      <c r="O11" s="14">
        <v>46023</v>
      </c>
      <c r="P11" s="14"/>
      <c r="Q11" s="10">
        <v>100</v>
      </c>
      <c r="R11" s="10" t="s">
        <v>290</v>
      </c>
      <c r="S11" s="10" t="s">
        <v>408</v>
      </c>
      <c r="T11" s="10" t="s">
        <v>409</v>
      </c>
      <c r="U11" s="10"/>
      <c r="V11" s="10" t="s">
        <v>410</v>
      </c>
      <c r="W11" s="14">
        <f>IF(AND(ISNUMBER(Übersicht!$B$4),Übersicht!$B$4=INT(Übersicht!$B$4),Übersicht!$B$4&gt;=2026,Übersicht!$B$4&lt;=2028),IF(I11="fixedMonthDay",IF(AND(ISNUMBER(J11),J11=INT(J11),J11&gt;=1,J11&lt;=12,ISNUMBER(K11),K11=INT(K11),K11&gt;=1,K11&lt;=31,MONTH(DATE(Übersicht!$B$4,J11,K11))=J11,DAY(DATE(Übersicht!$B$4,J11,K11))=K11,L11="",M11="",N11=""),DATE(Übersicht!$B$4,J11,K11),NA()),IF(I11="easterOffsetDays",IF(AND(ISNUMBER(L11),L11=INT(L11),L11&gt;=-366,L11&lt;=366,J11="",K11="",M11="",N11=""),$AD$23+L11,NA()),IF(I11="nthWeekdayOfMonth",IF(AND(ISNUMBER(J11),J11=INT(J11),J11&gt;=1,J11&lt;=12,ISNUMBER(M11),M11=INT(M11),M11&gt;=1,M11&lt;=7,ISNUMBER(N11),N11=INT(N11),N11&gt;=1,N11&lt;=5,MONTH(DATE(Übersicht!$B$4,J11,1)+MOD(M11-WEEKDAY(DATE(Übersicht!$B$4,J11,1),2),7)+7*(N11-1))=J11,K11="",L11=""),DATE(Übersicht!$B$4,J11,1)+MOD(M11-WEEKDAY(DATE(Übersicht!$B$4,J11,1),2),7)+7*(N11-1),NA()),IF(I11="nthWeekdayOffsetDays",IF(AND(ISNUMBER(J11),J11=INT(J11),J11&gt;=1,J11&lt;=12,ISNUMBER(M11),M11=INT(M11),M11&gt;=1,M11&lt;=7,ISNUMBER(N11),N11=INT(N11),N11&gt;=1,N11&lt;=5,MONTH(DATE(Übersicht!$B$4,J11,1)+MOD(M11-WEEKDAY(DATE(Übersicht!$B$4,J11,1),2),7)+7*(N11-1))=J11,K11="",ISNUMBER(L11),L11=INT(L11),L11&gt;=-366,L11&lt;=366),DATE(Übersicht!$B$4,J11,1)+MOD(M11-WEEKDAY(DATE(Übersicht!$B$4,J11,1),2),7)+7*(N11-1)+L11,NA()),NA())))),NA())</f>
        <v>46474</v>
      </c>
      <c r="X11" s="14">
        <f t="shared" si="0"/>
        <v>46474</v>
      </c>
      <c r="Y11" s="10" t="s">
        <v>418</v>
      </c>
      <c r="Z11" s="10" t="s">
        <v>427</v>
      </c>
      <c r="AA11" s="10" t="s">
        <v>413</v>
      </c>
      <c r="AB11" s="1"/>
      <c r="AC11" s="1" t="s">
        <v>431</v>
      </c>
      <c r="AD11" s="1">
        <f>INT(AD9/4)</f>
        <v>5</v>
      </c>
    </row>
    <row r="12" spans="1:30" ht="38" customHeight="1">
      <c r="A12" s="11" t="s">
        <v>60</v>
      </c>
      <c r="B12" s="11" t="s">
        <v>53</v>
      </c>
      <c r="C12" s="11" t="s">
        <v>415</v>
      </c>
      <c r="D12" s="11" t="s">
        <v>432</v>
      </c>
      <c r="E12" s="11" t="s">
        <v>433</v>
      </c>
      <c r="F12" s="27"/>
      <c r="G12" s="27"/>
      <c r="H12" s="11" t="s">
        <v>406</v>
      </c>
      <c r="I12" s="11" t="s">
        <v>426</v>
      </c>
      <c r="J12" s="13"/>
      <c r="K12" s="13"/>
      <c r="L12" s="11">
        <v>1</v>
      </c>
      <c r="M12" s="11"/>
      <c r="N12" s="11"/>
      <c r="O12" s="15">
        <v>46023</v>
      </c>
      <c r="P12" s="15"/>
      <c r="Q12" s="11">
        <v>100</v>
      </c>
      <c r="R12" s="11" t="s">
        <v>290</v>
      </c>
      <c r="S12" s="11" t="s">
        <v>408</v>
      </c>
      <c r="T12" s="11" t="s">
        <v>409</v>
      </c>
      <c r="U12" s="11"/>
      <c r="V12" s="11" t="s">
        <v>410</v>
      </c>
      <c r="W12" s="15">
        <f>IF(AND(ISNUMBER(Übersicht!$B$4),Übersicht!$B$4=INT(Übersicht!$B$4),Übersicht!$B$4&gt;=2026,Übersicht!$B$4&lt;=2028),IF(I12="fixedMonthDay",IF(AND(ISNUMBER(J12),J12=INT(J12),J12&gt;=1,J12&lt;=12,ISNUMBER(K12),K12=INT(K12),K12&gt;=1,K12&lt;=31,MONTH(DATE(Übersicht!$B$4,J12,K12))=J12,DAY(DATE(Übersicht!$B$4,J12,K12))=K12,L12="",M12="",N12=""),DATE(Übersicht!$B$4,J12,K12),NA()),IF(I12="easterOffsetDays",IF(AND(ISNUMBER(L12),L12=INT(L12),L12&gt;=-366,L12&lt;=366,J12="",K12="",M12="",N12=""),$AD$23+L12,NA()),IF(I12="nthWeekdayOfMonth",IF(AND(ISNUMBER(J12),J12=INT(J12),J12&gt;=1,J12&lt;=12,ISNUMBER(M12),M12=INT(M12),M12&gt;=1,M12&lt;=7,ISNUMBER(N12),N12=INT(N12),N12&gt;=1,N12&lt;=5,MONTH(DATE(Übersicht!$B$4,J12,1)+MOD(M12-WEEKDAY(DATE(Übersicht!$B$4,J12,1),2),7)+7*(N12-1))=J12,K12="",L12=""),DATE(Übersicht!$B$4,J12,1)+MOD(M12-WEEKDAY(DATE(Übersicht!$B$4,J12,1),2),7)+7*(N12-1),NA()),IF(I12="nthWeekdayOffsetDays",IF(AND(ISNUMBER(J12),J12=INT(J12),J12&gt;=1,J12&lt;=12,ISNUMBER(M12),M12=INT(M12),M12&gt;=1,M12&lt;=7,ISNUMBER(N12),N12=INT(N12),N12&gt;=1,N12&lt;=5,MONTH(DATE(Übersicht!$B$4,J12,1)+MOD(M12-WEEKDAY(DATE(Übersicht!$B$4,J12,1),2),7)+7*(N12-1))=J12,K12="",ISNUMBER(L12),L12=INT(L12),L12&gt;=-366,L12&lt;=366),DATE(Übersicht!$B$4,J12,1)+MOD(M12-WEEKDAY(DATE(Übersicht!$B$4,J12,1),2),7)+7*(N12-1)+L12,NA()),NA())))),NA())</f>
        <v>46475</v>
      </c>
      <c r="X12" s="15">
        <f t="shared" si="0"/>
        <v>46475</v>
      </c>
      <c r="Y12" s="11" t="s">
        <v>418</v>
      </c>
      <c r="Z12" s="11" t="s">
        <v>419</v>
      </c>
      <c r="AA12" s="11" t="s">
        <v>413</v>
      </c>
      <c r="AB12" s="1"/>
      <c r="AC12" s="1" t="s">
        <v>434</v>
      </c>
      <c r="AD12" s="1">
        <f>MOD(AD9,4)</f>
        <v>0</v>
      </c>
    </row>
    <row r="13" spans="1:30" ht="38" customHeight="1">
      <c r="A13" s="10" t="s">
        <v>61</v>
      </c>
      <c r="B13" s="10" t="s">
        <v>53</v>
      </c>
      <c r="C13" s="10" t="s">
        <v>415</v>
      </c>
      <c r="D13" s="10" t="s">
        <v>435</v>
      </c>
      <c r="E13" s="10" t="s">
        <v>436</v>
      </c>
      <c r="F13" s="25"/>
      <c r="G13" s="25"/>
      <c r="H13" s="10" t="s">
        <v>406</v>
      </c>
      <c r="I13" s="10" t="s">
        <v>426</v>
      </c>
      <c r="J13" s="12"/>
      <c r="K13" s="12"/>
      <c r="L13" s="10">
        <v>39</v>
      </c>
      <c r="M13" s="10"/>
      <c r="N13" s="10"/>
      <c r="O13" s="14">
        <v>46023</v>
      </c>
      <c r="P13" s="14"/>
      <c r="Q13" s="10">
        <v>100</v>
      </c>
      <c r="R13" s="10" t="s">
        <v>290</v>
      </c>
      <c r="S13" s="10" t="s">
        <v>408</v>
      </c>
      <c r="T13" s="10" t="s">
        <v>409</v>
      </c>
      <c r="U13" s="10"/>
      <c r="V13" s="10" t="s">
        <v>410</v>
      </c>
      <c r="W13" s="14">
        <f>IF(AND(ISNUMBER(Übersicht!$B$4),Übersicht!$B$4=INT(Übersicht!$B$4),Übersicht!$B$4&gt;=2026,Übersicht!$B$4&lt;=2028),IF(I13="fixedMonthDay",IF(AND(ISNUMBER(J13),J13=INT(J13),J13&gt;=1,J13&lt;=12,ISNUMBER(K13),K13=INT(K13),K13&gt;=1,K13&lt;=31,MONTH(DATE(Übersicht!$B$4,J13,K13))=J13,DAY(DATE(Übersicht!$B$4,J13,K13))=K13,L13="",M13="",N13=""),DATE(Übersicht!$B$4,J13,K13),NA()),IF(I13="easterOffsetDays",IF(AND(ISNUMBER(L13),L13=INT(L13),L13&gt;=-366,L13&lt;=366,J13="",K13="",M13="",N13=""),$AD$23+L13,NA()),IF(I13="nthWeekdayOfMonth",IF(AND(ISNUMBER(J13),J13=INT(J13),J13&gt;=1,J13&lt;=12,ISNUMBER(M13),M13=INT(M13),M13&gt;=1,M13&lt;=7,ISNUMBER(N13),N13=INT(N13),N13&gt;=1,N13&lt;=5,MONTH(DATE(Übersicht!$B$4,J13,1)+MOD(M13-WEEKDAY(DATE(Übersicht!$B$4,J13,1),2),7)+7*(N13-1))=J13,K13="",L13=""),DATE(Übersicht!$B$4,J13,1)+MOD(M13-WEEKDAY(DATE(Übersicht!$B$4,J13,1),2),7)+7*(N13-1),NA()),IF(I13="nthWeekdayOffsetDays",IF(AND(ISNUMBER(J13),J13=INT(J13),J13&gt;=1,J13&lt;=12,ISNUMBER(M13),M13=INT(M13),M13&gt;=1,M13&lt;=7,ISNUMBER(N13),N13=INT(N13),N13&gt;=1,N13&lt;=5,MONTH(DATE(Übersicht!$B$4,J13,1)+MOD(M13-WEEKDAY(DATE(Übersicht!$B$4,J13,1),2),7)+7*(N13-1))=J13,K13="",ISNUMBER(L13),L13=INT(L13),L13&gt;=-366,L13&lt;=366),DATE(Übersicht!$B$4,J13,1)+MOD(M13-WEEKDAY(DATE(Übersicht!$B$4,J13,1),2),7)+7*(N13-1)+L13,NA()),NA())))),NA())</f>
        <v>46513</v>
      </c>
      <c r="X13" s="14">
        <f t="shared" si="0"/>
        <v>46513</v>
      </c>
      <c r="Y13" s="10" t="s">
        <v>418</v>
      </c>
      <c r="Z13" s="10" t="s">
        <v>427</v>
      </c>
      <c r="AA13" s="10" t="s">
        <v>413</v>
      </c>
      <c r="AB13" s="1"/>
      <c r="AC13" s="1" t="s">
        <v>437</v>
      </c>
      <c r="AD13" s="1">
        <f>INT((AD9+8)/25)</f>
        <v>1</v>
      </c>
    </row>
    <row r="14" spans="1:30" ht="38" customHeight="1">
      <c r="A14" s="11" t="s">
        <v>62</v>
      </c>
      <c r="B14" s="11" t="s">
        <v>53</v>
      </c>
      <c r="C14" s="11" t="s">
        <v>415</v>
      </c>
      <c r="D14" s="11" t="s">
        <v>438</v>
      </c>
      <c r="E14" s="11" t="s">
        <v>439</v>
      </c>
      <c r="F14" s="27"/>
      <c r="G14" s="27"/>
      <c r="H14" s="11" t="s">
        <v>406</v>
      </c>
      <c r="I14" s="11" t="s">
        <v>426</v>
      </c>
      <c r="J14" s="13"/>
      <c r="K14" s="13"/>
      <c r="L14" s="11">
        <v>49</v>
      </c>
      <c r="M14" s="11"/>
      <c r="N14" s="11"/>
      <c r="O14" s="15">
        <v>46023</v>
      </c>
      <c r="P14" s="15"/>
      <c r="Q14" s="11">
        <v>100</v>
      </c>
      <c r="R14" s="11" t="s">
        <v>290</v>
      </c>
      <c r="S14" s="11" t="s">
        <v>408</v>
      </c>
      <c r="T14" s="11" t="s">
        <v>409</v>
      </c>
      <c r="U14" s="11"/>
      <c r="V14" s="11" t="s">
        <v>410</v>
      </c>
      <c r="W14" s="15">
        <f>IF(AND(ISNUMBER(Übersicht!$B$4),Übersicht!$B$4=INT(Übersicht!$B$4),Übersicht!$B$4&gt;=2026,Übersicht!$B$4&lt;=2028),IF(I14="fixedMonthDay",IF(AND(ISNUMBER(J14),J14=INT(J14),J14&gt;=1,J14&lt;=12,ISNUMBER(K14),K14=INT(K14),K14&gt;=1,K14&lt;=31,MONTH(DATE(Übersicht!$B$4,J14,K14))=J14,DAY(DATE(Übersicht!$B$4,J14,K14))=K14,L14="",M14="",N14=""),DATE(Übersicht!$B$4,J14,K14),NA()),IF(I14="easterOffsetDays",IF(AND(ISNUMBER(L14),L14=INT(L14),L14&gt;=-366,L14&lt;=366,J14="",K14="",M14="",N14=""),$AD$23+L14,NA()),IF(I14="nthWeekdayOfMonth",IF(AND(ISNUMBER(J14),J14=INT(J14),J14&gt;=1,J14&lt;=12,ISNUMBER(M14),M14=INT(M14),M14&gt;=1,M14&lt;=7,ISNUMBER(N14),N14=INT(N14),N14&gt;=1,N14&lt;=5,MONTH(DATE(Übersicht!$B$4,J14,1)+MOD(M14-WEEKDAY(DATE(Übersicht!$B$4,J14,1),2),7)+7*(N14-1))=J14,K14="",L14=""),DATE(Übersicht!$B$4,J14,1)+MOD(M14-WEEKDAY(DATE(Übersicht!$B$4,J14,1),2),7)+7*(N14-1),NA()),IF(I14="nthWeekdayOffsetDays",IF(AND(ISNUMBER(J14),J14=INT(J14),J14&gt;=1,J14&lt;=12,ISNUMBER(M14),M14=INT(M14),M14&gt;=1,M14&lt;=7,ISNUMBER(N14),N14=INT(N14),N14&gt;=1,N14&lt;=5,MONTH(DATE(Übersicht!$B$4,J14,1)+MOD(M14-WEEKDAY(DATE(Übersicht!$B$4,J14,1),2),7)+7*(N14-1))=J14,K14="",ISNUMBER(L14),L14=INT(L14),L14&gt;=-366,L14&lt;=366),DATE(Übersicht!$B$4,J14,1)+MOD(M14-WEEKDAY(DATE(Übersicht!$B$4,J14,1),2),7)+7*(N14-1)+L14,NA()),NA())))),NA())</f>
        <v>46523</v>
      </c>
      <c r="X14" s="15">
        <f t="shared" si="0"/>
        <v>46523</v>
      </c>
      <c r="Y14" s="11" t="s">
        <v>418</v>
      </c>
      <c r="Z14" s="11" t="s">
        <v>427</v>
      </c>
      <c r="AA14" s="11" t="s">
        <v>413</v>
      </c>
      <c r="AB14" s="1"/>
      <c r="AC14" s="1" t="s">
        <v>440</v>
      </c>
      <c r="AD14" s="1">
        <f>INT((AD9-AD13+1)/3)</f>
        <v>6</v>
      </c>
    </row>
    <row r="15" spans="1:30" ht="38" customHeight="1">
      <c r="A15" s="10" t="s">
        <v>63</v>
      </c>
      <c r="B15" s="10" t="s">
        <v>53</v>
      </c>
      <c r="C15" s="10" t="s">
        <v>415</v>
      </c>
      <c r="D15" s="10" t="s">
        <v>441</v>
      </c>
      <c r="E15" s="10" t="s">
        <v>442</v>
      </c>
      <c r="F15" s="25"/>
      <c r="G15" s="25"/>
      <c r="H15" s="10" t="s">
        <v>406</v>
      </c>
      <c r="I15" s="10" t="s">
        <v>426</v>
      </c>
      <c r="J15" s="12"/>
      <c r="K15" s="12"/>
      <c r="L15" s="10">
        <v>50</v>
      </c>
      <c r="M15" s="10"/>
      <c r="N15" s="10"/>
      <c r="O15" s="14">
        <v>46023</v>
      </c>
      <c r="P15" s="14"/>
      <c r="Q15" s="10">
        <v>100</v>
      </c>
      <c r="R15" s="10" t="s">
        <v>290</v>
      </c>
      <c r="S15" s="10" t="s">
        <v>408</v>
      </c>
      <c r="T15" s="10" t="s">
        <v>409</v>
      </c>
      <c r="U15" s="10"/>
      <c r="V15" s="10" t="s">
        <v>410</v>
      </c>
      <c r="W15" s="14">
        <f>IF(AND(ISNUMBER(Übersicht!$B$4),Übersicht!$B$4=INT(Übersicht!$B$4),Übersicht!$B$4&gt;=2026,Übersicht!$B$4&lt;=2028),IF(I15="fixedMonthDay",IF(AND(ISNUMBER(J15),J15=INT(J15),J15&gt;=1,J15&lt;=12,ISNUMBER(K15),K15=INT(K15),K15&gt;=1,K15&lt;=31,MONTH(DATE(Übersicht!$B$4,J15,K15))=J15,DAY(DATE(Übersicht!$B$4,J15,K15))=K15,L15="",M15="",N15=""),DATE(Übersicht!$B$4,J15,K15),NA()),IF(I15="easterOffsetDays",IF(AND(ISNUMBER(L15),L15=INT(L15),L15&gt;=-366,L15&lt;=366,J15="",K15="",M15="",N15=""),$AD$23+L15,NA()),IF(I15="nthWeekdayOfMonth",IF(AND(ISNUMBER(J15),J15=INT(J15),J15&gt;=1,J15&lt;=12,ISNUMBER(M15),M15=INT(M15),M15&gt;=1,M15&lt;=7,ISNUMBER(N15),N15=INT(N15),N15&gt;=1,N15&lt;=5,MONTH(DATE(Übersicht!$B$4,J15,1)+MOD(M15-WEEKDAY(DATE(Übersicht!$B$4,J15,1),2),7)+7*(N15-1))=J15,K15="",L15=""),DATE(Übersicht!$B$4,J15,1)+MOD(M15-WEEKDAY(DATE(Übersicht!$B$4,J15,1),2),7)+7*(N15-1),NA()),IF(I15="nthWeekdayOffsetDays",IF(AND(ISNUMBER(J15),J15=INT(J15),J15&gt;=1,J15&lt;=12,ISNUMBER(M15),M15=INT(M15),M15&gt;=1,M15&lt;=7,ISNUMBER(N15),N15=INT(N15),N15&gt;=1,N15&lt;=5,MONTH(DATE(Übersicht!$B$4,J15,1)+MOD(M15-WEEKDAY(DATE(Übersicht!$B$4,J15,1),2),7)+7*(N15-1))=J15,K15="",ISNUMBER(L15),L15=INT(L15),L15&gt;=-366,L15&lt;=366),DATE(Übersicht!$B$4,J15,1)+MOD(M15-WEEKDAY(DATE(Übersicht!$B$4,J15,1),2),7)+7*(N15-1)+L15,NA()),NA())))),NA())</f>
        <v>46524</v>
      </c>
      <c r="X15" s="14">
        <f t="shared" si="0"/>
        <v>46524</v>
      </c>
      <c r="Y15" s="10" t="s">
        <v>418</v>
      </c>
      <c r="Z15" s="10" t="s">
        <v>419</v>
      </c>
      <c r="AA15" s="10" t="s">
        <v>413</v>
      </c>
      <c r="AB15" s="1"/>
      <c r="AC15" s="1" t="s">
        <v>443</v>
      </c>
      <c r="AD15" s="1">
        <f>MOD(19*AD8+AD9-AD11-AD14+15,30)</f>
        <v>1</v>
      </c>
    </row>
    <row r="16" spans="1:30" ht="38" customHeight="1">
      <c r="A16" s="11" t="s">
        <v>64</v>
      </c>
      <c r="B16" s="11" t="s">
        <v>53</v>
      </c>
      <c r="C16" s="11" t="s">
        <v>415</v>
      </c>
      <c r="D16" s="11" t="s">
        <v>444</v>
      </c>
      <c r="E16" s="11" t="s">
        <v>445</v>
      </c>
      <c r="F16" s="27"/>
      <c r="G16" s="27"/>
      <c r="H16" s="11" t="s">
        <v>406</v>
      </c>
      <c r="I16" s="11" t="s">
        <v>446</v>
      </c>
      <c r="J16" s="13">
        <v>9</v>
      </c>
      <c r="K16" s="13"/>
      <c r="L16" s="11"/>
      <c r="M16" s="11">
        <v>7</v>
      </c>
      <c r="N16" s="11">
        <v>3</v>
      </c>
      <c r="O16" s="15">
        <v>46023</v>
      </c>
      <c r="P16" s="15"/>
      <c r="Q16" s="11">
        <v>100</v>
      </c>
      <c r="R16" s="11" t="s">
        <v>290</v>
      </c>
      <c r="S16" s="11" t="s">
        <v>408</v>
      </c>
      <c r="T16" s="11" t="s">
        <v>409</v>
      </c>
      <c r="U16" s="11"/>
      <c r="V16" s="11" t="s">
        <v>410</v>
      </c>
      <c r="W16" s="15">
        <f>IF(AND(ISNUMBER(Übersicht!$B$4),Übersicht!$B$4=INT(Übersicht!$B$4),Übersicht!$B$4&gt;=2026,Übersicht!$B$4&lt;=2028),IF(I16="fixedMonthDay",IF(AND(ISNUMBER(J16),J16=INT(J16),J16&gt;=1,J16&lt;=12,ISNUMBER(K16),K16=INT(K16),K16&gt;=1,K16&lt;=31,MONTH(DATE(Übersicht!$B$4,J16,K16))=J16,DAY(DATE(Übersicht!$B$4,J16,K16))=K16,L16="",M16="",N16=""),DATE(Übersicht!$B$4,J16,K16),NA()),IF(I16="easterOffsetDays",IF(AND(ISNUMBER(L16),L16=INT(L16),L16&gt;=-366,L16&lt;=366,J16="",K16="",M16="",N16=""),$AD$23+L16,NA()),IF(I16="nthWeekdayOfMonth",IF(AND(ISNUMBER(J16),J16=INT(J16),J16&gt;=1,J16&lt;=12,ISNUMBER(M16),M16=INT(M16),M16&gt;=1,M16&lt;=7,ISNUMBER(N16),N16=INT(N16),N16&gt;=1,N16&lt;=5,MONTH(DATE(Übersicht!$B$4,J16,1)+MOD(M16-WEEKDAY(DATE(Übersicht!$B$4,J16,1),2),7)+7*(N16-1))=J16,K16="",L16=""),DATE(Übersicht!$B$4,J16,1)+MOD(M16-WEEKDAY(DATE(Übersicht!$B$4,J16,1),2),7)+7*(N16-1),NA()),IF(I16="nthWeekdayOffsetDays",IF(AND(ISNUMBER(J16),J16=INT(J16),J16&gt;=1,J16&lt;=12,ISNUMBER(M16),M16=INT(M16),M16&gt;=1,M16&lt;=7,ISNUMBER(N16),N16=INT(N16),N16&gt;=1,N16&lt;=5,MONTH(DATE(Übersicht!$B$4,J16,1)+MOD(M16-WEEKDAY(DATE(Übersicht!$B$4,J16,1),2),7)+7*(N16-1))=J16,K16="",ISNUMBER(L16),L16=INT(L16),L16&gt;=-366,L16&lt;=366),DATE(Übersicht!$B$4,J16,1)+MOD(M16-WEEKDAY(DATE(Übersicht!$B$4,J16,1),2),7)+7*(N16-1)+L16,NA()),NA())))),NA())</f>
        <v>46649</v>
      </c>
      <c r="X16" s="15">
        <f t="shared" si="0"/>
        <v>46649</v>
      </c>
      <c r="Y16" s="11" t="s">
        <v>418</v>
      </c>
      <c r="Z16" s="11" t="s">
        <v>427</v>
      </c>
      <c r="AA16" s="11" t="s">
        <v>413</v>
      </c>
      <c r="AB16" s="1"/>
      <c r="AC16" s="1" t="s">
        <v>447</v>
      </c>
      <c r="AD16" s="1">
        <f>INT(AD10/4)</f>
        <v>6</v>
      </c>
    </row>
    <row r="17" spans="1:30" ht="38" customHeight="1">
      <c r="A17" s="10" t="s">
        <v>65</v>
      </c>
      <c r="B17" s="10" t="s">
        <v>53</v>
      </c>
      <c r="C17" s="10" t="s">
        <v>415</v>
      </c>
      <c r="D17" s="10" t="s">
        <v>448</v>
      </c>
      <c r="E17" s="10" t="s">
        <v>449</v>
      </c>
      <c r="F17" s="25"/>
      <c r="G17" s="25"/>
      <c r="H17" s="10" t="s">
        <v>406</v>
      </c>
      <c r="I17" s="10" t="s">
        <v>407</v>
      </c>
      <c r="J17" s="12">
        <v>12</v>
      </c>
      <c r="K17" s="12">
        <v>25</v>
      </c>
      <c r="L17" s="10"/>
      <c r="M17" s="10"/>
      <c r="N17" s="10"/>
      <c r="O17" s="14">
        <v>46023</v>
      </c>
      <c r="P17" s="14"/>
      <c r="Q17" s="10">
        <v>100</v>
      </c>
      <c r="R17" s="10" t="s">
        <v>290</v>
      </c>
      <c r="S17" s="10" t="s">
        <v>408</v>
      </c>
      <c r="T17" s="10" t="s">
        <v>409</v>
      </c>
      <c r="U17" s="10"/>
      <c r="V17" s="10" t="s">
        <v>410</v>
      </c>
      <c r="W17" s="14">
        <f>IF(AND(ISNUMBER(Übersicht!$B$4),Übersicht!$B$4=INT(Übersicht!$B$4),Übersicht!$B$4&gt;=2026,Übersicht!$B$4&lt;=2028),IF(I17="fixedMonthDay",IF(AND(ISNUMBER(J17),J17=INT(J17),J17&gt;=1,J17&lt;=12,ISNUMBER(K17),K17=INT(K17),K17&gt;=1,K17&lt;=31,MONTH(DATE(Übersicht!$B$4,J17,K17))=J17,DAY(DATE(Übersicht!$B$4,J17,K17))=K17,L17="",M17="",N17=""),DATE(Übersicht!$B$4,J17,K17),NA()),IF(I17="easterOffsetDays",IF(AND(ISNUMBER(L17),L17=INT(L17),L17&gt;=-366,L17&lt;=366,J17="",K17="",M17="",N17=""),$AD$23+L17,NA()),IF(I17="nthWeekdayOfMonth",IF(AND(ISNUMBER(J17),J17=INT(J17),J17&gt;=1,J17&lt;=12,ISNUMBER(M17),M17=INT(M17),M17&gt;=1,M17&lt;=7,ISNUMBER(N17),N17=INT(N17),N17&gt;=1,N17&lt;=5,MONTH(DATE(Übersicht!$B$4,J17,1)+MOD(M17-WEEKDAY(DATE(Übersicht!$B$4,J17,1),2),7)+7*(N17-1))=J17,K17="",L17=""),DATE(Übersicht!$B$4,J17,1)+MOD(M17-WEEKDAY(DATE(Übersicht!$B$4,J17,1),2),7)+7*(N17-1),NA()),IF(I17="nthWeekdayOffsetDays",IF(AND(ISNUMBER(J17),J17=INT(J17),J17&gt;=1,J17&lt;=12,ISNUMBER(M17),M17=INT(M17),M17&gt;=1,M17&lt;=7,ISNUMBER(N17),N17=INT(N17),N17&gt;=1,N17&lt;=5,MONTH(DATE(Übersicht!$B$4,J17,1)+MOD(M17-WEEKDAY(DATE(Übersicht!$B$4,J17,1),2),7)+7*(N17-1))=J17,K17="",ISNUMBER(L17),L17=INT(L17),L17&gt;=-366,L17&lt;=366),DATE(Übersicht!$B$4,J17,1)+MOD(M17-WEEKDAY(DATE(Übersicht!$B$4,J17,1),2),7)+7*(N17-1)+L17,NA()),NA())))),NA())</f>
        <v>46746</v>
      </c>
      <c r="X17" s="14">
        <f t="shared" si="0"/>
        <v>46746</v>
      </c>
      <c r="Y17" s="10" t="s">
        <v>418</v>
      </c>
      <c r="Z17" s="10" t="s">
        <v>427</v>
      </c>
      <c r="AA17" s="10" t="s">
        <v>413</v>
      </c>
      <c r="AB17" s="1"/>
      <c r="AC17" s="1" t="s">
        <v>450</v>
      </c>
      <c r="AD17" s="1">
        <f>MOD(AD10,4)</f>
        <v>3</v>
      </c>
    </row>
    <row r="18" spans="1:30" ht="38" customHeight="1">
      <c r="A18" s="11" t="s">
        <v>66</v>
      </c>
      <c r="B18" s="11" t="s">
        <v>53</v>
      </c>
      <c r="C18" s="11" t="s">
        <v>415</v>
      </c>
      <c r="D18" s="11" t="s">
        <v>451</v>
      </c>
      <c r="E18" s="11" t="s">
        <v>452</v>
      </c>
      <c r="F18" s="27"/>
      <c r="G18" s="27"/>
      <c r="H18" s="11" t="s">
        <v>406</v>
      </c>
      <c r="I18" s="11" t="s">
        <v>407</v>
      </c>
      <c r="J18" s="13">
        <v>12</v>
      </c>
      <c r="K18" s="13">
        <v>26</v>
      </c>
      <c r="L18" s="11"/>
      <c r="M18" s="11"/>
      <c r="N18" s="11"/>
      <c r="O18" s="15">
        <v>46023</v>
      </c>
      <c r="P18" s="15"/>
      <c r="Q18" s="11">
        <v>100</v>
      </c>
      <c r="R18" s="11" t="s">
        <v>290</v>
      </c>
      <c r="S18" s="11" t="s">
        <v>408</v>
      </c>
      <c r="T18" s="11" t="s">
        <v>409</v>
      </c>
      <c r="U18" s="11"/>
      <c r="V18" s="11" t="s">
        <v>410</v>
      </c>
      <c r="W18" s="15">
        <f>IF(AND(ISNUMBER(Übersicht!$B$4),Übersicht!$B$4=INT(Übersicht!$B$4),Übersicht!$B$4&gt;=2026,Übersicht!$B$4&lt;=2028),IF(I18="fixedMonthDay",IF(AND(ISNUMBER(J18),J18=INT(J18),J18&gt;=1,J18&lt;=12,ISNUMBER(K18),K18=INT(K18),K18&gt;=1,K18&lt;=31,MONTH(DATE(Übersicht!$B$4,J18,K18))=J18,DAY(DATE(Übersicht!$B$4,J18,K18))=K18,L18="",M18="",N18=""),DATE(Übersicht!$B$4,J18,K18),NA()),IF(I18="easterOffsetDays",IF(AND(ISNUMBER(L18),L18=INT(L18),L18&gt;=-366,L18&lt;=366,J18="",K18="",M18="",N18=""),$AD$23+L18,NA()),IF(I18="nthWeekdayOfMonth",IF(AND(ISNUMBER(J18),J18=INT(J18),J18&gt;=1,J18&lt;=12,ISNUMBER(M18),M18=INT(M18),M18&gt;=1,M18&lt;=7,ISNUMBER(N18),N18=INT(N18),N18&gt;=1,N18&lt;=5,MONTH(DATE(Übersicht!$B$4,J18,1)+MOD(M18-WEEKDAY(DATE(Übersicht!$B$4,J18,1),2),7)+7*(N18-1))=J18,K18="",L18=""),DATE(Übersicht!$B$4,J18,1)+MOD(M18-WEEKDAY(DATE(Übersicht!$B$4,J18,1),2),7)+7*(N18-1),NA()),IF(I18="nthWeekdayOffsetDays",IF(AND(ISNUMBER(J18),J18=INT(J18),J18&gt;=1,J18&lt;=12,ISNUMBER(M18),M18=INT(M18),M18&gt;=1,M18&lt;=7,ISNUMBER(N18),N18=INT(N18),N18&gt;=1,N18&lt;=5,MONTH(DATE(Übersicht!$B$4,J18,1)+MOD(M18-WEEKDAY(DATE(Übersicht!$B$4,J18,1),2),7)+7*(N18-1))=J18,K18="",ISNUMBER(L18),L18=INT(L18),L18&gt;=-366,L18&lt;=366),DATE(Übersicht!$B$4,J18,1)+MOD(M18-WEEKDAY(DATE(Übersicht!$B$4,J18,1),2),7)+7*(N18-1)+L18,NA()),NA())))),NA())</f>
        <v>46747</v>
      </c>
      <c r="X18" s="15">
        <f t="shared" si="0"/>
        <v>46747</v>
      </c>
      <c r="Y18" s="11" t="s">
        <v>418</v>
      </c>
      <c r="Z18" s="11" t="s">
        <v>419</v>
      </c>
      <c r="AA18" s="11" t="s">
        <v>413</v>
      </c>
      <c r="AB18" s="1"/>
      <c r="AC18" s="1" t="s">
        <v>453</v>
      </c>
      <c r="AD18" s="1">
        <f>MOD(32+2*AD12+2*AD16-AD15-AD17,7)</f>
        <v>5</v>
      </c>
    </row>
    <row r="19" spans="1:30" ht="38" customHeight="1">
      <c r="A19" s="10" t="s">
        <v>70</v>
      </c>
      <c r="B19" s="10" t="s">
        <v>67</v>
      </c>
      <c r="C19" s="10" t="s">
        <v>454</v>
      </c>
      <c r="D19" s="24" t="s">
        <v>455</v>
      </c>
      <c r="E19" s="24" t="s">
        <v>456</v>
      </c>
      <c r="F19" s="25"/>
      <c r="G19" s="25"/>
      <c r="H19" s="10" t="s">
        <v>457</v>
      </c>
      <c r="I19" s="10" t="s">
        <v>426</v>
      </c>
      <c r="J19" s="28"/>
      <c r="K19" s="28"/>
      <c r="L19" s="24">
        <v>60</v>
      </c>
      <c r="M19" s="24"/>
      <c r="N19" s="24"/>
      <c r="O19" s="29">
        <v>46023</v>
      </c>
      <c r="P19" s="29"/>
      <c r="Q19" s="24">
        <v>100</v>
      </c>
      <c r="R19" s="24" t="s">
        <v>69</v>
      </c>
      <c r="S19" s="10"/>
      <c r="T19" s="10" t="s">
        <v>409</v>
      </c>
      <c r="U19" s="10"/>
      <c r="V19" s="10" t="s">
        <v>458</v>
      </c>
      <c r="W19" s="14">
        <f>IF(AND(ISNUMBER(Übersicht!$B$4),Übersicht!$B$4=INT(Übersicht!$B$4),Übersicht!$B$4&gt;=2026,Übersicht!$B$4&lt;=2028),IF(I19="fixedMonthDay",IF(AND(ISNUMBER(J19),J19=INT(J19),J19&gt;=1,J19&lt;=12,ISNUMBER(K19),K19=INT(K19),K19&gt;=1,K19&lt;=31,MONTH(DATE(Übersicht!$B$4,J19,K19))=J19,DAY(DATE(Übersicht!$B$4,J19,K19))=K19,L19="",M19="",N19=""),DATE(Übersicht!$B$4,J19,K19),NA()),IF(I19="easterOffsetDays",IF(AND(ISNUMBER(L19),L19=INT(L19),L19&gt;=-366,L19&lt;=366,J19="",K19="",M19="",N19=""),$AD$23+L19,NA()),IF(I19="nthWeekdayOfMonth",IF(AND(ISNUMBER(J19),J19=INT(J19),J19&gt;=1,J19&lt;=12,ISNUMBER(M19),M19=INT(M19),M19&gt;=1,M19&lt;=7,ISNUMBER(N19),N19=INT(N19),N19&gt;=1,N19&lt;=5,MONTH(DATE(Übersicht!$B$4,J19,1)+MOD(M19-WEEKDAY(DATE(Übersicht!$B$4,J19,1),2),7)+7*(N19-1))=J19,K19="",L19=""),DATE(Übersicht!$B$4,J19,1)+MOD(M19-WEEKDAY(DATE(Übersicht!$B$4,J19,1),2),7)+7*(N19-1),NA()),IF(I19="nthWeekdayOffsetDays",IF(AND(ISNUMBER(J19),J19=INT(J19),J19&gt;=1,J19&lt;=12,ISNUMBER(M19),M19=INT(M19),M19&gt;=1,M19&lt;=7,ISNUMBER(N19),N19=INT(N19),N19&gt;=1,N19&lt;=5,MONTH(DATE(Übersicht!$B$4,J19,1)+MOD(M19-WEEKDAY(DATE(Übersicht!$B$4,J19,1),2),7)+7*(N19-1))=J19,K19="",ISNUMBER(L19),L19=INT(L19),L19&gt;=-366,L19&lt;=366),DATE(Übersicht!$B$4,J19,1)+MOD(M19-WEEKDAY(DATE(Übersicht!$B$4,J19,1),2),7)+7*(N19-1)+L19,NA()),NA())))),NA())</f>
        <v>46534</v>
      </c>
      <c r="X19" s="14">
        <f t="shared" si="0"/>
        <v>46534</v>
      </c>
      <c r="Y19" s="10" t="s">
        <v>459</v>
      </c>
      <c r="Z19" s="10" t="s">
        <v>460</v>
      </c>
      <c r="AA19" s="24" t="s">
        <v>413</v>
      </c>
      <c r="AB19" s="1"/>
      <c r="AC19" s="1" t="s">
        <v>461</v>
      </c>
      <c r="AD19" s="1">
        <f>INT((AD8+11*AD15+22*AD18)/451)</f>
        <v>0</v>
      </c>
    </row>
    <row r="20" spans="1:30" ht="38" customHeight="1">
      <c r="A20" s="11" t="s">
        <v>73</v>
      </c>
      <c r="B20" s="11" t="s">
        <v>67</v>
      </c>
      <c r="C20" s="11" t="s">
        <v>462</v>
      </c>
      <c r="D20" s="26" t="s">
        <v>421</v>
      </c>
      <c r="E20" s="26" t="s">
        <v>422</v>
      </c>
      <c r="F20" s="27"/>
      <c r="G20" s="27"/>
      <c r="H20" s="11" t="s">
        <v>457</v>
      </c>
      <c r="I20" s="11" t="s">
        <v>407</v>
      </c>
      <c r="J20" s="30">
        <v>1</v>
      </c>
      <c r="K20" s="30">
        <v>2</v>
      </c>
      <c r="L20" s="26"/>
      <c r="M20" s="26"/>
      <c r="N20" s="26"/>
      <c r="O20" s="31">
        <v>46023</v>
      </c>
      <c r="P20" s="31"/>
      <c r="Q20" s="26">
        <v>100</v>
      </c>
      <c r="R20" s="26" t="s">
        <v>69</v>
      </c>
      <c r="S20" s="11"/>
      <c r="T20" s="11" t="s">
        <v>409</v>
      </c>
      <c r="U20" s="11"/>
      <c r="V20" s="11" t="s">
        <v>458</v>
      </c>
      <c r="W20" s="15">
        <f>IF(AND(ISNUMBER(Übersicht!$B$4),Übersicht!$B$4=INT(Übersicht!$B$4),Übersicht!$B$4&gt;=2026,Übersicht!$B$4&lt;=2028),IF(I20="fixedMonthDay",IF(AND(ISNUMBER(J20),J20=INT(J20),J20&gt;=1,J20&lt;=12,ISNUMBER(K20),K20=INT(K20),K20&gt;=1,K20&lt;=31,MONTH(DATE(Übersicht!$B$4,J20,K20))=J20,DAY(DATE(Übersicht!$B$4,J20,K20))=K20,L20="",M20="",N20=""),DATE(Übersicht!$B$4,J20,K20),NA()),IF(I20="easterOffsetDays",IF(AND(ISNUMBER(L20),L20=INT(L20),L20&gt;=-366,L20&lt;=366,J20="",K20="",M20="",N20=""),$AD$23+L20,NA()),IF(I20="nthWeekdayOfMonth",IF(AND(ISNUMBER(J20),J20=INT(J20),J20&gt;=1,J20&lt;=12,ISNUMBER(M20),M20=INT(M20),M20&gt;=1,M20&lt;=7,ISNUMBER(N20),N20=INT(N20),N20&gt;=1,N20&lt;=5,MONTH(DATE(Übersicht!$B$4,J20,1)+MOD(M20-WEEKDAY(DATE(Übersicht!$B$4,J20,1),2),7)+7*(N20-1))=J20,K20="",L20=""),DATE(Übersicht!$B$4,J20,1)+MOD(M20-WEEKDAY(DATE(Übersicht!$B$4,J20,1),2),7)+7*(N20-1),NA()),IF(I20="nthWeekdayOffsetDays",IF(AND(ISNUMBER(J20),J20=INT(J20),J20&gt;=1,J20&lt;=12,ISNUMBER(M20),M20=INT(M20),M20&gt;=1,M20&lt;=7,ISNUMBER(N20),N20=INT(N20),N20&gt;=1,N20&lt;=5,MONTH(DATE(Übersicht!$B$4,J20,1)+MOD(M20-WEEKDAY(DATE(Übersicht!$B$4,J20,1),2),7)+7*(N20-1))=J20,K20="",ISNUMBER(L20),L20=INT(L20),L20&gt;=-366,L20&lt;=366),DATE(Übersicht!$B$4,J20,1)+MOD(M20-WEEKDAY(DATE(Übersicht!$B$4,J20,1),2),7)+7*(N20-1)+L20,NA()),NA())))),NA())</f>
        <v>46389</v>
      </c>
      <c r="X20" s="15">
        <f t="shared" si="0"/>
        <v>46389</v>
      </c>
      <c r="Y20" s="11" t="s">
        <v>459</v>
      </c>
      <c r="Z20" s="11" t="s">
        <v>463</v>
      </c>
      <c r="AA20" s="26" t="s">
        <v>413</v>
      </c>
      <c r="AB20" s="1"/>
      <c r="AC20" s="1" t="s">
        <v>464</v>
      </c>
      <c r="AD20" s="1">
        <f>AD15+AD18-7*AD19+114</f>
        <v>120</v>
      </c>
    </row>
    <row r="21" spans="1:30" ht="38" customHeight="1">
      <c r="A21" s="10" t="s">
        <v>75</v>
      </c>
      <c r="B21" s="10" t="s">
        <v>67</v>
      </c>
      <c r="C21" s="10" t="s">
        <v>465</v>
      </c>
      <c r="D21" s="24" t="s">
        <v>466</v>
      </c>
      <c r="E21" s="24" t="s">
        <v>467</v>
      </c>
      <c r="F21" s="25"/>
      <c r="G21" s="25"/>
      <c r="H21" s="10" t="s">
        <v>468</v>
      </c>
      <c r="I21" s="10" t="s">
        <v>407</v>
      </c>
      <c r="J21" s="28">
        <v>11</v>
      </c>
      <c r="K21" s="28">
        <v>1</v>
      </c>
      <c r="L21" s="24"/>
      <c r="M21" s="24"/>
      <c r="N21" s="24"/>
      <c r="O21" s="29">
        <v>46023</v>
      </c>
      <c r="P21" s="29"/>
      <c r="Q21" s="24">
        <v>100</v>
      </c>
      <c r="R21" s="24" t="s">
        <v>69</v>
      </c>
      <c r="S21" s="10"/>
      <c r="T21" s="10" t="s">
        <v>409</v>
      </c>
      <c r="U21" s="10"/>
      <c r="V21" s="10" t="s">
        <v>469</v>
      </c>
      <c r="W21" s="14">
        <f>IF(AND(ISNUMBER(Übersicht!$B$4),Übersicht!$B$4=INT(Übersicht!$B$4),Übersicht!$B$4&gt;=2026,Übersicht!$B$4&lt;=2028),IF(I21="fixedMonthDay",IF(AND(ISNUMBER(J21),J21=INT(J21),J21&gt;=1,J21&lt;=12,ISNUMBER(K21),K21=INT(K21),K21&gt;=1,K21&lt;=31,MONTH(DATE(Übersicht!$B$4,J21,K21))=J21,DAY(DATE(Übersicht!$B$4,J21,K21))=K21,L21="",M21="",N21=""),DATE(Übersicht!$B$4,J21,K21),NA()),IF(I21="easterOffsetDays",IF(AND(ISNUMBER(L21),L21=INT(L21),L21&gt;=-366,L21&lt;=366,J21="",K21="",M21="",N21=""),$AD$23+L21,NA()),IF(I21="nthWeekdayOfMonth",IF(AND(ISNUMBER(J21),J21=INT(J21),J21&gt;=1,J21&lt;=12,ISNUMBER(M21),M21=INT(M21),M21&gt;=1,M21&lt;=7,ISNUMBER(N21),N21=INT(N21),N21&gt;=1,N21&lt;=5,MONTH(DATE(Übersicht!$B$4,J21,1)+MOD(M21-WEEKDAY(DATE(Übersicht!$B$4,J21,1),2),7)+7*(N21-1))=J21,K21="",L21=""),DATE(Übersicht!$B$4,J21,1)+MOD(M21-WEEKDAY(DATE(Übersicht!$B$4,J21,1),2),7)+7*(N21-1),NA()),IF(I21="nthWeekdayOffsetDays",IF(AND(ISNUMBER(J21),J21=INT(J21),J21&gt;=1,J21&lt;=12,ISNUMBER(M21),M21=INT(M21),M21&gt;=1,M21&lt;=7,ISNUMBER(N21),N21=INT(N21),N21&gt;=1,N21&lt;=5,MONTH(DATE(Übersicht!$B$4,J21,1)+MOD(M21-WEEKDAY(DATE(Übersicht!$B$4,J21,1),2),7)+7*(N21-1))=J21,K21="",ISNUMBER(L21),L21=INT(L21),L21&gt;=-366,L21&lt;=366),DATE(Übersicht!$B$4,J21,1)+MOD(M21-WEEKDAY(DATE(Übersicht!$B$4,J21,1),2),7)+7*(N21-1)+L21,NA()),NA())))),NA())</f>
        <v>46692</v>
      </c>
      <c r="X21" s="14">
        <f t="shared" si="0"/>
        <v>46692</v>
      </c>
      <c r="Y21" s="10" t="s">
        <v>470</v>
      </c>
      <c r="Z21" s="10" t="s">
        <v>471</v>
      </c>
      <c r="AA21" s="24" t="s">
        <v>413</v>
      </c>
      <c r="AB21" s="1"/>
      <c r="AC21" s="1" t="s">
        <v>472</v>
      </c>
      <c r="AD21" s="1">
        <f>INT(AD20/31)</f>
        <v>3</v>
      </c>
    </row>
    <row r="22" spans="1:30" ht="38" customHeight="1">
      <c r="A22" s="11" t="s">
        <v>77</v>
      </c>
      <c r="B22" s="11" t="s">
        <v>67</v>
      </c>
      <c r="C22" s="11" t="s">
        <v>473</v>
      </c>
      <c r="D22" s="26" t="s">
        <v>416</v>
      </c>
      <c r="E22" s="26" t="s">
        <v>417</v>
      </c>
      <c r="F22" s="27"/>
      <c r="G22" s="27"/>
      <c r="H22" s="11" t="s">
        <v>457</v>
      </c>
      <c r="I22" s="11" t="s">
        <v>407</v>
      </c>
      <c r="J22" s="30">
        <v>1</v>
      </c>
      <c r="K22" s="30">
        <v>1</v>
      </c>
      <c r="L22" s="26"/>
      <c r="M22" s="26"/>
      <c r="N22" s="26"/>
      <c r="O22" s="31">
        <v>46023</v>
      </c>
      <c r="P22" s="31"/>
      <c r="Q22" s="26">
        <v>100</v>
      </c>
      <c r="R22" s="26" t="s">
        <v>69</v>
      </c>
      <c r="S22" s="11"/>
      <c r="T22" s="11" t="s">
        <v>409</v>
      </c>
      <c r="U22" s="11"/>
      <c r="V22" s="11" t="s">
        <v>458</v>
      </c>
      <c r="W22" s="15">
        <f>IF(AND(ISNUMBER(Übersicht!$B$4),Übersicht!$B$4=INT(Übersicht!$B$4),Übersicht!$B$4&gt;=2026,Übersicht!$B$4&lt;=2028),IF(I22="fixedMonthDay",IF(AND(ISNUMBER(J22),J22=INT(J22),J22&gt;=1,J22&lt;=12,ISNUMBER(K22),K22=INT(K22),K22&gt;=1,K22&lt;=31,MONTH(DATE(Übersicht!$B$4,J22,K22))=J22,DAY(DATE(Übersicht!$B$4,J22,K22))=K22,L22="",M22="",N22=""),DATE(Übersicht!$B$4,J22,K22),NA()),IF(I22="easterOffsetDays",IF(AND(ISNUMBER(L22),L22=INT(L22),L22&gt;=-366,L22&lt;=366,J22="",K22="",M22="",N22=""),$AD$23+L22,NA()),IF(I22="nthWeekdayOfMonth",IF(AND(ISNUMBER(J22),J22=INT(J22),J22&gt;=1,J22&lt;=12,ISNUMBER(M22),M22=INT(M22),M22&gt;=1,M22&lt;=7,ISNUMBER(N22),N22=INT(N22),N22&gt;=1,N22&lt;=5,MONTH(DATE(Übersicht!$B$4,J22,1)+MOD(M22-WEEKDAY(DATE(Übersicht!$B$4,J22,1),2),7)+7*(N22-1))=J22,K22="",L22=""),DATE(Übersicht!$B$4,J22,1)+MOD(M22-WEEKDAY(DATE(Übersicht!$B$4,J22,1),2),7)+7*(N22-1),NA()),IF(I22="nthWeekdayOffsetDays",IF(AND(ISNUMBER(J22),J22=INT(J22),J22&gt;=1,J22&lt;=12,ISNUMBER(M22),M22=INT(M22),M22&gt;=1,M22&lt;=7,ISNUMBER(N22),N22=INT(N22),N22&gt;=1,N22&lt;=5,MONTH(DATE(Übersicht!$B$4,J22,1)+MOD(M22-WEEKDAY(DATE(Übersicht!$B$4,J22,1),2),7)+7*(N22-1))=J22,K22="",ISNUMBER(L22),L22=INT(L22),L22&gt;=-366,L22&lt;=366),DATE(Übersicht!$B$4,J22,1)+MOD(M22-WEEKDAY(DATE(Übersicht!$B$4,J22,1),2),7)+7*(N22-1)+L22,NA()),NA())))),NA())</f>
        <v>46388</v>
      </c>
      <c r="X22" s="15">
        <f t="shared" si="0"/>
        <v>46388</v>
      </c>
      <c r="Y22" s="11" t="s">
        <v>459</v>
      </c>
      <c r="Z22" s="11" t="s">
        <v>474</v>
      </c>
      <c r="AA22" s="26" t="s">
        <v>413</v>
      </c>
      <c r="AB22" s="1"/>
      <c r="AC22" s="1" t="s">
        <v>475</v>
      </c>
      <c r="AD22" s="1">
        <f>MOD(AD20,31)+1</f>
        <v>28</v>
      </c>
    </row>
    <row r="23" spans="1:30" ht="38" customHeight="1">
      <c r="A23" s="10" t="s">
        <v>78</v>
      </c>
      <c r="B23" s="10" t="s">
        <v>67</v>
      </c>
      <c r="C23" s="10" t="s">
        <v>473</v>
      </c>
      <c r="D23" s="24" t="s">
        <v>421</v>
      </c>
      <c r="E23" s="24" t="s">
        <v>422</v>
      </c>
      <c r="F23" s="25"/>
      <c r="G23" s="25"/>
      <c r="H23" s="10" t="s">
        <v>457</v>
      </c>
      <c r="I23" s="10" t="s">
        <v>407</v>
      </c>
      <c r="J23" s="28">
        <v>1</v>
      </c>
      <c r="K23" s="28">
        <v>2</v>
      </c>
      <c r="L23" s="24"/>
      <c r="M23" s="24"/>
      <c r="N23" s="24"/>
      <c r="O23" s="29">
        <v>46023</v>
      </c>
      <c r="P23" s="29"/>
      <c r="Q23" s="24">
        <v>100</v>
      </c>
      <c r="R23" s="24" t="s">
        <v>69</v>
      </c>
      <c r="S23" s="10"/>
      <c r="T23" s="10" t="s">
        <v>409</v>
      </c>
      <c r="U23" s="10"/>
      <c r="V23" s="10" t="s">
        <v>458</v>
      </c>
      <c r="W23" s="14">
        <f>IF(AND(ISNUMBER(Übersicht!$B$4),Übersicht!$B$4=INT(Übersicht!$B$4),Übersicht!$B$4&gt;=2026,Übersicht!$B$4&lt;=2028),IF(I23="fixedMonthDay",IF(AND(ISNUMBER(J23),J23=INT(J23),J23&gt;=1,J23&lt;=12,ISNUMBER(K23),K23=INT(K23),K23&gt;=1,K23&lt;=31,MONTH(DATE(Übersicht!$B$4,J23,K23))=J23,DAY(DATE(Übersicht!$B$4,J23,K23))=K23,L23="",M23="",N23=""),DATE(Übersicht!$B$4,J23,K23),NA()),IF(I23="easterOffsetDays",IF(AND(ISNUMBER(L23),L23=INT(L23),L23&gt;=-366,L23&lt;=366,J23="",K23="",M23="",N23=""),$AD$23+L23,NA()),IF(I23="nthWeekdayOfMonth",IF(AND(ISNUMBER(J23),J23=INT(J23),J23&gt;=1,J23&lt;=12,ISNUMBER(M23),M23=INT(M23),M23&gt;=1,M23&lt;=7,ISNUMBER(N23),N23=INT(N23),N23&gt;=1,N23&lt;=5,MONTH(DATE(Übersicht!$B$4,J23,1)+MOD(M23-WEEKDAY(DATE(Übersicht!$B$4,J23,1),2),7)+7*(N23-1))=J23,K23="",L23=""),DATE(Übersicht!$B$4,J23,1)+MOD(M23-WEEKDAY(DATE(Übersicht!$B$4,J23,1),2),7)+7*(N23-1),NA()),IF(I23="nthWeekdayOffsetDays",IF(AND(ISNUMBER(J23),J23=INT(J23),J23&gt;=1,J23&lt;=12,ISNUMBER(M23),M23=INT(M23),M23&gt;=1,M23&lt;=7,ISNUMBER(N23),N23=INT(N23),N23&gt;=1,N23&lt;=5,MONTH(DATE(Übersicht!$B$4,J23,1)+MOD(M23-WEEKDAY(DATE(Übersicht!$B$4,J23,1),2),7)+7*(N23-1))=J23,K23="",ISNUMBER(L23),L23=INT(L23),L23&gt;=-366,L23&lt;=366),DATE(Übersicht!$B$4,J23,1)+MOD(M23-WEEKDAY(DATE(Übersicht!$B$4,J23,1),2),7)+7*(N23-1)+L23,NA()),NA())))),NA())</f>
        <v>46389</v>
      </c>
      <c r="X23" s="14">
        <f t="shared" si="0"/>
        <v>46389</v>
      </c>
      <c r="Y23" s="10" t="s">
        <v>459</v>
      </c>
      <c r="Z23" s="10" t="s">
        <v>474</v>
      </c>
      <c r="AA23" s="24" t="s">
        <v>413</v>
      </c>
      <c r="AB23" s="17"/>
      <c r="AC23" s="1" t="s">
        <v>476</v>
      </c>
      <c r="AD23" s="17">
        <f>DATE(AD7,AD21,AD22)</f>
        <v>46474</v>
      </c>
    </row>
    <row r="24" spans="1:30" ht="38" customHeight="1">
      <c r="A24" s="11" t="s">
        <v>79</v>
      </c>
      <c r="B24" s="11" t="s">
        <v>67</v>
      </c>
      <c r="C24" s="11" t="s">
        <v>473</v>
      </c>
      <c r="D24" s="26" t="s">
        <v>424</v>
      </c>
      <c r="E24" s="26" t="s">
        <v>425</v>
      </c>
      <c r="F24" s="27"/>
      <c r="G24" s="27"/>
      <c r="H24" s="11" t="s">
        <v>457</v>
      </c>
      <c r="I24" s="11" t="s">
        <v>426</v>
      </c>
      <c r="J24" s="30"/>
      <c r="K24" s="30"/>
      <c r="L24" s="26">
        <v>-2</v>
      </c>
      <c r="M24" s="26"/>
      <c r="N24" s="26"/>
      <c r="O24" s="31">
        <v>46023</v>
      </c>
      <c r="P24" s="31"/>
      <c r="Q24" s="26">
        <v>100</v>
      </c>
      <c r="R24" s="26" t="s">
        <v>69</v>
      </c>
      <c r="S24" s="11"/>
      <c r="T24" s="11" t="s">
        <v>409</v>
      </c>
      <c r="U24" s="11"/>
      <c r="V24" s="11" t="s">
        <v>458</v>
      </c>
      <c r="W24" s="15">
        <f>IF(AND(ISNUMBER(Übersicht!$B$4),Übersicht!$B$4=INT(Übersicht!$B$4),Übersicht!$B$4&gt;=2026,Übersicht!$B$4&lt;=2028),IF(I24="fixedMonthDay",IF(AND(ISNUMBER(J24),J24=INT(J24),J24&gt;=1,J24&lt;=12,ISNUMBER(K24),K24=INT(K24),K24&gt;=1,K24&lt;=31,MONTH(DATE(Übersicht!$B$4,J24,K24))=J24,DAY(DATE(Übersicht!$B$4,J24,K24))=K24,L24="",M24="",N24=""),DATE(Übersicht!$B$4,J24,K24),NA()),IF(I24="easterOffsetDays",IF(AND(ISNUMBER(L24),L24=INT(L24),L24&gt;=-366,L24&lt;=366,J24="",K24="",M24="",N24=""),$AD$23+L24,NA()),IF(I24="nthWeekdayOfMonth",IF(AND(ISNUMBER(J24),J24=INT(J24),J24&gt;=1,J24&lt;=12,ISNUMBER(M24),M24=INT(M24),M24&gt;=1,M24&lt;=7,ISNUMBER(N24),N24=INT(N24),N24&gt;=1,N24&lt;=5,MONTH(DATE(Übersicht!$B$4,J24,1)+MOD(M24-WEEKDAY(DATE(Übersicht!$B$4,J24,1),2),7)+7*(N24-1))=J24,K24="",L24=""),DATE(Übersicht!$B$4,J24,1)+MOD(M24-WEEKDAY(DATE(Übersicht!$B$4,J24,1),2),7)+7*(N24-1),NA()),IF(I24="nthWeekdayOffsetDays",IF(AND(ISNUMBER(J24),J24=INT(J24),J24&gt;=1,J24&lt;=12,ISNUMBER(M24),M24=INT(M24),M24&gt;=1,M24&lt;=7,ISNUMBER(N24),N24=INT(N24),N24&gt;=1,N24&lt;=5,MONTH(DATE(Übersicht!$B$4,J24,1)+MOD(M24-WEEKDAY(DATE(Übersicht!$B$4,J24,1),2),7)+7*(N24-1))=J24,K24="",ISNUMBER(L24),L24=INT(L24),L24&gt;=-366,L24&lt;=366),DATE(Übersicht!$B$4,J24,1)+MOD(M24-WEEKDAY(DATE(Übersicht!$B$4,J24,1),2),7)+7*(N24-1)+L24,NA()),NA())))),NA())</f>
        <v>46472</v>
      </c>
      <c r="X24" s="15">
        <f t="shared" si="0"/>
        <v>46472</v>
      </c>
      <c r="Y24" s="11" t="s">
        <v>459</v>
      </c>
      <c r="Z24" s="11" t="s">
        <v>474</v>
      </c>
      <c r="AA24" s="26" t="s">
        <v>413</v>
      </c>
    </row>
    <row r="25" spans="1:30" ht="38" customHeight="1">
      <c r="A25" s="10" t="s">
        <v>80</v>
      </c>
      <c r="B25" s="10" t="s">
        <v>67</v>
      </c>
      <c r="C25" s="10" t="s">
        <v>473</v>
      </c>
      <c r="D25" s="24" t="s">
        <v>432</v>
      </c>
      <c r="E25" s="24" t="s">
        <v>433</v>
      </c>
      <c r="F25" s="25"/>
      <c r="G25" s="25"/>
      <c r="H25" s="10" t="s">
        <v>457</v>
      </c>
      <c r="I25" s="10" t="s">
        <v>426</v>
      </c>
      <c r="J25" s="28"/>
      <c r="K25" s="28"/>
      <c r="L25" s="24">
        <v>1</v>
      </c>
      <c r="M25" s="24"/>
      <c r="N25" s="24"/>
      <c r="O25" s="29">
        <v>46023</v>
      </c>
      <c r="P25" s="29"/>
      <c r="Q25" s="24">
        <v>100</v>
      </c>
      <c r="R25" s="24" t="s">
        <v>69</v>
      </c>
      <c r="S25" s="10"/>
      <c r="T25" s="10" t="s">
        <v>409</v>
      </c>
      <c r="U25" s="10"/>
      <c r="V25" s="10" t="s">
        <v>458</v>
      </c>
      <c r="W25" s="14">
        <f>IF(AND(ISNUMBER(Übersicht!$B$4),Übersicht!$B$4=INT(Übersicht!$B$4),Übersicht!$B$4&gt;=2026,Übersicht!$B$4&lt;=2028),IF(I25="fixedMonthDay",IF(AND(ISNUMBER(J25),J25=INT(J25),J25&gt;=1,J25&lt;=12,ISNUMBER(K25),K25=INT(K25),K25&gt;=1,K25&lt;=31,MONTH(DATE(Übersicht!$B$4,J25,K25))=J25,DAY(DATE(Übersicht!$B$4,J25,K25))=K25,L25="",M25="",N25=""),DATE(Übersicht!$B$4,J25,K25),NA()),IF(I25="easterOffsetDays",IF(AND(ISNUMBER(L25),L25=INT(L25),L25&gt;=-366,L25&lt;=366,J25="",K25="",M25="",N25=""),$AD$23+L25,NA()),IF(I25="nthWeekdayOfMonth",IF(AND(ISNUMBER(J25),J25=INT(J25),J25&gt;=1,J25&lt;=12,ISNUMBER(M25),M25=INT(M25),M25&gt;=1,M25&lt;=7,ISNUMBER(N25),N25=INT(N25),N25&gt;=1,N25&lt;=5,MONTH(DATE(Übersicht!$B$4,J25,1)+MOD(M25-WEEKDAY(DATE(Übersicht!$B$4,J25,1),2),7)+7*(N25-1))=J25,K25="",L25=""),DATE(Übersicht!$B$4,J25,1)+MOD(M25-WEEKDAY(DATE(Übersicht!$B$4,J25,1),2),7)+7*(N25-1),NA()),IF(I25="nthWeekdayOffsetDays",IF(AND(ISNUMBER(J25),J25=INT(J25),J25&gt;=1,J25&lt;=12,ISNUMBER(M25),M25=INT(M25),M25&gt;=1,M25&lt;=7,ISNUMBER(N25),N25=INT(N25),N25&gt;=1,N25&lt;=5,MONTH(DATE(Übersicht!$B$4,J25,1)+MOD(M25-WEEKDAY(DATE(Übersicht!$B$4,J25,1),2),7)+7*(N25-1))=J25,K25="",ISNUMBER(L25),L25=INT(L25),L25&gt;=-366,L25&lt;=366),DATE(Übersicht!$B$4,J25,1)+MOD(M25-WEEKDAY(DATE(Übersicht!$B$4,J25,1),2),7)+7*(N25-1)+L25,NA()),NA())))),NA())</f>
        <v>46475</v>
      </c>
      <c r="X25" s="14">
        <f t="shared" si="0"/>
        <v>46475</v>
      </c>
      <c r="Y25" s="10" t="s">
        <v>459</v>
      </c>
      <c r="Z25" s="10" t="s">
        <v>474</v>
      </c>
      <c r="AA25" s="24" t="s">
        <v>413</v>
      </c>
    </row>
    <row r="26" spans="1:30" ht="38" customHeight="1">
      <c r="A26" s="11" t="s">
        <v>81</v>
      </c>
      <c r="B26" s="11" t="s">
        <v>67</v>
      </c>
      <c r="C26" s="11" t="s">
        <v>473</v>
      </c>
      <c r="D26" s="26" t="s">
        <v>435</v>
      </c>
      <c r="E26" s="26" t="s">
        <v>436</v>
      </c>
      <c r="F26" s="27"/>
      <c r="G26" s="27"/>
      <c r="H26" s="11" t="s">
        <v>457</v>
      </c>
      <c r="I26" s="11" t="s">
        <v>426</v>
      </c>
      <c r="J26" s="30"/>
      <c r="K26" s="30"/>
      <c r="L26" s="26">
        <v>39</v>
      </c>
      <c r="M26" s="26"/>
      <c r="N26" s="26"/>
      <c r="O26" s="31">
        <v>46023</v>
      </c>
      <c r="P26" s="31"/>
      <c r="Q26" s="26">
        <v>100</v>
      </c>
      <c r="R26" s="26" t="s">
        <v>69</v>
      </c>
      <c r="S26" s="11"/>
      <c r="T26" s="11" t="s">
        <v>409</v>
      </c>
      <c r="U26" s="11"/>
      <c r="V26" s="11" t="s">
        <v>458</v>
      </c>
      <c r="W26" s="15">
        <f>IF(AND(ISNUMBER(Übersicht!$B$4),Übersicht!$B$4=INT(Übersicht!$B$4),Übersicht!$B$4&gt;=2026,Übersicht!$B$4&lt;=2028),IF(I26="fixedMonthDay",IF(AND(ISNUMBER(J26),J26=INT(J26),J26&gt;=1,J26&lt;=12,ISNUMBER(K26),K26=INT(K26),K26&gt;=1,K26&lt;=31,MONTH(DATE(Übersicht!$B$4,J26,K26))=J26,DAY(DATE(Übersicht!$B$4,J26,K26))=K26,L26="",M26="",N26=""),DATE(Übersicht!$B$4,J26,K26),NA()),IF(I26="easterOffsetDays",IF(AND(ISNUMBER(L26),L26=INT(L26),L26&gt;=-366,L26&lt;=366,J26="",K26="",M26="",N26=""),$AD$23+L26,NA()),IF(I26="nthWeekdayOfMonth",IF(AND(ISNUMBER(J26),J26=INT(J26),J26&gt;=1,J26&lt;=12,ISNUMBER(M26),M26=INT(M26),M26&gt;=1,M26&lt;=7,ISNUMBER(N26),N26=INT(N26),N26&gt;=1,N26&lt;=5,MONTH(DATE(Übersicht!$B$4,J26,1)+MOD(M26-WEEKDAY(DATE(Übersicht!$B$4,J26,1),2),7)+7*(N26-1))=J26,K26="",L26=""),DATE(Übersicht!$B$4,J26,1)+MOD(M26-WEEKDAY(DATE(Übersicht!$B$4,J26,1),2),7)+7*(N26-1),NA()),IF(I26="nthWeekdayOffsetDays",IF(AND(ISNUMBER(J26),J26=INT(J26),J26&gt;=1,J26&lt;=12,ISNUMBER(M26),M26=INT(M26),M26&gt;=1,M26&lt;=7,ISNUMBER(N26),N26=INT(N26),N26&gt;=1,N26&lt;=5,MONTH(DATE(Übersicht!$B$4,J26,1)+MOD(M26-WEEKDAY(DATE(Übersicht!$B$4,J26,1),2),7)+7*(N26-1))=J26,K26="",ISNUMBER(L26),L26=INT(L26),L26&gt;=-366,L26&lt;=366),DATE(Übersicht!$B$4,J26,1)+MOD(M26-WEEKDAY(DATE(Übersicht!$B$4,J26,1),2),7)+7*(N26-1)+L26,NA()),NA())))),NA())</f>
        <v>46513</v>
      </c>
      <c r="X26" s="15">
        <f t="shared" si="0"/>
        <v>46513</v>
      </c>
      <c r="Y26" s="11" t="s">
        <v>459</v>
      </c>
      <c r="Z26" s="11" t="s">
        <v>474</v>
      </c>
      <c r="AA26" s="26" t="s">
        <v>413</v>
      </c>
    </row>
    <row r="27" spans="1:30" ht="38" customHeight="1">
      <c r="A27" s="10" t="s">
        <v>82</v>
      </c>
      <c r="B27" s="10" t="s">
        <v>67</v>
      </c>
      <c r="C27" s="10" t="s">
        <v>473</v>
      </c>
      <c r="D27" s="24" t="s">
        <v>441</v>
      </c>
      <c r="E27" s="24" t="s">
        <v>442</v>
      </c>
      <c r="F27" s="25"/>
      <c r="G27" s="25"/>
      <c r="H27" s="10" t="s">
        <v>457</v>
      </c>
      <c r="I27" s="10" t="s">
        <v>426</v>
      </c>
      <c r="J27" s="28"/>
      <c r="K27" s="28"/>
      <c r="L27" s="24">
        <v>50</v>
      </c>
      <c r="M27" s="24"/>
      <c r="N27" s="24"/>
      <c r="O27" s="29">
        <v>46023</v>
      </c>
      <c r="P27" s="29"/>
      <c r="Q27" s="24">
        <v>100</v>
      </c>
      <c r="R27" s="24" t="s">
        <v>69</v>
      </c>
      <c r="S27" s="10"/>
      <c r="T27" s="10" t="s">
        <v>409</v>
      </c>
      <c r="U27" s="10"/>
      <c r="V27" s="10" t="s">
        <v>458</v>
      </c>
      <c r="W27" s="14">
        <f>IF(AND(ISNUMBER(Übersicht!$B$4),Übersicht!$B$4=INT(Übersicht!$B$4),Übersicht!$B$4&gt;=2026,Übersicht!$B$4&lt;=2028),IF(I27="fixedMonthDay",IF(AND(ISNUMBER(J27),J27=INT(J27),J27&gt;=1,J27&lt;=12,ISNUMBER(K27),K27=INT(K27),K27&gt;=1,K27&lt;=31,MONTH(DATE(Übersicht!$B$4,J27,K27))=J27,DAY(DATE(Übersicht!$B$4,J27,K27))=K27,L27="",M27="",N27=""),DATE(Übersicht!$B$4,J27,K27),NA()),IF(I27="easterOffsetDays",IF(AND(ISNUMBER(L27),L27=INT(L27),L27&gt;=-366,L27&lt;=366,J27="",K27="",M27="",N27=""),$AD$23+L27,NA()),IF(I27="nthWeekdayOfMonth",IF(AND(ISNUMBER(J27),J27=INT(J27),J27&gt;=1,J27&lt;=12,ISNUMBER(M27),M27=INT(M27),M27&gt;=1,M27&lt;=7,ISNUMBER(N27),N27=INT(N27),N27&gt;=1,N27&lt;=5,MONTH(DATE(Übersicht!$B$4,J27,1)+MOD(M27-WEEKDAY(DATE(Übersicht!$B$4,J27,1),2),7)+7*(N27-1))=J27,K27="",L27=""),DATE(Übersicht!$B$4,J27,1)+MOD(M27-WEEKDAY(DATE(Übersicht!$B$4,J27,1),2),7)+7*(N27-1),NA()),IF(I27="nthWeekdayOffsetDays",IF(AND(ISNUMBER(J27),J27=INT(J27),J27&gt;=1,J27&lt;=12,ISNUMBER(M27),M27=INT(M27),M27&gt;=1,M27&lt;=7,ISNUMBER(N27),N27=INT(N27),N27&gt;=1,N27&lt;=5,MONTH(DATE(Übersicht!$B$4,J27,1)+MOD(M27-WEEKDAY(DATE(Übersicht!$B$4,J27,1),2),7)+7*(N27-1))=J27,K27="",ISNUMBER(L27),L27=INT(L27),L27&gt;=-366,L27&lt;=366),DATE(Übersicht!$B$4,J27,1)+MOD(M27-WEEKDAY(DATE(Übersicht!$B$4,J27,1),2),7)+7*(N27-1)+L27,NA()),NA())))),NA())</f>
        <v>46524</v>
      </c>
      <c r="X27" s="14">
        <f t="shared" si="0"/>
        <v>46524</v>
      </c>
      <c r="Y27" s="10" t="s">
        <v>459</v>
      </c>
      <c r="Z27" s="10" t="s">
        <v>474</v>
      </c>
      <c r="AA27" s="24" t="s">
        <v>413</v>
      </c>
    </row>
    <row r="28" spans="1:30" ht="38" customHeight="1">
      <c r="A28" s="11" t="s">
        <v>83</v>
      </c>
      <c r="B28" s="11" t="s">
        <v>67</v>
      </c>
      <c r="C28" s="11" t="s">
        <v>473</v>
      </c>
      <c r="D28" s="26" t="s">
        <v>448</v>
      </c>
      <c r="E28" s="26" t="s">
        <v>449</v>
      </c>
      <c r="F28" s="27"/>
      <c r="G28" s="27"/>
      <c r="H28" s="11" t="s">
        <v>457</v>
      </c>
      <c r="I28" s="11" t="s">
        <v>407</v>
      </c>
      <c r="J28" s="30">
        <v>12</v>
      </c>
      <c r="K28" s="30">
        <v>25</v>
      </c>
      <c r="L28" s="26"/>
      <c r="M28" s="26"/>
      <c r="N28" s="26"/>
      <c r="O28" s="31">
        <v>46023</v>
      </c>
      <c r="P28" s="31"/>
      <c r="Q28" s="26">
        <v>100</v>
      </c>
      <c r="R28" s="26" t="s">
        <v>69</v>
      </c>
      <c r="S28" s="11"/>
      <c r="T28" s="11" t="s">
        <v>409</v>
      </c>
      <c r="U28" s="11"/>
      <c r="V28" s="11" t="s">
        <v>458</v>
      </c>
      <c r="W28" s="15">
        <f>IF(AND(ISNUMBER(Übersicht!$B$4),Übersicht!$B$4=INT(Übersicht!$B$4),Übersicht!$B$4&gt;=2026,Übersicht!$B$4&lt;=2028),IF(I28="fixedMonthDay",IF(AND(ISNUMBER(J28),J28=INT(J28),J28&gt;=1,J28&lt;=12,ISNUMBER(K28),K28=INT(K28),K28&gt;=1,K28&lt;=31,MONTH(DATE(Übersicht!$B$4,J28,K28))=J28,DAY(DATE(Übersicht!$B$4,J28,K28))=K28,L28="",M28="",N28=""),DATE(Übersicht!$B$4,J28,K28),NA()),IF(I28="easterOffsetDays",IF(AND(ISNUMBER(L28),L28=INT(L28),L28&gt;=-366,L28&lt;=366,J28="",K28="",M28="",N28=""),$AD$23+L28,NA()),IF(I28="nthWeekdayOfMonth",IF(AND(ISNUMBER(J28),J28=INT(J28),J28&gt;=1,J28&lt;=12,ISNUMBER(M28),M28=INT(M28),M28&gt;=1,M28&lt;=7,ISNUMBER(N28),N28=INT(N28),N28&gt;=1,N28&lt;=5,MONTH(DATE(Übersicht!$B$4,J28,1)+MOD(M28-WEEKDAY(DATE(Übersicht!$B$4,J28,1),2),7)+7*(N28-1))=J28,K28="",L28=""),DATE(Übersicht!$B$4,J28,1)+MOD(M28-WEEKDAY(DATE(Übersicht!$B$4,J28,1),2),7)+7*(N28-1),NA()),IF(I28="nthWeekdayOffsetDays",IF(AND(ISNUMBER(J28),J28=INT(J28),J28&gt;=1,J28&lt;=12,ISNUMBER(M28),M28=INT(M28),M28&gt;=1,M28&lt;=7,ISNUMBER(N28),N28=INT(N28),N28&gt;=1,N28&lt;=5,MONTH(DATE(Übersicht!$B$4,J28,1)+MOD(M28-WEEKDAY(DATE(Übersicht!$B$4,J28,1),2),7)+7*(N28-1))=J28,K28="",ISNUMBER(L28),L28=INT(L28),L28&gt;=-366,L28&lt;=366),DATE(Übersicht!$B$4,J28,1)+MOD(M28-WEEKDAY(DATE(Übersicht!$B$4,J28,1),2),7)+7*(N28-1)+L28,NA()),NA())))),NA())</f>
        <v>46746</v>
      </c>
      <c r="X28" s="15">
        <f t="shared" si="0"/>
        <v>46746</v>
      </c>
      <c r="Y28" s="11" t="s">
        <v>459</v>
      </c>
      <c r="Z28" s="11" t="s">
        <v>474</v>
      </c>
      <c r="AA28" s="26" t="s">
        <v>413</v>
      </c>
    </row>
    <row r="29" spans="1:30" ht="38" customHeight="1">
      <c r="A29" s="10" t="s">
        <v>84</v>
      </c>
      <c r="B29" s="10" t="s">
        <v>67</v>
      </c>
      <c r="C29" s="10" t="s">
        <v>473</v>
      </c>
      <c r="D29" s="24" t="s">
        <v>451</v>
      </c>
      <c r="E29" s="24" t="s">
        <v>452</v>
      </c>
      <c r="F29" s="25"/>
      <c r="G29" s="25"/>
      <c r="H29" s="10" t="s">
        <v>457</v>
      </c>
      <c r="I29" s="10" t="s">
        <v>407</v>
      </c>
      <c r="J29" s="28">
        <v>12</v>
      </c>
      <c r="K29" s="28">
        <v>26</v>
      </c>
      <c r="L29" s="24"/>
      <c r="M29" s="24"/>
      <c r="N29" s="24"/>
      <c r="O29" s="29">
        <v>46023</v>
      </c>
      <c r="P29" s="29"/>
      <c r="Q29" s="24">
        <v>100</v>
      </c>
      <c r="R29" s="24" t="s">
        <v>69</v>
      </c>
      <c r="S29" s="10"/>
      <c r="T29" s="10" t="s">
        <v>409</v>
      </c>
      <c r="U29" s="10"/>
      <c r="V29" s="10" t="s">
        <v>458</v>
      </c>
      <c r="W29" s="14">
        <f>IF(AND(ISNUMBER(Übersicht!$B$4),Übersicht!$B$4=INT(Übersicht!$B$4),Übersicht!$B$4&gt;=2026,Übersicht!$B$4&lt;=2028),IF(I29="fixedMonthDay",IF(AND(ISNUMBER(J29),J29=INT(J29),J29&gt;=1,J29&lt;=12,ISNUMBER(K29),K29=INT(K29),K29&gt;=1,K29&lt;=31,MONTH(DATE(Übersicht!$B$4,J29,K29))=J29,DAY(DATE(Übersicht!$B$4,J29,K29))=K29,L29="",M29="",N29=""),DATE(Übersicht!$B$4,J29,K29),NA()),IF(I29="easterOffsetDays",IF(AND(ISNUMBER(L29),L29=INT(L29),L29&gt;=-366,L29&lt;=366,J29="",K29="",M29="",N29=""),$AD$23+L29,NA()),IF(I29="nthWeekdayOfMonth",IF(AND(ISNUMBER(J29),J29=INT(J29),J29&gt;=1,J29&lt;=12,ISNUMBER(M29),M29=INT(M29),M29&gt;=1,M29&lt;=7,ISNUMBER(N29),N29=INT(N29),N29&gt;=1,N29&lt;=5,MONTH(DATE(Übersicht!$B$4,J29,1)+MOD(M29-WEEKDAY(DATE(Übersicht!$B$4,J29,1),2),7)+7*(N29-1))=J29,K29="",L29=""),DATE(Übersicht!$B$4,J29,1)+MOD(M29-WEEKDAY(DATE(Übersicht!$B$4,J29,1),2),7)+7*(N29-1),NA()),IF(I29="nthWeekdayOffsetDays",IF(AND(ISNUMBER(J29),J29=INT(J29),J29&gt;=1,J29&lt;=12,ISNUMBER(M29),M29=INT(M29),M29&gt;=1,M29&lt;=7,ISNUMBER(N29),N29=INT(N29),N29&gt;=1,N29&lt;=5,MONTH(DATE(Übersicht!$B$4,J29,1)+MOD(M29-WEEKDAY(DATE(Übersicht!$B$4,J29,1),2),7)+7*(N29-1))=J29,K29="",ISNUMBER(L29),L29=INT(L29),L29&gt;=-366,L29&lt;=366),DATE(Übersicht!$B$4,J29,1)+MOD(M29-WEEKDAY(DATE(Übersicht!$B$4,J29,1),2),7)+7*(N29-1)+L29,NA()),NA())))),NA())</f>
        <v>46747</v>
      </c>
      <c r="X29" s="14">
        <f t="shared" si="0"/>
        <v>46747</v>
      </c>
      <c r="Y29" s="10" t="s">
        <v>459</v>
      </c>
      <c r="Z29" s="10" t="s">
        <v>474</v>
      </c>
      <c r="AA29" s="24" t="s">
        <v>413</v>
      </c>
    </row>
    <row r="30" spans="1:30" ht="38" customHeight="1">
      <c r="A30" s="11" t="s">
        <v>85</v>
      </c>
      <c r="B30" s="11" t="s">
        <v>67</v>
      </c>
      <c r="C30" s="11" t="s">
        <v>462</v>
      </c>
      <c r="D30" s="26" t="s">
        <v>416</v>
      </c>
      <c r="E30" s="26" t="s">
        <v>417</v>
      </c>
      <c r="F30" s="27"/>
      <c r="G30" s="27"/>
      <c r="H30" s="11" t="s">
        <v>457</v>
      </c>
      <c r="I30" s="11" t="s">
        <v>407</v>
      </c>
      <c r="J30" s="30">
        <v>1</v>
      </c>
      <c r="K30" s="30">
        <v>1</v>
      </c>
      <c r="L30" s="26"/>
      <c r="M30" s="26"/>
      <c r="N30" s="26"/>
      <c r="O30" s="31">
        <v>46023</v>
      </c>
      <c r="P30" s="31"/>
      <c r="Q30" s="26">
        <v>100</v>
      </c>
      <c r="R30" s="26" t="s">
        <v>69</v>
      </c>
      <c r="S30" s="11"/>
      <c r="T30" s="11" t="s">
        <v>409</v>
      </c>
      <c r="U30" s="11"/>
      <c r="V30" s="11" t="s">
        <v>458</v>
      </c>
      <c r="W30" s="15">
        <f>IF(AND(ISNUMBER(Übersicht!$B$4),Übersicht!$B$4=INT(Übersicht!$B$4),Übersicht!$B$4&gt;=2026,Übersicht!$B$4&lt;=2028),IF(I30="fixedMonthDay",IF(AND(ISNUMBER(J30),J30=INT(J30),J30&gt;=1,J30&lt;=12,ISNUMBER(K30),K30=INT(K30),K30&gt;=1,K30&lt;=31,MONTH(DATE(Übersicht!$B$4,J30,K30))=J30,DAY(DATE(Übersicht!$B$4,J30,K30))=K30,L30="",M30="",N30=""),DATE(Übersicht!$B$4,J30,K30),NA()),IF(I30="easterOffsetDays",IF(AND(ISNUMBER(L30),L30=INT(L30),L30&gt;=-366,L30&lt;=366,J30="",K30="",M30="",N30=""),$AD$23+L30,NA()),IF(I30="nthWeekdayOfMonth",IF(AND(ISNUMBER(J30),J30=INT(J30),J30&gt;=1,J30&lt;=12,ISNUMBER(M30),M30=INT(M30),M30&gt;=1,M30&lt;=7,ISNUMBER(N30),N30=INT(N30),N30&gt;=1,N30&lt;=5,MONTH(DATE(Übersicht!$B$4,J30,1)+MOD(M30-WEEKDAY(DATE(Übersicht!$B$4,J30,1),2),7)+7*(N30-1))=J30,K30="",L30=""),DATE(Übersicht!$B$4,J30,1)+MOD(M30-WEEKDAY(DATE(Übersicht!$B$4,J30,1),2),7)+7*(N30-1),NA()),IF(I30="nthWeekdayOffsetDays",IF(AND(ISNUMBER(J30),J30=INT(J30),J30&gt;=1,J30&lt;=12,ISNUMBER(M30),M30=INT(M30),M30&gt;=1,M30&lt;=7,ISNUMBER(N30),N30=INT(N30),N30&gt;=1,N30&lt;=5,MONTH(DATE(Übersicht!$B$4,J30,1)+MOD(M30-WEEKDAY(DATE(Übersicht!$B$4,J30,1),2),7)+7*(N30-1))=J30,K30="",ISNUMBER(L30),L30=INT(L30),L30&gt;=-366,L30&lt;=366),DATE(Übersicht!$B$4,J30,1)+MOD(M30-WEEKDAY(DATE(Übersicht!$B$4,J30,1),2),7)+7*(N30-1)+L30,NA()),NA())))),NA())</f>
        <v>46388</v>
      </c>
      <c r="X30" s="15">
        <f t="shared" si="0"/>
        <v>46388</v>
      </c>
      <c r="Y30" s="11" t="s">
        <v>459</v>
      </c>
      <c r="Z30" s="11" t="s">
        <v>463</v>
      </c>
      <c r="AA30" s="26" t="s">
        <v>413</v>
      </c>
    </row>
    <row r="31" spans="1:30" ht="38" customHeight="1">
      <c r="A31" s="10" t="s">
        <v>86</v>
      </c>
      <c r="B31" s="10" t="s">
        <v>67</v>
      </c>
      <c r="C31" s="10" t="s">
        <v>462</v>
      </c>
      <c r="D31" s="24" t="s">
        <v>424</v>
      </c>
      <c r="E31" s="24" t="s">
        <v>425</v>
      </c>
      <c r="F31" s="25"/>
      <c r="G31" s="25"/>
      <c r="H31" s="10" t="s">
        <v>457</v>
      </c>
      <c r="I31" s="10" t="s">
        <v>426</v>
      </c>
      <c r="J31" s="28"/>
      <c r="K31" s="28"/>
      <c r="L31" s="24">
        <v>-2</v>
      </c>
      <c r="M31" s="24"/>
      <c r="N31" s="24"/>
      <c r="O31" s="29">
        <v>46023</v>
      </c>
      <c r="P31" s="29"/>
      <c r="Q31" s="24">
        <v>100</v>
      </c>
      <c r="R31" s="24" t="s">
        <v>69</v>
      </c>
      <c r="S31" s="10"/>
      <c r="T31" s="10" t="s">
        <v>409</v>
      </c>
      <c r="U31" s="10"/>
      <c r="V31" s="10" t="s">
        <v>458</v>
      </c>
      <c r="W31" s="14">
        <f>IF(AND(ISNUMBER(Übersicht!$B$4),Übersicht!$B$4=INT(Übersicht!$B$4),Übersicht!$B$4&gt;=2026,Übersicht!$B$4&lt;=2028),IF(I31="fixedMonthDay",IF(AND(ISNUMBER(J31),J31=INT(J31),J31&gt;=1,J31&lt;=12,ISNUMBER(K31),K31=INT(K31),K31&gt;=1,K31&lt;=31,MONTH(DATE(Übersicht!$B$4,J31,K31))=J31,DAY(DATE(Übersicht!$B$4,J31,K31))=K31,L31="",M31="",N31=""),DATE(Übersicht!$B$4,J31,K31),NA()),IF(I31="easterOffsetDays",IF(AND(ISNUMBER(L31),L31=INT(L31),L31&gt;=-366,L31&lt;=366,J31="",K31="",M31="",N31=""),$AD$23+L31,NA()),IF(I31="nthWeekdayOfMonth",IF(AND(ISNUMBER(J31),J31=INT(J31),J31&gt;=1,J31&lt;=12,ISNUMBER(M31),M31=INT(M31),M31&gt;=1,M31&lt;=7,ISNUMBER(N31),N31=INT(N31),N31&gt;=1,N31&lt;=5,MONTH(DATE(Übersicht!$B$4,J31,1)+MOD(M31-WEEKDAY(DATE(Übersicht!$B$4,J31,1),2),7)+7*(N31-1))=J31,K31="",L31=""),DATE(Übersicht!$B$4,J31,1)+MOD(M31-WEEKDAY(DATE(Übersicht!$B$4,J31,1),2),7)+7*(N31-1),NA()),IF(I31="nthWeekdayOffsetDays",IF(AND(ISNUMBER(J31),J31=INT(J31),J31&gt;=1,J31&lt;=12,ISNUMBER(M31),M31=INT(M31),M31&gt;=1,M31&lt;=7,ISNUMBER(N31),N31=INT(N31),N31&gt;=1,N31&lt;=5,MONTH(DATE(Übersicht!$B$4,J31,1)+MOD(M31-WEEKDAY(DATE(Übersicht!$B$4,J31,1),2),7)+7*(N31-1))=J31,K31="",ISNUMBER(L31),L31=INT(L31),L31&gt;=-366,L31&lt;=366),DATE(Übersicht!$B$4,J31,1)+MOD(M31-WEEKDAY(DATE(Übersicht!$B$4,J31,1),2),7)+7*(N31-1)+L31,NA()),NA())))),NA())</f>
        <v>46472</v>
      </c>
      <c r="X31" s="14">
        <f t="shared" si="0"/>
        <v>46472</v>
      </c>
      <c r="Y31" s="10" t="s">
        <v>459</v>
      </c>
      <c r="Z31" s="10" t="s">
        <v>463</v>
      </c>
      <c r="AA31" s="24" t="s">
        <v>413</v>
      </c>
    </row>
    <row r="32" spans="1:30" ht="38" customHeight="1">
      <c r="A32" s="11" t="s">
        <v>87</v>
      </c>
      <c r="B32" s="11" t="s">
        <v>67</v>
      </c>
      <c r="C32" s="11" t="s">
        <v>462</v>
      </c>
      <c r="D32" s="26" t="s">
        <v>432</v>
      </c>
      <c r="E32" s="26" t="s">
        <v>433</v>
      </c>
      <c r="F32" s="27"/>
      <c r="G32" s="27"/>
      <c r="H32" s="11" t="s">
        <v>457</v>
      </c>
      <c r="I32" s="11" t="s">
        <v>426</v>
      </c>
      <c r="J32" s="30"/>
      <c r="K32" s="30"/>
      <c r="L32" s="26">
        <v>1</v>
      </c>
      <c r="M32" s="26"/>
      <c r="N32" s="26"/>
      <c r="O32" s="31">
        <v>46023</v>
      </c>
      <c r="P32" s="31"/>
      <c r="Q32" s="26">
        <v>100</v>
      </c>
      <c r="R32" s="26" t="s">
        <v>69</v>
      </c>
      <c r="S32" s="11"/>
      <c r="T32" s="11" t="s">
        <v>409</v>
      </c>
      <c r="U32" s="11"/>
      <c r="V32" s="11" t="s">
        <v>458</v>
      </c>
      <c r="W32" s="15">
        <f>IF(AND(ISNUMBER(Übersicht!$B$4),Übersicht!$B$4=INT(Übersicht!$B$4),Übersicht!$B$4&gt;=2026,Übersicht!$B$4&lt;=2028),IF(I32="fixedMonthDay",IF(AND(ISNUMBER(J32),J32=INT(J32),J32&gt;=1,J32&lt;=12,ISNUMBER(K32),K32=INT(K32),K32&gt;=1,K32&lt;=31,MONTH(DATE(Übersicht!$B$4,J32,K32))=J32,DAY(DATE(Übersicht!$B$4,J32,K32))=K32,L32="",M32="",N32=""),DATE(Übersicht!$B$4,J32,K32),NA()),IF(I32="easterOffsetDays",IF(AND(ISNUMBER(L32),L32=INT(L32),L32&gt;=-366,L32&lt;=366,J32="",K32="",M32="",N32=""),$AD$23+L32,NA()),IF(I32="nthWeekdayOfMonth",IF(AND(ISNUMBER(J32),J32=INT(J32),J32&gt;=1,J32&lt;=12,ISNUMBER(M32),M32=INT(M32),M32&gt;=1,M32&lt;=7,ISNUMBER(N32),N32=INT(N32),N32&gt;=1,N32&lt;=5,MONTH(DATE(Übersicht!$B$4,J32,1)+MOD(M32-WEEKDAY(DATE(Übersicht!$B$4,J32,1),2),7)+7*(N32-1))=J32,K32="",L32=""),DATE(Übersicht!$B$4,J32,1)+MOD(M32-WEEKDAY(DATE(Übersicht!$B$4,J32,1),2),7)+7*(N32-1),NA()),IF(I32="nthWeekdayOffsetDays",IF(AND(ISNUMBER(J32),J32=INT(J32),J32&gt;=1,J32&lt;=12,ISNUMBER(M32),M32=INT(M32),M32&gt;=1,M32&lt;=7,ISNUMBER(N32),N32=INT(N32),N32&gt;=1,N32&lt;=5,MONTH(DATE(Übersicht!$B$4,J32,1)+MOD(M32-WEEKDAY(DATE(Übersicht!$B$4,J32,1),2),7)+7*(N32-1))=J32,K32="",ISNUMBER(L32),L32=INT(L32),L32&gt;=-366,L32&lt;=366),DATE(Übersicht!$B$4,J32,1)+MOD(M32-WEEKDAY(DATE(Übersicht!$B$4,J32,1),2),7)+7*(N32-1)+L32,NA()),NA())))),NA())</f>
        <v>46475</v>
      </c>
      <c r="X32" s="15">
        <f t="shared" si="0"/>
        <v>46475</v>
      </c>
      <c r="Y32" s="11" t="s">
        <v>459</v>
      </c>
      <c r="Z32" s="11" t="s">
        <v>463</v>
      </c>
      <c r="AA32" s="26" t="s">
        <v>413</v>
      </c>
    </row>
    <row r="33" spans="1:27" ht="38" customHeight="1">
      <c r="A33" s="10" t="s">
        <v>88</v>
      </c>
      <c r="B33" s="10" t="s">
        <v>67</v>
      </c>
      <c r="C33" s="10" t="s">
        <v>462</v>
      </c>
      <c r="D33" s="24" t="s">
        <v>435</v>
      </c>
      <c r="E33" s="24" t="s">
        <v>436</v>
      </c>
      <c r="F33" s="25"/>
      <c r="G33" s="25"/>
      <c r="H33" s="10" t="s">
        <v>457</v>
      </c>
      <c r="I33" s="10" t="s">
        <v>426</v>
      </c>
      <c r="J33" s="28"/>
      <c r="K33" s="28"/>
      <c r="L33" s="24">
        <v>39</v>
      </c>
      <c r="M33" s="24"/>
      <c r="N33" s="24"/>
      <c r="O33" s="29">
        <v>46023</v>
      </c>
      <c r="P33" s="29"/>
      <c r="Q33" s="24">
        <v>100</v>
      </c>
      <c r="R33" s="24" t="s">
        <v>69</v>
      </c>
      <c r="S33" s="10"/>
      <c r="T33" s="10" t="s">
        <v>409</v>
      </c>
      <c r="U33" s="10"/>
      <c r="V33" s="10" t="s">
        <v>458</v>
      </c>
      <c r="W33" s="14">
        <f>IF(AND(ISNUMBER(Übersicht!$B$4),Übersicht!$B$4=INT(Übersicht!$B$4),Übersicht!$B$4&gt;=2026,Übersicht!$B$4&lt;=2028),IF(I33="fixedMonthDay",IF(AND(ISNUMBER(J33),J33=INT(J33),J33&gt;=1,J33&lt;=12,ISNUMBER(K33),K33=INT(K33),K33&gt;=1,K33&lt;=31,MONTH(DATE(Übersicht!$B$4,J33,K33))=J33,DAY(DATE(Übersicht!$B$4,J33,K33))=K33,L33="",M33="",N33=""),DATE(Übersicht!$B$4,J33,K33),NA()),IF(I33="easterOffsetDays",IF(AND(ISNUMBER(L33),L33=INT(L33),L33&gt;=-366,L33&lt;=366,J33="",K33="",M33="",N33=""),$AD$23+L33,NA()),IF(I33="nthWeekdayOfMonth",IF(AND(ISNUMBER(J33),J33=INT(J33),J33&gt;=1,J33&lt;=12,ISNUMBER(M33),M33=INT(M33),M33&gt;=1,M33&lt;=7,ISNUMBER(N33),N33=INT(N33),N33&gt;=1,N33&lt;=5,MONTH(DATE(Übersicht!$B$4,J33,1)+MOD(M33-WEEKDAY(DATE(Übersicht!$B$4,J33,1),2),7)+7*(N33-1))=J33,K33="",L33=""),DATE(Übersicht!$B$4,J33,1)+MOD(M33-WEEKDAY(DATE(Übersicht!$B$4,J33,1),2),7)+7*(N33-1),NA()),IF(I33="nthWeekdayOffsetDays",IF(AND(ISNUMBER(J33),J33=INT(J33),J33&gt;=1,J33&lt;=12,ISNUMBER(M33),M33=INT(M33),M33&gt;=1,M33&lt;=7,ISNUMBER(N33),N33=INT(N33),N33&gt;=1,N33&lt;=5,MONTH(DATE(Übersicht!$B$4,J33,1)+MOD(M33-WEEKDAY(DATE(Übersicht!$B$4,J33,1),2),7)+7*(N33-1))=J33,K33="",ISNUMBER(L33),L33=INT(L33),L33&gt;=-366,L33&lt;=366),DATE(Übersicht!$B$4,J33,1)+MOD(M33-WEEKDAY(DATE(Übersicht!$B$4,J33,1),2),7)+7*(N33-1)+L33,NA()),NA())))),NA())</f>
        <v>46513</v>
      </c>
      <c r="X33" s="14">
        <f t="shared" si="0"/>
        <v>46513</v>
      </c>
      <c r="Y33" s="10" t="s">
        <v>459</v>
      </c>
      <c r="Z33" s="10" t="s">
        <v>463</v>
      </c>
      <c r="AA33" s="24" t="s">
        <v>413</v>
      </c>
    </row>
    <row r="34" spans="1:27" ht="38" customHeight="1">
      <c r="A34" s="11" t="s">
        <v>89</v>
      </c>
      <c r="B34" s="11" t="s">
        <v>67</v>
      </c>
      <c r="C34" s="11" t="s">
        <v>462</v>
      </c>
      <c r="D34" s="26" t="s">
        <v>441</v>
      </c>
      <c r="E34" s="26" t="s">
        <v>442</v>
      </c>
      <c r="F34" s="27"/>
      <c r="G34" s="27"/>
      <c r="H34" s="11" t="s">
        <v>457</v>
      </c>
      <c r="I34" s="11" t="s">
        <v>426</v>
      </c>
      <c r="J34" s="30"/>
      <c r="K34" s="30"/>
      <c r="L34" s="26">
        <v>50</v>
      </c>
      <c r="M34" s="26"/>
      <c r="N34" s="26"/>
      <c r="O34" s="31">
        <v>46023</v>
      </c>
      <c r="P34" s="31"/>
      <c r="Q34" s="26">
        <v>100</v>
      </c>
      <c r="R34" s="26" t="s">
        <v>69</v>
      </c>
      <c r="S34" s="11"/>
      <c r="T34" s="11" t="s">
        <v>409</v>
      </c>
      <c r="U34" s="11"/>
      <c r="V34" s="11" t="s">
        <v>458</v>
      </c>
      <c r="W34" s="15">
        <f>IF(AND(ISNUMBER(Übersicht!$B$4),Übersicht!$B$4=INT(Übersicht!$B$4),Übersicht!$B$4&gt;=2026,Übersicht!$B$4&lt;=2028),IF(I34="fixedMonthDay",IF(AND(ISNUMBER(J34),J34=INT(J34),J34&gt;=1,J34&lt;=12,ISNUMBER(K34),K34=INT(K34),K34&gt;=1,K34&lt;=31,MONTH(DATE(Übersicht!$B$4,J34,K34))=J34,DAY(DATE(Übersicht!$B$4,J34,K34))=K34,L34="",M34="",N34=""),DATE(Übersicht!$B$4,J34,K34),NA()),IF(I34="easterOffsetDays",IF(AND(ISNUMBER(L34),L34=INT(L34),L34&gt;=-366,L34&lt;=366,J34="",K34="",M34="",N34=""),$AD$23+L34,NA()),IF(I34="nthWeekdayOfMonth",IF(AND(ISNUMBER(J34),J34=INT(J34),J34&gt;=1,J34&lt;=12,ISNUMBER(M34),M34=INT(M34),M34&gt;=1,M34&lt;=7,ISNUMBER(N34),N34=INT(N34),N34&gt;=1,N34&lt;=5,MONTH(DATE(Übersicht!$B$4,J34,1)+MOD(M34-WEEKDAY(DATE(Übersicht!$B$4,J34,1),2),7)+7*(N34-1))=J34,K34="",L34=""),DATE(Übersicht!$B$4,J34,1)+MOD(M34-WEEKDAY(DATE(Übersicht!$B$4,J34,1),2),7)+7*(N34-1),NA()),IF(I34="nthWeekdayOffsetDays",IF(AND(ISNUMBER(J34),J34=INT(J34),J34&gt;=1,J34&lt;=12,ISNUMBER(M34),M34=INT(M34),M34&gt;=1,M34&lt;=7,ISNUMBER(N34),N34=INT(N34),N34&gt;=1,N34&lt;=5,MONTH(DATE(Übersicht!$B$4,J34,1)+MOD(M34-WEEKDAY(DATE(Übersicht!$B$4,J34,1),2),7)+7*(N34-1))=J34,K34="",ISNUMBER(L34),L34=INT(L34),L34&gt;=-366,L34&lt;=366),DATE(Übersicht!$B$4,J34,1)+MOD(M34-WEEKDAY(DATE(Übersicht!$B$4,J34,1),2),7)+7*(N34-1)+L34,NA()),NA())))),NA())</f>
        <v>46524</v>
      </c>
      <c r="X34" s="15">
        <f t="shared" si="0"/>
        <v>46524</v>
      </c>
      <c r="Y34" s="11" t="s">
        <v>459</v>
      </c>
      <c r="Z34" s="11" t="s">
        <v>463</v>
      </c>
      <c r="AA34" s="26" t="s">
        <v>413</v>
      </c>
    </row>
    <row r="35" spans="1:27" ht="38" customHeight="1">
      <c r="A35" s="10" t="s">
        <v>90</v>
      </c>
      <c r="B35" s="10" t="s">
        <v>67</v>
      </c>
      <c r="C35" s="10" t="s">
        <v>462</v>
      </c>
      <c r="D35" s="24" t="s">
        <v>448</v>
      </c>
      <c r="E35" s="24" t="s">
        <v>449</v>
      </c>
      <c r="F35" s="25"/>
      <c r="G35" s="25"/>
      <c r="H35" s="10" t="s">
        <v>457</v>
      </c>
      <c r="I35" s="10" t="s">
        <v>407</v>
      </c>
      <c r="J35" s="28">
        <v>12</v>
      </c>
      <c r="K35" s="28">
        <v>25</v>
      </c>
      <c r="L35" s="24"/>
      <c r="M35" s="24"/>
      <c r="N35" s="24"/>
      <c r="O35" s="29">
        <v>46023</v>
      </c>
      <c r="P35" s="29"/>
      <c r="Q35" s="24">
        <v>100</v>
      </c>
      <c r="R35" s="24" t="s">
        <v>69</v>
      </c>
      <c r="S35" s="10"/>
      <c r="T35" s="10" t="s">
        <v>409</v>
      </c>
      <c r="U35" s="10"/>
      <c r="V35" s="10" t="s">
        <v>458</v>
      </c>
      <c r="W35" s="14">
        <f>IF(AND(ISNUMBER(Übersicht!$B$4),Übersicht!$B$4=INT(Übersicht!$B$4),Übersicht!$B$4&gt;=2026,Übersicht!$B$4&lt;=2028),IF(I35="fixedMonthDay",IF(AND(ISNUMBER(J35),J35=INT(J35),J35&gt;=1,J35&lt;=12,ISNUMBER(K35),K35=INT(K35),K35&gt;=1,K35&lt;=31,MONTH(DATE(Übersicht!$B$4,J35,K35))=J35,DAY(DATE(Übersicht!$B$4,J35,K35))=K35,L35="",M35="",N35=""),DATE(Übersicht!$B$4,J35,K35),NA()),IF(I35="easterOffsetDays",IF(AND(ISNUMBER(L35),L35=INT(L35),L35&gt;=-366,L35&lt;=366,J35="",K35="",M35="",N35=""),$AD$23+L35,NA()),IF(I35="nthWeekdayOfMonth",IF(AND(ISNUMBER(J35),J35=INT(J35),J35&gt;=1,J35&lt;=12,ISNUMBER(M35),M35=INT(M35),M35&gt;=1,M35&lt;=7,ISNUMBER(N35),N35=INT(N35),N35&gt;=1,N35&lt;=5,MONTH(DATE(Übersicht!$B$4,J35,1)+MOD(M35-WEEKDAY(DATE(Übersicht!$B$4,J35,1),2),7)+7*(N35-1))=J35,K35="",L35=""),DATE(Übersicht!$B$4,J35,1)+MOD(M35-WEEKDAY(DATE(Übersicht!$B$4,J35,1),2),7)+7*(N35-1),NA()),IF(I35="nthWeekdayOffsetDays",IF(AND(ISNUMBER(J35),J35=INT(J35),J35&gt;=1,J35&lt;=12,ISNUMBER(M35),M35=INT(M35),M35&gt;=1,M35&lt;=7,ISNUMBER(N35),N35=INT(N35),N35&gt;=1,N35&lt;=5,MONTH(DATE(Übersicht!$B$4,J35,1)+MOD(M35-WEEKDAY(DATE(Übersicht!$B$4,J35,1),2),7)+7*(N35-1))=J35,K35="",ISNUMBER(L35),L35=INT(L35),L35&gt;=-366,L35&lt;=366),DATE(Übersicht!$B$4,J35,1)+MOD(M35-WEEKDAY(DATE(Übersicht!$B$4,J35,1),2),7)+7*(N35-1)+L35,NA()),NA())))),NA())</f>
        <v>46746</v>
      </c>
      <c r="X35" s="14">
        <f t="shared" si="0"/>
        <v>46746</v>
      </c>
      <c r="Y35" s="10" t="s">
        <v>459</v>
      </c>
      <c r="Z35" s="10" t="s">
        <v>463</v>
      </c>
      <c r="AA35" s="24" t="s">
        <v>413</v>
      </c>
    </row>
    <row r="36" spans="1:27" ht="38" customHeight="1">
      <c r="A36" s="11" t="s">
        <v>91</v>
      </c>
      <c r="B36" s="11" t="s">
        <v>67</v>
      </c>
      <c r="C36" s="11" t="s">
        <v>462</v>
      </c>
      <c r="D36" s="26" t="s">
        <v>451</v>
      </c>
      <c r="E36" s="26" t="s">
        <v>452</v>
      </c>
      <c r="F36" s="27"/>
      <c r="G36" s="27"/>
      <c r="H36" s="11" t="s">
        <v>457</v>
      </c>
      <c r="I36" s="11" t="s">
        <v>407</v>
      </c>
      <c r="J36" s="30">
        <v>12</v>
      </c>
      <c r="K36" s="30">
        <v>26</v>
      </c>
      <c r="L36" s="26"/>
      <c r="M36" s="26"/>
      <c r="N36" s="26"/>
      <c r="O36" s="31">
        <v>46023</v>
      </c>
      <c r="P36" s="31"/>
      <c r="Q36" s="26">
        <v>100</v>
      </c>
      <c r="R36" s="26" t="s">
        <v>69</v>
      </c>
      <c r="S36" s="11"/>
      <c r="T36" s="11" t="s">
        <v>409</v>
      </c>
      <c r="U36" s="11"/>
      <c r="V36" s="11" t="s">
        <v>458</v>
      </c>
      <c r="W36" s="15">
        <f>IF(AND(ISNUMBER(Übersicht!$B$4),Übersicht!$B$4=INT(Übersicht!$B$4),Übersicht!$B$4&gt;=2026,Übersicht!$B$4&lt;=2028),IF(I36="fixedMonthDay",IF(AND(ISNUMBER(J36),J36=INT(J36),J36&gt;=1,J36&lt;=12,ISNUMBER(K36),K36=INT(K36),K36&gt;=1,K36&lt;=31,MONTH(DATE(Übersicht!$B$4,J36,K36))=J36,DAY(DATE(Übersicht!$B$4,J36,K36))=K36,L36="",M36="",N36=""),DATE(Übersicht!$B$4,J36,K36),NA()),IF(I36="easterOffsetDays",IF(AND(ISNUMBER(L36),L36=INT(L36),L36&gt;=-366,L36&lt;=366,J36="",K36="",M36="",N36=""),$AD$23+L36,NA()),IF(I36="nthWeekdayOfMonth",IF(AND(ISNUMBER(J36),J36=INT(J36),J36&gt;=1,J36&lt;=12,ISNUMBER(M36),M36=INT(M36),M36&gt;=1,M36&lt;=7,ISNUMBER(N36),N36=INT(N36),N36&gt;=1,N36&lt;=5,MONTH(DATE(Übersicht!$B$4,J36,1)+MOD(M36-WEEKDAY(DATE(Übersicht!$B$4,J36,1),2),7)+7*(N36-1))=J36,K36="",L36=""),DATE(Übersicht!$B$4,J36,1)+MOD(M36-WEEKDAY(DATE(Übersicht!$B$4,J36,1),2),7)+7*(N36-1),NA()),IF(I36="nthWeekdayOffsetDays",IF(AND(ISNUMBER(J36),J36=INT(J36),J36&gt;=1,J36&lt;=12,ISNUMBER(M36),M36=INT(M36),M36&gt;=1,M36&lt;=7,ISNUMBER(N36),N36=INT(N36),N36&gt;=1,N36&lt;=5,MONTH(DATE(Übersicht!$B$4,J36,1)+MOD(M36-WEEKDAY(DATE(Übersicht!$B$4,J36,1),2),7)+7*(N36-1))=J36,K36="",ISNUMBER(L36),L36=INT(L36),L36&gt;=-366,L36&lt;=366),DATE(Übersicht!$B$4,J36,1)+MOD(M36-WEEKDAY(DATE(Übersicht!$B$4,J36,1),2),7)+7*(N36-1)+L36,NA()),NA())))),NA())</f>
        <v>46747</v>
      </c>
      <c r="X36" s="15">
        <f t="shared" si="0"/>
        <v>46747</v>
      </c>
      <c r="Y36" s="11" t="s">
        <v>459</v>
      </c>
      <c r="Z36" s="11" t="s">
        <v>463</v>
      </c>
      <c r="AA36" s="26" t="s">
        <v>413</v>
      </c>
    </row>
    <row r="37" spans="1:27" ht="38" customHeight="1">
      <c r="A37" s="10" t="s">
        <v>92</v>
      </c>
      <c r="B37" s="10" t="s">
        <v>67</v>
      </c>
      <c r="C37" s="10" t="s">
        <v>454</v>
      </c>
      <c r="D37" s="24" t="s">
        <v>416</v>
      </c>
      <c r="E37" s="24" t="s">
        <v>417</v>
      </c>
      <c r="F37" s="25"/>
      <c r="G37" s="25"/>
      <c r="H37" s="10" t="s">
        <v>457</v>
      </c>
      <c r="I37" s="10" t="s">
        <v>407</v>
      </c>
      <c r="J37" s="28">
        <v>1</v>
      </c>
      <c r="K37" s="28">
        <v>1</v>
      </c>
      <c r="L37" s="24"/>
      <c r="M37" s="24"/>
      <c r="N37" s="24"/>
      <c r="O37" s="29">
        <v>46023</v>
      </c>
      <c r="P37" s="29"/>
      <c r="Q37" s="24">
        <v>100</v>
      </c>
      <c r="R37" s="24" t="s">
        <v>69</v>
      </c>
      <c r="S37" s="10"/>
      <c r="T37" s="10" t="s">
        <v>409</v>
      </c>
      <c r="U37" s="10"/>
      <c r="V37" s="10" t="s">
        <v>458</v>
      </c>
      <c r="W37" s="14">
        <f>IF(AND(ISNUMBER(Übersicht!$B$4),Übersicht!$B$4=INT(Übersicht!$B$4),Übersicht!$B$4&gt;=2026,Übersicht!$B$4&lt;=2028),IF(I37="fixedMonthDay",IF(AND(ISNUMBER(J37),J37=INT(J37),J37&gt;=1,J37&lt;=12,ISNUMBER(K37),K37=INT(K37),K37&gt;=1,K37&lt;=31,MONTH(DATE(Übersicht!$B$4,J37,K37))=J37,DAY(DATE(Übersicht!$B$4,J37,K37))=K37,L37="",M37="",N37=""),DATE(Übersicht!$B$4,J37,K37),NA()),IF(I37="easterOffsetDays",IF(AND(ISNUMBER(L37),L37=INT(L37),L37&gt;=-366,L37&lt;=366,J37="",K37="",M37="",N37=""),$AD$23+L37,NA()),IF(I37="nthWeekdayOfMonth",IF(AND(ISNUMBER(J37),J37=INT(J37),J37&gt;=1,J37&lt;=12,ISNUMBER(M37),M37=INT(M37),M37&gt;=1,M37&lt;=7,ISNUMBER(N37),N37=INT(N37),N37&gt;=1,N37&lt;=5,MONTH(DATE(Übersicht!$B$4,J37,1)+MOD(M37-WEEKDAY(DATE(Übersicht!$B$4,J37,1),2),7)+7*(N37-1))=J37,K37="",L37=""),DATE(Übersicht!$B$4,J37,1)+MOD(M37-WEEKDAY(DATE(Übersicht!$B$4,J37,1),2),7)+7*(N37-1),NA()),IF(I37="nthWeekdayOffsetDays",IF(AND(ISNUMBER(J37),J37=INT(J37),J37&gt;=1,J37&lt;=12,ISNUMBER(M37),M37=INT(M37),M37&gt;=1,M37&lt;=7,ISNUMBER(N37),N37=INT(N37),N37&gt;=1,N37&lt;=5,MONTH(DATE(Übersicht!$B$4,J37,1)+MOD(M37-WEEKDAY(DATE(Übersicht!$B$4,J37,1),2),7)+7*(N37-1))=J37,K37="",ISNUMBER(L37),L37=INT(L37),L37&gt;=-366,L37&lt;=366),DATE(Übersicht!$B$4,J37,1)+MOD(M37-WEEKDAY(DATE(Übersicht!$B$4,J37,1),2),7)+7*(N37-1)+L37,NA()),NA())))),NA())</f>
        <v>46388</v>
      </c>
      <c r="X37" s="14">
        <f t="shared" si="0"/>
        <v>46388</v>
      </c>
      <c r="Y37" s="10" t="s">
        <v>459</v>
      </c>
      <c r="Z37" s="10" t="s">
        <v>460</v>
      </c>
      <c r="AA37" s="24" t="s">
        <v>413</v>
      </c>
    </row>
    <row r="38" spans="1:27" ht="38" customHeight="1">
      <c r="A38" s="11" t="s">
        <v>93</v>
      </c>
      <c r="B38" s="11" t="s">
        <v>67</v>
      </c>
      <c r="C38" s="11" t="s">
        <v>454</v>
      </c>
      <c r="D38" s="26" t="s">
        <v>424</v>
      </c>
      <c r="E38" s="26" t="s">
        <v>425</v>
      </c>
      <c r="F38" s="27"/>
      <c r="G38" s="27"/>
      <c r="H38" s="11" t="s">
        <v>457</v>
      </c>
      <c r="I38" s="11" t="s">
        <v>426</v>
      </c>
      <c r="J38" s="30"/>
      <c r="K38" s="30"/>
      <c r="L38" s="26">
        <v>-2</v>
      </c>
      <c r="M38" s="26"/>
      <c r="N38" s="26"/>
      <c r="O38" s="31">
        <v>46023</v>
      </c>
      <c r="P38" s="31"/>
      <c r="Q38" s="26">
        <v>100</v>
      </c>
      <c r="R38" s="26" t="s">
        <v>69</v>
      </c>
      <c r="S38" s="11"/>
      <c r="T38" s="11" t="s">
        <v>409</v>
      </c>
      <c r="U38" s="11"/>
      <c r="V38" s="11" t="s">
        <v>458</v>
      </c>
      <c r="W38" s="15">
        <f>IF(AND(ISNUMBER(Übersicht!$B$4),Übersicht!$B$4=INT(Übersicht!$B$4),Übersicht!$B$4&gt;=2026,Übersicht!$B$4&lt;=2028),IF(I38="fixedMonthDay",IF(AND(ISNUMBER(J38),J38=INT(J38),J38&gt;=1,J38&lt;=12,ISNUMBER(K38),K38=INT(K38),K38&gt;=1,K38&lt;=31,MONTH(DATE(Übersicht!$B$4,J38,K38))=J38,DAY(DATE(Übersicht!$B$4,J38,K38))=K38,L38="",M38="",N38=""),DATE(Übersicht!$B$4,J38,K38),NA()),IF(I38="easterOffsetDays",IF(AND(ISNUMBER(L38),L38=INT(L38),L38&gt;=-366,L38&lt;=366,J38="",K38="",M38="",N38=""),$AD$23+L38,NA()),IF(I38="nthWeekdayOfMonth",IF(AND(ISNUMBER(J38),J38=INT(J38),J38&gt;=1,J38&lt;=12,ISNUMBER(M38),M38=INT(M38),M38&gt;=1,M38&lt;=7,ISNUMBER(N38),N38=INT(N38),N38&gt;=1,N38&lt;=5,MONTH(DATE(Übersicht!$B$4,J38,1)+MOD(M38-WEEKDAY(DATE(Übersicht!$B$4,J38,1),2),7)+7*(N38-1))=J38,K38="",L38=""),DATE(Übersicht!$B$4,J38,1)+MOD(M38-WEEKDAY(DATE(Übersicht!$B$4,J38,1),2),7)+7*(N38-1),NA()),IF(I38="nthWeekdayOffsetDays",IF(AND(ISNUMBER(J38),J38=INT(J38),J38&gt;=1,J38&lt;=12,ISNUMBER(M38),M38=INT(M38),M38&gt;=1,M38&lt;=7,ISNUMBER(N38),N38=INT(N38),N38&gt;=1,N38&lt;=5,MONTH(DATE(Übersicht!$B$4,J38,1)+MOD(M38-WEEKDAY(DATE(Übersicht!$B$4,J38,1),2),7)+7*(N38-1))=J38,K38="",ISNUMBER(L38),L38=INT(L38),L38&gt;=-366,L38&lt;=366),DATE(Übersicht!$B$4,J38,1)+MOD(M38-WEEKDAY(DATE(Übersicht!$B$4,J38,1),2),7)+7*(N38-1)+L38,NA()),NA())))),NA())</f>
        <v>46472</v>
      </c>
      <c r="X38" s="15">
        <f t="shared" si="0"/>
        <v>46472</v>
      </c>
      <c r="Y38" s="11" t="s">
        <v>459</v>
      </c>
      <c r="Z38" s="11" t="s">
        <v>460</v>
      </c>
      <c r="AA38" s="26" t="s">
        <v>413</v>
      </c>
    </row>
    <row r="39" spans="1:27" ht="38" customHeight="1">
      <c r="A39" s="10" t="s">
        <v>94</v>
      </c>
      <c r="B39" s="10" t="s">
        <v>67</v>
      </c>
      <c r="C39" s="10" t="s">
        <v>454</v>
      </c>
      <c r="D39" s="24" t="s">
        <v>432</v>
      </c>
      <c r="E39" s="24" t="s">
        <v>433</v>
      </c>
      <c r="F39" s="25"/>
      <c r="G39" s="25"/>
      <c r="H39" s="10" t="s">
        <v>457</v>
      </c>
      <c r="I39" s="10" t="s">
        <v>426</v>
      </c>
      <c r="J39" s="28"/>
      <c r="K39" s="28"/>
      <c r="L39" s="24">
        <v>1</v>
      </c>
      <c r="M39" s="24"/>
      <c r="N39" s="24"/>
      <c r="O39" s="29">
        <v>46023</v>
      </c>
      <c r="P39" s="29"/>
      <c r="Q39" s="24">
        <v>100</v>
      </c>
      <c r="R39" s="24" t="s">
        <v>69</v>
      </c>
      <c r="S39" s="10"/>
      <c r="T39" s="10" t="s">
        <v>409</v>
      </c>
      <c r="U39" s="10"/>
      <c r="V39" s="10" t="s">
        <v>458</v>
      </c>
      <c r="W39" s="14">
        <f>IF(AND(ISNUMBER(Übersicht!$B$4),Übersicht!$B$4=INT(Übersicht!$B$4),Übersicht!$B$4&gt;=2026,Übersicht!$B$4&lt;=2028),IF(I39="fixedMonthDay",IF(AND(ISNUMBER(J39),J39=INT(J39),J39&gt;=1,J39&lt;=12,ISNUMBER(K39),K39=INT(K39),K39&gt;=1,K39&lt;=31,MONTH(DATE(Übersicht!$B$4,J39,K39))=J39,DAY(DATE(Übersicht!$B$4,J39,K39))=K39,L39="",M39="",N39=""),DATE(Übersicht!$B$4,J39,K39),NA()),IF(I39="easterOffsetDays",IF(AND(ISNUMBER(L39),L39=INT(L39),L39&gt;=-366,L39&lt;=366,J39="",K39="",M39="",N39=""),$AD$23+L39,NA()),IF(I39="nthWeekdayOfMonth",IF(AND(ISNUMBER(J39),J39=INT(J39),J39&gt;=1,J39&lt;=12,ISNUMBER(M39),M39=INT(M39),M39&gt;=1,M39&lt;=7,ISNUMBER(N39),N39=INT(N39),N39&gt;=1,N39&lt;=5,MONTH(DATE(Übersicht!$B$4,J39,1)+MOD(M39-WEEKDAY(DATE(Übersicht!$B$4,J39,1),2),7)+7*(N39-1))=J39,K39="",L39=""),DATE(Übersicht!$B$4,J39,1)+MOD(M39-WEEKDAY(DATE(Übersicht!$B$4,J39,1),2),7)+7*(N39-1),NA()),IF(I39="nthWeekdayOffsetDays",IF(AND(ISNUMBER(J39),J39=INT(J39),J39&gt;=1,J39&lt;=12,ISNUMBER(M39),M39=INT(M39),M39&gt;=1,M39&lt;=7,ISNUMBER(N39),N39=INT(N39),N39&gt;=1,N39&lt;=5,MONTH(DATE(Übersicht!$B$4,J39,1)+MOD(M39-WEEKDAY(DATE(Übersicht!$B$4,J39,1),2),7)+7*(N39-1))=J39,K39="",ISNUMBER(L39),L39=INT(L39),L39&gt;=-366,L39&lt;=366),DATE(Übersicht!$B$4,J39,1)+MOD(M39-WEEKDAY(DATE(Übersicht!$B$4,J39,1),2),7)+7*(N39-1)+L39,NA()),NA())))),NA())</f>
        <v>46475</v>
      </c>
      <c r="X39" s="14">
        <f t="shared" ref="X39:X70" si="1">IF(AND(ISNUMBER(O39),O39=INT(O39),O39&gt;=-115780,O39&lt;=2958465,OR(P39="",AND(ISNUMBER(P39),P39=INT(P39),P39&gt;=-115780,P39&lt;=2958465,P39&gt;=O39)),OR(AA39="Ganztägig",AA39="Ab 12.00 Uhr")),IF(AND(W39&gt;=O39,OR(P39="",W39&lt;=P39)),W39,"Ausserhalb Geltung"),NA())</f>
        <v>46475</v>
      </c>
      <c r="Y39" s="10" t="s">
        <v>459</v>
      </c>
      <c r="Z39" s="10" t="s">
        <v>460</v>
      </c>
      <c r="AA39" s="24" t="s">
        <v>413</v>
      </c>
    </row>
    <row r="40" spans="1:27" ht="38" customHeight="1">
      <c r="A40" s="11" t="s">
        <v>95</v>
      </c>
      <c r="B40" s="11" t="s">
        <v>67</v>
      </c>
      <c r="C40" s="11" t="s">
        <v>454</v>
      </c>
      <c r="D40" s="26" t="s">
        <v>435</v>
      </c>
      <c r="E40" s="26" t="s">
        <v>436</v>
      </c>
      <c r="F40" s="27"/>
      <c r="G40" s="27"/>
      <c r="H40" s="11" t="s">
        <v>457</v>
      </c>
      <c r="I40" s="11" t="s">
        <v>426</v>
      </c>
      <c r="J40" s="30"/>
      <c r="K40" s="30"/>
      <c r="L40" s="26">
        <v>39</v>
      </c>
      <c r="M40" s="26"/>
      <c r="N40" s="26"/>
      <c r="O40" s="31">
        <v>46023</v>
      </c>
      <c r="P40" s="31"/>
      <c r="Q40" s="26">
        <v>100</v>
      </c>
      <c r="R40" s="26" t="s">
        <v>69</v>
      </c>
      <c r="S40" s="11"/>
      <c r="T40" s="11" t="s">
        <v>409</v>
      </c>
      <c r="U40" s="11"/>
      <c r="V40" s="11" t="s">
        <v>458</v>
      </c>
      <c r="W40" s="15">
        <f>IF(AND(ISNUMBER(Übersicht!$B$4),Übersicht!$B$4=INT(Übersicht!$B$4),Übersicht!$B$4&gt;=2026,Übersicht!$B$4&lt;=2028),IF(I40="fixedMonthDay",IF(AND(ISNUMBER(J40),J40=INT(J40),J40&gt;=1,J40&lt;=12,ISNUMBER(K40),K40=INT(K40),K40&gt;=1,K40&lt;=31,MONTH(DATE(Übersicht!$B$4,J40,K40))=J40,DAY(DATE(Übersicht!$B$4,J40,K40))=K40,L40="",M40="",N40=""),DATE(Übersicht!$B$4,J40,K40),NA()),IF(I40="easterOffsetDays",IF(AND(ISNUMBER(L40),L40=INT(L40),L40&gt;=-366,L40&lt;=366,J40="",K40="",M40="",N40=""),$AD$23+L40,NA()),IF(I40="nthWeekdayOfMonth",IF(AND(ISNUMBER(J40),J40=INT(J40),J40&gt;=1,J40&lt;=12,ISNUMBER(M40),M40=INT(M40),M40&gt;=1,M40&lt;=7,ISNUMBER(N40),N40=INT(N40),N40&gt;=1,N40&lt;=5,MONTH(DATE(Übersicht!$B$4,J40,1)+MOD(M40-WEEKDAY(DATE(Übersicht!$B$4,J40,1),2),7)+7*(N40-1))=J40,K40="",L40=""),DATE(Übersicht!$B$4,J40,1)+MOD(M40-WEEKDAY(DATE(Übersicht!$B$4,J40,1),2),7)+7*(N40-1),NA()),IF(I40="nthWeekdayOffsetDays",IF(AND(ISNUMBER(J40),J40=INT(J40),J40&gt;=1,J40&lt;=12,ISNUMBER(M40),M40=INT(M40),M40&gt;=1,M40&lt;=7,ISNUMBER(N40),N40=INT(N40),N40&gt;=1,N40&lt;=5,MONTH(DATE(Übersicht!$B$4,J40,1)+MOD(M40-WEEKDAY(DATE(Übersicht!$B$4,J40,1),2),7)+7*(N40-1))=J40,K40="",ISNUMBER(L40),L40=INT(L40),L40&gt;=-366,L40&lt;=366),DATE(Übersicht!$B$4,J40,1)+MOD(M40-WEEKDAY(DATE(Übersicht!$B$4,J40,1),2),7)+7*(N40-1)+L40,NA()),NA())))),NA())</f>
        <v>46513</v>
      </c>
      <c r="X40" s="15">
        <f t="shared" si="1"/>
        <v>46513</v>
      </c>
      <c r="Y40" s="11" t="s">
        <v>459</v>
      </c>
      <c r="Z40" s="11" t="s">
        <v>460</v>
      </c>
      <c r="AA40" s="26" t="s">
        <v>413</v>
      </c>
    </row>
    <row r="41" spans="1:27" ht="38" customHeight="1">
      <c r="A41" s="10" t="s">
        <v>96</v>
      </c>
      <c r="B41" s="10" t="s">
        <v>67</v>
      </c>
      <c r="C41" s="10" t="s">
        <v>454</v>
      </c>
      <c r="D41" s="24" t="s">
        <v>441</v>
      </c>
      <c r="E41" s="24" t="s">
        <v>442</v>
      </c>
      <c r="F41" s="25"/>
      <c r="G41" s="25"/>
      <c r="H41" s="10" t="s">
        <v>457</v>
      </c>
      <c r="I41" s="10" t="s">
        <v>426</v>
      </c>
      <c r="J41" s="28"/>
      <c r="K41" s="28"/>
      <c r="L41" s="24">
        <v>50</v>
      </c>
      <c r="M41" s="24"/>
      <c r="N41" s="24"/>
      <c r="O41" s="29">
        <v>46023</v>
      </c>
      <c r="P41" s="29"/>
      <c r="Q41" s="24">
        <v>100</v>
      </c>
      <c r="R41" s="24" t="s">
        <v>69</v>
      </c>
      <c r="S41" s="10"/>
      <c r="T41" s="10" t="s">
        <v>409</v>
      </c>
      <c r="U41" s="10"/>
      <c r="V41" s="10" t="s">
        <v>458</v>
      </c>
      <c r="W41" s="14">
        <f>IF(AND(ISNUMBER(Übersicht!$B$4),Übersicht!$B$4=INT(Übersicht!$B$4),Übersicht!$B$4&gt;=2026,Übersicht!$B$4&lt;=2028),IF(I41="fixedMonthDay",IF(AND(ISNUMBER(J41),J41=INT(J41),J41&gt;=1,J41&lt;=12,ISNUMBER(K41),K41=INT(K41),K41&gt;=1,K41&lt;=31,MONTH(DATE(Übersicht!$B$4,J41,K41))=J41,DAY(DATE(Übersicht!$B$4,J41,K41))=K41,L41="",M41="",N41=""),DATE(Übersicht!$B$4,J41,K41),NA()),IF(I41="easterOffsetDays",IF(AND(ISNUMBER(L41),L41=INT(L41),L41&gt;=-366,L41&lt;=366,J41="",K41="",M41="",N41=""),$AD$23+L41,NA()),IF(I41="nthWeekdayOfMonth",IF(AND(ISNUMBER(J41),J41=INT(J41),J41&gt;=1,J41&lt;=12,ISNUMBER(M41),M41=INT(M41),M41&gt;=1,M41&lt;=7,ISNUMBER(N41),N41=INT(N41),N41&gt;=1,N41&lt;=5,MONTH(DATE(Übersicht!$B$4,J41,1)+MOD(M41-WEEKDAY(DATE(Übersicht!$B$4,J41,1),2),7)+7*(N41-1))=J41,K41="",L41=""),DATE(Übersicht!$B$4,J41,1)+MOD(M41-WEEKDAY(DATE(Übersicht!$B$4,J41,1),2),7)+7*(N41-1),NA()),IF(I41="nthWeekdayOffsetDays",IF(AND(ISNUMBER(J41),J41=INT(J41),J41&gt;=1,J41&lt;=12,ISNUMBER(M41),M41=INT(M41),M41&gt;=1,M41&lt;=7,ISNUMBER(N41),N41=INT(N41),N41&gt;=1,N41&lt;=5,MONTH(DATE(Übersicht!$B$4,J41,1)+MOD(M41-WEEKDAY(DATE(Übersicht!$B$4,J41,1),2),7)+7*(N41-1))=J41,K41="",ISNUMBER(L41),L41=INT(L41),L41&gt;=-366,L41&lt;=366),DATE(Übersicht!$B$4,J41,1)+MOD(M41-WEEKDAY(DATE(Übersicht!$B$4,J41,1),2),7)+7*(N41-1)+L41,NA()),NA())))),NA())</f>
        <v>46524</v>
      </c>
      <c r="X41" s="14">
        <f t="shared" si="1"/>
        <v>46524</v>
      </c>
      <c r="Y41" s="10" t="s">
        <v>459</v>
      </c>
      <c r="Z41" s="10" t="s">
        <v>460</v>
      </c>
      <c r="AA41" s="24" t="s">
        <v>413</v>
      </c>
    </row>
    <row r="42" spans="1:27" ht="38" customHeight="1">
      <c r="A42" s="11" t="s">
        <v>97</v>
      </c>
      <c r="B42" s="11" t="s">
        <v>67</v>
      </c>
      <c r="C42" s="11" t="s">
        <v>454</v>
      </c>
      <c r="D42" s="26" t="s">
        <v>448</v>
      </c>
      <c r="E42" s="26" t="s">
        <v>449</v>
      </c>
      <c r="F42" s="27"/>
      <c r="G42" s="27"/>
      <c r="H42" s="11" t="s">
        <v>457</v>
      </c>
      <c r="I42" s="11" t="s">
        <v>407</v>
      </c>
      <c r="J42" s="30">
        <v>12</v>
      </c>
      <c r="K42" s="30">
        <v>25</v>
      </c>
      <c r="L42" s="26"/>
      <c r="M42" s="26"/>
      <c r="N42" s="26"/>
      <c r="O42" s="31">
        <v>46023</v>
      </c>
      <c r="P42" s="31"/>
      <c r="Q42" s="26">
        <v>100</v>
      </c>
      <c r="R42" s="26" t="s">
        <v>69</v>
      </c>
      <c r="S42" s="11"/>
      <c r="T42" s="11" t="s">
        <v>409</v>
      </c>
      <c r="U42" s="11"/>
      <c r="V42" s="11" t="s">
        <v>458</v>
      </c>
      <c r="W42" s="15">
        <f>IF(AND(ISNUMBER(Übersicht!$B$4),Übersicht!$B$4=INT(Übersicht!$B$4),Übersicht!$B$4&gt;=2026,Übersicht!$B$4&lt;=2028),IF(I42="fixedMonthDay",IF(AND(ISNUMBER(J42),J42=INT(J42),J42&gt;=1,J42&lt;=12,ISNUMBER(K42),K42=INT(K42),K42&gt;=1,K42&lt;=31,MONTH(DATE(Übersicht!$B$4,J42,K42))=J42,DAY(DATE(Übersicht!$B$4,J42,K42))=K42,L42="",M42="",N42=""),DATE(Übersicht!$B$4,J42,K42),NA()),IF(I42="easterOffsetDays",IF(AND(ISNUMBER(L42),L42=INT(L42),L42&gt;=-366,L42&lt;=366,J42="",K42="",M42="",N42=""),$AD$23+L42,NA()),IF(I42="nthWeekdayOfMonth",IF(AND(ISNUMBER(J42),J42=INT(J42),J42&gt;=1,J42&lt;=12,ISNUMBER(M42),M42=INT(M42),M42&gt;=1,M42&lt;=7,ISNUMBER(N42),N42=INT(N42),N42&gt;=1,N42&lt;=5,MONTH(DATE(Übersicht!$B$4,J42,1)+MOD(M42-WEEKDAY(DATE(Übersicht!$B$4,J42,1),2),7)+7*(N42-1))=J42,K42="",L42=""),DATE(Übersicht!$B$4,J42,1)+MOD(M42-WEEKDAY(DATE(Übersicht!$B$4,J42,1),2),7)+7*(N42-1),NA()),IF(I42="nthWeekdayOffsetDays",IF(AND(ISNUMBER(J42),J42=INT(J42),J42&gt;=1,J42&lt;=12,ISNUMBER(M42),M42=INT(M42),M42&gt;=1,M42&lt;=7,ISNUMBER(N42),N42=INT(N42),N42&gt;=1,N42&lt;=5,MONTH(DATE(Übersicht!$B$4,J42,1)+MOD(M42-WEEKDAY(DATE(Übersicht!$B$4,J42,1),2),7)+7*(N42-1))=J42,K42="",ISNUMBER(L42),L42=INT(L42),L42&gt;=-366,L42&lt;=366),DATE(Übersicht!$B$4,J42,1)+MOD(M42-WEEKDAY(DATE(Übersicht!$B$4,J42,1),2),7)+7*(N42-1)+L42,NA()),NA())))),NA())</f>
        <v>46746</v>
      </c>
      <c r="X42" s="15">
        <f t="shared" si="1"/>
        <v>46746</v>
      </c>
      <c r="Y42" s="11" t="s">
        <v>459</v>
      </c>
      <c r="Z42" s="11" t="s">
        <v>460</v>
      </c>
      <c r="AA42" s="26" t="s">
        <v>413</v>
      </c>
    </row>
    <row r="43" spans="1:27" ht="38" customHeight="1">
      <c r="A43" s="10" t="s">
        <v>98</v>
      </c>
      <c r="B43" s="10" t="s">
        <v>67</v>
      </c>
      <c r="C43" s="10" t="s">
        <v>454</v>
      </c>
      <c r="D43" s="24" t="s">
        <v>451</v>
      </c>
      <c r="E43" s="24" t="s">
        <v>452</v>
      </c>
      <c r="F43" s="25"/>
      <c r="G43" s="25"/>
      <c r="H43" s="10" t="s">
        <v>457</v>
      </c>
      <c r="I43" s="10" t="s">
        <v>407</v>
      </c>
      <c r="J43" s="28">
        <v>12</v>
      </c>
      <c r="K43" s="28">
        <v>26</v>
      </c>
      <c r="L43" s="24"/>
      <c r="M43" s="24"/>
      <c r="N43" s="24"/>
      <c r="O43" s="29">
        <v>46023</v>
      </c>
      <c r="P43" s="29"/>
      <c r="Q43" s="24">
        <v>100</v>
      </c>
      <c r="R43" s="24" t="s">
        <v>69</v>
      </c>
      <c r="S43" s="10"/>
      <c r="T43" s="10" t="s">
        <v>409</v>
      </c>
      <c r="U43" s="10"/>
      <c r="V43" s="10" t="s">
        <v>458</v>
      </c>
      <c r="W43" s="14">
        <f>IF(AND(ISNUMBER(Übersicht!$B$4),Übersicht!$B$4=INT(Übersicht!$B$4),Übersicht!$B$4&gt;=2026,Übersicht!$B$4&lt;=2028),IF(I43="fixedMonthDay",IF(AND(ISNUMBER(J43),J43=INT(J43),J43&gt;=1,J43&lt;=12,ISNUMBER(K43),K43=INT(K43),K43&gt;=1,K43&lt;=31,MONTH(DATE(Übersicht!$B$4,J43,K43))=J43,DAY(DATE(Übersicht!$B$4,J43,K43))=K43,L43="",M43="",N43=""),DATE(Übersicht!$B$4,J43,K43),NA()),IF(I43="easterOffsetDays",IF(AND(ISNUMBER(L43),L43=INT(L43),L43&gt;=-366,L43&lt;=366,J43="",K43="",M43="",N43=""),$AD$23+L43,NA()),IF(I43="nthWeekdayOfMonth",IF(AND(ISNUMBER(J43),J43=INT(J43),J43&gt;=1,J43&lt;=12,ISNUMBER(M43),M43=INT(M43),M43&gt;=1,M43&lt;=7,ISNUMBER(N43),N43=INT(N43),N43&gt;=1,N43&lt;=5,MONTH(DATE(Übersicht!$B$4,J43,1)+MOD(M43-WEEKDAY(DATE(Übersicht!$B$4,J43,1),2),7)+7*(N43-1))=J43,K43="",L43=""),DATE(Übersicht!$B$4,J43,1)+MOD(M43-WEEKDAY(DATE(Übersicht!$B$4,J43,1),2),7)+7*(N43-1),NA()),IF(I43="nthWeekdayOffsetDays",IF(AND(ISNUMBER(J43),J43=INT(J43),J43&gt;=1,J43&lt;=12,ISNUMBER(M43),M43=INT(M43),M43&gt;=1,M43&lt;=7,ISNUMBER(N43),N43=INT(N43),N43&gt;=1,N43&lt;=5,MONTH(DATE(Übersicht!$B$4,J43,1)+MOD(M43-WEEKDAY(DATE(Übersicht!$B$4,J43,1),2),7)+7*(N43-1))=J43,K43="",ISNUMBER(L43),L43=INT(L43),L43&gt;=-366,L43&lt;=366),DATE(Übersicht!$B$4,J43,1)+MOD(M43-WEEKDAY(DATE(Übersicht!$B$4,J43,1),2),7)+7*(N43-1)+L43,NA()),NA())))),NA())</f>
        <v>46747</v>
      </c>
      <c r="X43" s="14">
        <f t="shared" si="1"/>
        <v>46747</v>
      </c>
      <c r="Y43" s="10" t="s">
        <v>459</v>
      </c>
      <c r="Z43" s="10" t="s">
        <v>460</v>
      </c>
      <c r="AA43" s="24" t="s">
        <v>413</v>
      </c>
    </row>
    <row r="44" spans="1:27" ht="38" customHeight="1">
      <c r="A44" s="11" t="s">
        <v>100</v>
      </c>
      <c r="B44" s="11" t="s">
        <v>67</v>
      </c>
      <c r="C44" s="11" t="s">
        <v>477</v>
      </c>
      <c r="D44" s="26" t="s">
        <v>416</v>
      </c>
      <c r="E44" s="26" t="s">
        <v>417</v>
      </c>
      <c r="F44" s="27"/>
      <c r="G44" s="27"/>
      <c r="H44" s="11" t="s">
        <v>457</v>
      </c>
      <c r="I44" s="11" t="s">
        <v>407</v>
      </c>
      <c r="J44" s="30">
        <v>1</v>
      </c>
      <c r="K44" s="30">
        <v>1</v>
      </c>
      <c r="L44" s="26"/>
      <c r="M44" s="26"/>
      <c r="N44" s="26"/>
      <c r="O44" s="31">
        <v>46023</v>
      </c>
      <c r="P44" s="31"/>
      <c r="Q44" s="26">
        <v>100</v>
      </c>
      <c r="R44" s="26" t="s">
        <v>69</v>
      </c>
      <c r="S44" s="11"/>
      <c r="T44" s="11" t="s">
        <v>409</v>
      </c>
      <c r="U44" s="11"/>
      <c r="V44" s="11" t="s">
        <v>458</v>
      </c>
      <c r="W44" s="15">
        <f>IF(AND(ISNUMBER(Übersicht!$B$4),Übersicht!$B$4=INT(Übersicht!$B$4),Übersicht!$B$4&gt;=2026,Übersicht!$B$4&lt;=2028),IF(I44="fixedMonthDay",IF(AND(ISNUMBER(J44),J44=INT(J44),J44&gt;=1,J44&lt;=12,ISNUMBER(K44),K44=INT(K44),K44&gt;=1,K44&lt;=31,MONTH(DATE(Übersicht!$B$4,J44,K44))=J44,DAY(DATE(Übersicht!$B$4,J44,K44))=K44,L44="",M44="",N44=""),DATE(Übersicht!$B$4,J44,K44),NA()),IF(I44="easterOffsetDays",IF(AND(ISNUMBER(L44),L44=INT(L44),L44&gt;=-366,L44&lt;=366,J44="",K44="",M44="",N44=""),$AD$23+L44,NA()),IF(I44="nthWeekdayOfMonth",IF(AND(ISNUMBER(J44),J44=INT(J44),J44&gt;=1,J44&lt;=12,ISNUMBER(M44),M44=INT(M44),M44&gt;=1,M44&lt;=7,ISNUMBER(N44),N44=INT(N44),N44&gt;=1,N44&lt;=5,MONTH(DATE(Übersicht!$B$4,J44,1)+MOD(M44-WEEKDAY(DATE(Übersicht!$B$4,J44,1),2),7)+7*(N44-1))=J44,K44="",L44=""),DATE(Übersicht!$B$4,J44,1)+MOD(M44-WEEKDAY(DATE(Übersicht!$B$4,J44,1),2),7)+7*(N44-1),NA()),IF(I44="nthWeekdayOffsetDays",IF(AND(ISNUMBER(J44),J44=INT(J44),J44&gt;=1,J44&lt;=12,ISNUMBER(M44),M44=INT(M44),M44&gt;=1,M44&lt;=7,ISNUMBER(N44),N44=INT(N44),N44&gt;=1,N44&lt;=5,MONTH(DATE(Übersicht!$B$4,J44,1)+MOD(M44-WEEKDAY(DATE(Übersicht!$B$4,J44,1),2),7)+7*(N44-1))=J44,K44="",ISNUMBER(L44),L44=INT(L44),L44&gt;=-366,L44&lt;=366),DATE(Übersicht!$B$4,J44,1)+MOD(M44-WEEKDAY(DATE(Übersicht!$B$4,J44,1),2),7)+7*(N44-1)+L44,NA()),NA())))),NA())</f>
        <v>46388</v>
      </c>
      <c r="X44" s="15">
        <f t="shared" si="1"/>
        <v>46388</v>
      </c>
      <c r="Y44" s="11" t="s">
        <v>459</v>
      </c>
      <c r="Z44" s="11" t="s">
        <v>478</v>
      </c>
      <c r="AA44" s="26" t="s">
        <v>413</v>
      </c>
    </row>
    <row r="45" spans="1:27" ht="38" customHeight="1">
      <c r="A45" s="10" t="s">
        <v>101</v>
      </c>
      <c r="B45" s="10" t="s">
        <v>67</v>
      </c>
      <c r="C45" s="10" t="s">
        <v>477</v>
      </c>
      <c r="D45" s="24" t="s">
        <v>424</v>
      </c>
      <c r="E45" s="24" t="s">
        <v>425</v>
      </c>
      <c r="F45" s="25"/>
      <c r="G45" s="25"/>
      <c r="H45" s="10" t="s">
        <v>457</v>
      </c>
      <c r="I45" s="10" t="s">
        <v>426</v>
      </c>
      <c r="J45" s="28"/>
      <c r="K45" s="28"/>
      <c r="L45" s="24">
        <v>-2</v>
      </c>
      <c r="M45" s="24"/>
      <c r="N45" s="24"/>
      <c r="O45" s="29">
        <v>46023</v>
      </c>
      <c r="P45" s="29"/>
      <c r="Q45" s="24">
        <v>100</v>
      </c>
      <c r="R45" s="24" t="s">
        <v>69</v>
      </c>
      <c r="S45" s="10"/>
      <c r="T45" s="10" t="s">
        <v>409</v>
      </c>
      <c r="U45" s="10"/>
      <c r="V45" s="10" t="s">
        <v>458</v>
      </c>
      <c r="W45" s="14">
        <f>IF(AND(ISNUMBER(Übersicht!$B$4),Übersicht!$B$4=INT(Übersicht!$B$4),Übersicht!$B$4&gt;=2026,Übersicht!$B$4&lt;=2028),IF(I45="fixedMonthDay",IF(AND(ISNUMBER(J45),J45=INT(J45),J45&gt;=1,J45&lt;=12,ISNUMBER(K45),K45=INT(K45),K45&gt;=1,K45&lt;=31,MONTH(DATE(Übersicht!$B$4,J45,K45))=J45,DAY(DATE(Übersicht!$B$4,J45,K45))=K45,L45="",M45="",N45=""),DATE(Übersicht!$B$4,J45,K45),NA()),IF(I45="easterOffsetDays",IF(AND(ISNUMBER(L45),L45=INT(L45),L45&gt;=-366,L45&lt;=366,J45="",K45="",M45="",N45=""),$AD$23+L45,NA()),IF(I45="nthWeekdayOfMonth",IF(AND(ISNUMBER(J45),J45=INT(J45),J45&gt;=1,J45&lt;=12,ISNUMBER(M45),M45=INT(M45),M45&gt;=1,M45&lt;=7,ISNUMBER(N45),N45=INT(N45),N45&gt;=1,N45&lt;=5,MONTH(DATE(Übersicht!$B$4,J45,1)+MOD(M45-WEEKDAY(DATE(Übersicht!$B$4,J45,1),2),7)+7*(N45-1))=J45,K45="",L45=""),DATE(Übersicht!$B$4,J45,1)+MOD(M45-WEEKDAY(DATE(Übersicht!$B$4,J45,1),2),7)+7*(N45-1),NA()),IF(I45="nthWeekdayOffsetDays",IF(AND(ISNUMBER(J45),J45=INT(J45),J45&gt;=1,J45&lt;=12,ISNUMBER(M45),M45=INT(M45),M45&gt;=1,M45&lt;=7,ISNUMBER(N45),N45=INT(N45),N45&gt;=1,N45&lt;=5,MONTH(DATE(Übersicht!$B$4,J45,1)+MOD(M45-WEEKDAY(DATE(Übersicht!$B$4,J45,1),2),7)+7*(N45-1))=J45,K45="",ISNUMBER(L45),L45=INT(L45),L45&gt;=-366,L45&lt;=366),DATE(Übersicht!$B$4,J45,1)+MOD(M45-WEEKDAY(DATE(Übersicht!$B$4,J45,1),2),7)+7*(N45-1)+L45,NA()),NA())))),NA())</f>
        <v>46472</v>
      </c>
      <c r="X45" s="14">
        <f t="shared" si="1"/>
        <v>46472</v>
      </c>
      <c r="Y45" s="10" t="s">
        <v>459</v>
      </c>
      <c r="Z45" s="10" t="s">
        <v>478</v>
      </c>
      <c r="AA45" s="24" t="s">
        <v>413</v>
      </c>
    </row>
    <row r="46" spans="1:27" ht="38" customHeight="1">
      <c r="A46" s="11" t="s">
        <v>102</v>
      </c>
      <c r="B46" s="11" t="s">
        <v>67</v>
      </c>
      <c r="C46" s="11" t="s">
        <v>477</v>
      </c>
      <c r="D46" s="26" t="s">
        <v>435</v>
      </c>
      <c r="E46" s="26" t="s">
        <v>436</v>
      </c>
      <c r="F46" s="27"/>
      <c r="G46" s="27"/>
      <c r="H46" s="11" t="s">
        <v>457</v>
      </c>
      <c r="I46" s="11" t="s">
        <v>426</v>
      </c>
      <c r="J46" s="30"/>
      <c r="K46" s="30"/>
      <c r="L46" s="26">
        <v>39</v>
      </c>
      <c r="M46" s="26"/>
      <c r="N46" s="26"/>
      <c r="O46" s="31">
        <v>46023</v>
      </c>
      <c r="P46" s="31"/>
      <c r="Q46" s="26">
        <v>100</v>
      </c>
      <c r="R46" s="26" t="s">
        <v>69</v>
      </c>
      <c r="S46" s="11"/>
      <c r="T46" s="11" t="s">
        <v>409</v>
      </c>
      <c r="U46" s="11"/>
      <c r="V46" s="11" t="s">
        <v>458</v>
      </c>
      <c r="W46" s="15">
        <f>IF(AND(ISNUMBER(Übersicht!$B$4),Übersicht!$B$4=INT(Übersicht!$B$4),Übersicht!$B$4&gt;=2026,Übersicht!$B$4&lt;=2028),IF(I46="fixedMonthDay",IF(AND(ISNUMBER(J46),J46=INT(J46),J46&gt;=1,J46&lt;=12,ISNUMBER(K46),K46=INT(K46),K46&gt;=1,K46&lt;=31,MONTH(DATE(Übersicht!$B$4,J46,K46))=J46,DAY(DATE(Übersicht!$B$4,J46,K46))=K46,L46="",M46="",N46=""),DATE(Übersicht!$B$4,J46,K46),NA()),IF(I46="easterOffsetDays",IF(AND(ISNUMBER(L46),L46=INT(L46),L46&gt;=-366,L46&lt;=366,J46="",K46="",M46="",N46=""),$AD$23+L46,NA()),IF(I46="nthWeekdayOfMonth",IF(AND(ISNUMBER(J46),J46=INT(J46),J46&gt;=1,J46&lt;=12,ISNUMBER(M46),M46=INT(M46),M46&gt;=1,M46&lt;=7,ISNUMBER(N46),N46=INT(N46),N46&gt;=1,N46&lt;=5,MONTH(DATE(Übersicht!$B$4,J46,1)+MOD(M46-WEEKDAY(DATE(Übersicht!$B$4,J46,1),2),7)+7*(N46-1))=J46,K46="",L46=""),DATE(Übersicht!$B$4,J46,1)+MOD(M46-WEEKDAY(DATE(Übersicht!$B$4,J46,1),2),7)+7*(N46-1),NA()),IF(I46="nthWeekdayOffsetDays",IF(AND(ISNUMBER(J46),J46=INT(J46),J46&gt;=1,J46&lt;=12,ISNUMBER(M46),M46=INT(M46),M46&gt;=1,M46&lt;=7,ISNUMBER(N46),N46=INT(N46),N46&gt;=1,N46&lt;=5,MONTH(DATE(Übersicht!$B$4,J46,1)+MOD(M46-WEEKDAY(DATE(Übersicht!$B$4,J46,1),2),7)+7*(N46-1))=J46,K46="",ISNUMBER(L46),L46=INT(L46),L46&gt;=-366,L46&lt;=366),DATE(Übersicht!$B$4,J46,1)+MOD(M46-WEEKDAY(DATE(Übersicht!$B$4,J46,1),2),7)+7*(N46-1)+L46,NA()),NA())))),NA())</f>
        <v>46513</v>
      </c>
      <c r="X46" s="15">
        <f t="shared" si="1"/>
        <v>46513</v>
      </c>
      <c r="Y46" s="11" t="s">
        <v>459</v>
      </c>
      <c r="Z46" s="11" t="s">
        <v>478</v>
      </c>
      <c r="AA46" s="26" t="s">
        <v>413</v>
      </c>
    </row>
    <row r="47" spans="1:27" ht="38" customHeight="1">
      <c r="A47" s="10" t="s">
        <v>103</v>
      </c>
      <c r="B47" s="10" t="s">
        <v>67</v>
      </c>
      <c r="C47" s="10" t="s">
        <v>477</v>
      </c>
      <c r="D47" s="24" t="s">
        <v>455</v>
      </c>
      <c r="E47" s="24" t="s">
        <v>456</v>
      </c>
      <c r="F47" s="25"/>
      <c r="G47" s="25"/>
      <c r="H47" s="10" t="s">
        <v>457</v>
      </c>
      <c r="I47" s="10" t="s">
        <v>426</v>
      </c>
      <c r="J47" s="28"/>
      <c r="K47" s="28"/>
      <c r="L47" s="24">
        <v>60</v>
      </c>
      <c r="M47" s="24"/>
      <c r="N47" s="24"/>
      <c r="O47" s="29">
        <v>46023</v>
      </c>
      <c r="P47" s="29"/>
      <c r="Q47" s="24">
        <v>100</v>
      </c>
      <c r="R47" s="24" t="s">
        <v>69</v>
      </c>
      <c r="S47" s="10"/>
      <c r="T47" s="10" t="s">
        <v>409</v>
      </c>
      <c r="U47" s="10"/>
      <c r="V47" s="10" t="s">
        <v>458</v>
      </c>
      <c r="W47" s="14">
        <f>IF(AND(ISNUMBER(Übersicht!$B$4),Übersicht!$B$4=INT(Übersicht!$B$4),Übersicht!$B$4&gt;=2026,Übersicht!$B$4&lt;=2028),IF(I47="fixedMonthDay",IF(AND(ISNUMBER(J47),J47=INT(J47),J47&gt;=1,J47&lt;=12,ISNUMBER(K47),K47=INT(K47),K47&gt;=1,K47&lt;=31,MONTH(DATE(Übersicht!$B$4,J47,K47))=J47,DAY(DATE(Übersicht!$B$4,J47,K47))=K47,L47="",M47="",N47=""),DATE(Übersicht!$B$4,J47,K47),NA()),IF(I47="easterOffsetDays",IF(AND(ISNUMBER(L47),L47=INT(L47),L47&gt;=-366,L47&lt;=366,J47="",K47="",M47="",N47=""),$AD$23+L47,NA()),IF(I47="nthWeekdayOfMonth",IF(AND(ISNUMBER(J47),J47=INT(J47),J47&gt;=1,J47&lt;=12,ISNUMBER(M47),M47=INT(M47),M47&gt;=1,M47&lt;=7,ISNUMBER(N47),N47=INT(N47),N47&gt;=1,N47&lt;=5,MONTH(DATE(Übersicht!$B$4,J47,1)+MOD(M47-WEEKDAY(DATE(Übersicht!$B$4,J47,1),2),7)+7*(N47-1))=J47,K47="",L47=""),DATE(Übersicht!$B$4,J47,1)+MOD(M47-WEEKDAY(DATE(Übersicht!$B$4,J47,1),2),7)+7*(N47-1),NA()),IF(I47="nthWeekdayOffsetDays",IF(AND(ISNUMBER(J47),J47=INT(J47),J47&gt;=1,J47&lt;=12,ISNUMBER(M47),M47=INT(M47),M47&gt;=1,M47&lt;=7,ISNUMBER(N47),N47=INT(N47),N47&gt;=1,N47&lt;=5,MONTH(DATE(Übersicht!$B$4,J47,1)+MOD(M47-WEEKDAY(DATE(Übersicht!$B$4,J47,1),2),7)+7*(N47-1))=J47,K47="",ISNUMBER(L47),L47=INT(L47),L47&gt;=-366,L47&lt;=366),DATE(Übersicht!$B$4,J47,1)+MOD(M47-WEEKDAY(DATE(Übersicht!$B$4,J47,1),2),7)+7*(N47-1)+L47,NA()),NA())))),NA())</f>
        <v>46534</v>
      </c>
      <c r="X47" s="14">
        <f t="shared" si="1"/>
        <v>46534</v>
      </c>
      <c r="Y47" s="10" t="s">
        <v>459</v>
      </c>
      <c r="Z47" s="10" t="s">
        <v>478</v>
      </c>
      <c r="AA47" s="24" t="s">
        <v>413</v>
      </c>
    </row>
    <row r="48" spans="1:27" ht="38" customHeight="1">
      <c r="A48" s="11" t="s">
        <v>104</v>
      </c>
      <c r="B48" s="11" t="s">
        <v>67</v>
      </c>
      <c r="C48" s="11" t="s">
        <v>477</v>
      </c>
      <c r="D48" s="26" t="s">
        <v>479</v>
      </c>
      <c r="E48" s="26" t="s">
        <v>480</v>
      </c>
      <c r="F48" s="27"/>
      <c r="G48" s="27"/>
      <c r="H48" s="11" t="s">
        <v>457</v>
      </c>
      <c r="I48" s="11" t="s">
        <v>407</v>
      </c>
      <c r="J48" s="30">
        <v>8</v>
      </c>
      <c r="K48" s="30">
        <v>15</v>
      </c>
      <c r="L48" s="26"/>
      <c r="M48" s="26"/>
      <c r="N48" s="26"/>
      <c r="O48" s="31">
        <v>46023</v>
      </c>
      <c r="P48" s="31"/>
      <c r="Q48" s="26">
        <v>100</v>
      </c>
      <c r="R48" s="26" t="s">
        <v>69</v>
      </c>
      <c r="S48" s="11"/>
      <c r="T48" s="11" t="s">
        <v>409</v>
      </c>
      <c r="U48" s="11"/>
      <c r="V48" s="11" t="s">
        <v>458</v>
      </c>
      <c r="W48" s="15">
        <f>IF(AND(ISNUMBER(Übersicht!$B$4),Übersicht!$B$4=INT(Übersicht!$B$4),Übersicht!$B$4&gt;=2026,Übersicht!$B$4&lt;=2028),IF(I48="fixedMonthDay",IF(AND(ISNUMBER(J48),J48=INT(J48),J48&gt;=1,J48&lt;=12,ISNUMBER(K48),K48=INT(K48),K48&gt;=1,K48&lt;=31,MONTH(DATE(Übersicht!$B$4,J48,K48))=J48,DAY(DATE(Übersicht!$B$4,J48,K48))=K48,L48="",M48="",N48=""),DATE(Übersicht!$B$4,J48,K48),NA()),IF(I48="easterOffsetDays",IF(AND(ISNUMBER(L48),L48=INT(L48),L48&gt;=-366,L48&lt;=366,J48="",K48="",M48="",N48=""),$AD$23+L48,NA()),IF(I48="nthWeekdayOfMonth",IF(AND(ISNUMBER(J48),J48=INT(J48),J48&gt;=1,J48&lt;=12,ISNUMBER(M48),M48=INT(M48),M48&gt;=1,M48&lt;=7,ISNUMBER(N48),N48=INT(N48),N48&gt;=1,N48&lt;=5,MONTH(DATE(Übersicht!$B$4,J48,1)+MOD(M48-WEEKDAY(DATE(Übersicht!$B$4,J48,1),2),7)+7*(N48-1))=J48,K48="",L48=""),DATE(Übersicht!$B$4,J48,1)+MOD(M48-WEEKDAY(DATE(Übersicht!$B$4,J48,1),2),7)+7*(N48-1),NA()),IF(I48="nthWeekdayOffsetDays",IF(AND(ISNUMBER(J48),J48=INT(J48),J48&gt;=1,J48&lt;=12,ISNUMBER(M48),M48=INT(M48),M48&gt;=1,M48&lt;=7,ISNUMBER(N48),N48=INT(N48),N48&gt;=1,N48&lt;=5,MONTH(DATE(Übersicht!$B$4,J48,1)+MOD(M48-WEEKDAY(DATE(Übersicht!$B$4,J48,1),2),7)+7*(N48-1))=J48,K48="",ISNUMBER(L48),L48=INT(L48),L48&gt;=-366,L48&lt;=366),DATE(Übersicht!$B$4,J48,1)+MOD(M48-WEEKDAY(DATE(Übersicht!$B$4,J48,1),2),7)+7*(N48-1)+L48,NA()),NA())))),NA())</f>
        <v>46614</v>
      </c>
      <c r="X48" s="15">
        <f t="shared" si="1"/>
        <v>46614</v>
      </c>
      <c r="Y48" s="11" t="s">
        <v>459</v>
      </c>
      <c r="Z48" s="11" t="s">
        <v>478</v>
      </c>
      <c r="AA48" s="26" t="s">
        <v>413</v>
      </c>
    </row>
    <row r="49" spans="1:27" ht="38" customHeight="1">
      <c r="A49" s="10" t="s">
        <v>105</v>
      </c>
      <c r="B49" s="10" t="s">
        <v>67</v>
      </c>
      <c r="C49" s="10" t="s">
        <v>477</v>
      </c>
      <c r="D49" s="24" t="s">
        <v>466</v>
      </c>
      <c r="E49" s="24" t="s">
        <v>467</v>
      </c>
      <c r="F49" s="25"/>
      <c r="G49" s="25"/>
      <c r="H49" s="10" t="s">
        <v>457</v>
      </c>
      <c r="I49" s="10" t="s">
        <v>407</v>
      </c>
      <c r="J49" s="28">
        <v>11</v>
      </c>
      <c r="K49" s="28">
        <v>1</v>
      </c>
      <c r="L49" s="24"/>
      <c r="M49" s="24"/>
      <c r="N49" s="24"/>
      <c r="O49" s="29">
        <v>46023</v>
      </c>
      <c r="P49" s="29"/>
      <c r="Q49" s="24">
        <v>100</v>
      </c>
      <c r="R49" s="24" t="s">
        <v>69</v>
      </c>
      <c r="S49" s="10"/>
      <c r="T49" s="10" t="s">
        <v>409</v>
      </c>
      <c r="U49" s="10"/>
      <c r="V49" s="10" t="s">
        <v>458</v>
      </c>
      <c r="W49" s="14">
        <f>IF(AND(ISNUMBER(Übersicht!$B$4),Übersicht!$B$4=INT(Übersicht!$B$4),Übersicht!$B$4&gt;=2026,Übersicht!$B$4&lt;=2028),IF(I49="fixedMonthDay",IF(AND(ISNUMBER(J49),J49=INT(J49),J49&gt;=1,J49&lt;=12,ISNUMBER(K49),K49=INT(K49),K49&gt;=1,K49&lt;=31,MONTH(DATE(Übersicht!$B$4,J49,K49))=J49,DAY(DATE(Übersicht!$B$4,J49,K49))=K49,L49="",M49="",N49=""),DATE(Übersicht!$B$4,J49,K49),NA()),IF(I49="easterOffsetDays",IF(AND(ISNUMBER(L49),L49=INT(L49),L49&gt;=-366,L49&lt;=366,J49="",K49="",M49="",N49=""),$AD$23+L49,NA()),IF(I49="nthWeekdayOfMonth",IF(AND(ISNUMBER(J49),J49=INT(J49),J49&gt;=1,J49&lt;=12,ISNUMBER(M49),M49=INT(M49),M49&gt;=1,M49&lt;=7,ISNUMBER(N49),N49=INT(N49),N49&gt;=1,N49&lt;=5,MONTH(DATE(Übersicht!$B$4,J49,1)+MOD(M49-WEEKDAY(DATE(Übersicht!$B$4,J49,1),2),7)+7*(N49-1))=J49,K49="",L49=""),DATE(Übersicht!$B$4,J49,1)+MOD(M49-WEEKDAY(DATE(Übersicht!$B$4,J49,1),2),7)+7*(N49-1),NA()),IF(I49="nthWeekdayOffsetDays",IF(AND(ISNUMBER(J49),J49=INT(J49),J49&gt;=1,J49&lt;=12,ISNUMBER(M49),M49=INT(M49),M49&gt;=1,M49&lt;=7,ISNUMBER(N49),N49=INT(N49),N49&gt;=1,N49&lt;=5,MONTH(DATE(Übersicht!$B$4,J49,1)+MOD(M49-WEEKDAY(DATE(Übersicht!$B$4,J49,1),2),7)+7*(N49-1))=J49,K49="",ISNUMBER(L49),L49=INT(L49),L49&gt;=-366,L49&lt;=366),DATE(Übersicht!$B$4,J49,1)+MOD(M49-WEEKDAY(DATE(Übersicht!$B$4,J49,1),2),7)+7*(N49-1)+L49,NA()),NA())))),NA())</f>
        <v>46692</v>
      </c>
      <c r="X49" s="14">
        <f t="shared" si="1"/>
        <v>46692</v>
      </c>
      <c r="Y49" s="10" t="s">
        <v>459</v>
      </c>
      <c r="Z49" s="10" t="s">
        <v>478</v>
      </c>
      <c r="AA49" s="24" t="s">
        <v>413</v>
      </c>
    </row>
    <row r="50" spans="1:27" ht="38" customHeight="1">
      <c r="A50" s="11" t="s">
        <v>106</v>
      </c>
      <c r="B50" s="11" t="s">
        <v>67</v>
      </c>
      <c r="C50" s="11" t="s">
        <v>477</v>
      </c>
      <c r="D50" s="26" t="s">
        <v>448</v>
      </c>
      <c r="E50" s="26" t="s">
        <v>449</v>
      </c>
      <c r="F50" s="27"/>
      <c r="G50" s="27"/>
      <c r="H50" s="11" t="s">
        <v>457</v>
      </c>
      <c r="I50" s="11" t="s">
        <v>407</v>
      </c>
      <c r="J50" s="30">
        <v>12</v>
      </c>
      <c r="K50" s="30">
        <v>25</v>
      </c>
      <c r="L50" s="26"/>
      <c r="M50" s="26"/>
      <c r="N50" s="26"/>
      <c r="O50" s="31">
        <v>46023</v>
      </c>
      <c r="P50" s="31"/>
      <c r="Q50" s="26">
        <v>100</v>
      </c>
      <c r="R50" s="26" t="s">
        <v>69</v>
      </c>
      <c r="S50" s="11"/>
      <c r="T50" s="11" t="s">
        <v>409</v>
      </c>
      <c r="U50" s="11"/>
      <c r="V50" s="11" t="s">
        <v>458</v>
      </c>
      <c r="W50" s="15">
        <f>IF(AND(ISNUMBER(Übersicht!$B$4),Übersicht!$B$4=INT(Übersicht!$B$4),Übersicht!$B$4&gt;=2026,Übersicht!$B$4&lt;=2028),IF(I50="fixedMonthDay",IF(AND(ISNUMBER(J50),J50=INT(J50),J50&gt;=1,J50&lt;=12,ISNUMBER(K50),K50=INT(K50),K50&gt;=1,K50&lt;=31,MONTH(DATE(Übersicht!$B$4,J50,K50))=J50,DAY(DATE(Übersicht!$B$4,J50,K50))=K50,L50="",M50="",N50=""),DATE(Übersicht!$B$4,J50,K50),NA()),IF(I50="easterOffsetDays",IF(AND(ISNUMBER(L50),L50=INT(L50),L50&gt;=-366,L50&lt;=366,J50="",K50="",M50="",N50=""),$AD$23+L50,NA()),IF(I50="nthWeekdayOfMonth",IF(AND(ISNUMBER(J50),J50=INT(J50),J50&gt;=1,J50&lt;=12,ISNUMBER(M50),M50=INT(M50),M50&gt;=1,M50&lt;=7,ISNUMBER(N50),N50=INT(N50),N50&gt;=1,N50&lt;=5,MONTH(DATE(Übersicht!$B$4,J50,1)+MOD(M50-WEEKDAY(DATE(Übersicht!$B$4,J50,1),2),7)+7*(N50-1))=J50,K50="",L50=""),DATE(Übersicht!$B$4,J50,1)+MOD(M50-WEEKDAY(DATE(Übersicht!$B$4,J50,1),2),7)+7*(N50-1),NA()),IF(I50="nthWeekdayOffsetDays",IF(AND(ISNUMBER(J50),J50=INT(J50),J50&gt;=1,J50&lt;=12,ISNUMBER(M50),M50=INT(M50),M50&gt;=1,M50&lt;=7,ISNUMBER(N50),N50=INT(N50),N50&gt;=1,N50&lt;=5,MONTH(DATE(Übersicht!$B$4,J50,1)+MOD(M50-WEEKDAY(DATE(Übersicht!$B$4,J50,1),2),7)+7*(N50-1))=J50,K50="",ISNUMBER(L50),L50=INT(L50),L50&gt;=-366,L50&lt;=366),DATE(Übersicht!$B$4,J50,1)+MOD(M50-WEEKDAY(DATE(Übersicht!$B$4,J50,1),2),7)+7*(N50-1)+L50,NA()),NA())))),NA())</f>
        <v>46746</v>
      </c>
      <c r="X50" s="15">
        <f t="shared" si="1"/>
        <v>46746</v>
      </c>
      <c r="Y50" s="11" t="s">
        <v>459</v>
      </c>
      <c r="Z50" s="11" t="s">
        <v>478</v>
      </c>
      <c r="AA50" s="26" t="s">
        <v>413</v>
      </c>
    </row>
    <row r="51" spans="1:27" ht="38" customHeight="1">
      <c r="A51" s="10" t="s">
        <v>107</v>
      </c>
      <c r="B51" s="10" t="s">
        <v>67</v>
      </c>
      <c r="C51" s="10" t="s">
        <v>477</v>
      </c>
      <c r="D51" s="24" t="s">
        <v>451</v>
      </c>
      <c r="E51" s="24" t="s">
        <v>452</v>
      </c>
      <c r="F51" s="25"/>
      <c r="G51" s="25"/>
      <c r="H51" s="10" t="s">
        <v>457</v>
      </c>
      <c r="I51" s="10" t="s">
        <v>407</v>
      </c>
      <c r="J51" s="28">
        <v>12</v>
      </c>
      <c r="K51" s="28">
        <v>26</v>
      </c>
      <c r="L51" s="24"/>
      <c r="M51" s="24"/>
      <c r="N51" s="24"/>
      <c r="O51" s="29">
        <v>46023</v>
      </c>
      <c r="P51" s="29"/>
      <c r="Q51" s="24">
        <v>100</v>
      </c>
      <c r="R51" s="24" t="s">
        <v>69</v>
      </c>
      <c r="S51" s="10"/>
      <c r="T51" s="10" t="s">
        <v>409</v>
      </c>
      <c r="U51" s="10"/>
      <c r="V51" s="10" t="s">
        <v>458</v>
      </c>
      <c r="W51" s="14">
        <f>IF(AND(ISNUMBER(Übersicht!$B$4),Übersicht!$B$4=INT(Übersicht!$B$4),Übersicht!$B$4&gt;=2026,Übersicht!$B$4&lt;=2028),IF(I51="fixedMonthDay",IF(AND(ISNUMBER(J51),J51=INT(J51),J51&gt;=1,J51&lt;=12,ISNUMBER(K51),K51=INT(K51),K51&gt;=1,K51&lt;=31,MONTH(DATE(Übersicht!$B$4,J51,K51))=J51,DAY(DATE(Übersicht!$B$4,J51,K51))=K51,L51="",M51="",N51=""),DATE(Übersicht!$B$4,J51,K51),NA()),IF(I51="easterOffsetDays",IF(AND(ISNUMBER(L51),L51=INT(L51),L51&gt;=-366,L51&lt;=366,J51="",K51="",M51="",N51=""),$AD$23+L51,NA()),IF(I51="nthWeekdayOfMonth",IF(AND(ISNUMBER(J51),J51=INT(J51),J51&gt;=1,J51&lt;=12,ISNUMBER(M51),M51=INT(M51),M51&gt;=1,M51&lt;=7,ISNUMBER(N51),N51=INT(N51),N51&gt;=1,N51&lt;=5,MONTH(DATE(Übersicht!$B$4,J51,1)+MOD(M51-WEEKDAY(DATE(Übersicht!$B$4,J51,1),2),7)+7*(N51-1))=J51,K51="",L51=""),DATE(Übersicht!$B$4,J51,1)+MOD(M51-WEEKDAY(DATE(Übersicht!$B$4,J51,1),2),7)+7*(N51-1),NA()),IF(I51="nthWeekdayOffsetDays",IF(AND(ISNUMBER(J51),J51=INT(J51),J51&gt;=1,J51&lt;=12,ISNUMBER(M51),M51=INT(M51),M51&gt;=1,M51&lt;=7,ISNUMBER(N51),N51=INT(N51),N51&gt;=1,N51&lt;=5,MONTH(DATE(Übersicht!$B$4,J51,1)+MOD(M51-WEEKDAY(DATE(Übersicht!$B$4,J51,1),2),7)+7*(N51-1))=J51,K51="",ISNUMBER(L51),L51=INT(L51),L51&gt;=-366,L51&lt;=366),DATE(Übersicht!$B$4,J51,1)+MOD(M51-WEEKDAY(DATE(Übersicht!$B$4,J51,1),2),7)+7*(N51-1)+L51,NA()),NA())))),NA())</f>
        <v>46747</v>
      </c>
      <c r="X51" s="14">
        <f t="shared" si="1"/>
        <v>46747</v>
      </c>
      <c r="Y51" s="10" t="s">
        <v>459</v>
      </c>
      <c r="Z51" s="10" t="s">
        <v>478</v>
      </c>
      <c r="AA51" s="24" t="s">
        <v>413</v>
      </c>
    </row>
    <row r="52" spans="1:27" ht="38" customHeight="1">
      <c r="A52" s="11" t="s">
        <v>109</v>
      </c>
      <c r="B52" s="11" t="s">
        <v>67</v>
      </c>
      <c r="C52" s="11" t="s">
        <v>481</v>
      </c>
      <c r="D52" s="26" t="s">
        <v>416</v>
      </c>
      <c r="E52" s="26" t="s">
        <v>417</v>
      </c>
      <c r="F52" s="27"/>
      <c r="G52" s="27"/>
      <c r="H52" s="11" t="s">
        <v>457</v>
      </c>
      <c r="I52" s="11" t="s">
        <v>407</v>
      </c>
      <c r="J52" s="30">
        <v>1</v>
      </c>
      <c r="K52" s="30">
        <v>1</v>
      </c>
      <c r="L52" s="26"/>
      <c r="M52" s="26"/>
      <c r="N52" s="26"/>
      <c r="O52" s="31">
        <v>46023</v>
      </c>
      <c r="P52" s="31"/>
      <c r="Q52" s="26">
        <v>100</v>
      </c>
      <c r="R52" s="26" t="s">
        <v>69</v>
      </c>
      <c r="S52" s="11"/>
      <c r="T52" s="11" t="s">
        <v>409</v>
      </c>
      <c r="U52" s="11"/>
      <c r="V52" s="11" t="s">
        <v>458</v>
      </c>
      <c r="W52" s="15">
        <f>IF(AND(ISNUMBER(Übersicht!$B$4),Übersicht!$B$4=INT(Übersicht!$B$4),Übersicht!$B$4&gt;=2026,Übersicht!$B$4&lt;=2028),IF(I52="fixedMonthDay",IF(AND(ISNUMBER(J52),J52=INT(J52),J52&gt;=1,J52&lt;=12,ISNUMBER(K52),K52=INT(K52),K52&gt;=1,K52&lt;=31,MONTH(DATE(Übersicht!$B$4,J52,K52))=J52,DAY(DATE(Übersicht!$B$4,J52,K52))=K52,L52="",M52="",N52=""),DATE(Übersicht!$B$4,J52,K52),NA()),IF(I52="easterOffsetDays",IF(AND(ISNUMBER(L52),L52=INT(L52),L52&gt;=-366,L52&lt;=366,J52="",K52="",M52="",N52=""),$AD$23+L52,NA()),IF(I52="nthWeekdayOfMonth",IF(AND(ISNUMBER(J52),J52=INT(J52),J52&gt;=1,J52&lt;=12,ISNUMBER(M52),M52=INT(M52),M52&gt;=1,M52&lt;=7,ISNUMBER(N52),N52=INT(N52),N52&gt;=1,N52&lt;=5,MONTH(DATE(Übersicht!$B$4,J52,1)+MOD(M52-WEEKDAY(DATE(Übersicht!$B$4,J52,1),2),7)+7*(N52-1))=J52,K52="",L52=""),DATE(Übersicht!$B$4,J52,1)+MOD(M52-WEEKDAY(DATE(Übersicht!$B$4,J52,1),2),7)+7*(N52-1),NA()),IF(I52="nthWeekdayOffsetDays",IF(AND(ISNUMBER(J52),J52=INT(J52),J52&gt;=1,J52&lt;=12,ISNUMBER(M52),M52=INT(M52),M52&gt;=1,M52&lt;=7,ISNUMBER(N52),N52=INT(N52),N52&gt;=1,N52&lt;=5,MONTH(DATE(Übersicht!$B$4,J52,1)+MOD(M52-WEEKDAY(DATE(Übersicht!$B$4,J52,1),2),7)+7*(N52-1))=J52,K52="",ISNUMBER(L52),L52=INT(L52),L52&gt;=-366,L52&lt;=366),DATE(Übersicht!$B$4,J52,1)+MOD(M52-WEEKDAY(DATE(Übersicht!$B$4,J52,1),2),7)+7*(N52-1)+L52,NA()),NA())))),NA())</f>
        <v>46388</v>
      </c>
      <c r="X52" s="15">
        <f t="shared" si="1"/>
        <v>46388</v>
      </c>
      <c r="Y52" s="11" t="s">
        <v>459</v>
      </c>
      <c r="Z52" s="11" t="s">
        <v>482</v>
      </c>
      <c r="AA52" s="26" t="s">
        <v>413</v>
      </c>
    </row>
    <row r="53" spans="1:27" ht="38" customHeight="1">
      <c r="A53" s="10" t="s">
        <v>110</v>
      </c>
      <c r="B53" s="10" t="s">
        <v>67</v>
      </c>
      <c r="C53" s="10" t="s">
        <v>481</v>
      </c>
      <c r="D53" s="24" t="s">
        <v>424</v>
      </c>
      <c r="E53" s="24" t="s">
        <v>425</v>
      </c>
      <c r="F53" s="25"/>
      <c r="G53" s="25"/>
      <c r="H53" s="10" t="s">
        <v>457</v>
      </c>
      <c r="I53" s="10" t="s">
        <v>426</v>
      </c>
      <c r="J53" s="28"/>
      <c r="K53" s="28"/>
      <c r="L53" s="24">
        <v>-2</v>
      </c>
      <c r="M53" s="24"/>
      <c r="N53" s="24"/>
      <c r="O53" s="29">
        <v>46023</v>
      </c>
      <c r="P53" s="29"/>
      <c r="Q53" s="24">
        <v>100</v>
      </c>
      <c r="R53" s="24" t="s">
        <v>69</v>
      </c>
      <c r="S53" s="10"/>
      <c r="T53" s="10" t="s">
        <v>409</v>
      </c>
      <c r="U53" s="10"/>
      <c r="V53" s="10" t="s">
        <v>458</v>
      </c>
      <c r="W53" s="14">
        <f>IF(AND(ISNUMBER(Übersicht!$B$4),Übersicht!$B$4=INT(Übersicht!$B$4),Übersicht!$B$4&gt;=2026,Übersicht!$B$4&lt;=2028),IF(I53="fixedMonthDay",IF(AND(ISNUMBER(J53),J53=INT(J53),J53&gt;=1,J53&lt;=12,ISNUMBER(K53),K53=INT(K53),K53&gt;=1,K53&lt;=31,MONTH(DATE(Übersicht!$B$4,J53,K53))=J53,DAY(DATE(Übersicht!$B$4,J53,K53))=K53,L53="",M53="",N53=""),DATE(Übersicht!$B$4,J53,K53),NA()),IF(I53="easterOffsetDays",IF(AND(ISNUMBER(L53),L53=INT(L53),L53&gt;=-366,L53&lt;=366,J53="",K53="",M53="",N53=""),$AD$23+L53,NA()),IF(I53="nthWeekdayOfMonth",IF(AND(ISNUMBER(J53),J53=INT(J53),J53&gt;=1,J53&lt;=12,ISNUMBER(M53),M53=INT(M53),M53&gt;=1,M53&lt;=7,ISNUMBER(N53),N53=INT(N53),N53&gt;=1,N53&lt;=5,MONTH(DATE(Übersicht!$B$4,J53,1)+MOD(M53-WEEKDAY(DATE(Übersicht!$B$4,J53,1),2),7)+7*(N53-1))=J53,K53="",L53=""),DATE(Übersicht!$B$4,J53,1)+MOD(M53-WEEKDAY(DATE(Übersicht!$B$4,J53,1),2),7)+7*(N53-1),NA()),IF(I53="nthWeekdayOffsetDays",IF(AND(ISNUMBER(J53),J53=INT(J53),J53&gt;=1,J53&lt;=12,ISNUMBER(M53),M53=INT(M53),M53&gt;=1,M53&lt;=7,ISNUMBER(N53),N53=INT(N53),N53&gt;=1,N53&lt;=5,MONTH(DATE(Übersicht!$B$4,J53,1)+MOD(M53-WEEKDAY(DATE(Übersicht!$B$4,J53,1),2),7)+7*(N53-1))=J53,K53="",ISNUMBER(L53),L53=INT(L53),L53&gt;=-366,L53&lt;=366),DATE(Übersicht!$B$4,J53,1)+MOD(M53-WEEKDAY(DATE(Übersicht!$B$4,J53,1),2),7)+7*(N53-1)+L53,NA()),NA())))),NA())</f>
        <v>46472</v>
      </c>
      <c r="X53" s="14">
        <f t="shared" si="1"/>
        <v>46472</v>
      </c>
      <c r="Y53" s="10" t="s">
        <v>459</v>
      </c>
      <c r="Z53" s="10" t="s">
        <v>482</v>
      </c>
      <c r="AA53" s="24" t="s">
        <v>413</v>
      </c>
    </row>
    <row r="54" spans="1:27" ht="38" customHeight="1">
      <c r="A54" s="11" t="s">
        <v>111</v>
      </c>
      <c r="B54" s="11" t="s">
        <v>67</v>
      </c>
      <c r="C54" s="11" t="s">
        <v>481</v>
      </c>
      <c r="D54" s="26" t="s">
        <v>435</v>
      </c>
      <c r="E54" s="26" t="s">
        <v>436</v>
      </c>
      <c r="F54" s="27"/>
      <c r="G54" s="27"/>
      <c r="H54" s="11" t="s">
        <v>457</v>
      </c>
      <c r="I54" s="11" t="s">
        <v>426</v>
      </c>
      <c r="J54" s="30"/>
      <c r="K54" s="30"/>
      <c r="L54" s="26">
        <v>39</v>
      </c>
      <c r="M54" s="26"/>
      <c r="N54" s="26"/>
      <c r="O54" s="31">
        <v>46023</v>
      </c>
      <c r="P54" s="31"/>
      <c r="Q54" s="26">
        <v>100</v>
      </c>
      <c r="R54" s="26" t="s">
        <v>69</v>
      </c>
      <c r="S54" s="11"/>
      <c r="T54" s="11" t="s">
        <v>409</v>
      </c>
      <c r="U54" s="11"/>
      <c r="V54" s="11" t="s">
        <v>458</v>
      </c>
      <c r="W54" s="15">
        <f>IF(AND(ISNUMBER(Übersicht!$B$4),Übersicht!$B$4=INT(Übersicht!$B$4),Übersicht!$B$4&gt;=2026,Übersicht!$B$4&lt;=2028),IF(I54="fixedMonthDay",IF(AND(ISNUMBER(J54),J54=INT(J54),J54&gt;=1,J54&lt;=12,ISNUMBER(K54),K54=INT(K54),K54&gt;=1,K54&lt;=31,MONTH(DATE(Übersicht!$B$4,J54,K54))=J54,DAY(DATE(Übersicht!$B$4,J54,K54))=K54,L54="",M54="",N54=""),DATE(Übersicht!$B$4,J54,K54),NA()),IF(I54="easterOffsetDays",IF(AND(ISNUMBER(L54),L54=INT(L54),L54&gt;=-366,L54&lt;=366,J54="",K54="",M54="",N54=""),$AD$23+L54,NA()),IF(I54="nthWeekdayOfMonth",IF(AND(ISNUMBER(J54),J54=INT(J54),J54&gt;=1,J54&lt;=12,ISNUMBER(M54),M54=INT(M54),M54&gt;=1,M54&lt;=7,ISNUMBER(N54),N54=INT(N54),N54&gt;=1,N54&lt;=5,MONTH(DATE(Übersicht!$B$4,J54,1)+MOD(M54-WEEKDAY(DATE(Übersicht!$B$4,J54,1),2),7)+7*(N54-1))=J54,K54="",L54=""),DATE(Übersicht!$B$4,J54,1)+MOD(M54-WEEKDAY(DATE(Übersicht!$B$4,J54,1),2),7)+7*(N54-1),NA()),IF(I54="nthWeekdayOffsetDays",IF(AND(ISNUMBER(J54),J54=INT(J54),J54&gt;=1,J54&lt;=12,ISNUMBER(M54),M54=INT(M54),M54&gt;=1,M54&lt;=7,ISNUMBER(N54),N54=INT(N54),N54&gt;=1,N54&lt;=5,MONTH(DATE(Übersicht!$B$4,J54,1)+MOD(M54-WEEKDAY(DATE(Übersicht!$B$4,J54,1),2),7)+7*(N54-1))=J54,K54="",ISNUMBER(L54),L54=INT(L54),L54&gt;=-366,L54&lt;=366),DATE(Übersicht!$B$4,J54,1)+MOD(M54-WEEKDAY(DATE(Übersicht!$B$4,J54,1),2),7)+7*(N54-1)+L54,NA()),NA())))),NA())</f>
        <v>46513</v>
      </c>
      <c r="X54" s="15">
        <f t="shared" si="1"/>
        <v>46513</v>
      </c>
      <c r="Y54" s="11" t="s">
        <v>459</v>
      </c>
      <c r="Z54" s="11" t="s">
        <v>482</v>
      </c>
      <c r="AA54" s="26" t="s">
        <v>413</v>
      </c>
    </row>
    <row r="55" spans="1:27" ht="38" customHeight="1">
      <c r="A55" s="10" t="s">
        <v>112</v>
      </c>
      <c r="B55" s="10" t="s">
        <v>67</v>
      </c>
      <c r="C55" s="10" t="s">
        <v>481</v>
      </c>
      <c r="D55" s="24" t="s">
        <v>455</v>
      </c>
      <c r="E55" s="24" t="s">
        <v>456</v>
      </c>
      <c r="F55" s="25"/>
      <c r="G55" s="25"/>
      <c r="H55" s="10" t="s">
        <v>457</v>
      </c>
      <c r="I55" s="10" t="s">
        <v>426</v>
      </c>
      <c r="J55" s="28"/>
      <c r="K55" s="28"/>
      <c r="L55" s="24">
        <v>60</v>
      </c>
      <c r="M55" s="24"/>
      <c r="N55" s="24"/>
      <c r="O55" s="29">
        <v>46023</v>
      </c>
      <c r="P55" s="29"/>
      <c r="Q55" s="24">
        <v>100</v>
      </c>
      <c r="R55" s="24" t="s">
        <v>69</v>
      </c>
      <c r="S55" s="10"/>
      <c r="T55" s="10" t="s">
        <v>409</v>
      </c>
      <c r="U55" s="10"/>
      <c r="V55" s="10" t="s">
        <v>458</v>
      </c>
      <c r="W55" s="14">
        <f>IF(AND(ISNUMBER(Übersicht!$B$4),Übersicht!$B$4=INT(Übersicht!$B$4),Übersicht!$B$4&gt;=2026,Übersicht!$B$4&lt;=2028),IF(I55="fixedMonthDay",IF(AND(ISNUMBER(J55),J55=INT(J55),J55&gt;=1,J55&lt;=12,ISNUMBER(K55),K55=INT(K55),K55&gt;=1,K55&lt;=31,MONTH(DATE(Übersicht!$B$4,J55,K55))=J55,DAY(DATE(Übersicht!$B$4,J55,K55))=K55,L55="",M55="",N55=""),DATE(Übersicht!$B$4,J55,K55),NA()),IF(I55="easterOffsetDays",IF(AND(ISNUMBER(L55),L55=INT(L55),L55&gt;=-366,L55&lt;=366,J55="",K55="",M55="",N55=""),$AD$23+L55,NA()),IF(I55="nthWeekdayOfMonth",IF(AND(ISNUMBER(J55),J55=INT(J55),J55&gt;=1,J55&lt;=12,ISNUMBER(M55),M55=INT(M55),M55&gt;=1,M55&lt;=7,ISNUMBER(N55),N55=INT(N55),N55&gt;=1,N55&lt;=5,MONTH(DATE(Übersicht!$B$4,J55,1)+MOD(M55-WEEKDAY(DATE(Übersicht!$B$4,J55,1),2),7)+7*(N55-1))=J55,K55="",L55=""),DATE(Übersicht!$B$4,J55,1)+MOD(M55-WEEKDAY(DATE(Übersicht!$B$4,J55,1),2),7)+7*(N55-1),NA()),IF(I55="nthWeekdayOffsetDays",IF(AND(ISNUMBER(J55),J55=INT(J55),J55&gt;=1,J55&lt;=12,ISNUMBER(M55),M55=INT(M55),M55&gt;=1,M55&lt;=7,ISNUMBER(N55),N55=INT(N55),N55&gt;=1,N55&lt;=5,MONTH(DATE(Übersicht!$B$4,J55,1)+MOD(M55-WEEKDAY(DATE(Übersicht!$B$4,J55,1),2),7)+7*(N55-1))=J55,K55="",ISNUMBER(L55),L55=INT(L55),L55&gt;=-366,L55&lt;=366),DATE(Übersicht!$B$4,J55,1)+MOD(M55-WEEKDAY(DATE(Übersicht!$B$4,J55,1),2),7)+7*(N55-1)+L55,NA()),NA())))),NA())</f>
        <v>46534</v>
      </c>
      <c r="X55" s="14">
        <f t="shared" si="1"/>
        <v>46534</v>
      </c>
      <c r="Y55" s="10" t="s">
        <v>459</v>
      </c>
      <c r="Z55" s="10" t="s">
        <v>482</v>
      </c>
      <c r="AA55" s="24" t="s">
        <v>413</v>
      </c>
    </row>
    <row r="56" spans="1:27" ht="38" customHeight="1">
      <c r="A56" s="11" t="s">
        <v>113</v>
      </c>
      <c r="B56" s="11" t="s">
        <v>67</v>
      </c>
      <c r="C56" s="11" t="s">
        <v>481</v>
      </c>
      <c r="D56" s="26" t="s">
        <v>479</v>
      </c>
      <c r="E56" s="26" t="s">
        <v>480</v>
      </c>
      <c r="F56" s="27"/>
      <c r="G56" s="27"/>
      <c r="H56" s="11" t="s">
        <v>457</v>
      </c>
      <c r="I56" s="11" t="s">
        <v>407</v>
      </c>
      <c r="J56" s="30">
        <v>8</v>
      </c>
      <c r="K56" s="30">
        <v>15</v>
      </c>
      <c r="L56" s="26"/>
      <c r="M56" s="26"/>
      <c r="N56" s="26"/>
      <c r="O56" s="31">
        <v>46023</v>
      </c>
      <c r="P56" s="31"/>
      <c r="Q56" s="26">
        <v>100</v>
      </c>
      <c r="R56" s="26" t="s">
        <v>69</v>
      </c>
      <c r="S56" s="11"/>
      <c r="T56" s="11" t="s">
        <v>409</v>
      </c>
      <c r="U56" s="11"/>
      <c r="V56" s="11" t="s">
        <v>458</v>
      </c>
      <c r="W56" s="15">
        <f>IF(AND(ISNUMBER(Übersicht!$B$4),Übersicht!$B$4=INT(Übersicht!$B$4),Übersicht!$B$4&gt;=2026,Übersicht!$B$4&lt;=2028),IF(I56="fixedMonthDay",IF(AND(ISNUMBER(J56),J56=INT(J56),J56&gt;=1,J56&lt;=12,ISNUMBER(K56),K56=INT(K56),K56&gt;=1,K56&lt;=31,MONTH(DATE(Übersicht!$B$4,J56,K56))=J56,DAY(DATE(Übersicht!$B$4,J56,K56))=K56,L56="",M56="",N56=""),DATE(Übersicht!$B$4,J56,K56),NA()),IF(I56="easterOffsetDays",IF(AND(ISNUMBER(L56),L56=INT(L56),L56&gt;=-366,L56&lt;=366,J56="",K56="",M56="",N56=""),$AD$23+L56,NA()),IF(I56="nthWeekdayOfMonth",IF(AND(ISNUMBER(J56),J56=INT(J56),J56&gt;=1,J56&lt;=12,ISNUMBER(M56),M56=INT(M56),M56&gt;=1,M56&lt;=7,ISNUMBER(N56),N56=INT(N56),N56&gt;=1,N56&lt;=5,MONTH(DATE(Übersicht!$B$4,J56,1)+MOD(M56-WEEKDAY(DATE(Übersicht!$B$4,J56,1),2),7)+7*(N56-1))=J56,K56="",L56=""),DATE(Übersicht!$B$4,J56,1)+MOD(M56-WEEKDAY(DATE(Übersicht!$B$4,J56,1),2),7)+7*(N56-1),NA()),IF(I56="nthWeekdayOffsetDays",IF(AND(ISNUMBER(J56),J56=INT(J56),J56&gt;=1,J56&lt;=12,ISNUMBER(M56),M56=INT(M56),M56&gt;=1,M56&lt;=7,ISNUMBER(N56),N56=INT(N56),N56&gt;=1,N56&lt;=5,MONTH(DATE(Übersicht!$B$4,J56,1)+MOD(M56-WEEKDAY(DATE(Übersicht!$B$4,J56,1),2),7)+7*(N56-1))=J56,K56="",ISNUMBER(L56),L56=INT(L56),L56&gt;=-366,L56&lt;=366),DATE(Übersicht!$B$4,J56,1)+MOD(M56-WEEKDAY(DATE(Übersicht!$B$4,J56,1),2),7)+7*(N56-1)+L56,NA()),NA())))),NA())</f>
        <v>46614</v>
      </c>
      <c r="X56" s="15">
        <f t="shared" si="1"/>
        <v>46614</v>
      </c>
      <c r="Y56" s="11" t="s">
        <v>459</v>
      </c>
      <c r="Z56" s="11" t="s">
        <v>482</v>
      </c>
      <c r="AA56" s="26" t="s">
        <v>413</v>
      </c>
    </row>
    <row r="57" spans="1:27" ht="38" customHeight="1">
      <c r="A57" s="10" t="s">
        <v>114</v>
      </c>
      <c r="B57" s="10" t="s">
        <v>67</v>
      </c>
      <c r="C57" s="10" t="s">
        <v>481</v>
      </c>
      <c r="D57" s="24" t="s">
        <v>466</v>
      </c>
      <c r="E57" s="24" t="s">
        <v>467</v>
      </c>
      <c r="F57" s="25"/>
      <c r="G57" s="25"/>
      <c r="H57" s="10" t="s">
        <v>457</v>
      </c>
      <c r="I57" s="10" t="s">
        <v>407</v>
      </c>
      <c r="J57" s="28">
        <v>11</v>
      </c>
      <c r="K57" s="28">
        <v>1</v>
      </c>
      <c r="L57" s="24"/>
      <c r="M57" s="24"/>
      <c r="N57" s="24"/>
      <c r="O57" s="29">
        <v>46023</v>
      </c>
      <c r="P57" s="29"/>
      <c r="Q57" s="24">
        <v>100</v>
      </c>
      <c r="R57" s="24" t="s">
        <v>69</v>
      </c>
      <c r="S57" s="10"/>
      <c r="T57" s="10" t="s">
        <v>409</v>
      </c>
      <c r="U57" s="10"/>
      <c r="V57" s="10" t="s">
        <v>458</v>
      </c>
      <c r="W57" s="14">
        <f>IF(AND(ISNUMBER(Übersicht!$B$4),Übersicht!$B$4=INT(Übersicht!$B$4),Übersicht!$B$4&gt;=2026,Übersicht!$B$4&lt;=2028),IF(I57="fixedMonthDay",IF(AND(ISNUMBER(J57),J57=INT(J57),J57&gt;=1,J57&lt;=12,ISNUMBER(K57),K57=INT(K57),K57&gt;=1,K57&lt;=31,MONTH(DATE(Übersicht!$B$4,J57,K57))=J57,DAY(DATE(Übersicht!$B$4,J57,K57))=K57,L57="",M57="",N57=""),DATE(Übersicht!$B$4,J57,K57),NA()),IF(I57="easterOffsetDays",IF(AND(ISNUMBER(L57),L57=INT(L57),L57&gt;=-366,L57&lt;=366,J57="",K57="",M57="",N57=""),$AD$23+L57,NA()),IF(I57="nthWeekdayOfMonth",IF(AND(ISNUMBER(J57),J57=INT(J57),J57&gt;=1,J57&lt;=12,ISNUMBER(M57),M57=INT(M57),M57&gt;=1,M57&lt;=7,ISNUMBER(N57),N57=INT(N57),N57&gt;=1,N57&lt;=5,MONTH(DATE(Übersicht!$B$4,J57,1)+MOD(M57-WEEKDAY(DATE(Übersicht!$B$4,J57,1),2),7)+7*(N57-1))=J57,K57="",L57=""),DATE(Übersicht!$B$4,J57,1)+MOD(M57-WEEKDAY(DATE(Übersicht!$B$4,J57,1),2),7)+7*(N57-1),NA()),IF(I57="nthWeekdayOffsetDays",IF(AND(ISNUMBER(J57),J57=INT(J57),J57&gt;=1,J57&lt;=12,ISNUMBER(M57),M57=INT(M57),M57&gt;=1,M57&lt;=7,ISNUMBER(N57),N57=INT(N57),N57&gt;=1,N57&lt;=5,MONTH(DATE(Übersicht!$B$4,J57,1)+MOD(M57-WEEKDAY(DATE(Übersicht!$B$4,J57,1),2),7)+7*(N57-1))=J57,K57="",ISNUMBER(L57),L57=INT(L57),L57&gt;=-366,L57&lt;=366),DATE(Übersicht!$B$4,J57,1)+MOD(M57-WEEKDAY(DATE(Übersicht!$B$4,J57,1),2),7)+7*(N57-1)+L57,NA()),NA())))),NA())</f>
        <v>46692</v>
      </c>
      <c r="X57" s="14">
        <f t="shared" si="1"/>
        <v>46692</v>
      </c>
      <c r="Y57" s="10" t="s">
        <v>459</v>
      </c>
      <c r="Z57" s="10" t="s">
        <v>482</v>
      </c>
      <c r="AA57" s="24" t="s">
        <v>413</v>
      </c>
    </row>
    <row r="58" spans="1:27" ht="38" customHeight="1">
      <c r="A58" s="11" t="s">
        <v>115</v>
      </c>
      <c r="B58" s="11" t="s">
        <v>67</v>
      </c>
      <c r="C58" s="11" t="s">
        <v>481</v>
      </c>
      <c r="D58" s="26" t="s">
        <v>448</v>
      </c>
      <c r="E58" s="26" t="s">
        <v>449</v>
      </c>
      <c r="F58" s="27"/>
      <c r="G58" s="27"/>
      <c r="H58" s="11" t="s">
        <v>457</v>
      </c>
      <c r="I58" s="11" t="s">
        <v>407</v>
      </c>
      <c r="J58" s="30">
        <v>12</v>
      </c>
      <c r="K58" s="30">
        <v>25</v>
      </c>
      <c r="L58" s="26"/>
      <c r="M58" s="26"/>
      <c r="N58" s="26"/>
      <c r="O58" s="31">
        <v>46023</v>
      </c>
      <c r="P58" s="31"/>
      <c r="Q58" s="26">
        <v>100</v>
      </c>
      <c r="R58" s="26" t="s">
        <v>69</v>
      </c>
      <c r="S58" s="11"/>
      <c r="T58" s="11" t="s">
        <v>409</v>
      </c>
      <c r="U58" s="11"/>
      <c r="V58" s="11" t="s">
        <v>458</v>
      </c>
      <c r="W58" s="15">
        <f>IF(AND(ISNUMBER(Übersicht!$B$4),Übersicht!$B$4=INT(Übersicht!$B$4),Übersicht!$B$4&gt;=2026,Übersicht!$B$4&lt;=2028),IF(I58="fixedMonthDay",IF(AND(ISNUMBER(J58),J58=INT(J58),J58&gt;=1,J58&lt;=12,ISNUMBER(K58),K58=INT(K58),K58&gt;=1,K58&lt;=31,MONTH(DATE(Übersicht!$B$4,J58,K58))=J58,DAY(DATE(Übersicht!$B$4,J58,K58))=K58,L58="",M58="",N58=""),DATE(Übersicht!$B$4,J58,K58),NA()),IF(I58="easterOffsetDays",IF(AND(ISNUMBER(L58),L58=INT(L58),L58&gt;=-366,L58&lt;=366,J58="",K58="",M58="",N58=""),$AD$23+L58,NA()),IF(I58="nthWeekdayOfMonth",IF(AND(ISNUMBER(J58),J58=INT(J58),J58&gt;=1,J58&lt;=12,ISNUMBER(M58),M58=INT(M58),M58&gt;=1,M58&lt;=7,ISNUMBER(N58),N58=INT(N58),N58&gt;=1,N58&lt;=5,MONTH(DATE(Übersicht!$B$4,J58,1)+MOD(M58-WEEKDAY(DATE(Übersicht!$B$4,J58,1),2),7)+7*(N58-1))=J58,K58="",L58=""),DATE(Übersicht!$B$4,J58,1)+MOD(M58-WEEKDAY(DATE(Übersicht!$B$4,J58,1),2),7)+7*(N58-1),NA()),IF(I58="nthWeekdayOffsetDays",IF(AND(ISNUMBER(J58),J58=INT(J58),J58&gt;=1,J58&lt;=12,ISNUMBER(M58),M58=INT(M58),M58&gt;=1,M58&lt;=7,ISNUMBER(N58),N58=INT(N58),N58&gt;=1,N58&lt;=5,MONTH(DATE(Übersicht!$B$4,J58,1)+MOD(M58-WEEKDAY(DATE(Übersicht!$B$4,J58,1),2),7)+7*(N58-1))=J58,K58="",ISNUMBER(L58),L58=INT(L58),L58&gt;=-366,L58&lt;=366),DATE(Übersicht!$B$4,J58,1)+MOD(M58-WEEKDAY(DATE(Übersicht!$B$4,J58,1),2),7)+7*(N58-1)+L58,NA()),NA())))),NA())</f>
        <v>46746</v>
      </c>
      <c r="X58" s="15">
        <f t="shared" si="1"/>
        <v>46746</v>
      </c>
      <c r="Y58" s="11" t="s">
        <v>459</v>
      </c>
      <c r="Z58" s="11" t="s">
        <v>482</v>
      </c>
      <c r="AA58" s="26" t="s">
        <v>413</v>
      </c>
    </row>
    <row r="59" spans="1:27" ht="38" customHeight="1">
      <c r="A59" s="10" t="s">
        <v>116</v>
      </c>
      <c r="B59" s="10" t="s">
        <v>67</v>
      </c>
      <c r="C59" s="10" t="s">
        <v>481</v>
      </c>
      <c r="D59" s="24" t="s">
        <v>483</v>
      </c>
      <c r="E59" s="24" t="s">
        <v>484</v>
      </c>
      <c r="F59" s="25"/>
      <c r="G59" s="25"/>
      <c r="H59" s="10" t="s">
        <v>457</v>
      </c>
      <c r="I59" s="10" t="s">
        <v>407</v>
      </c>
      <c r="J59" s="28">
        <v>12</v>
      </c>
      <c r="K59" s="28">
        <v>8</v>
      </c>
      <c r="L59" s="24"/>
      <c r="M59" s="24"/>
      <c r="N59" s="24"/>
      <c r="O59" s="29">
        <v>46023</v>
      </c>
      <c r="P59" s="29"/>
      <c r="Q59" s="24">
        <v>100</v>
      </c>
      <c r="R59" s="24" t="s">
        <v>69</v>
      </c>
      <c r="S59" s="10"/>
      <c r="T59" s="10" t="s">
        <v>409</v>
      </c>
      <c r="U59" s="10"/>
      <c r="V59" s="10" t="s">
        <v>458</v>
      </c>
      <c r="W59" s="14">
        <f>IF(AND(ISNUMBER(Übersicht!$B$4),Übersicht!$B$4=INT(Übersicht!$B$4),Übersicht!$B$4&gt;=2026,Übersicht!$B$4&lt;=2028),IF(I59="fixedMonthDay",IF(AND(ISNUMBER(J59),J59=INT(J59),J59&gt;=1,J59&lt;=12,ISNUMBER(K59),K59=INT(K59),K59&gt;=1,K59&lt;=31,MONTH(DATE(Übersicht!$B$4,J59,K59))=J59,DAY(DATE(Übersicht!$B$4,J59,K59))=K59,L59="",M59="",N59=""),DATE(Übersicht!$B$4,J59,K59),NA()),IF(I59="easterOffsetDays",IF(AND(ISNUMBER(L59),L59=INT(L59),L59&gt;=-366,L59&lt;=366,J59="",K59="",M59="",N59=""),$AD$23+L59,NA()),IF(I59="nthWeekdayOfMonth",IF(AND(ISNUMBER(J59),J59=INT(J59),J59&gt;=1,J59&lt;=12,ISNUMBER(M59),M59=INT(M59),M59&gt;=1,M59&lt;=7,ISNUMBER(N59),N59=INT(N59),N59&gt;=1,N59&lt;=5,MONTH(DATE(Übersicht!$B$4,J59,1)+MOD(M59-WEEKDAY(DATE(Übersicht!$B$4,J59,1),2),7)+7*(N59-1))=J59,K59="",L59=""),DATE(Übersicht!$B$4,J59,1)+MOD(M59-WEEKDAY(DATE(Übersicht!$B$4,J59,1),2),7)+7*(N59-1),NA()),IF(I59="nthWeekdayOffsetDays",IF(AND(ISNUMBER(J59),J59=INT(J59),J59&gt;=1,J59&lt;=12,ISNUMBER(M59),M59=INT(M59),M59&gt;=1,M59&lt;=7,ISNUMBER(N59),N59=INT(N59),N59&gt;=1,N59&lt;=5,MONTH(DATE(Übersicht!$B$4,J59,1)+MOD(M59-WEEKDAY(DATE(Übersicht!$B$4,J59,1),2),7)+7*(N59-1))=J59,K59="",ISNUMBER(L59),L59=INT(L59),L59&gt;=-366,L59&lt;=366),DATE(Übersicht!$B$4,J59,1)+MOD(M59-WEEKDAY(DATE(Übersicht!$B$4,J59,1),2),7)+7*(N59-1)+L59,NA()),NA())))),NA())</f>
        <v>46729</v>
      </c>
      <c r="X59" s="14">
        <f t="shared" si="1"/>
        <v>46729</v>
      </c>
      <c r="Y59" s="10" t="s">
        <v>459</v>
      </c>
      <c r="Z59" s="10" t="s">
        <v>482</v>
      </c>
      <c r="AA59" s="24" t="s">
        <v>413</v>
      </c>
    </row>
    <row r="60" spans="1:27" ht="38" customHeight="1">
      <c r="A60" s="11" t="s">
        <v>118</v>
      </c>
      <c r="B60" s="11" t="s">
        <v>67</v>
      </c>
      <c r="C60" s="11" t="s">
        <v>485</v>
      </c>
      <c r="D60" s="26" t="s">
        <v>416</v>
      </c>
      <c r="E60" s="26" t="s">
        <v>417</v>
      </c>
      <c r="F60" s="27"/>
      <c r="G60" s="27"/>
      <c r="H60" s="11" t="s">
        <v>457</v>
      </c>
      <c r="I60" s="11" t="s">
        <v>407</v>
      </c>
      <c r="J60" s="30">
        <v>1</v>
      </c>
      <c r="K60" s="30">
        <v>1</v>
      </c>
      <c r="L60" s="26"/>
      <c r="M60" s="26"/>
      <c r="N60" s="26"/>
      <c r="O60" s="31">
        <v>46023</v>
      </c>
      <c r="P60" s="31"/>
      <c r="Q60" s="26">
        <v>100</v>
      </c>
      <c r="R60" s="26" t="s">
        <v>69</v>
      </c>
      <c r="S60" s="11"/>
      <c r="T60" s="11" t="s">
        <v>409</v>
      </c>
      <c r="U60" s="11"/>
      <c r="V60" s="11" t="s">
        <v>458</v>
      </c>
      <c r="W60" s="15">
        <f>IF(AND(ISNUMBER(Übersicht!$B$4),Übersicht!$B$4=INT(Übersicht!$B$4),Übersicht!$B$4&gt;=2026,Übersicht!$B$4&lt;=2028),IF(I60="fixedMonthDay",IF(AND(ISNUMBER(J60),J60=INT(J60),J60&gt;=1,J60&lt;=12,ISNUMBER(K60),K60=INT(K60),K60&gt;=1,K60&lt;=31,MONTH(DATE(Übersicht!$B$4,J60,K60))=J60,DAY(DATE(Übersicht!$B$4,J60,K60))=K60,L60="",M60="",N60=""),DATE(Übersicht!$B$4,J60,K60),NA()),IF(I60="easterOffsetDays",IF(AND(ISNUMBER(L60),L60=INT(L60),L60&gt;=-366,L60&lt;=366,J60="",K60="",M60="",N60=""),$AD$23+L60,NA()),IF(I60="nthWeekdayOfMonth",IF(AND(ISNUMBER(J60),J60=INT(J60),J60&gt;=1,J60&lt;=12,ISNUMBER(M60),M60=INT(M60),M60&gt;=1,M60&lt;=7,ISNUMBER(N60),N60=INT(N60),N60&gt;=1,N60&lt;=5,MONTH(DATE(Übersicht!$B$4,J60,1)+MOD(M60-WEEKDAY(DATE(Übersicht!$B$4,J60,1),2),7)+7*(N60-1))=J60,K60="",L60=""),DATE(Übersicht!$B$4,J60,1)+MOD(M60-WEEKDAY(DATE(Übersicht!$B$4,J60,1),2),7)+7*(N60-1),NA()),IF(I60="nthWeekdayOffsetDays",IF(AND(ISNUMBER(J60),J60=INT(J60),J60&gt;=1,J60&lt;=12,ISNUMBER(M60),M60=INT(M60),M60&gt;=1,M60&lt;=7,ISNUMBER(N60),N60=INT(N60),N60&gt;=1,N60&lt;=5,MONTH(DATE(Übersicht!$B$4,J60,1)+MOD(M60-WEEKDAY(DATE(Übersicht!$B$4,J60,1),2),7)+7*(N60-1))=J60,K60="",ISNUMBER(L60),L60=INT(L60),L60&gt;=-366,L60&lt;=366),DATE(Übersicht!$B$4,J60,1)+MOD(M60-WEEKDAY(DATE(Übersicht!$B$4,J60,1),2),7)+7*(N60-1)+L60,NA()),NA())))),NA())</f>
        <v>46388</v>
      </c>
      <c r="X60" s="15">
        <f t="shared" si="1"/>
        <v>46388</v>
      </c>
      <c r="Y60" s="11" t="s">
        <v>459</v>
      </c>
      <c r="Z60" s="11" t="s">
        <v>486</v>
      </c>
      <c r="AA60" s="26" t="s">
        <v>413</v>
      </c>
    </row>
    <row r="61" spans="1:27" ht="38" customHeight="1">
      <c r="A61" s="10" t="s">
        <v>119</v>
      </c>
      <c r="B61" s="10" t="s">
        <v>67</v>
      </c>
      <c r="C61" s="10" t="s">
        <v>485</v>
      </c>
      <c r="D61" s="24" t="s">
        <v>424</v>
      </c>
      <c r="E61" s="24" t="s">
        <v>425</v>
      </c>
      <c r="F61" s="25"/>
      <c r="G61" s="25"/>
      <c r="H61" s="10" t="s">
        <v>457</v>
      </c>
      <c r="I61" s="10" t="s">
        <v>426</v>
      </c>
      <c r="J61" s="28"/>
      <c r="K61" s="28"/>
      <c r="L61" s="24">
        <v>-2</v>
      </c>
      <c r="M61" s="24"/>
      <c r="N61" s="24"/>
      <c r="O61" s="29">
        <v>46023</v>
      </c>
      <c r="P61" s="29"/>
      <c r="Q61" s="24">
        <v>100</v>
      </c>
      <c r="R61" s="24" t="s">
        <v>69</v>
      </c>
      <c r="S61" s="10"/>
      <c r="T61" s="10" t="s">
        <v>409</v>
      </c>
      <c r="U61" s="10"/>
      <c r="V61" s="10" t="s">
        <v>458</v>
      </c>
      <c r="W61" s="14">
        <f>IF(AND(ISNUMBER(Übersicht!$B$4),Übersicht!$B$4=INT(Übersicht!$B$4),Übersicht!$B$4&gt;=2026,Übersicht!$B$4&lt;=2028),IF(I61="fixedMonthDay",IF(AND(ISNUMBER(J61),J61=INT(J61),J61&gt;=1,J61&lt;=12,ISNUMBER(K61),K61=INT(K61),K61&gt;=1,K61&lt;=31,MONTH(DATE(Übersicht!$B$4,J61,K61))=J61,DAY(DATE(Übersicht!$B$4,J61,K61))=K61,L61="",M61="",N61=""),DATE(Übersicht!$B$4,J61,K61),NA()),IF(I61="easterOffsetDays",IF(AND(ISNUMBER(L61),L61=INT(L61),L61&gt;=-366,L61&lt;=366,J61="",K61="",M61="",N61=""),$AD$23+L61,NA()),IF(I61="nthWeekdayOfMonth",IF(AND(ISNUMBER(J61),J61=INT(J61),J61&gt;=1,J61&lt;=12,ISNUMBER(M61),M61=INT(M61),M61&gt;=1,M61&lt;=7,ISNUMBER(N61),N61=INT(N61),N61&gt;=1,N61&lt;=5,MONTH(DATE(Übersicht!$B$4,J61,1)+MOD(M61-WEEKDAY(DATE(Übersicht!$B$4,J61,1),2),7)+7*(N61-1))=J61,K61="",L61=""),DATE(Übersicht!$B$4,J61,1)+MOD(M61-WEEKDAY(DATE(Übersicht!$B$4,J61,1),2),7)+7*(N61-1),NA()),IF(I61="nthWeekdayOffsetDays",IF(AND(ISNUMBER(J61),J61=INT(J61),J61&gt;=1,J61&lt;=12,ISNUMBER(M61),M61=INT(M61),M61&gt;=1,M61&lt;=7,ISNUMBER(N61),N61=INT(N61),N61&gt;=1,N61&lt;=5,MONTH(DATE(Übersicht!$B$4,J61,1)+MOD(M61-WEEKDAY(DATE(Übersicht!$B$4,J61,1),2),7)+7*(N61-1))=J61,K61="",ISNUMBER(L61),L61=INT(L61),L61&gt;=-366,L61&lt;=366),DATE(Übersicht!$B$4,J61,1)+MOD(M61-WEEKDAY(DATE(Übersicht!$B$4,J61,1),2),7)+7*(N61-1)+L61,NA()),NA())))),NA())</f>
        <v>46472</v>
      </c>
      <c r="X61" s="14">
        <f t="shared" si="1"/>
        <v>46472</v>
      </c>
      <c r="Y61" s="10" t="s">
        <v>459</v>
      </c>
      <c r="Z61" s="10" t="s">
        <v>486</v>
      </c>
      <c r="AA61" s="24" t="s">
        <v>413</v>
      </c>
    </row>
    <row r="62" spans="1:27" ht="38" customHeight="1">
      <c r="A62" s="11" t="s">
        <v>120</v>
      </c>
      <c r="B62" s="11" t="s">
        <v>67</v>
      </c>
      <c r="C62" s="11" t="s">
        <v>485</v>
      </c>
      <c r="D62" s="26" t="s">
        <v>435</v>
      </c>
      <c r="E62" s="26" t="s">
        <v>436</v>
      </c>
      <c r="F62" s="27"/>
      <c r="G62" s="27"/>
      <c r="H62" s="11" t="s">
        <v>457</v>
      </c>
      <c r="I62" s="11" t="s">
        <v>426</v>
      </c>
      <c r="J62" s="30"/>
      <c r="K62" s="30"/>
      <c r="L62" s="26">
        <v>39</v>
      </c>
      <c r="M62" s="26"/>
      <c r="N62" s="26"/>
      <c r="O62" s="31">
        <v>46023</v>
      </c>
      <c r="P62" s="31"/>
      <c r="Q62" s="26">
        <v>100</v>
      </c>
      <c r="R62" s="26" t="s">
        <v>69</v>
      </c>
      <c r="S62" s="11"/>
      <c r="T62" s="11" t="s">
        <v>409</v>
      </c>
      <c r="U62" s="11"/>
      <c r="V62" s="11" t="s">
        <v>458</v>
      </c>
      <c r="W62" s="15">
        <f>IF(AND(ISNUMBER(Übersicht!$B$4),Übersicht!$B$4=INT(Übersicht!$B$4),Übersicht!$B$4&gt;=2026,Übersicht!$B$4&lt;=2028),IF(I62="fixedMonthDay",IF(AND(ISNUMBER(J62),J62=INT(J62),J62&gt;=1,J62&lt;=12,ISNUMBER(K62),K62=INT(K62),K62&gt;=1,K62&lt;=31,MONTH(DATE(Übersicht!$B$4,J62,K62))=J62,DAY(DATE(Übersicht!$B$4,J62,K62))=K62,L62="",M62="",N62=""),DATE(Übersicht!$B$4,J62,K62),NA()),IF(I62="easterOffsetDays",IF(AND(ISNUMBER(L62),L62=INT(L62),L62&gt;=-366,L62&lt;=366,J62="",K62="",M62="",N62=""),$AD$23+L62,NA()),IF(I62="nthWeekdayOfMonth",IF(AND(ISNUMBER(J62),J62=INT(J62),J62&gt;=1,J62&lt;=12,ISNUMBER(M62),M62=INT(M62),M62&gt;=1,M62&lt;=7,ISNUMBER(N62),N62=INT(N62),N62&gt;=1,N62&lt;=5,MONTH(DATE(Übersicht!$B$4,J62,1)+MOD(M62-WEEKDAY(DATE(Übersicht!$B$4,J62,1),2),7)+7*(N62-1))=J62,K62="",L62=""),DATE(Übersicht!$B$4,J62,1)+MOD(M62-WEEKDAY(DATE(Übersicht!$B$4,J62,1),2),7)+7*(N62-1),NA()),IF(I62="nthWeekdayOffsetDays",IF(AND(ISNUMBER(J62),J62=INT(J62),J62&gt;=1,J62&lt;=12,ISNUMBER(M62),M62=INT(M62),M62&gt;=1,M62&lt;=7,ISNUMBER(N62),N62=INT(N62),N62&gt;=1,N62&lt;=5,MONTH(DATE(Übersicht!$B$4,J62,1)+MOD(M62-WEEKDAY(DATE(Übersicht!$B$4,J62,1),2),7)+7*(N62-1))=J62,K62="",ISNUMBER(L62),L62=INT(L62),L62&gt;=-366,L62&lt;=366),DATE(Übersicht!$B$4,J62,1)+MOD(M62-WEEKDAY(DATE(Übersicht!$B$4,J62,1),2),7)+7*(N62-1)+L62,NA()),NA())))),NA())</f>
        <v>46513</v>
      </c>
      <c r="X62" s="15">
        <f t="shared" si="1"/>
        <v>46513</v>
      </c>
      <c r="Y62" s="11" t="s">
        <v>459</v>
      </c>
      <c r="Z62" s="11" t="s">
        <v>486</v>
      </c>
      <c r="AA62" s="26" t="s">
        <v>413</v>
      </c>
    </row>
    <row r="63" spans="1:27" ht="38" customHeight="1">
      <c r="A63" s="10" t="s">
        <v>121</v>
      </c>
      <c r="B63" s="10" t="s">
        <v>67</v>
      </c>
      <c r="C63" s="10" t="s">
        <v>485</v>
      </c>
      <c r="D63" s="24" t="s">
        <v>455</v>
      </c>
      <c r="E63" s="24" t="s">
        <v>456</v>
      </c>
      <c r="F63" s="25"/>
      <c r="G63" s="25"/>
      <c r="H63" s="10" t="s">
        <v>457</v>
      </c>
      <c r="I63" s="10" t="s">
        <v>426</v>
      </c>
      <c r="J63" s="28"/>
      <c r="K63" s="28"/>
      <c r="L63" s="24">
        <v>60</v>
      </c>
      <c r="M63" s="24"/>
      <c r="N63" s="24"/>
      <c r="O63" s="29">
        <v>46023</v>
      </c>
      <c r="P63" s="29"/>
      <c r="Q63" s="24">
        <v>100</v>
      </c>
      <c r="R63" s="24" t="s">
        <v>69</v>
      </c>
      <c r="S63" s="10"/>
      <c r="T63" s="10" t="s">
        <v>409</v>
      </c>
      <c r="U63" s="10"/>
      <c r="V63" s="10" t="s">
        <v>458</v>
      </c>
      <c r="W63" s="14">
        <f>IF(AND(ISNUMBER(Übersicht!$B$4),Übersicht!$B$4=INT(Übersicht!$B$4),Übersicht!$B$4&gt;=2026,Übersicht!$B$4&lt;=2028),IF(I63="fixedMonthDay",IF(AND(ISNUMBER(J63),J63=INT(J63),J63&gt;=1,J63&lt;=12,ISNUMBER(K63),K63=INT(K63),K63&gt;=1,K63&lt;=31,MONTH(DATE(Übersicht!$B$4,J63,K63))=J63,DAY(DATE(Übersicht!$B$4,J63,K63))=K63,L63="",M63="",N63=""),DATE(Übersicht!$B$4,J63,K63),NA()),IF(I63="easterOffsetDays",IF(AND(ISNUMBER(L63),L63=INT(L63),L63&gt;=-366,L63&lt;=366,J63="",K63="",M63="",N63=""),$AD$23+L63,NA()),IF(I63="nthWeekdayOfMonth",IF(AND(ISNUMBER(J63),J63=INT(J63),J63&gt;=1,J63&lt;=12,ISNUMBER(M63),M63=INT(M63),M63&gt;=1,M63&lt;=7,ISNUMBER(N63),N63=INT(N63),N63&gt;=1,N63&lt;=5,MONTH(DATE(Übersicht!$B$4,J63,1)+MOD(M63-WEEKDAY(DATE(Übersicht!$B$4,J63,1),2),7)+7*(N63-1))=J63,K63="",L63=""),DATE(Übersicht!$B$4,J63,1)+MOD(M63-WEEKDAY(DATE(Übersicht!$B$4,J63,1),2),7)+7*(N63-1),NA()),IF(I63="nthWeekdayOffsetDays",IF(AND(ISNUMBER(J63),J63=INT(J63),J63&gt;=1,J63&lt;=12,ISNUMBER(M63),M63=INT(M63),M63&gt;=1,M63&lt;=7,ISNUMBER(N63),N63=INT(N63),N63&gt;=1,N63&lt;=5,MONTH(DATE(Übersicht!$B$4,J63,1)+MOD(M63-WEEKDAY(DATE(Übersicht!$B$4,J63,1),2),7)+7*(N63-1))=J63,K63="",ISNUMBER(L63),L63=INT(L63),L63&gt;=-366,L63&lt;=366),DATE(Übersicht!$B$4,J63,1)+MOD(M63-WEEKDAY(DATE(Übersicht!$B$4,J63,1),2),7)+7*(N63-1)+L63,NA()),NA())))),NA())</f>
        <v>46534</v>
      </c>
      <c r="X63" s="14">
        <f t="shared" si="1"/>
        <v>46534</v>
      </c>
      <c r="Y63" s="10" t="s">
        <v>459</v>
      </c>
      <c r="Z63" s="10" t="s">
        <v>486</v>
      </c>
      <c r="AA63" s="24" t="s">
        <v>413</v>
      </c>
    </row>
    <row r="64" spans="1:27" ht="38" customHeight="1">
      <c r="A64" s="11" t="s">
        <v>122</v>
      </c>
      <c r="B64" s="11" t="s">
        <v>67</v>
      </c>
      <c r="C64" s="11" t="s">
        <v>485</v>
      </c>
      <c r="D64" s="26" t="s">
        <v>479</v>
      </c>
      <c r="E64" s="26" t="s">
        <v>480</v>
      </c>
      <c r="F64" s="27"/>
      <c r="G64" s="27"/>
      <c r="H64" s="11" t="s">
        <v>457</v>
      </c>
      <c r="I64" s="11" t="s">
        <v>407</v>
      </c>
      <c r="J64" s="30">
        <v>8</v>
      </c>
      <c r="K64" s="30">
        <v>15</v>
      </c>
      <c r="L64" s="26"/>
      <c r="M64" s="26"/>
      <c r="N64" s="26"/>
      <c r="O64" s="31">
        <v>46023</v>
      </c>
      <c r="P64" s="31"/>
      <c r="Q64" s="26">
        <v>100</v>
      </c>
      <c r="R64" s="26" t="s">
        <v>69</v>
      </c>
      <c r="S64" s="11"/>
      <c r="T64" s="11" t="s">
        <v>409</v>
      </c>
      <c r="U64" s="11"/>
      <c r="V64" s="11" t="s">
        <v>458</v>
      </c>
      <c r="W64" s="15">
        <f>IF(AND(ISNUMBER(Übersicht!$B$4),Übersicht!$B$4=INT(Übersicht!$B$4),Übersicht!$B$4&gt;=2026,Übersicht!$B$4&lt;=2028),IF(I64="fixedMonthDay",IF(AND(ISNUMBER(J64),J64=INT(J64),J64&gt;=1,J64&lt;=12,ISNUMBER(K64),K64=INT(K64),K64&gt;=1,K64&lt;=31,MONTH(DATE(Übersicht!$B$4,J64,K64))=J64,DAY(DATE(Übersicht!$B$4,J64,K64))=K64,L64="",M64="",N64=""),DATE(Übersicht!$B$4,J64,K64),NA()),IF(I64="easterOffsetDays",IF(AND(ISNUMBER(L64),L64=INT(L64),L64&gt;=-366,L64&lt;=366,J64="",K64="",M64="",N64=""),$AD$23+L64,NA()),IF(I64="nthWeekdayOfMonth",IF(AND(ISNUMBER(J64),J64=INT(J64),J64&gt;=1,J64&lt;=12,ISNUMBER(M64),M64=INT(M64),M64&gt;=1,M64&lt;=7,ISNUMBER(N64),N64=INT(N64),N64&gt;=1,N64&lt;=5,MONTH(DATE(Übersicht!$B$4,J64,1)+MOD(M64-WEEKDAY(DATE(Übersicht!$B$4,J64,1),2),7)+7*(N64-1))=J64,K64="",L64=""),DATE(Übersicht!$B$4,J64,1)+MOD(M64-WEEKDAY(DATE(Übersicht!$B$4,J64,1),2),7)+7*(N64-1),NA()),IF(I64="nthWeekdayOffsetDays",IF(AND(ISNUMBER(J64),J64=INT(J64),J64&gt;=1,J64&lt;=12,ISNUMBER(M64),M64=INT(M64),M64&gt;=1,M64&lt;=7,ISNUMBER(N64),N64=INT(N64),N64&gt;=1,N64&lt;=5,MONTH(DATE(Übersicht!$B$4,J64,1)+MOD(M64-WEEKDAY(DATE(Übersicht!$B$4,J64,1),2),7)+7*(N64-1))=J64,K64="",ISNUMBER(L64),L64=INT(L64),L64&gt;=-366,L64&lt;=366),DATE(Übersicht!$B$4,J64,1)+MOD(M64-WEEKDAY(DATE(Übersicht!$B$4,J64,1),2),7)+7*(N64-1)+L64,NA()),NA())))),NA())</f>
        <v>46614</v>
      </c>
      <c r="X64" s="15">
        <f t="shared" si="1"/>
        <v>46614</v>
      </c>
      <c r="Y64" s="11" t="s">
        <v>459</v>
      </c>
      <c r="Z64" s="11" t="s">
        <v>486</v>
      </c>
      <c r="AA64" s="26" t="s">
        <v>413</v>
      </c>
    </row>
    <row r="65" spans="1:27" ht="38" customHeight="1">
      <c r="A65" s="10" t="s">
        <v>123</v>
      </c>
      <c r="B65" s="10" t="s">
        <v>67</v>
      </c>
      <c r="C65" s="10" t="s">
        <v>485</v>
      </c>
      <c r="D65" s="24" t="s">
        <v>466</v>
      </c>
      <c r="E65" s="24" t="s">
        <v>467</v>
      </c>
      <c r="F65" s="25"/>
      <c r="G65" s="25"/>
      <c r="H65" s="10" t="s">
        <v>457</v>
      </c>
      <c r="I65" s="10" t="s">
        <v>407</v>
      </c>
      <c r="J65" s="28">
        <v>11</v>
      </c>
      <c r="K65" s="28">
        <v>1</v>
      </c>
      <c r="L65" s="24"/>
      <c r="M65" s="24"/>
      <c r="N65" s="24"/>
      <c r="O65" s="29">
        <v>46023</v>
      </c>
      <c r="P65" s="29"/>
      <c r="Q65" s="24">
        <v>100</v>
      </c>
      <c r="R65" s="24" t="s">
        <v>69</v>
      </c>
      <c r="S65" s="10"/>
      <c r="T65" s="10" t="s">
        <v>409</v>
      </c>
      <c r="U65" s="10"/>
      <c r="V65" s="10" t="s">
        <v>458</v>
      </c>
      <c r="W65" s="14">
        <f>IF(AND(ISNUMBER(Übersicht!$B$4),Übersicht!$B$4=INT(Übersicht!$B$4),Übersicht!$B$4&gt;=2026,Übersicht!$B$4&lt;=2028),IF(I65="fixedMonthDay",IF(AND(ISNUMBER(J65),J65=INT(J65),J65&gt;=1,J65&lt;=12,ISNUMBER(K65),K65=INT(K65),K65&gt;=1,K65&lt;=31,MONTH(DATE(Übersicht!$B$4,J65,K65))=J65,DAY(DATE(Übersicht!$B$4,J65,K65))=K65,L65="",M65="",N65=""),DATE(Übersicht!$B$4,J65,K65),NA()),IF(I65="easterOffsetDays",IF(AND(ISNUMBER(L65),L65=INT(L65),L65&gt;=-366,L65&lt;=366,J65="",K65="",M65="",N65=""),$AD$23+L65,NA()),IF(I65="nthWeekdayOfMonth",IF(AND(ISNUMBER(J65),J65=INT(J65),J65&gt;=1,J65&lt;=12,ISNUMBER(M65),M65=INT(M65),M65&gt;=1,M65&lt;=7,ISNUMBER(N65),N65=INT(N65),N65&gt;=1,N65&lt;=5,MONTH(DATE(Übersicht!$B$4,J65,1)+MOD(M65-WEEKDAY(DATE(Übersicht!$B$4,J65,1),2),7)+7*(N65-1))=J65,K65="",L65=""),DATE(Übersicht!$B$4,J65,1)+MOD(M65-WEEKDAY(DATE(Übersicht!$B$4,J65,1),2),7)+7*(N65-1),NA()),IF(I65="nthWeekdayOffsetDays",IF(AND(ISNUMBER(J65),J65=INT(J65),J65&gt;=1,J65&lt;=12,ISNUMBER(M65),M65=INT(M65),M65&gt;=1,M65&lt;=7,ISNUMBER(N65),N65=INT(N65),N65&gt;=1,N65&lt;=5,MONTH(DATE(Übersicht!$B$4,J65,1)+MOD(M65-WEEKDAY(DATE(Übersicht!$B$4,J65,1),2),7)+7*(N65-1))=J65,K65="",ISNUMBER(L65),L65=INT(L65),L65&gt;=-366,L65&lt;=366),DATE(Übersicht!$B$4,J65,1)+MOD(M65-WEEKDAY(DATE(Übersicht!$B$4,J65,1),2),7)+7*(N65-1)+L65,NA()),NA())))),NA())</f>
        <v>46692</v>
      </c>
      <c r="X65" s="14">
        <f t="shared" si="1"/>
        <v>46692</v>
      </c>
      <c r="Y65" s="10" t="s">
        <v>459</v>
      </c>
      <c r="Z65" s="10" t="s">
        <v>486</v>
      </c>
      <c r="AA65" s="24" t="s">
        <v>413</v>
      </c>
    </row>
    <row r="66" spans="1:27" ht="38" customHeight="1">
      <c r="A66" s="11" t="s">
        <v>124</v>
      </c>
      <c r="B66" s="11" t="s">
        <v>67</v>
      </c>
      <c r="C66" s="11" t="s">
        <v>485</v>
      </c>
      <c r="D66" s="26" t="s">
        <v>448</v>
      </c>
      <c r="E66" s="26" t="s">
        <v>449</v>
      </c>
      <c r="F66" s="27"/>
      <c r="G66" s="27"/>
      <c r="H66" s="11" t="s">
        <v>457</v>
      </c>
      <c r="I66" s="11" t="s">
        <v>407</v>
      </c>
      <c r="J66" s="30">
        <v>12</v>
      </c>
      <c r="K66" s="30">
        <v>25</v>
      </c>
      <c r="L66" s="26"/>
      <c r="M66" s="26"/>
      <c r="N66" s="26"/>
      <c r="O66" s="31">
        <v>46023</v>
      </c>
      <c r="P66" s="31"/>
      <c r="Q66" s="26">
        <v>100</v>
      </c>
      <c r="R66" s="26" t="s">
        <v>69</v>
      </c>
      <c r="S66" s="11"/>
      <c r="T66" s="11" t="s">
        <v>409</v>
      </c>
      <c r="U66" s="11"/>
      <c r="V66" s="11" t="s">
        <v>458</v>
      </c>
      <c r="W66" s="15">
        <f>IF(AND(ISNUMBER(Übersicht!$B$4),Übersicht!$B$4=INT(Übersicht!$B$4),Übersicht!$B$4&gt;=2026,Übersicht!$B$4&lt;=2028),IF(I66="fixedMonthDay",IF(AND(ISNUMBER(J66),J66=INT(J66),J66&gt;=1,J66&lt;=12,ISNUMBER(K66),K66=INT(K66),K66&gt;=1,K66&lt;=31,MONTH(DATE(Übersicht!$B$4,J66,K66))=J66,DAY(DATE(Übersicht!$B$4,J66,K66))=K66,L66="",M66="",N66=""),DATE(Übersicht!$B$4,J66,K66),NA()),IF(I66="easterOffsetDays",IF(AND(ISNUMBER(L66),L66=INT(L66),L66&gt;=-366,L66&lt;=366,J66="",K66="",M66="",N66=""),$AD$23+L66,NA()),IF(I66="nthWeekdayOfMonth",IF(AND(ISNUMBER(J66),J66=INT(J66),J66&gt;=1,J66&lt;=12,ISNUMBER(M66),M66=INT(M66),M66&gt;=1,M66&lt;=7,ISNUMBER(N66),N66=INT(N66),N66&gt;=1,N66&lt;=5,MONTH(DATE(Übersicht!$B$4,J66,1)+MOD(M66-WEEKDAY(DATE(Übersicht!$B$4,J66,1),2),7)+7*(N66-1))=J66,K66="",L66=""),DATE(Übersicht!$B$4,J66,1)+MOD(M66-WEEKDAY(DATE(Übersicht!$B$4,J66,1),2),7)+7*(N66-1),NA()),IF(I66="nthWeekdayOffsetDays",IF(AND(ISNUMBER(J66),J66=INT(J66),J66&gt;=1,J66&lt;=12,ISNUMBER(M66),M66=INT(M66),M66&gt;=1,M66&lt;=7,ISNUMBER(N66),N66=INT(N66),N66&gt;=1,N66&lt;=5,MONTH(DATE(Übersicht!$B$4,J66,1)+MOD(M66-WEEKDAY(DATE(Übersicht!$B$4,J66,1),2),7)+7*(N66-1))=J66,K66="",ISNUMBER(L66),L66=INT(L66),L66&gt;=-366,L66&lt;=366),DATE(Übersicht!$B$4,J66,1)+MOD(M66-WEEKDAY(DATE(Übersicht!$B$4,J66,1),2),7)+7*(N66-1)+L66,NA()),NA())))),NA())</f>
        <v>46746</v>
      </c>
      <c r="X66" s="15">
        <f t="shared" si="1"/>
        <v>46746</v>
      </c>
      <c r="Y66" s="11" t="s">
        <v>459</v>
      </c>
      <c r="Z66" s="11" t="s">
        <v>486</v>
      </c>
      <c r="AA66" s="26" t="s">
        <v>413</v>
      </c>
    </row>
    <row r="67" spans="1:27" ht="38" customHeight="1">
      <c r="A67" s="10" t="s">
        <v>125</v>
      </c>
      <c r="B67" s="10" t="s">
        <v>67</v>
      </c>
      <c r="C67" s="10" t="s">
        <v>485</v>
      </c>
      <c r="D67" s="24" t="s">
        <v>483</v>
      </c>
      <c r="E67" s="24" t="s">
        <v>484</v>
      </c>
      <c r="F67" s="25"/>
      <c r="G67" s="25"/>
      <c r="H67" s="10" t="s">
        <v>457</v>
      </c>
      <c r="I67" s="10" t="s">
        <v>407</v>
      </c>
      <c r="J67" s="28">
        <v>12</v>
      </c>
      <c r="K67" s="28">
        <v>8</v>
      </c>
      <c r="L67" s="24"/>
      <c r="M67" s="24"/>
      <c r="N67" s="24"/>
      <c r="O67" s="29">
        <v>46023</v>
      </c>
      <c r="P67" s="29"/>
      <c r="Q67" s="24">
        <v>100</v>
      </c>
      <c r="R67" s="24" t="s">
        <v>69</v>
      </c>
      <c r="S67" s="10"/>
      <c r="T67" s="10" t="s">
        <v>409</v>
      </c>
      <c r="U67" s="10"/>
      <c r="V67" s="10" t="s">
        <v>458</v>
      </c>
      <c r="W67" s="14">
        <f>IF(AND(ISNUMBER(Übersicht!$B$4),Übersicht!$B$4=INT(Übersicht!$B$4),Übersicht!$B$4&gt;=2026,Übersicht!$B$4&lt;=2028),IF(I67="fixedMonthDay",IF(AND(ISNUMBER(J67),J67=INT(J67),J67&gt;=1,J67&lt;=12,ISNUMBER(K67),K67=INT(K67),K67&gt;=1,K67&lt;=31,MONTH(DATE(Übersicht!$B$4,J67,K67))=J67,DAY(DATE(Übersicht!$B$4,J67,K67))=K67,L67="",M67="",N67=""),DATE(Übersicht!$B$4,J67,K67),NA()),IF(I67="easterOffsetDays",IF(AND(ISNUMBER(L67),L67=INT(L67),L67&gt;=-366,L67&lt;=366,J67="",K67="",M67="",N67=""),$AD$23+L67,NA()),IF(I67="nthWeekdayOfMonth",IF(AND(ISNUMBER(J67),J67=INT(J67),J67&gt;=1,J67&lt;=12,ISNUMBER(M67),M67=INT(M67),M67&gt;=1,M67&lt;=7,ISNUMBER(N67),N67=INT(N67),N67&gt;=1,N67&lt;=5,MONTH(DATE(Übersicht!$B$4,J67,1)+MOD(M67-WEEKDAY(DATE(Übersicht!$B$4,J67,1),2),7)+7*(N67-1))=J67,K67="",L67=""),DATE(Übersicht!$B$4,J67,1)+MOD(M67-WEEKDAY(DATE(Übersicht!$B$4,J67,1),2),7)+7*(N67-1),NA()),IF(I67="nthWeekdayOffsetDays",IF(AND(ISNUMBER(J67),J67=INT(J67),J67&gt;=1,J67&lt;=12,ISNUMBER(M67),M67=INT(M67),M67&gt;=1,M67&lt;=7,ISNUMBER(N67),N67=INT(N67),N67&gt;=1,N67&lt;=5,MONTH(DATE(Übersicht!$B$4,J67,1)+MOD(M67-WEEKDAY(DATE(Übersicht!$B$4,J67,1),2),7)+7*(N67-1))=J67,K67="",ISNUMBER(L67),L67=INT(L67),L67&gt;=-366,L67&lt;=366),DATE(Übersicht!$B$4,J67,1)+MOD(M67-WEEKDAY(DATE(Übersicht!$B$4,J67,1),2),7)+7*(N67-1)+L67,NA()),NA())))),NA())</f>
        <v>46729</v>
      </c>
      <c r="X67" s="14">
        <f t="shared" si="1"/>
        <v>46729</v>
      </c>
      <c r="Y67" s="10" t="s">
        <v>459</v>
      </c>
      <c r="Z67" s="10" t="s">
        <v>486</v>
      </c>
      <c r="AA67" s="24" t="s">
        <v>413</v>
      </c>
    </row>
    <row r="68" spans="1:27" ht="38" customHeight="1">
      <c r="A68" s="11" t="s">
        <v>127</v>
      </c>
      <c r="B68" s="11" t="s">
        <v>67</v>
      </c>
      <c r="C68" s="11" t="s">
        <v>487</v>
      </c>
      <c r="D68" s="26" t="s">
        <v>416</v>
      </c>
      <c r="E68" s="26" t="s">
        <v>417</v>
      </c>
      <c r="F68" s="27"/>
      <c r="G68" s="27"/>
      <c r="H68" s="11" t="s">
        <v>457</v>
      </c>
      <c r="I68" s="11" t="s">
        <v>407</v>
      </c>
      <c r="J68" s="30">
        <v>1</v>
      </c>
      <c r="K68" s="30">
        <v>1</v>
      </c>
      <c r="L68" s="26"/>
      <c r="M68" s="26"/>
      <c r="N68" s="26"/>
      <c r="O68" s="31">
        <v>46023</v>
      </c>
      <c r="P68" s="31"/>
      <c r="Q68" s="26">
        <v>100</v>
      </c>
      <c r="R68" s="26" t="s">
        <v>69</v>
      </c>
      <c r="S68" s="11"/>
      <c r="T68" s="11" t="s">
        <v>409</v>
      </c>
      <c r="U68" s="11"/>
      <c r="V68" s="11" t="s">
        <v>458</v>
      </c>
      <c r="W68" s="15">
        <f>IF(AND(ISNUMBER(Übersicht!$B$4),Übersicht!$B$4=INT(Übersicht!$B$4),Übersicht!$B$4&gt;=2026,Übersicht!$B$4&lt;=2028),IF(I68="fixedMonthDay",IF(AND(ISNUMBER(J68),J68=INT(J68),J68&gt;=1,J68&lt;=12,ISNUMBER(K68),K68=INT(K68),K68&gt;=1,K68&lt;=31,MONTH(DATE(Übersicht!$B$4,J68,K68))=J68,DAY(DATE(Übersicht!$B$4,J68,K68))=K68,L68="",M68="",N68=""),DATE(Übersicht!$B$4,J68,K68),NA()),IF(I68="easterOffsetDays",IF(AND(ISNUMBER(L68),L68=INT(L68),L68&gt;=-366,L68&lt;=366,J68="",K68="",M68="",N68=""),$AD$23+L68,NA()),IF(I68="nthWeekdayOfMonth",IF(AND(ISNUMBER(J68),J68=INT(J68),J68&gt;=1,J68&lt;=12,ISNUMBER(M68),M68=INT(M68),M68&gt;=1,M68&lt;=7,ISNUMBER(N68),N68=INT(N68),N68&gt;=1,N68&lt;=5,MONTH(DATE(Übersicht!$B$4,J68,1)+MOD(M68-WEEKDAY(DATE(Übersicht!$B$4,J68,1),2),7)+7*(N68-1))=J68,K68="",L68=""),DATE(Übersicht!$B$4,J68,1)+MOD(M68-WEEKDAY(DATE(Übersicht!$B$4,J68,1),2),7)+7*(N68-1),NA()),IF(I68="nthWeekdayOffsetDays",IF(AND(ISNUMBER(J68),J68=INT(J68),J68&gt;=1,J68&lt;=12,ISNUMBER(M68),M68=INT(M68),M68&gt;=1,M68&lt;=7,ISNUMBER(N68),N68=INT(N68),N68&gt;=1,N68&lt;=5,MONTH(DATE(Übersicht!$B$4,J68,1)+MOD(M68-WEEKDAY(DATE(Übersicht!$B$4,J68,1),2),7)+7*(N68-1))=J68,K68="",ISNUMBER(L68),L68=INT(L68),L68&gt;=-366,L68&lt;=366),DATE(Übersicht!$B$4,J68,1)+MOD(M68-WEEKDAY(DATE(Übersicht!$B$4,J68,1),2),7)+7*(N68-1)+L68,NA()),NA())))),NA())</f>
        <v>46388</v>
      </c>
      <c r="X68" s="15">
        <f t="shared" si="1"/>
        <v>46388</v>
      </c>
      <c r="Y68" s="11" t="s">
        <v>459</v>
      </c>
      <c r="Z68" s="11" t="s">
        <v>488</v>
      </c>
      <c r="AA68" s="26" t="s">
        <v>413</v>
      </c>
    </row>
    <row r="69" spans="1:27" ht="38" customHeight="1">
      <c r="A69" s="10" t="s">
        <v>128</v>
      </c>
      <c r="B69" s="10" t="s">
        <v>67</v>
      </c>
      <c r="C69" s="10" t="s">
        <v>487</v>
      </c>
      <c r="D69" s="24" t="s">
        <v>424</v>
      </c>
      <c r="E69" s="24" t="s">
        <v>425</v>
      </c>
      <c r="F69" s="25"/>
      <c r="G69" s="25"/>
      <c r="H69" s="10" t="s">
        <v>457</v>
      </c>
      <c r="I69" s="10" t="s">
        <v>426</v>
      </c>
      <c r="J69" s="28"/>
      <c r="K69" s="28"/>
      <c r="L69" s="24">
        <v>-2</v>
      </c>
      <c r="M69" s="24"/>
      <c r="N69" s="24"/>
      <c r="O69" s="29">
        <v>46023</v>
      </c>
      <c r="P69" s="29"/>
      <c r="Q69" s="24">
        <v>100</v>
      </c>
      <c r="R69" s="24" t="s">
        <v>69</v>
      </c>
      <c r="S69" s="10"/>
      <c r="T69" s="10" t="s">
        <v>409</v>
      </c>
      <c r="U69" s="10"/>
      <c r="V69" s="10" t="s">
        <v>458</v>
      </c>
      <c r="W69" s="14">
        <f>IF(AND(ISNUMBER(Übersicht!$B$4),Übersicht!$B$4=INT(Übersicht!$B$4),Übersicht!$B$4&gt;=2026,Übersicht!$B$4&lt;=2028),IF(I69="fixedMonthDay",IF(AND(ISNUMBER(J69),J69=INT(J69),J69&gt;=1,J69&lt;=12,ISNUMBER(K69),K69=INT(K69),K69&gt;=1,K69&lt;=31,MONTH(DATE(Übersicht!$B$4,J69,K69))=J69,DAY(DATE(Übersicht!$B$4,J69,K69))=K69,L69="",M69="",N69=""),DATE(Übersicht!$B$4,J69,K69),NA()),IF(I69="easterOffsetDays",IF(AND(ISNUMBER(L69),L69=INT(L69),L69&gt;=-366,L69&lt;=366,J69="",K69="",M69="",N69=""),$AD$23+L69,NA()),IF(I69="nthWeekdayOfMonth",IF(AND(ISNUMBER(J69),J69=INT(J69),J69&gt;=1,J69&lt;=12,ISNUMBER(M69),M69=INT(M69),M69&gt;=1,M69&lt;=7,ISNUMBER(N69),N69=INT(N69),N69&gt;=1,N69&lt;=5,MONTH(DATE(Übersicht!$B$4,J69,1)+MOD(M69-WEEKDAY(DATE(Übersicht!$B$4,J69,1),2),7)+7*(N69-1))=J69,K69="",L69=""),DATE(Übersicht!$B$4,J69,1)+MOD(M69-WEEKDAY(DATE(Übersicht!$B$4,J69,1),2),7)+7*(N69-1),NA()),IF(I69="nthWeekdayOffsetDays",IF(AND(ISNUMBER(J69),J69=INT(J69),J69&gt;=1,J69&lt;=12,ISNUMBER(M69),M69=INT(M69),M69&gt;=1,M69&lt;=7,ISNUMBER(N69),N69=INT(N69),N69&gt;=1,N69&lt;=5,MONTH(DATE(Übersicht!$B$4,J69,1)+MOD(M69-WEEKDAY(DATE(Übersicht!$B$4,J69,1),2),7)+7*(N69-1))=J69,K69="",ISNUMBER(L69),L69=INT(L69),L69&gt;=-366,L69&lt;=366),DATE(Übersicht!$B$4,J69,1)+MOD(M69-WEEKDAY(DATE(Übersicht!$B$4,J69,1),2),7)+7*(N69-1)+L69,NA()),NA())))),NA())</f>
        <v>46472</v>
      </c>
      <c r="X69" s="14">
        <f t="shared" si="1"/>
        <v>46472</v>
      </c>
      <c r="Y69" s="10" t="s">
        <v>459</v>
      </c>
      <c r="Z69" s="10" t="s">
        <v>488</v>
      </c>
      <c r="AA69" s="24" t="s">
        <v>413</v>
      </c>
    </row>
    <row r="70" spans="1:27" ht="38" customHeight="1">
      <c r="A70" s="11" t="s">
        <v>129</v>
      </c>
      <c r="B70" s="11" t="s">
        <v>67</v>
      </c>
      <c r="C70" s="11" t="s">
        <v>487</v>
      </c>
      <c r="D70" s="26" t="s">
        <v>432</v>
      </c>
      <c r="E70" s="26" t="s">
        <v>433</v>
      </c>
      <c r="F70" s="27"/>
      <c r="G70" s="27"/>
      <c r="H70" s="11" t="s">
        <v>457</v>
      </c>
      <c r="I70" s="11" t="s">
        <v>426</v>
      </c>
      <c r="J70" s="30"/>
      <c r="K70" s="30"/>
      <c r="L70" s="26">
        <v>1</v>
      </c>
      <c r="M70" s="26"/>
      <c r="N70" s="26"/>
      <c r="O70" s="31">
        <v>46023</v>
      </c>
      <c r="P70" s="31"/>
      <c r="Q70" s="26">
        <v>100</v>
      </c>
      <c r="R70" s="26" t="s">
        <v>69</v>
      </c>
      <c r="S70" s="11"/>
      <c r="T70" s="11" t="s">
        <v>409</v>
      </c>
      <c r="U70" s="11"/>
      <c r="V70" s="11" t="s">
        <v>458</v>
      </c>
      <c r="W70" s="15">
        <f>IF(AND(ISNUMBER(Übersicht!$B$4),Übersicht!$B$4=INT(Übersicht!$B$4),Übersicht!$B$4&gt;=2026,Übersicht!$B$4&lt;=2028),IF(I70="fixedMonthDay",IF(AND(ISNUMBER(J70),J70=INT(J70),J70&gt;=1,J70&lt;=12,ISNUMBER(K70),K70=INT(K70),K70&gt;=1,K70&lt;=31,MONTH(DATE(Übersicht!$B$4,J70,K70))=J70,DAY(DATE(Übersicht!$B$4,J70,K70))=K70,L70="",M70="",N70=""),DATE(Übersicht!$B$4,J70,K70),NA()),IF(I70="easterOffsetDays",IF(AND(ISNUMBER(L70),L70=INT(L70),L70&gt;=-366,L70&lt;=366,J70="",K70="",M70="",N70=""),$AD$23+L70,NA()),IF(I70="nthWeekdayOfMonth",IF(AND(ISNUMBER(J70),J70=INT(J70),J70&gt;=1,J70&lt;=12,ISNUMBER(M70),M70=INT(M70),M70&gt;=1,M70&lt;=7,ISNUMBER(N70),N70=INT(N70),N70&gt;=1,N70&lt;=5,MONTH(DATE(Übersicht!$B$4,J70,1)+MOD(M70-WEEKDAY(DATE(Übersicht!$B$4,J70,1),2),7)+7*(N70-1))=J70,K70="",L70=""),DATE(Übersicht!$B$4,J70,1)+MOD(M70-WEEKDAY(DATE(Übersicht!$B$4,J70,1),2),7)+7*(N70-1),NA()),IF(I70="nthWeekdayOffsetDays",IF(AND(ISNUMBER(J70),J70=INT(J70),J70&gt;=1,J70&lt;=12,ISNUMBER(M70),M70=INT(M70),M70&gt;=1,M70&lt;=7,ISNUMBER(N70),N70=INT(N70),N70&gt;=1,N70&lt;=5,MONTH(DATE(Übersicht!$B$4,J70,1)+MOD(M70-WEEKDAY(DATE(Übersicht!$B$4,J70,1),2),7)+7*(N70-1))=J70,K70="",ISNUMBER(L70),L70=INT(L70),L70&gt;=-366,L70&lt;=366),DATE(Übersicht!$B$4,J70,1)+MOD(M70-WEEKDAY(DATE(Übersicht!$B$4,J70,1),2),7)+7*(N70-1)+L70,NA()),NA())))),NA())</f>
        <v>46475</v>
      </c>
      <c r="X70" s="15">
        <f t="shared" si="1"/>
        <v>46475</v>
      </c>
      <c r="Y70" s="11" t="s">
        <v>459</v>
      </c>
      <c r="Z70" s="11" t="s">
        <v>488</v>
      </c>
      <c r="AA70" s="26" t="s">
        <v>413</v>
      </c>
    </row>
    <row r="71" spans="1:27" ht="38" customHeight="1">
      <c r="A71" s="10" t="s">
        <v>130</v>
      </c>
      <c r="B71" s="10" t="s">
        <v>67</v>
      </c>
      <c r="C71" s="10" t="s">
        <v>487</v>
      </c>
      <c r="D71" s="24" t="s">
        <v>435</v>
      </c>
      <c r="E71" s="24" t="s">
        <v>436</v>
      </c>
      <c r="F71" s="25"/>
      <c r="G71" s="25"/>
      <c r="H71" s="10" t="s">
        <v>457</v>
      </c>
      <c r="I71" s="10" t="s">
        <v>426</v>
      </c>
      <c r="J71" s="28"/>
      <c r="K71" s="28"/>
      <c r="L71" s="24">
        <v>39</v>
      </c>
      <c r="M71" s="24"/>
      <c r="N71" s="24"/>
      <c r="O71" s="29">
        <v>46023</v>
      </c>
      <c r="P71" s="29"/>
      <c r="Q71" s="24">
        <v>100</v>
      </c>
      <c r="R71" s="24" t="s">
        <v>69</v>
      </c>
      <c r="S71" s="10"/>
      <c r="T71" s="10" t="s">
        <v>409</v>
      </c>
      <c r="U71" s="10"/>
      <c r="V71" s="10" t="s">
        <v>458</v>
      </c>
      <c r="W71" s="14">
        <f>IF(AND(ISNUMBER(Übersicht!$B$4),Übersicht!$B$4=INT(Übersicht!$B$4),Übersicht!$B$4&gt;=2026,Übersicht!$B$4&lt;=2028),IF(I71="fixedMonthDay",IF(AND(ISNUMBER(J71),J71=INT(J71),J71&gt;=1,J71&lt;=12,ISNUMBER(K71),K71=INT(K71),K71&gt;=1,K71&lt;=31,MONTH(DATE(Übersicht!$B$4,J71,K71))=J71,DAY(DATE(Übersicht!$B$4,J71,K71))=K71,L71="",M71="",N71=""),DATE(Übersicht!$B$4,J71,K71),NA()),IF(I71="easterOffsetDays",IF(AND(ISNUMBER(L71),L71=INT(L71),L71&gt;=-366,L71&lt;=366,J71="",K71="",M71="",N71=""),$AD$23+L71,NA()),IF(I71="nthWeekdayOfMonth",IF(AND(ISNUMBER(J71),J71=INT(J71),J71&gt;=1,J71&lt;=12,ISNUMBER(M71),M71=INT(M71),M71&gt;=1,M71&lt;=7,ISNUMBER(N71),N71=INT(N71),N71&gt;=1,N71&lt;=5,MONTH(DATE(Übersicht!$B$4,J71,1)+MOD(M71-WEEKDAY(DATE(Übersicht!$B$4,J71,1),2),7)+7*(N71-1))=J71,K71="",L71=""),DATE(Übersicht!$B$4,J71,1)+MOD(M71-WEEKDAY(DATE(Übersicht!$B$4,J71,1),2),7)+7*(N71-1),NA()),IF(I71="nthWeekdayOffsetDays",IF(AND(ISNUMBER(J71),J71=INT(J71),J71&gt;=1,J71&lt;=12,ISNUMBER(M71),M71=INT(M71),M71&gt;=1,M71&lt;=7,ISNUMBER(N71),N71=INT(N71),N71&gt;=1,N71&lt;=5,MONTH(DATE(Übersicht!$B$4,J71,1)+MOD(M71-WEEKDAY(DATE(Übersicht!$B$4,J71,1),2),7)+7*(N71-1))=J71,K71="",ISNUMBER(L71),L71=INT(L71),L71&gt;=-366,L71&lt;=366),DATE(Übersicht!$B$4,J71,1)+MOD(M71-WEEKDAY(DATE(Übersicht!$B$4,J71,1),2),7)+7*(N71-1)+L71,NA()),NA())))),NA())</f>
        <v>46513</v>
      </c>
      <c r="X71" s="14">
        <f t="shared" ref="X71:X102" si="2">IF(AND(ISNUMBER(O71),O71=INT(O71),O71&gt;=-115780,O71&lt;=2958465,OR(P71="",AND(ISNUMBER(P71),P71=INT(P71),P71&gt;=-115780,P71&lt;=2958465,P71&gt;=O71)),OR(AA71="Ganztägig",AA71="Ab 12.00 Uhr")),IF(AND(W71&gt;=O71,OR(P71="",W71&lt;=P71)),W71,"Ausserhalb Geltung"),NA())</f>
        <v>46513</v>
      </c>
      <c r="Y71" s="10" t="s">
        <v>459</v>
      </c>
      <c r="Z71" s="10" t="s">
        <v>488</v>
      </c>
      <c r="AA71" s="24" t="s">
        <v>413</v>
      </c>
    </row>
    <row r="72" spans="1:27" ht="38" customHeight="1">
      <c r="A72" s="11" t="s">
        <v>131</v>
      </c>
      <c r="B72" s="11" t="s">
        <v>67</v>
      </c>
      <c r="C72" s="11" t="s">
        <v>487</v>
      </c>
      <c r="D72" s="26" t="s">
        <v>441</v>
      </c>
      <c r="E72" s="26" t="s">
        <v>442</v>
      </c>
      <c r="F72" s="27"/>
      <c r="G72" s="27"/>
      <c r="H72" s="11" t="s">
        <v>457</v>
      </c>
      <c r="I72" s="11" t="s">
        <v>426</v>
      </c>
      <c r="J72" s="30"/>
      <c r="K72" s="30"/>
      <c r="L72" s="26">
        <v>50</v>
      </c>
      <c r="M72" s="26"/>
      <c r="N72" s="26"/>
      <c r="O72" s="31">
        <v>46023</v>
      </c>
      <c r="P72" s="31"/>
      <c r="Q72" s="26">
        <v>100</v>
      </c>
      <c r="R72" s="26" t="s">
        <v>69</v>
      </c>
      <c r="S72" s="11"/>
      <c r="T72" s="11" t="s">
        <v>409</v>
      </c>
      <c r="U72" s="11"/>
      <c r="V72" s="11" t="s">
        <v>458</v>
      </c>
      <c r="W72" s="15">
        <f>IF(AND(ISNUMBER(Übersicht!$B$4),Übersicht!$B$4=INT(Übersicht!$B$4),Übersicht!$B$4&gt;=2026,Übersicht!$B$4&lt;=2028),IF(I72="fixedMonthDay",IF(AND(ISNUMBER(J72),J72=INT(J72),J72&gt;=1,J72&lt;=12,ISNUMBER(K72),K72=INT(K72),K72&gt;=1,K72&lt;=31,MONTH(DATE(Übersicht!$B$4,J72,K72))=J72,DAY(DATE(Übersicht!$B$4,J72,K72))=K72,L72="",M72="",N72=""),DATE(Übersicht!$B$4,J72,K72),NA()),IF(I72="easterOffsetDays",IF(AND(ISNUMBER(L72),L72=INT(L72),L72&gt;=-366,L72&lt;=366,J72="",K72="",M72="",N72=""),$AD$23+L72,NA()),IF(I72="nthWeekdayOfMonth",IF(AND(ISNUMBER(J72),J72=INT(J72),J72&gt;=1,J72&lt;=12,ISNUMBER(M72),M72=INT(M72),M72&gt;=1,M72&lt;=7,ISNUMBER(N72),N72=INT(N72),N72&gt;=1,N72&lt;=5,MONTH(DATE(Übersicht!$B$4,J72,1)+MOD(M72-WEEKDAY(DATE(Übersicht!$B$4,J72,1),2),7)+7*(N72-1))=J72,K72="",L72=""),DATE(Übersicht!$B$4,J72,1)+MOD(M72-WEEKDAY(DATE(Übersicht!$B$4,J72,1),2),7)+7*(N72-1),NA()),IF(I72="nthWeekdayOffsetDays",IF(AND(ISNUMBER(J72),J72=INT(J72),J72&gt;=1,J72&lt;=12,ISNUMBER(M72),M72=INT(M72),M72&gt;=1,M72&lt;=7,ISNUMBER(N72),N72=INT(N72),N72&gt;=1,N72&lt;=5,MONTH(DATE(Übersicht!$B$4,J72,1)+MOD(M72-WEEKDAY(DATE(Übersicht!$B$4,J72,1),2),7)+7*(N72-1))=J72,K72="",ISNUMBER(L72),L72=INT(L72),L72&gt;=-366,L72&lt;=366),DATE(Übersicht!$B$4,J72,1)+MOD(M72-WEEKDAY(DATE(Übersicht!$B$4,J72,1),2),7)+7*(N72-1)+L72,NA()),NA())))),NA())</f>
        <v>46524</v>
      </c>
      <c r="X72" s="15">
        <f t="shared" si="2"/>
        <v>46524</v>
      </c>
      <c r="Y72" s="11" t="s">
        <v>459</v>
      </c>
      <c r="Z72" s="11" t="s">
        <v>488</v>
      </c>
      <c r="AA72" s="26" t="s">
        <v>413</v>
      </c>
    </row>
    <row r="73" spans="1:27" ht="38" customHeight="1">
      <c r="A73" s="10" t="s">
        <v>132</v>
      </c>
      <c r="B73" s="10" t="s">
        <v>67</v>
      </c>
      <c r="C73" s="10" t="s">
        <v>487</v>
      </c>
      <c r="D73" s="24" t="s">
        <v>448</v>
      </c>
      <c r="E73" s="24" t="s">
        <v>449</v>
      </c>
      <c r="F73" s="25"/>
      <c r="G73" s="25"/>
      <c r="H73" s="10" t="s">
        <v>457</v>
      </c>
      <c r="I73" s="10" t="s">
        <v>407</v>
      </c>
      <c r="J73" s="28">
        <v>12</v>
      </c>
      <c r="K73" s="28">
        <v>25</v>
      </c>
      <c r="L73" s="24"/>
      <c r="M73" s="24"/>
      <c r="N73" s="24"/>
      <c r="O73" s="29">
        <v>46023</v>
      </c>
      <c r="P73" s="29"/>
      <c r="Q73" s="24">
        <v>100</v>
      </c>
      <c r="R73" s="24" t="s">
        <v>69</v>
      </c>
      <c r="S73" s="10"/>
      <c r="T73" s="10" t="s">
        <v>409</v>
      </c>
      <c r="U73" s="10"/>
      <c r="V73" s="10" t="s">
        <v>458</v>
      </c>
      <c r="W73" s="14">
        <f>IF(AND(ISNUMBER(Übersicht!$B$4),Übersicht!$B$4=INT(Übersicht!$B$4),Übersicht!$B$4&gt;=2026,Übersicht!$B$4&lt;=2028),IF(I73="fixedMonthDay",IF(AND(ISNUMBER(J73),J73=INT(J73),J73&gt;=1,J73&lt;=12,ISNUMBER(K73),K73=INT(K73),K73&gt;=1,K73&lt;=31,MONTH(DATE(Übersicht!$B$4,J73,K73))=J73,DAY(DATE(Übersicht!$B$4,J73,K73))=K73,L73="",M73="",N73=""),DATE(Übersicht!$B$4,J73,K73),NA()),IF(I73="easterOffsetDays",IF(AND(ISNUMBER(L73),L73=INT(L73),L73&gt;=-366,L73&lt;=366,J73="",K73="",M73="",N73=""),$AD$23+L73,NA()),IF(I73="nthWeekdayOfMonth",IF(AND(ISNUMBER(J73),J73=INT(J73),J73&gt;=1,J73&lt;=12,ISNUMBER(M73),M73=INT(M73),M73&gt;=1,M73&lt;=7,ISNUMBER(N73),N73=INT(N73),N73&gt;=1,N73&lt;=5,MONTH(DATE(Übersicht!$B$4,J73,1)+MOD(M73-WEEKDAY(DATE(Übersicht!$B$4,J73,1),2),7)+7*(N73-1))=J73,K73="",L73=""),DATE(Übersicht!$B$4,J73,1)+MOD(M73-WEEKDAY(DATE(Übersicht!$B$4,J73,1),2),7)+7*(N73-1),NA()),IF(I73="nthWeekdayOffsetDays",IF(AND(ISNUMBER(J73),J73=INT(J73),J73&gt;=1,J73&lt;=12,ISNUMBER(M73),M73=INT(M73),M73&gt;=1,M73&lt;=7,ISNUMBER(N73),N73=INT(N73),N73&gt;=1,N73&lt;=5,MONTH(DATE(Übersicht!$B$4,J73,1)+MOD(M73-WEEKDAY(DATE(Übersicht!$B$4,J73,1),2),7)+7*(N73-1))=J73,K73="",ISNUMBER(L73),L73=INT(L73),L73&gt;=-366,L73&lt;=366),DATE(Übersicht!$B$4,J73,1)+MOD(M73-WEEKDAY(DATE(Übersicht!$B$4,J73,1),2),7)+7*(N73-1)+L73,NA()),NA())))),NA())</f>
        <v>46746</v>
      </c>
      <c r="X73" s="14">
        <f t="shared" si="2"/>
        <v>46746</v>
      </c>
      <c r="Y73" s="10" t="s">
        <v>459</v>
      </c>
      <c r="Z73" s="10" t="s">
        <v>488</v>
      </c>
      <c r="AA73" s="24" t="s">
        <v>413</v>
      </c>
    </row>
    <row r="74" spans="1:27" ht="38" customHeight="1">
      <c r="A74" s="11" t="s">
        <v>133</v>
      </c>
      <c r="B74" s="11" t="s">
        <v>67</v>
      </c>
      <c r="C74" s="11" t="s">
        <v>487</v>
      </c>
      <c r="D74" s="26" t="s">
        <v>451</v>
      </c>
      <c r="E74" s="26" t="s">
        <v>452</v>
      </c>
      <c r="F74" s="27"/>
      <c r="G74" s="27"/>
      <c r="H74" s="11" t="s">
        <v>457</v>
      </c>
      <c r="I74" s="11" t="s">
        <v>407</v>
      </c>
      <c r="J74" s="30">
        <v>12</v>
      </c>
      <c r="K74" s="30">
        <v>26</v>
      </c>
      <c r="L74" s="26"/>
      <c r="M74" s="26"/>
      <c r="N74" s="26"/>
      <c r="O74" s="31">
        <v>46023</v>
      </c>
      <c r="P74" s="31"/>
      <c r="Q74" s="26">
        <v>100</v>
      </c>
      <c r="R74" s="26" t="s">
        <v>69</v>
      </c>
      <c r="S74" s="11"/>
      <c r="T74" s="11" t="s">
        <v>409</v>
      </c>
      <c r="U74" s="11"/>
      <c r="V74" s="11" t="s">
        <v>458</v>
      </c>
      <c r="W74" s="15">
        <f>IF(AND(ISNUMBER(Übersicht!$B$4),Übersicht!$B$4=INT(Übersicht!$B$4),Übersicht!$B$4&gt;=2026,Übersicht!$B$4&lt;=2028),IF(I74="fixedMonthDay",IF(AND(ISNUMBER(J74),J74=INT(J74),J74&gt;=1,J74&lt;=12,ISNUMBER(K74),K74=INT(K74),K74&gt;=1,K74&lt;=31,MONTH(DATE(Übersicht!$B$4,J74,K74))=J74,DAY(DATE(Übersicht!$B$4,J74,K74))=K74,L74="",M74="",N74=""),DATE(Übersicht!$B$4,J74,K74),NA()),IF(I74="easterOffsetDays",IF(AND(ISNUMBER(L74),L74=INT(L74),L74&gt;=-366,L74&lt;=366,J74="",K74="",M74="",N74=""),$AD$23+L74,NA()),IF(I74="nthWeekdayOfMonth",IF(AND(ISNUMBER(J74),J74=INT(J74),J74&gt;=1,J74&lt;=12,ISNUMBER(M74),M74=INT(M74),M74&gt;=1,M74&lt;=7,ISNUMBER(N74),N74=INT(N74),N74&gt;=1,N74&lt;=5,MONTH(DATE(Übersicht!$B$4,J74,1)+MOD(M74-WEEKDAY(DATE(Übersicht!$B$4,J74,1),2),7)+7*(N74-1))=J74,K74="",L74=""),DATE(Übersicht!$B$4,J74,1)+MOD(M74-WEEKDAY(DATE(Übersicht!$B$4,J74,1),2),7)+7*(N74-1),NA()),IF(I74="nthWeekdayOffsetDays",IF(AND(ISNUMBER(J74),J74=INT(J74),J74&gt;=1,J74&lt;=12,ISNUMBER(M74),M74=INT(M74),M74&gt;=1,M74&lt;=7,ISNUMBER(N74),N74=INT(N74),N74&gt;=1,N74&lt;=5,MONTH(DATE(Übersicht!$B$4,J74,1)+MOD(M74-WEEKDAY(DATE(Übersicht!$B$4,J74,1),2),7)+7*(N74-1))=J74,K74="",ISNUMBER(L74),L74=INT(L74),L74&gt;=-366,L74&lt;=366),DATE(Übersicht!$B$4,J74,1)+MOD(M74-WEEKDAY(DATE(Übersicht!$B$4,J74,1),2),7)+7*(N74-1)+L74,NA()),NA())))),NA())</f>
        <v>46747</v>
      </c>
      <c r="X74" s="15">
        <f t="shared" si="2"/>
        <v>46747</v>
      </c>
      <c r="Y74" s="11" t="s">
        <v>459</v>
      </c>
      <c r="Z74" s="11" t="s">
        <v>488</v>
      </c>
      <c r="AA74" s="26" t="s">
        <v>413</v>
      </c>
    </row>
    <row r="75" spans="1:27" ht="38" customHeight="1">
      <c r="A75" s="10" t="s">
        <v>134</v>
      </c>
      <c r="B75" s="10" t="s">
        <v>67</v>
      </c>
      <c r="C75" s="10" t="s">
        <v>487</v>
      </c>
      <c r="D75" s="24" t="s">
        <v>466</v>
      </c>
      <c r="E75" s="24" t="s">
        <v>467</v>
      </c>
      <c r="F75" s="25"/>
      <c r="G75" s="25"/>
      <c r="H75" s="10" t="s">
        <v>457</v>
      </c>
      <c r="I75" s="10" t="s">
        <v>407</v>
      </c>
      <c r="J75" s="28">
        <v>11</v>
      </c>
      <c r="K75" s="28">
        <v>1</v>
      </c>
      <c r="L75" s="24"/>
      <c r="M75" s="24"/>
      <c r="N75" s="24"/>
      <c r="O75" s="29">
        <v>46023</v>
      </c>
      <c r="P75" s="29"/>
      <c r="Q75" s="24">
        <v>100</v>
      </c>
      <c r="R75" s="24" t="s">
        <v>69</v>
      </c>
      <c r="S75" s="10"/>
      <c r="T75" s="10" t="s">
        <v>409</v>
      </c>
      <c r="U75" s="10"/>
      <c r="V75" s="10" t="s">
        <v>458</v>
      </c>
      <c r="W75" s="14">
        <f>IF(AND(ISNUMBER(Übersicht!$B$4),Übersicht!$B$4=INT(Übersicht!$B$4),Übersicht!$B$4&gt;=2026,Übersicht!$B$4&lt;=2028),IF(I75="fixedMonthDay",IF(AND(ISNUMBER(J75),J75=INT(J75),J75&gt;=1,J75&lt;=12,ISNUMBER(K75),K75=INT(K75),K75&gt;=1,K75&lt;=31,MONTH(DATE(Übersicht!$B$4,J75,K75))=J75,DAY(DATE(Übersicht!$B$4,J75,K75))=K75,L75="",M75="",N75=""),DATE(Übersicht!$B$4,J75,K75),NA()),IF(I75="easterOffsetDays",IF(AND(ISNUMBER(L75),L75=INT(L75),L75&gt;=-366,L75&lt;=366,J75="",K75="",M75="",N75=""),$AD$23+L75,NA()),IF(I75="nthWeekdayOfMonth",IF(AND(ISNUMBER(J75),J75=INT(J75),J75&gt;=1,J75&lt;=12,ISNUMBER(M75),M75=INT(M75),M75&gt;=1,M75&lt;=7,ISNUMBER(N75),N75=INT(N75),N75&gt;=1,N75&lt;=5,MONTH(DATE(Übersicht!$B$4,J75,1)+MOD(M75-WEEKDAY(DATE(Übersicht!$B$4,J75,1),2),7)+7*(N75-1))=J75,K75="",L75=""),DATE(Übersicht!$B$4,J75,1)+MOD(M75-WEEKDAY(DATE(Übersicht!$B$4,J75,1),2),7)+7*(N75-1),NA()),IF(I75="nthWeekdayOffsetDays",IF(AND(ISNUMBER(J75),J75=INT(J75),J75&gt;=1,J75&lt;=12,ISNUMBER(M75),M75=INT(M75),M75&gt;=1,M75&lt;=7,ISNUMBER(N75),N75=INT(N75),N75&gt;=1,N75&lt;=5,MONTH(DATE(Übersicht!$B$4,J75,1)+MOD(M75-WEEKDAY(DATE(Übersicht!$B$4,J75,1),2),7)+7*(N75-1))=J75,K75="",ISNUMBER(L75),L75=INT(L75),L75&gt;=-366,L75&lt;=366),DATE(Übersicht!$B$4,J75,1)+MOD(M75-WEEKDAY(DATE(Übersicht!$B$4,J75,1),2),7)+7*(N75-1)+L75,NA()),NA())))),NA())</f>
        <v>46692</v>
      </c>
      <c r="X75" s="14">
        <f t="shared" si="2"/>
        <v>46692</v>
      </c>
      <c r="Y75" s="10" t="s">
        <v>459</v>
      </c>
      <c r="Z75" s="10" t="s">
        <v>488</v>
      </c>
      <c r="AA75" s="24" t="s">
        <v>413</v>
      </c>
    </row>
    <row r="76" spans="1:27" ht="38" customHeight="1">
      <c r="A76" s="11" t="s">
        <v>136</v>
      </c>
      <c r="B76" s="11" t="s">
        <v>67</v>
      </c>
      <c r="C76" s="11" t="s">
        <v>489</v>
      </c>
      <c r="D76" s="26" t="s">
        <v>416</v>
      </c>
      <c r="E76" s="26" t="s">
        <v>417</v>
      </c>
      <c r="F76" s="27"/>
      <c r="G76" s="27"/>
      <c r="H76" s="11" t="s">
        <v>457</v>
      </c>
      <c r="I76" s="11" t="s">
        <v>407</v>
      </c>
      <c r="J76" s="30">
        <v>1</v>
      </c>
      <c r="K76" s="30">
        <v>1</v>
      </c>
      <c r="L76" s="26"/>
      <c r="M76" s="26"/>
      <c r="N76" s="26"/>
      <c r="O76" s="31">
        <v>46023</v>
      </c>
      <c r="P76" s="31"/>
      <c r="Q76" s="26">
        <v>100</v>
      </c>
      <c r="R76" s="26" t="s">
        <v>69</v>
      </c>
      <c r="S76" s="11"/>
      <c r="T76" s="11" t="s">
        <v>409</v>
      </c>
      <c r="U76" s="11"/>
      <c r="V76" s="11" t="s">
        <v>458</v>
      </c>
      <c r="W76" s="15">
        <f>IF(AND(ISNUMBER(Übersicht!$B$4),Übersicht!$B$4=INT(Übersicht!$B$4),Übersicht!$B$4&gt;=2026,Übersicht!$B$4&lt;=2028),IF(I76="fixedMonthDay",IF(AND(ISNUMBER(J76),J76=INT(J76),J76&gt;=1,J76&lt;=12,ISNUMBER(K76),K76=INT(K76),K76&gt;=1,K76&lt;=31,MONTH(DATE(Übersicht!$B$4,J76,K76))=J76,DAY(DATE(Übersicht!$B$4,J76,K76))=K76,L76="",M76="",N76=""),DATE(Übersicht!$B$4,J76,K76),NA()),IF(I76="easterOffsetDays",IF(AND(ISNUMBER(L76),L76=INT(L76),L76&gt;=-366,L76&lt;=366,J76="",K76="",M76="",N76=""),$AD$23+L76,NA()),IF(I76="nthWeekdayOfMonth",IF(AND(ISNUMBER(J76),J76=INT(J76),J76&gt;=1,J76&lt;=12,ISNUMBER(M76),M76=INT(M76),M76&gt;=1,M76&lt;=7,ISNUMBER(N76),N76=INT(N76),N76&gt;=1,N76&lt;=5,MONTH(DATE(Übersicht!$B$4,J76,1)+MOD(M76-WEEKDAY(DATE(Übersicht!$B$4,J76,1),2),7)+7*(N76-1))=J76,K76="",L76=""),DATE(Übersicht!$B$4,J76,1)+MOD(M76-WEEKDAY(DATE(Übersicht!$B$4,J76,1),2),7)+7*(N76-1),NA()),IF(I76="nthWeekdayOffsetDays",IF(AND(ISNUMBER(J76),J76=INT(J76),J76&gt;=1,J76&lt;=12,ISNUMBER(M76),M76=INT(M76),M76&gt;=1,M76&lt;=7,ISNUMBER(N76),N76=INT(N76),N76&gt;=1,N76&lt;=5,MONTH(DATE(Übersicht!$B$4,J76,1)+MOD(M76-WEEKDAY(DATE(Übersicht!$B$4,J76,1),2),7)+7*(N76-1))=J76,K76="",ISNUMBER(L76),L76=INT(L76),L76&gt;=-366,L76&lt;=366),DATE(Übersicht!$B$4,J76,1)+MOD(M76-WEEKDAY(DATE(Übersicht!$B$4,J76,1),2),7)+7*(N76-1)+L76,NA()),NA())))),NA())</f>
        <v>46388</v>
      </c>
      <c r="X76" s="15">
        <f t="shared" si="2"/>
        <v>46388</v>
      </c>
      <c r="Y76" s="11" t="s">
        <v>459</v>
      </c>
      <c r="Z76" s="11" t="s">
        <v>490</v>
      </c>
      <c r="AA76" s="26" t="s">
        <v>413</v>
      </c>
    </row>
    <row r="77" spans="1:27" ht="38" customHeight="1">
      <c r="A77" s="10" t="s">
        <v>137</v>
      </c>
      <c r="B77" s="10" t="s">
        <v>67</v>
      </c>
      <c r="C77" s="10" t="s">
        <v>489</v>
      </c>
      <c r="D77" s="24" t="s">
        <v>421</v>
      </c>
      <c r="E77" s="24" t="s">
        <v>422</v>
      </c>
      <c r="F77" s="25"/>
      <c r="G77" s="25"/>
      <c r="H77" s="10" t="s">
        <v>457</v>
      </c>
      <c r="I77" s="10" t="s">
        <v>407</v>
      </c>
      <c r="J77" s="28">
        <v>1</v>
      </c>
      <c r="K77" s="28">
        <v>2</v>
      </c>
      <c r="L77" s="24"/>
      <c r="M77" s="24"/>
      <c r="N77" s="24"/>
      <c r="O77" s="29">
        <v>46023</v>
      </c>
      <c r="P77" s="29"/>
      <c r="Q77" s="24">
        <v>100</v>
      </c>
      <c r="R77" s="24" t="s">
        <v>69</v>
      </c>
      <c r="S77" s="10"/>
      <c r="T77" s="10" t="s">
        <v>409</v>
      </c>
      <c r="U77" s="10"/>
      <c r="V77" s="10" t="s">
        <v>458</v>
      </c>
      <c r="W77" s="14">
        <f>IF(AND(ISNUMBER(Übersicht!$B$4),Übersicht!$B$4=INT(Übersicht!$B$4),Übersicht!$B$4&gt;=2026,Übersicht!$B$4&lt;=2028),IF(I77="fixedMonthDay",IF(AND(ISNUMBER(J77),J77=INT(J77),J77&gt;=1,J77&lt;=12,ISNUMBER(K77),K77=INT(K77),K77&gt;=1,K77&lt;=31,MONTH(DATE(Übersicht!$B$4,J77,K77))=J77,DAY(DATE(Übersicht!$B$4,J77,K77))=K77,L77="",M77="",N77=""),DATE(Übersicht!$B$4,J77,K77),NA()),IF(I77="easterOffsetDays",IF(AND(ISNUMBER(L77),L77=INT(L77),L77&gt;=-366,L77&lt;=366,J77="",K77="",M77="",N77=""),$AD$23+L77,NA()),IF(I77="nthWeekdayOfMonth",IF(AND(ISNUMBER(J77),J77=INT(J77),J77&gt;=1,J77&lt;=12,ISNUMBER(M77),M77=INT(M77),M77&gt;=1,M77&lt;=7,ISNUMBER(N77),N77=INT(N77),N77&gt;=1,N77&lt;=5,MONTH(DATE(Übersicht!$B$4,J77,1)+MOD(M77-WEEKDAY(DATE(Übersicht!$B$4,J77,1),2),7)+7*(N77-1))=J77,K77="",L77=""),DATE(Übersicht!$B$4,J77,1)+MOD(M77-WEEKDAY(DATE(Übersicht!$B$4,J77,1),2),7)+7*(N77-1),NA()),IF(I77="nthWeekdayOffsetDays",IF(AND(ISNUMBER(J77),J77=INT(J77),J77&gt;=1,J77&lt;=12,ISNUMBER(M77),M77=INT(M77),M77&gt;=1,M77&lt;=7,ISNUMBER(N77),N77=INT(N77),N77&gt;=1,N77&lt;=5,MONTH(DATE(Übersicht!$B$4,J77,1)+MOD(M77-WEEKDAY(DATE(Übersicht!$B$4,J77,1),2),7)+7*(N77-1))=J77,K77="",ISNUMBER(L77),L77=INT(L77),L77&gt;=-366,L77&lt;=366),DATE(Übersicht!$B$4,J77,1)+MOD(M77-WEEKDAY(DATE(Übersicht!$B$4,J77,1),2),7)+7*(N77-1)+L77,NA()),NA())))),NA())</f>
        <v>46389</v>
      </c>
      <c r="X77" s="14">
        <f t="shared" si="2"/>
        <v>46389</v>
      </c>
      <c r="Y77" s="10" t="s">
        <v>459</v>
      </c>
      <c r="Z77" s="10" t="s">
        <v>490</v>
      </c>
      <c r="AA77" s="24" t="s">
        <v>413</v>
      </c>
    </row>
    <row r="78" spans="1:27" ht="38" customHeight="1">
      <c r="A78" s="11" t="s">
        <v>138</v>
      </c>
      <c r="B78" s="11" t="s">
        <v>67</v>
      </c>
      <c r="C78" s="11" t="s">
        <v>489</v>
      </c>
      <c r="D78" s="26" t="s">
        <v>424</v>
      </c>
      <c r="E78" s="26" t="s">
        <v>425</v>
      </c>
      <c r="F78" s="27"/>
      <c r="G78" s="27"/>
      <c r="H78" s="11" t="s">
        <v>457</v>
      </c>
      <c r="I78" s="11" t="s">
        <v>426</v>
      </c>
      <c r="J78" s="30"/>
      <c r="K78" s="30"/>
      <c r="L78" s="26">
        <v>-2</v>
      </c>
      <c r="M78" s="26"/>
      <c r="N78" s="26"/>
      <c r="O78" s="31">
        <v>46023</v>
      </c>
      <c r="P78" s="31"/>
      <c r="Q78" s="26">
        <v>100</v>
      </c>
      <c r="R78" s="26" t="s">
        <v>69</v>
      </c>
      <c r="S78" s="11"/>
      <c r="T78" s="11" t="s">
        <v>409</v>
      </c>
      <c r="U78" s="11"/>
      <c r="V78" s="11" t="s">
        <v>458</v>
      </c>
      <c r="W78" s="15">
        <f>IF(AND(ISNUMBER(Übersicht!$B$4),Übersicht!$B$4=INT(Übersicht!$B$4),Übersicht!$B$4&gt;=2026,Übersicht!$B$4&lt;=2028),IF(I78="fixedMonthDay",IF(AND(ISNUMBER(J78),J78=INT(J78),J78&gt;=1,J78&lt;=12,ISNUMBER(K78),K78=INT(K78),K78&gt;=1,K78&lt;=31,MONTH(DATE(Übersicht!$B$4,J78,K78))=J78,DAY(DATE(Übersicht!$B$4,J78,K78))=K78,L78="",M78="",N78=""),DATE(Übersicht!$B$4,J78,K78),NA()),IF(I78="easterOffsetDays",IF(AND(ISNUMBER(L78),L78=INT(L78),L78&gt;=-366,L78&lt;=366,J78="",K78="",M78="",N78=""),$AD$23+L78,NA()),IF(I78="nthWeekdayOfMonth",IF(AND(ISNUMBER(J78),J78=INT(J78),J78&gt;=1,J78&lt;=12,ISNUMBER(M78),M78=INT(M78),M78&gt;=1,M78&lt;=7,ISNUMBER(N78),N78=INT(N78),N78&gt;=1,N78&lt;=5,MONTH(DATE(Übersicht!$B$4,J78,1)+MOD(M78-WEEKDAY(DATE(Übersicht!$B$4,J78,1),2),7)+7*(N78-1))=J78,K78="",L78=""),DATE(Übersicht!$B$4,J78,1)+MOD(M78-WEEKDAY(DATE(Übersicht!$B$4,J78,1),2),7)+7*(N78-1),NA()),IF(I78="nthWeekdayOffsetDays",IF(AND(ISNUMBER(J78),J78=INT(J78),J78&gt;=1,J78&lt;=12,ISNUMBER(M78),M78=INT(M78),M78&gt;=1,M78&lt;=7,ISNUMBER(N78),N78=INT(N78),N78&gt;=1,N78&lt;=5,MONTH(DATE(Übersicht!$B$4,J78,1)+MOD(M78-WEEKDAY(DATE(Übersicht!$B$4,J78,1),2),7)+7*(N78-1))=J78,K78="",ISNUMBER(L78),L78=INT(L78),L78&gt;=-366,L78&lt;=366),DATE(Übersicht!$B$4,J78,1)+MOD(M78-WEEKDAY(DATE(Übersicht!$B$4,J78,1),2),7)+7*(N78-1)+L78,NA()),NA())))),NA())</f>
        <v>46472</v>
      </c>
      <c r="X78" s="15">
        <f t="shared" si="2"/>
        <v>46472</v>
      </c>
      <c r="Y78" s="11" t="s">
        <v>459</v>
      </c>
      <c r="Z78" s="11" t="s">
        <v>490</v>
      </c>
      <c r="AA78" s="26" t="s">
        <v>413</v>
      </c>
    </row>
    <row r="79" spans="1:27" ht="38" customHeight="1">
      <c r="A79" s="10" t="s">
        <v>139</v>
      </c>
      <c r="B79" s="10" t="s">
        <v>67</v>
      </c>
      <c r="C79" s="10" t="s">
        <v>489</v>
      </c>
      <c r="D79" s="24" t="s">
        <v>435</v>
      </c>
      <c r="E79" s="24" t="s">
        <v>436</v>
      </c>
      <c r="F79" s="25"/>
      <c r="G79" s="25"/>
      <c r="H79" s="10" t="s">
        <v>457</v>
      </c>
      <c r="I79" s="10" t="s">
        <v>426</v>
      </c>
      <c r="J79" s="28"/>
      <c r="K79" s="28"/>
      <c r="L79" s="24">
        <v>39</v>
      </c>
      <c r="M79" s="24"/>
      <c r="N79" s="24"/>
      <c r="O79" s="29">
        <v>46023</v>
      </c>
      <c r="P79" s="29"/>
      <c r="Q79" s="24">
        <v>100</v>
      </c>
      <c r="R79" s="24" t="s">
        <v>69</v>
      </c>
      <c r="S79" s="10"/>
      <c r="T79" s="10" t="s">
        <v>409</v>
      </c>
      <c r="U79" s="10"/>
      <c r="V79" s="10" t="s">
        <v>458</v>
      </c>
      <c r="W79" s="14">
        <f>IF(AND(ISNUMBER(Übersicht!$B$4),Übersicht!$B$4=INT(Übersicht!$B$4),Übersicht!$B$4&gt;=2026,Übersicht!$B$4&lt;=2028),IF(I79="fixedMonthDay",IF(AND(ISNUMBER(J79),J79=INT(J79),J79&gt;=1,J79&lt;=12,ISNUMBER(K79),K79=INT(K79),K79&gt;=1,K79&lt;=31,MONTH(DATE(Übersicht!$B$4,J79,K79))=J79,DAY(DATE(Übersicht!$B$4,J79,K79))=K79,L79="",M79="",N79=""),DATE(Übersicht!$B$4,J79,K79),NA()),IF(I79="easterOffsetDays",IF(AND(ISNUMBER(L79),L79=INT(L79),L79&gt;=-366,L79&lt;=366,J79="",K79="",M79="",N79=""),$AD$23+L79,NA()),IF(I79="nthWeekdayOfMonth",IF(AND(ISNUMBER(J79),J79=INT(J79),J79&gt;=1,J79&lt;=12,ISNUMBER(M79),M79=INT(M79),M79&gt;=1,M79&lt;=7,ISNUMBER(N79),N79=INT(N79),N79&gt;=1,N79&lt;=5,MONTH(DATE(Übersicht!$B$4,J79,1)+MOD(M79-WEEKDAY(DATE(Übersicht!$B$4,J79,1),2),7)+7*(N79-1))=J79,K79="",L79=""),DATE(Übersicht!$B$4,J79,1)+MOD(M79-WEEKDAY(DATE(Übersicht!$B$4,J79,1),2),7)+7*(N79-1),NA()),IF(I79="nthWeekdayOffsetDays",IF(AND(ISNUMBER(J79),J79=INT(J79),J79&gt;=1,J79&lt;=12,ISNUMBER(M79),M79=INT(M79),M79&gt;=1,M79&lt;=7,ISNUMBER(N79),N79=INT(N79),N79&gt;=1,N79&lt;=5,MONTH(DATE(Übersicht!$B$4,J79,1)+MOD(M79-WEEKDAY(DATE(Übersicht!$B$4,J79,1),2),7)+7*(N79-1))=J79,K79="",ISNUMBER(L79),L79=INT(L79),L79&gt;=-366,L79&lt;=366),DATE(Übersicht!$B$4,J79,1)+MOD(M79-WEEKDAY(DATE(Übersicht!$B$4,J79,1),2),7)+7*(N79-1)+L79,NA()),NA())))),NA())</f>
        <v>46513</v>
      </c>
      <c r="X79" s="14">
        <f t="shared" si="2"/>
        <v>46513</v>
      </c>
      <c r="Y79" s="10" t="s">
        <v>459</v>
      </c>
      <c r="Z79" s="10" t="s">
        <v>490</v>
      </c>
      <c r="AA79" s="24" t="s">
        <v>413</v>
      </c>
    </row>
    <row r="80" spans="1:27" ht="38" customHeight="1">
      <c r="A80" s="11" t="s">
        <v>140</v>
      </c>
      <c r="B80" s="11" t="s">
        <v>67</v>
      </c>
      <c r="C80" s="11" t="s">
        <v>489</v>
      </c>
      <c r="D80" s="26" t="s">
        <v>455</v>
      </c>
      <c r="E80" s="26" t="s">
        <v>456</v>
      </c>
      <c r="F80" s="27"/>
      <c r="G80" s="27"/>
      <c r="H80" s="11" t="s">
        <v>457</v>
      </c>
      <c r="I80" s="11" t="s">
        <v>426</v>
      </c>
      <c r="J80" s="30"/>
      <c r="K80" s="30"/>
      <c r="L80" s="26">
        <v>60</v>
      </c>
      <c r="M80" s="26"/>
      <c r="N80" s="26"/>
      <c r="O80" s="31">
        <v>46023</v>
      </c>
      <c r="P80" s="31"/>
      <c r="Q80" s="26">
        <v>100</v>
      </c>
      <c r="R80" s="26" t="s">
        <v>69</v>
      </c>
      <c r="S80" s="11"/>
      <c r="T80" s="11" t="s">
        <v>409</v>
      </c>
      <c r="U80" s="11"/>
      <c r="V80" s="11" t="s">
        <v>458</v>
      </c>
      <c r="W80" s="15">
        <f>IF(AND(ISNUMBER(Übersicht!$B$4),Übersicht!$B$4=INT(Übersicht!$B$4),Übersicht!$B$4&gt;=2026,Übersicht!$B$4&lt;=2028),IF(I80="fixedMonthDay",IF(AND(ISNUMBER(J80),J80=INT(J80),J80&gt;=1,J80&lt;=12,ISNUMBER(K80),K80=INT(K80),K80&gt;=1,K80&lt;=31,MONTH(DATE(Übersicht!$B$4,J80,K80))=J80,DAY(DATE(Übersicht!$B$4,J80,K80))=K80,L80="",M80="",N80=""),DATE(Übersicht!$B$4,J80,K80),NA()),IF(I80="easterOffsetDays",IF(AND(ISNUMBER(L80),L80=INT(L80),L80&gt;=-366,L80&lt;=366,J80="",K80="",M80="",N80=""),$AD$23+L80,NA()),IF(I80="nthWeekdayOfMonth",IF(AND(ISNUMBER(J80),J80=INT(J80),J80&gt;=1,J80&lt;=12,ISNUMBER(M80),M80=INT(M80),M80&gt;=1,M80&lt;=7,ISNUMBER(N80),N80=INT(N80),N80&gt;=1,N80&lt;=5,MONTH(DATE(Übersicht!$B$4,J80,1)+MOD(M80-WEEKDAY(DATE(Übersicht!$B$4,J80,1),2),7)+7*(N80-1))=J80,K80="",L80=""),DATE(Übersicht!$B$4,J80,1)+MOD(M80-WEEKDAY(DATE(Übersicht!$B$4,J80,1),2),7)+7*(N80-1),NA()),IF(I80="nthWeekdayOffsetDays",IF(AND(ISNUMBER(J80),J80=INT(J80),J80&gt;=1,J80&lt;=12,ISNUMBER(M80),M80=INT(M80),M80&gt;=1,M80&lt;=7,ISNUMBER(N80),N80=INT(N80),N80&gt;=1,N80&lt;=5,MONTH(DATE(Übersicht!$B$4,J80,1)+MOD(M80-WEEKDAY(DATE(Übersicht!$B$4,J80,1),2),7)+7*(N80-1))=J80,K80="",ISNUMBER(L80),L80=INT(L80),L80&gt;=-366,L80&lt;=366),DATE(Übersicht!$B$4,J80,1)+MOD(M80-WEEKDAY(DATE(Übersicht!$B$4,J80,1),2),7)+7*(N80-1)+L80,NA()),NA())))),NA())</f>
        <v>46534</v>
      </c>
      <c r="X80" s="15">
        <f t="shared" si="2"/>
        <v>46534</v>
      </c>
      <c r="Y80" s="11" t="s">
        <v>459</v>
      </c>
      <c r="Z80" s="11" t="s">
        <v>490</v>
      </c>
      <c r="AA80" s="26" t="s">
        <v>413</v>
      </c>
    </row>
    <row r="81" spans="1:27" ht="38" customHeight="1">
      <c r="A81" s="10" t="s">
        <v>141</v>
      </c>
      <c r="B81" s="10" t="s">
        <v>67</v>
      </c>
      <c r="C81" s="10" t="s">
        <v>489</v>
      </c>
      <c r="D81" s="24" t="s">
        <v>466</v>
      </c>
      <c r="E81" s="24" t="s">
        <v>467</v>
      </c>
      <c r="F81" s="25"/>
      <c r="G81" s="25"/>
      <c r="H81" s="10" t="s">
        <v>457</v>
      </c>
      <c r="I81" s="10" t="s">
        <v>407</v>
      </c>
      <c r="J81" s="28">
        <v>11</v>
      </c>
      <c r="K81" s="28">
        <v>1</v>
      </c>
      <c r="L81" s="24"/>
      <c r="M81" s="24"/>
      <c r="N81" s="24"/>
      <c r="O81" s="29">
        <v>46023</v>
      </c>
      <c r="P81" s="29"/>
      <c r="Q81" s="24">
        <v>100</v>
      </c>
      <c r="R81" s="24" t="s">
        <v>69</v>
      </c>
      <c r="S81" s="10"/>
      <c r="T81" s="10" t="s">
        <v>409</v>
      </c>
      <c r="U81" s="10"/>
      <c r="V81" s="10" t="s">
        <v>458</v>
      </c>
      <c r="W81" s="14">
        <f>IF(AND(ISNUMBER(Übersicht!$B$4),Übersicht!$B$4=INT(Übersicht!$B$4),Übersicht!$B$4&gt;=2026,Übersicht!$B$4&lt;=2028),IF(I81="fixedMonthDay",IF(AND(ISNUMBER(J81),J81=INT(J81),J81&gt;=1,J81&lt;=12,ISNUMBER(K81),K81=INT(K81),K81&gt;=1,K81&lt;=31,MONTH(DATE(Übersicht!$B$4,J81,K81))=J81,DAY(DATE(Übersicht!$B$4,J81,K81))=K81,L81="",M81="",N81=""),DATE(Übersicht!$B$4,J81,K81),NA()),IF(I81="easterOffsetDays",IF(AND(ISNUMBER(L81),L81=INT(L81),L81&gt;=-366,L81&lt;=366,J81="",K81="",M81="",N81=""),$AD$23+L81,NA()),IF(I81="nthWeekdayOfMonth",IF(AND(ISNUMBER(J81),J81=INT(J81),J81&gt;=1,J81&lt;=12,ISNUMBER(M81),M81=INT(M81),M81&gt;=1,M81&lt;=7,ISNUMBER(N81),N81=INT(N81),N81&gt;=1,N81&lt;=5,MONTH(DATE(Übersicht!$B$4,J81,1)+MOD(M81-WEEKDAY(DATE(Übersicht!$B$4,J81,1),2),7)+7*(N81-1))=J81,K81="",L81=""),DATE(Übersicht!$B$4,J81,1)+MOD(M81-WEEKDAY(DATE(Übersicht!$B$4,J81,1),2),7)+7*(N81-1),NA()),IF(I81="nthWeekdayOffsetDays",IF(AND(ISNUMBER(J81),J81=INT(J81),J81&gt;=1,J81&lt;=12,ISNUMBER(M81),M81=INT(M81),M81&gt;=1,M81&lt;=7,ISNUMBER(N81),N81=INT(N81),N81&gt;=1,N81&lt;=5,MONTH(DATE(Übersicht!$B$4,J81,1)+MOD(M81-WEEKDAY(DATE(Übersicht!$B$4,J81,1),2),7)+7*(N81-1))=J81,K81="",ISNUMBER(L81),L81=INT(L81),L81&gt;=-366,L81&lt;=366),DATE(Übersicht!$B$4,J81,1)+MOD(M81-WEEKDAY(DATE(Übersicht!$B$4,J81,1),2),7)+7*(N81-1)+L81,NA()),NA())))),NA())</f>
        <v>46692</v>
      </c>
      <c r="X81" s="14">
        <f t="shared" si="2"/>
        <v>46692</v>
      </c>
      <c r="Y81" s="10" t="s">
        <v>459</v>
      </c>
      <c r="Z81" s="10" t="s">
        <v>490</v>
      </c>
      <c r="AA81" s="24" t="s">
        <v>413</v>
      </c>
    </row>
    <row r="82" spans="1:27" ht="38" customHeight="1">
      <c r="A82" s="11" t="s">
        <v>142</v>
      </c>
      <c r="B82" s="11" t="s">
        <v>67</v>
      </c>
      <c r="C82" s="11" t="s">
        <v>489</v>
      </c>
      <c r="D82" s="26" t="s">
        <v>448</v>
      </c>
      <c r="E82" s="26" t="s">
        <v>449</v>
      </c>
      <c r="F82" s="27"/>
      <c r="G82" s="27"/>
      <c r="H82" s="11" t="s">
        <v>457</v>
      </c>
      <c r="I82" s="11" t="s">
        <v>407</v>
      </c>
      <c r="J82" s="30">
        <v>12</v>
      </c>
      <c r="K82" s="30">
        <v>25</v>
      </c>
      <c r="L82" s="26"/>
      <c r="M82" s="26"/>
      <c r="N82" s="26"/>
      <c r="O82" s="31">
        <v>46023</v>
      </c>
      <c r="P82" s="31"/>
      <c r="Q82" s="26">
        <v>100</v>
      </c>
      <c r="R82" s="26" t="s">
        <v>69</v>
      </c>
      <c r="S82" s="11"/>
      <c r="T82" s="11" t="s">
        <v>409</v>
      </c>
      <c r="U82" s="11"/>
      <c r="V82" s="11" t="s">
        <v>458</v>
      </c>
      <c r="W82" s="15">
        <f>IF(AND(ISNUMBER(Übersicht!$B$4),Übersicht!$B$4=INT(Übersicht!$B$4),Übersicht!$B$4&gt;=2026,Übersicht!$B$4&lt;=2028),IF(I82="fixedMonthDay",IF(AND(ISNUMBER(J82),J82=INT(J82),J82&gt;=1,J82&lt;=12,ISNUMBER(K82),K82=INT(K82),K82&gt;=1,K82&lt;=31,MONTH(DATE(Übersicht!$B$4,J82,K82))=J82,DAY(DATE(Übersicht!$B$4,J82,K82))=K82,L82="",M82="",N82=""),DATE(Übersicht!$B$4,J82,K82),NA()),IF(I82="easterOffsetDays",IF(AND(ISNUMBER(L82),L82=INT(L82),L82&gt;=-366,L82&lt;=366,J82="",K82="",M82="",N82=""),$AD$23+L82,NA()),IF(I82="nthWeekdayOfMonth",IF(AND(ISNUMBER(J82),J82=INT(J82),J82&gt;=1,J82&lt;=12,ISNUMBER(M82),M82=INT(M82),M82&gt;=1,M82&lt;=7,ISNUMBER(N82),N82=INT(N82),N82&gt;=1,N82&lt;=5,MONTH(DATE(Übersicht!$B$4,J82,1)+MOD(M82-WEEKDAY(DATE(Übersicht!$B$4,J82,1),2),7)+7*(N82-1))=J82,K82="",L82=""),DATE(Übersicht!$B$4,J82,1)+MOD(M82-WEEKDAY(DATE(Übersicht!$B$4,J82,1),2),7)+7*(N82-1),NA()),IF(I82="nthWeekdayOffsetDays",IF(AND(ISNUMBER(J82),J82=INT(J82),J82&gt;=1,J82&lt;=12,ISNUMBER(M82),M82=INT(M82),M82&gt;=1,M82&lt;=7,ISNUMBER(N82),N82=INT(N82),N82&gt;=1,N82&lt;=5,MONTH(DATE(Übersicht!$B$4,J82,1)+MOD(M82-WEEKDAY(DATE(Übersicht!$B$4,J82,1),2),7)+7*(N82-1))=J82,K82="",ISNUMBER(L82),L82=INT(L82),L82&gt;=-366,L82&lt;=366),DATE(Übersicht!$B$4,J82,1)+MOD(M82-WEEKDAY(DATE(Übersicht!$B$4,J82,1),2),7)+7*(N82-1)+L82,NA()),NA())))),NA())</f>
        <v>46746</v>
      </c>
      <c r="X82" s="15">
        <f t="shared" si="2"/>
        <v>46746</v>
      </c>
      <c r="Y82" s="11" t="s">
        <v>459</v>
      </c>
      <c r="Z82" s="11" t="s">
        <v>490</v>
      </c>
      <c r="AA82" s="26" t="s">
        <v>413</v>
      </c>
    </row>
    <row r="83" spans="1:27" ht="38" customHeight="1">
      <c r="A83" s="10" t="s">
        <v>143</v>
      </c>
      <c r="B83" s="10" t="s">
        <v>67</v>
      </c>
      <c r="C83" s="10" t="s">
        <v>489</v>
      </c>
      <c r="D83" s="24" t="s">
        <v>451</v>
      </c>
      <c r="E83" s="24" t="s">
        <v>452</v>
      </c>
      <c r="F83" s="25"/>
      <c r="G83" s="25"/>
      <c r="H83" s="10" t="s">
        <v>457</v>
      </c>
      <c r="I83" s="10" t="s">
        <v>407</v>
      </c>
      <c r="J83" s="28">
        <v>12</v>
      </c>
      <c r="K83" s="28">
        <v>26</v>
      </c>
      <c r="L83" s="24"/>
      <c r="M83" s="24"/>
      <c r="N83" s="24"/>
      <c r="O83" s="29">
        <v>46023</v>
      </c>
      <c r="P83" s="29"/>
      <c r="Q83" s="24">
        <v>100</v>
      </c>
      <c r="R83" s="24" t="s">
        <v>69</v>
      </c>
      <c r="S83" s="10"/>
      <c r="T83" s="10" t="s">
        <v>409</v>
      </c>
      <c r="U83" s="10"/>
      <c r="V83" s="10" t="s">
        <v>458</v>
      </c>
      <c r="W83" s="14">
        <f>IF(AND(ISNUMBER(Übersicht!$B$4),Übersicht!$B$4=INT(Übersicht!$B$4),Übersicht!$B$4&gt;=2026,Übersicht!$B$4&lt;=2028),IF(I83="fixedMonthDay",IF(AND(ISNUMBER(J83),J83=INT(J83),J83&gt;=1,J83&lt;=12,ISNUMBER(K83),K83=INT(K83),K83&gt;=1,K83&lt;=31,MONTH(DATE(Übersicht!$B$4,J83,K83))=J83,DAY(DATE(Übersicht!$B$4,J83,K83))=K83,L83="",M83="",N83=""),DATE(Übersicht!$B$4,J83,K83),NA()),IF(I83="easterOffsetDays",IF(AND(ISNUMBER(L83),L83=INT(L83),L83&gt;=-366,L83&lt;=366,J83="",K83="",M83="",N83=""),$AD$23+L83,NA()),IF(I83="nthWeekdayOfMonth",IF(AND(ISNUMBER(J83),J83=INT(J83),J83&gt;=1,J83&lt;=12,ISNUMBER(M83),M83=INT(M83),M83&gt;=1,M83&lt;=7,ISNUMBER(N83),N83=INT(N83),N83&gt;=1,N83&lt;=5,MONTH(DATE(Übersicht!$B$4,J83,1)+MOD(M83-WEEKDAY(DATE(Übersicht!$B$4,J83,1),2),7)+7*(N83-1))=J83,K83="",L83=""),DATE(Übersicht!$B$4,J83,1)+MOD(M83-WEEKDAY(DATE(Übersicht!$B$4,J83,1),2),7)+7*(N83-1),NA()),IF(I83="nthWeekdayOffsetDays",IF(AND(ISNUMBER(J83),J83=INT(J83),J83&gt;=1,J83&lt;=12,ISNUMBER(M83),M83=INT(M83),M83&gt;=1,M83&lt;=7,ISNUMBER(N83),N83=INT(N83),N83&gt;=1,N83&lt;=5,MONTH(DATE(Übersicht!$B$4,J83,1)+MOD(M83-WEEKDAY(DATE(Übersicht!$B$4,J83,1),2),7)+7*(N83-1))=J83,K83="",ISNUMBER(L83),L83=INT(L83),L83&gt;=-366,L83&lt;=366),DATE(Übersicht!$B$4,J83,1)+MOD(M83-WEEKDAY(DATE(Übersicht!$B$4,J83,1),2),7)+7*(N83-1)+L83,NA()),NA())))),NA())</f>
        <v>46747</v>
      </c>
      <c r="X83" s="14">
        <f t="shared" si="2"/>
        <v>46747</v>
      </c>
      <c r="Y83" s="10" t="s">
        <v>459</v>
      </c>
      <c r="Z83" s="10" t="s">
        <v>490</v>
      </c>
      <c r="AA83" s="24" t="s">
        <v>413</v>
      </c>
    </row>
    <row r="84" spans="1:27" ht="38" customHeight="1">
      <c r="A84" s="11" t="s">
        <v>144</v>
      </c>
      <c r="B84" s="11" t="s">
        <v>67</v>
      </c>
      <c r="C84" s="11" t="s">
        <v>465</v>
      </c>
      <c r="D84" s="26" t="s">
        <v>416</v>
      </c>
      <c r="E84" s="26" t="s">
        <v>417</v>
      </c>
      <c r="F84" s="27"/>
      <c r="G84" s="27"/>
      <c r="H84" s="11" t="s">
        <v>468</v>
      </c>
      <c r="I84" s="11" t="s">
        <v>407</v>
      </c>
      <c r="J84" s="30">
        <v>1</v>
      </c>
      <c r="K84" s="30">
        <v>1</v>
      </c>
      <c r="L84" s="26"/>
      <c r="M84" s="26"/>
      <c r="N84" s="26"/>
      <c r="O84" s="31">
        <v>46023</v>
      </c>
      <c r="P84" s="31"/>
      <c r="Q84" s="26">
        <v>100</v>
      </c>
      <c r="R84" s="26" t="s">
        <v>69</v>
      </c>
      <c r="S84" s="11"/>
      <c r="T84" s="11" t="s">
        <v>409</v>
      </c>
      <c r="U84" s="11"/>
      <c r="V84" s="11" t="s">
        <v>469</v>
      </c>
      <c r="W84" s="15">
        <f>IF(AND(ISNUMBER(Übersicht!$B$4),Übersicht!$B$4=INT(Übersicht!$B$4),Übersicht!$B$4&gt;=2026,Übersicht!$B$4&lt;=2028),IF(I84="fixedMonthDay",IF(AND(ISNUMBER(J84),J84=INT(J84),J84&gt;=1,J84&lt;=12,ISNUMBER(K84),K84=INT(K84),K84&gt;=1,K84&lt;=31,MONTH(DATE(Übersicht!$B$4,J84,K84))=J84,DAY(DATE(Übersicht!$B$4,J84,K84))=K84,L84="",M84="",N84=""),DATE(Übersicht!$B$4,J84,K84),NA()),IF(I84="easterOffsetDays",IF(AND(ISNUMBER(L84),L84=INT(L84),L84&gt;=-366,L84&lt;=366,J84="",K84="",M84="",N84=""),$AD$23+L84,NA()),IF(I84="nthWeekdayOfMonth",IF(AND(ISNUMBER(J84),J84=INT(J84),J84&gt;=1,J84&lt;=12,ISNUMBER(M84),M84=INT(M84),M84&gt;=1,M84&lt;=7,ISNUMBER(N84),N84=INT(N84),N84&gt;=1,N84&lt;=5,MONTH(DATE(Übersicht!$B$4,J84,1)+MOD(M84-WEEKDAY(DATE(Übersicht!$B$4,J84,1),2),7)+7*(N84-1))=J84,K84="",L84=""),DATE(Übersicht!$B$4,J84,1)+MOD(M84-WEEKDAY(DATE(Übersicht!$B$4,J84,1),2),7)+7*(N84-1),NA()),IF(I84="nthWeekdayOffsetDays",IF(AND(ISNUMBER(J84),J84=INT(J84),J84&gt;=1,J84&lt;=12,ISNUMBER(M84),M84=INT(M84),M84&gt;=1,M84&lt;=7,ISNUMBER(N84),N84=INT(N84),N84&gt;=1,N84&lt;=5,MONTH(DATE(Übersicht!$B$4,J84,1)+MOD(M84-WEEKDAY(DATE(Übersicht!$B$4,J84,1),2),7)+7*(N84-1))=J84,K84="",ISNUMBER(L84),L84=INT(L84),L84&gt;=-366,L84&lt;=366),DATE(Übersicht!$B$4,J84,1)+MOD(M84-WEEKDAY(DATE(Übersicht!$B$4,J84,1),2),7)+7*(N84-1)+L84,NA()),NA())))),NA())</f>
        <v>46388</v>
      </c>
      <c r="X84" s="15">
        <f t="shared" si="2"/>
        <v>46388</v>
      </c>
      <c r="Y84" s="11" t="s">
        <v>470</v>
      </c>
      <c r="Z84" s="11" t="s">
        <v>471</v>
      </c>
      <c r="AA84" s="26" t="s">
        <v>413</v>
      </c>
    </row>
    <row r="85" spans="1:27" ht="38" customHeight="1">
      <c r="A85" s="10" t="s">
        <v>145</v>
      </c>
      <c r="B85" s="10" t="s">
        <v>67</v>
      </c>
      <c r="C85" s="10" t="s">
        <v>465</v>
      </c>
      <c r="D85" s="24" t="s">
        <v>421</v>
      </c>
      <c r="E85" s="24" t="s">
        <v>422</v>
      </c>
      <c r="F85" s="25"/>
      <c r="G85" s="25"/>
      <c r="H85" s="10" t="s">
        <v>468</v>
      </c>
      <c r="I85" s="10" t="s">
        <v>407</v>
      </c>
      <c r="J85" s="28">
        <v>1</v>
      </c>
      <c r="K85" s="28">
        <v>2</v>
      </c>
      <c r="L85" s="24"/>
      <c r="M85" s="24"/>
      <c r="N85" s="24"/>
      <c r="O85" s="29">
        <v>46023</v>
      </c>
      <c r="P85" s="29"/>
      <c r="Q85" s="24">
        <v>100</v>
      </c>
      <c r="R85" s="24" t="s">
        <v>69</v>
      </c>
      <c r="S85" s="10"/>
      <c r="T85" s="10" t="s">
        <v>409</v>
      </c>
      <c r="U85" s="10"/>
      <c r="V85" s="10" t="s">
        <v>469</v>
      </c>
      <c r="W85" s="14">
        <f>IF(AND(ISNUMBER(Übersicht!$B$4),Übersicht!$B$4=INT(Übersicht!$B$4),Übersicht!$B$4&gt;=2026,Übersicht!$B$4&lt;=2028),IF(I85="fixedMonthDay",IF(AND(ISNUMBER(J85),J85=INT(J85),J85&gt;=1,J85&lt;=12,ISNUMBER(K85),K85=INT(K85),K85&gt;=1,K85&lt;=31,MONTH(DATE(Übersicht!$B$4,J85,K85))=J85,DAY(DATE(Übersicht!$B$4,J85,K85))=K85,L85="",M85="",N85=""),DATE(Übersicht!$B$4,J85,K85),NA()),IF(I85="easterOffsetDays",IF(AND(ISNUMBER(L85),L85=INT(L85),L85&gt;=-366,L85&lt;=366,J85="",K85="",M85="",N85=""),$AD$23+L85,NA()),IF(I85="nthWeekdayOfMonth",IF(AND(ISNUMBER(J85),J85=INT(J85),J85&gt;=1,J85&lt;=12,ISNUMBER(M85),M85=INT(M85),M85&gt;=1,M85&lt;=7,ISNUMBER(N85),N85=INT(N85),N85&gt;=1,N85&lt;=5,MONTH(DATE(Übersicht!$B$4,J85,1)+MOD(M85-WEEKDAY(DATE(Übersicht!$B$4,J85,1),2),7)+7*(N85-1))=J85,K85="",L85=""),DATE(Übersicht!$B$4,J85,1)+MOD(M85-WEEKDAY(DATE(Übersicht!$B$4,J85,1),2),7)+7*(N85-1),NA()),IF(I85="nthWeekdayOffsetDays",IF(AND(ISNUMBER(J85),J85=INT(J85),J85&gt;=1,J85&lt;=12,ISNUMBER(M85),M85=INT(M85),M85&gt;=1,M85&lt;=7,ISNUMBER(N85),N85=INT(N85),N85&gt;=1,N85&lt;=5,MONTH(DATE(Übersicht!$B$4,J85,1)+MOD(M85-WEEKDAY(DATE(Übersicht!$B$4,J85,1),2),7)+7*(N85-1))=J85,K85="",ISNUMBER(L85),L85=INT(L85),L85&gt;=-366,L85&lt;=366),DATE(Übersicht!$B$4,J85,1)+MOD(M85-WEEKDAY(DATE(Übersicht!$B$4,J85,1),2),7)+7*(N85-1)+L85,NA()),NA())))),NA())</f>
        <v>46389</v>
      </c>
      <c r="X85" s="14">
        <f t="shared" si="2"/>
        <v>46389</v>
      </c>
      <c r="Y85" s="10" t="s">
        <v>470</v>
      </c>
      <c r="Z85" s="10" t="s">
        <v>471</v>
      </c>
      <c r="AA85" s="24" t="s">
        <v>413</v>
      </c>
    </row>
    <row r="86" spans="1:27" ht="38" customHeight="1">
      <c r="A86" s="11" t="s">
        <v>146</v>
      </c>
      <c r="B86" s="11" t="s">
        <v>67</v>
      </c>
      <c r="C86" s="11" t="s">
        <v>465</v>
      </c>
      <c r="D86" s="26" t="s">
        <v>424</v>
      </c>
      <c r="E86" s="26" t="s">
        <v>425</v>
      </c>
      <c r="F86" s="27"/>
      <c r="G86" s="27"/>
      <c r="H86" s="11" t="s">
        <v>468</v>
      </c>
      <c r="I86" s="11" t="s">
        <v>426</v>
      </c>
      <c r="J86" s="30"/>
      <c r="K86" s="30"/>
      <c r="L86" s="26">
        <v>-2</v>
      </c>
      <c r="M86" s="26"/>
      <c r="N86" s="26"/>
      <c r="O86" s="31">
        <v>46023</v>
      </c>
      <c r="P86" s="31"/>
      <c r="Q86" s="26">
        <v>100</v>
      </c>
      <c r="R86" s="26" t="s">
        <v>69</v>
      </c>
      <c r="S86" s="11"/>
      <c r="T86" s="11" t="s">
        <v>409</v>
      </c>
      <c r="U86" s="11"/>
      <c r="V86" s="11" t="s">
        <v>469</v>
      </c>
      <c r="W86" s="15">
        <f>IF(AND(ISNUMBER(Übersicht!$B$4),Übersicht!$B$4=INT(Übersicht!$B$4),Übersicht!$B$4&gt;=2026,Übersicht!$B$4&lt;=2028),IF(I86="fixedMonthDay",IF(AND(ISNUMBER(J86),J86=INT(J86),J86&gt;=1,J86&lt;=12,ISNUMBER(K86),K86=INT(K86),K86&gt;=1,K86&lt;=31,MONTH(DATE(Übersicht!$B$4,J86,K86))=J86,DAY(DATE(Übersicht!$B$4,J86,K86))=K86,L86="",M86="",N86=""),DATE(Übersicht!$B$4,J86,K86),NA()),IF(I86="easterOffsetDays",IF(AND(ISNUMBER(L86),L86=INT(L86),L86&gt;=-366,L86&lt;=366,J86="",K86="",M86="",N86=""),$AD$23+L86,NA()),IF(I86="nthWeekdayOfMonth",IF(AND(ISNUMBER(J86),J86=INT(J86),J86&gt;=1,J86&lt;=12,ISNUMBER(M86),M86=INT(M86),M86&gt;=1,M86&lt;=7,ISNUMBER(N86),N86=INT(N86),N86&gt;=1,N86&lt;=5,MONTH(DATE(Übersicht!$B$4,J86,1)+MOD(M86-WEEKDAY(DATE(Übersicht!$B$4,J86,1),2),7)+7*(N86-1))=J86,K86="",L86=""),DATE(Übersicht!$B$4,J86,1)+MOD(M86-WEEKDAY(DATE(Übersicht!$B$4,J86,1),2),7)+7*(N86-1),NA()),IF(I86="nthWeekdayOffsetDays",IF(AND(ISNUMBER(J86),J86=INT(J86),J86&gt;=1,J86&lt;=12,ISNUMBER(M86),M86=INT(M86),M86&gt;=1,M86&lt;=7,ISNUMBER(N86),N86=INT(N86),N86&gt;=1,N86&lt;=5,MONTH(DATE(Übersicht!$B$4,J86,1)+MOD(M86-WEEKDAY(DATE(Übersicht!$B$4,J86,1),2),7)+7*(N86-1))=J86,K86="",ISNUMBER(L86),L86=INT(L86),L86&gt;=-366,L86&lt;=366),DATE(Übersicht!$B$4,J86,1)+MOD(M86-WEEKDAY(DATE(Übersicht!$B$4,J86,1),2),7)+7*(N86-1)+L86,NA()),NA())))),NA())</f>
        <v>46472</v>
      </c>
      <c r="X86" s="15">
        <f t="shared" si="2"/>
        <v>46472</v>
      </c>
      <c r="Y86" s="11" t="s">
        <v>470</v>
      </c>
      <c r="Z86" s="11" t="s">
        <v>471</v>
      </c>
      <c r="AA86" s="26" t="s">
        <v>413</v>
      </c>
    </row>
    <row r="87" spans="1:27" ht="38" customHeight="1">
      <c r="A87" s="10" t="s">
        <v>147</v>
      </c>
      <c r="B87" s="10" t="s">
        <v>67</v>
      </c>
      <c r="C87" s="10" t="s">
        <v>465</v>
      </c>
      <c r="D87" s="24" t="s">
        <v>432</v>
      </c>
      <c r="E87" s="24" t="s">
        <v>433</v>
      </c>
      <c r="F87" s="25"/>
      <c r="G87" s="25"/>
      <c r="H87" s="10" t="s">
        <v>468</v>
      </c>
      <c r="I87" s="10" t="s">
        <v>426</v>
      </c>
      <c r="J87" s="28"/>
      <c r="K87" s="28"/>
      <c r="L87" s="24">
        <v>1</v>
      </c>
      <c r="M87" s="24"/>
      <c r="N87" s="24"/>
      <c r="O87" s="29">
        <v>46023</v>
      </c>
      <c r="P87" s="29"/>
      <c r="Q87" s="24">
        <v>100</v>
      </c>
      <c r="R87" s="24" t="s">
        <v>69</v>
      </c>
      <c r="S87" s="10"/>
      <c r="T87" s="10" t="s">
        <v>409</v>
      </c>
      <c r="U87" s="10"/>
      <c r="V87" s="10" t="s">
        <v>469</v>
      </c>
      <c r="W87" s="14">
        <f>IF(AND(ISNUMBER(Übersicht!$B$4),Übersicht!$B$4=INT(Übersicht!$B$4),Übersicht!$B$4&gt;=2026,Übersicht!$B$4&lt;=2028),IF(I87="fixedMonthDay",IF(AND(ISNUMBER(J87),J87=INT(J87),J87&gt;=1,J87&lt;=12,ISNUMBER(K87),K87=INT(K87),K87&gt;=1,K87&lt;=31,MONTH(DATE(Übersicht!$B$4,J87,K87))=J87,DAY(DATE(Übersicht!$B$4,J87,K87))=K87,L87="",M87="",N87=""),DATE(Übersicht!$B$4,J87,K87),NA()),IF(I87="easterOffsetDays",IF(AND(ISNUMBER(L87),L87=INT(L87),L87&gt;=-366,L87&lt;=366,J87="",K87="",M87="",N87=""),$AD$23+L87,NA()),IF(I87="nthWeekdayOfMonth",IF(AND(ISNUMBER(J87),J87=INT(J87),J87&gt;=1,J87&lt;=12,ISNUMBER(M87),M87=INT(M87),M87&gt;=1,M87&lt;=7,ISNUMBER(N87),N87=INT(N87),N87&gt;=1,N87&lt;=5,MONTH(DATE(Übersicht!$B$4,J87,1)+MOD(M87-WEEKDAY(DATE(Übersicht!$B$4,J87,1),2),7)+7*(N87-1))=J87,K87="",L87=""),DATE(Übersicht!$B$4,J87,1)+MOD(M87-WEEKDAY(DATE(Übersicht!$B$4,J87,1),2),7)+7*(N87-1),NA()),IF(I87="nthWeekdayOffsetDays",IF(AND(ISNUMBER(J87),J87=INT(J87),J87&gt;=1,J87&lt;=12,ISNUMBER(M87),M87=INT(M87),M87&gt;=1,M87&lt;=7,ISNUMBER(N87),N87=INT(N87),N87&gt;=1,N87&lt;=5,MONTH(DATE(Übersicht!$B$4,J87,1)+MOD(M87-WEEKDAY(DATE(Übersicht!$B$4,J87,1),2),7)+7*(N87-1))=J87,K87="",ISNUMBER(L87),L87=INT(L87),L87&gt;=-366,L87&lt;=366),DATE(Übersicht!$B$4,J87,1)+MOD(M87-WEEKDAY(DATE(Übersicht!$B$4,J87,1),2),7)+7*(N87-1)+L87,NA()),NA())))),NA())</f>
        <v>46475</v>
      </c>
      <c r="X87" s="14">
        <f t="shared" si="2"/>
        <v>46475</v>
      </c>
      <c r="Y87" s="10" t="s">
        <v>470</v>
      </c>
      <c r="Z87" s="10" t="s">
        <v>471</v>
      </c>
      <c r="AA87" s="24" t="s">
        <v>413</v>
      </c>
    </row>
    <row r="88" spans="1:27" ht="38" customHeight="1">
      <c r="A88" s="11" t="s">
        <v>148</v>
      </c>
      <c r="B88" s="11" t="s">
        <v>67</v>
      </c>
      <c r="C88" s="11" t="s">
        <v>465</v>
      </c>
      <c r="D88" s="26" t="s">
        <v>491</v>
      </c>
      <c r="E88" s="26" t="s">
        <v>492</v>
      </c>
      <c r="F88" s="27"/>
      <c r="G88" s="27"/>
      <c r="H88" s="11" t="s">
        <v>468</v>
      </c>
      <c r="I88" s="11" t="s">
        <v>407</v>
      </c>
      <c r="J88" s="30">
        <v>5</v>
      </c>
      <c r="K88" s="30">
        <v>1</v>
      </c>
      <c r="L88" s="26"/>
      <c r="M88" s="26"/>
      <c r="N88" s="26"/>
      <c r="O88" s="31">
        <v>46023</v>
      </c>
      <c r="P88" s="31"/>
      <c r="Q88" s="26">
        <v>100</v>
      </c>
      <c r="R88" s="26" t="s">
        <v>69</v>
      </c>
      <c r="S88" s="11"/>
      <c r="T88" s="11" t="s">
        <v>409</v>
      </c>
      <c r="U88" s="11"/>
      <c r="V88" s="11" t="s">
        <v>469</v>
      </c>
      <c r="W88" s="15">
        <f>IF(AND(ISNUMBER(Übersicht!$B$4),Übersicht!$B$4=INT(Übersicht!$B$4),Übersicht!$B$4&gt;=2026,Übersicht!$B$4&lt;=2028),IF(I88="fixedMonthDay",IF(AND(ISNUMBER(J88),J88=INT(J88),J88&gt;=1,J88&lt;=12,ISNUMBER(K88),K88=INT(K88),K88&gt;=1,K88&lt;=31,MONTH(DATE(Übersicht!$B$4,J88,K88))=J88,DAY(DATE(Übersicht!$B$4,J88,K88))=K88,L88="",M88="",N88=""),DATE(Übersicht!$B$4,J88,K88),NA()),IF(I88="easterOffsetDays",IF(AND(ISNUMBER(L88),L88=INT(L88),L88&gt;=-366,L88&lt;=366,J88="",K88="",M88="",N88=""),$AD$23+L88,NA()),IF(I88="nthWeekdayOfMonth",IF(AND(ISNUMBER(J88),J88=INT(J88),J88&gt;=1,J88&lt;=12,ISNUMBER(M88),M88=INT(M88),M88&gt;=1,M88&lt;=7,ISNUMBER(N88),N88=INT(N88),N88&gt;=1,N88&lt;=5,MONTH(DATE(Übersicht!$B$4,J88,1)+MOD(M88-WEEKDAY(DATE(Übersicht!$B$4,J88,1),2),7)+7*(N88-1))=J88,K88="",L88=""),DATE(Übersicht!$B$4,J88,1)+MOD(M88-WEEKDAY(DATE(Übersicht!$B$4,J88,1),2),7)+7*(N88-1),NA()),IF(I88="nthWeekdayOffsetDays",IF(AND(ISNUMBER(J88),J88=INT(J88),J88&gt;=1,J88&lt;=12,ISNUMBER(M88),M88=INT(M88),M88&gt;=1,M88&lt;=7,ISNUMBER(N88),N88=INT(N88),N88&gt;=1,N88&lt;=5,MONTH(DATE(Übersicht!$B$4,J88,1)+MOD(M88-WEEKDAY(DATE(Übersicht!$B$4,J88,1),2),7)+7*(N88-1))=J88,K88="",ISNUMBER(L88),L88=INT(L88),L88&gt;=-366,L88&lt;=366),DATE(Übersicht!$B$4,J88,1)+MOD(M88-WEEKDAY(DATE(Übersicht!$B$4,J88,1),2),7)+7*(N88-1)+L88,NA()),NA())))),NA())</f>
        <v>46508</v>
      </c>
      <c r="X88" s="15">
        <f t="shared" si="2"/>
        <v>46508</v>
      </c>
      <c r="Y88" s="11" t="s">
        <v>470</v>
      </c>
      <c r="Z88" s="11" t="s">
        <v>471</v>
      </c>
      <c r="AA88" s="26" t="s">
        <v>413</v>
      </c>
    </row>
    <row r="89" spans="1:27" ht="38" customHeight="1">
      <c r="A89" s="10" t="s">
        <v>149</v>
      </c>
      <c r="B89" s="10" t="s">
        <v>67</v>
      </c>
      <c r="C89" s="10" t="s">
        <v>465</v>
      </c>
      <c r="D89" s="24" t="s">
        <v>435</v>
      </c>
      <c r="E89" s="24" t="s">
        <v>436</v>
      </c>
      <c r="F89" s="25"/>
      <c r="G89" s="25"/>
      <c r="H89" s="10" t="s">
        <v>468</v>
      </c>
      <c r="I89" s="10" t="s">
        <v>426</v>
      </c>
      <c r="J89" s="28"/>
      <c r="K89" s="28"/>
      <c r="L89" s="24">
        <v>39</v>
      </c>
      <c r="M89" s="24"/>
      <c r="N89" s="24"/>
      <c r="O89" s="29">
        <v>46023</v>
      </c>
      <c r="P89" s="29"/>
      <c r="Q89" s="24">
        <v>100</v>
      </c>
      <c r="R89" s="24" t="s">
        <v>69</v>
      </c>
      <c r="S89" s="10"/>
      <c r="T89" s="10" t="s">
        <v>409</v>
      </c>
      <c r="U89" s="10"/>
      <c r="V89" s="10" t="s">
        <v>469</v>
      </c>
      <c r="W89" s="14">
        <f>IF(AND(ISNUMBER(Übersicht!$B$4),Übersicht!$B$4=INT(Übersicht!$B$4),Übersicht!$B$4&gt;=2026,Übersicht!$B$4&lt;=2028),IF(I89="fixedMonthDay",IF(AND(ISNUMBER(J89),J89=INT(J89),J89&gt;=1,J89&lt;=12,ISNUMBER(K89),K89=INT(K89),K89&gt;=1,K89&lt;=31,MONTH(DATE(Übersicht!$B$4,J89,K89))=J89,DAY(DATE(Übersicht!$B$4,J89,K89))=K89,L89="",M89="",N89=""),DATE(Übersicht!$B$4,J89,K89),NA()),IF(I89="easterOffsetDays",IF(AND(ISNUMBER(L89),L89=INT(L89),L89&gt;=-366,L89&lt;=366,J89="",K89="",M89="",N89=""),$AD$23+L89,NA()),IF(I89="nthWeekdayOfMonth",IF(AND(ISNUMBER(J89),J89=INT(J89),J89&gt;=1,J89&lt;=12,ISNUMBER(M89),M89=INT(M89),M89&gt;=1,M89&lt;=7,ISNUMBER(N89),N89=INT(N89),N89&gt;=1,N89&lt;=5,MONTH(DATE(Übersicht!$B$4,J89,1)+MOD(M89-WEEKDAY(DATE(Übersicht!$B$4,J89,1),2),7)+7*(N89-1))=J89,K89="",L89=""),DATE(Übersicht!$B$4,J89,1)+MOD(M89-WEEKDAY(DATE(Übersicht!$B$4,J89,1),2),7)+7*(N89-1),NA()),IF(I89="nthWeekdayOffsetDays",IF(AND(ISNUMBER(J89),J89=INT(J89),J89&gt;=1,J89&lt;=12,ISNUMBER(M89),M89=INT(M89),M89&gt;=1,M89&lt;=7,ISNUMBER(N89),N89=INT(N89),N89&gt;=1,N89&lt;=5,MONTH(DATE(Übersicht!$B$4,J89,1)+MOD(M89-WEEKDAY(DATE(Übersicht!$B$4,J89,1),2),7)+7*(N89-1))=J89,K89="",ISNUMBER(L89),L89=INT(L89),L89&gt;=-366,L89&lt;=366),DATE(Übersicht!$B$4,J89,1)+MOD(M89-WEEKDAY(DATE(Übersicht!$B$4,J89,1),2),7)+7*(N89-1)+L89,NA()),NA())))),NA())</f>
        <v>46513</v>
      </c>
      <c r="X89" s="14">
        <f t="shared" si="2"/>
        <v>46513</v>
      </c>
      <c r="Y89" s="10" t="s">
        <v>470</v>
      </c>
      <c r="Z89" s="10" t="s">
        <v>471</v>
      </c>
      <c r="AA89" s="24" t="s">
        <v>413</v>
      </c>
    </row>
    <row r="90" spans="1:27" ht="38" customHeight="1">
      <c r="A90" s="11" t="s">
        <v>150</v>
      </c>
      <c r="B90" s="11" t="s">
        <v>67</v>
      </c>
      <c r="C90" s="11" t="s">
        <v>465</v>
      </c>
      <c r="D90" s="26" t="s">
        <v>441</v>
      </c>
      <c r="E90" s="26" t="s">
        <v>442</v>
      </c>
      <c r="F90" s="27"/>
      <c r="G90" s="27"/>
      <c r="H90" s="11" t="s">
        <v>468</v>
      </c>
      <c r="I90" s="11" t="s">
        <v>426</v>
      </c>
      <c r="J90" s="30"/>
      <c r="K90" s="30"/>
      <c r="L90" s="26">
        <v>50</v>
      </c>
      <c r="M90" s="26"/>
      <c r="N90" s="26"/>
      <c r="O90" s="31">
        <v>46023</v>
      </c>
      <c r="P90" s="31"/>
      <c r="Q90" s="26">
        <v>100</v>
      </c>
      <c r="R90" s="26" t="s">
        <v>69</v>
      </c>
      <c r="S90" s="11"/>
      <c r="T90" s="11" t="s">
        <v>409</v>
      </c>
      <c r="U90" s="11"/>
      <c r="V90" s="11" t="s">
        <v>469</v>
      </c>
      <c r="W90" s="15">
        <f>IF(AND(ISNUMBER(Übersicht!$B$4),Übersicht!$B$4=INT(Übersicht!$B$4),Übersicht!$B$4&gt;=2026,Übersicht!$B$4&lt;=2028),IF(I90="fixedMonthDay",IF(AND(ISNUMBER(J90),J90=INT(J90),J90&gt;=1,J90&lt;=12,ISNUMBER(K90),K90=INT(K90),K90&gt;=1,K90&lt;=31,MONTH(DATE(Übersicht!$B$4,J90,K90))=J90,DAY(DATE(Übersicht!$B$4,J90,K90))=K90,L90="",M90="",N90=""),DATE(Übersicht!$B$4,J90,K90),NA()),IF(I90="easterOffsetDays",IF(AND(ISNUMBER(L90),L90=INT(L90),L90&gt;=-366,L90&lt;=366,J90="",K90="",M90="",N90=""),$AD$23+L90,NA()),IF(I90="nthWeekdayOfMonth",IF(AND(ISNUMBER(J90),J90=INT(J90),J90&gt;=1,J90&lt;=12,ISNUMBER(M90),M90=INT(M90),M90&gt;=1,M90&lt;=7,ISNUMBER(N90),N90=INT(N90),N90&gt;=1,N90&lt;=5,MONTH(DATE(Übersicht!$B$4,J90,1)+MOD(M90-WEEKDAY(DATE(Übersicht!$B$4,J90,1),2),7)+7*(N90-1))=J90,K90="",L90=""),DATE(Übersicht!$B$4,J90,1)+MOD(M90-WEEKDAY(DATE(Übersicht!$B$4,J90,1),2),7)+7*(N90-1),NA()),IF(I90="nthWeekdayOffsetDays",IF(AND(ISNUMBER(J90),J90=INT(J90),J90&gt;=1,J90&lt;=12,ISNUMBER(M90),M90=INT(M90),M90&gt;=1,M90&lt;=7,ISNUMBER(N90),N90=INT(N90),N90&gt;=1,N90&lt;=5,MONTH(DATE(Übersicht!$B$4,J90,1)+MOD(M90-WEEKDAY(DATE(Übersicht!$B$4,J90,1),2),7)+7*(N90-1))=J90,K90="",ISNUMBER(L90),L90=INT(L90),L90&gt;=-366,L90&lt;=366),DATE(Übersicht!$B$4,J90,1)+MOD(M90-WEEKDAY(DATE(Übersicht!$B$4,J90,1),2),7)+7*(N90-1)+L90,NA()),NA())))),NA())</f>
        <v>46524</v>
      </c>
      <c r="X90" s="15">
        <f t="shared" si="2"/>
        <v>46524</v>
      </c>
      <c r="Y90" s="11" t="s">
        <v>470</v>
      </c>
      <c r="Z90" s="11" t="s">
        <v>471</v>
      </c>
      <c r="AA90" s="26" t="s">
        <v>413</v>
      </c>
    </row>
    <row r="91" spans="1:27" ht="38" customHeight="1">
      <c r="A91" s="10" t="s">
        <v>151</v>
      </c>
      <c r="B91" s="10" t="s">
        <v>67</v>
      </c>
      <c r="C91" s="10" t="s">
        <v>465</v>
      </c>
      <c r="D91" s="24" t="s">
        <v>455</v>
      </c>
      <c r="E91" s="24" t="s">
        <v>456</v>
      </c>
      <c r="F91" s="25"/>
      <c r="G91" s="25"/>
      <c r="H91" s="10" t="s">
        <v>468</v>
      </c>
      <c r="I91" s="10" t="s">
        <v>426</v>
      </c>
      <c r="J91" s="28"/>
      <c r="K91" s="28"/>
      <c r="L91" s="24">
        <v>60</v>
      </c>
      <c r="M91" s="24"/>
      <c r="N91" s="24"/>
      <c r="O91" s="29">
        <v>46023</v>
      </c>
      <c r="P91" s="29"/>
      <c r="Q91" s="24">
        <v>100</v>
      </c>
      <c r="R91" s="24" t="s">
        <v>69</v>
      </c>
      <c r="S91" s="10"/>
      <c r="T91" s="10" t="s">
        <v>409</v>
      </c>
      <c r="U91" s="10"/>
      <c r="V91" s="10" t="s">
        <v>469</v>
      </c>
      <c r="W91" s="14">
        <f>IF(AND(ISNUMBER(Übersicht!$B$4),Übersicht!$B$4=INT(Übersicht!$B$4),Übersicht!$B$4&gt;=2026,Übersicht!$B$4&lt;=2028),IF(I91="fixedMonthDay",IF(AND(ISNUMBER(J91),J91=INT(J91),J91&gt;=1,J91&lt;=12,ISNUMBER(K91),K91=INT(K91),K91&gt;=1,K91&lt;=31,MONTH(DATE(Übersicht!$B$4,J91,K91))=J91,DAY(DATE(Übersicht!$B$4,J91,K91))=K91,L91="",M91="",N91=""),DATE(Übersicht!$B$4,J91,K91),NA()),IF(I91="easterOffsetDays",IF(AND(ISNUMBER(L91),L91=INT(L91),L91&gt;=-366,L91&lt;=366,J91="",K91="",M91="",N91=""),$AD$23+L91,NA()),IF(I91="nthWeekdayOfMonth",IF(AND(ISNUMBER(J91),J91=INT(J91),J91&gt;=1,J91&lt;=12,ISNUMBER(M91),M91=INT(M91),M91&gt;=1,M91&lt;=7,ISNUMBER(N91),N91=INT(N91),N91&gt;=1,N91&lt;=5,MONTH(DATE(Übersicht!$B$4,J91,1)+MOD(M91-WEEKDAY(DATE(Übersicht!$B$4,J91,1),2),7)+7*(N91-1))=J91,K91="",L91=""),DATE(Übersicht!$B$4,J91,1)+MOD(M91-WEEKDAY(DATE(Übersicht!$B$4,J91,1),2),7)+7*(N91-1),NA()),IF(I91="nthWeekdayOffsetDays",IF(AND(ISNUMBER(J91),J91=INT(J91),J91&gt;=1,J91&lt;=12,ISNUMBER(M91),M91=INT(M91),M91&gt;=1,M91&lt;=7,ISNUMBER(N91),N91=INT(N91),N91&gt;=1,N91&lt;=5,MONTH(DATE(Übersicht!$B$4,J91,1)+MOD(M91-WEEKDAY(DATE(Übersicht!$B$4,J91,1),2),7)+7*(N91-1))=J91,K91="",ISNUMBER(L91),L91=INT(L91),L91&gt;=-366,L91&lt;=366),DATE(Übersicht!$B$4,J91,1)+MOD(M91-WEEKDAY(DATE(Übersicht!$B$4,J91,1),2),7)+7*(N91-1)+L91,NA()),NA())))),NA())</f>
        <v>46534</v>
      </c>
      <c r="X91" s="14">
        <f t="shared" si="2"/>
        <v>46534</v>
      </c>
      <c r="Y91" s="10" t="s">
        <v>470</v>
      </c>
      <c r="Z91" s="10" t="s">
        <v>471</v>
      </c>
      <c r="AA91" s="24" t="s">
        <v>413</v>
      </c>
    </row>
    <row r="92" spans="1:27" ht="38" customHeight="1">
      <c r="A92" s="11" t="s">
        <v>152</v>
      </c>
      <c r="B92" s="11" t="s">
        <v>67</v>
      </c>
      <c r="C92" s="11" t="s">
        <v>465</v>
      </c>
      <c r="D92" s="26" t="s">
        <v>404</v>
      </c>
      <c r="E92" s="26" t="s">
        <v>405</v>
      </c>
      <c r="F92" s="27"/>
      <c r="G92" s="27"/>
      <c r="H92" s="11" t="s">
        <v>468</v>
      </c>
      <c r="I92" s="11" t="s">
        <v>407</v>
      </c>
      <c r="J92" s="30">
        <v>8</v>
      </c>
      <c r="K92" s="30">
        <v>1</v>
      </c>
      <c r="L92" s="26"/>
      <c r="M92" s="26"/>
      <c r="N92" s="26"/>
      <c r="O92" s="31">
        <v>46023</v>
      </c>
      <c r="P92" s="31"/>
      <c r="Q92" s="26">
        <v>100</v>
      </c>
      <c r="R92" s="26" t="s">
        <v>69</v>
      </c>
      <c r="S92" s="11"/>
      <c r="T92" s="11" t="s">
        <v>409</v>
      </c>
      <c r="U92" s="11"/>
      <c r="V92" s="11" t="s">
        <v>469</v>
      </c>
      <c r="W92" s="15">
        <f>IF(AND(ISNUMBER(Übersicht!$B$4),Übersicht!$B$4=INT(Übersicht!$B$4),Übersicht!$B$4&gt;=2026,Übersicht!$B$4&lt;=2028),IF(I92="fixedMonthDay",IF(AND(ISNUMBER(J92),J92=INT(J92),J92&gt;=1,J92&lt;=12,ISNUMBER(K92),K92=INT(K92),K92&gt;=1,K92&lt;=31,MONTH(DATE(Übersicht!$B$4,J92,K92))=J92,DAY(DATE(Übersicht!$B$4,J92,K92))=K92,L92="",M92="",N92=""),DATE(Übersicht!$B$4,J92,K92),NA()),IF(I92="easterOffsetDays",IF(AND(ISNUMBER(L92),L92=INT(L92),L92&gt;=-366,L92&lt;=366,J92="",K92="",M92="",N92=""),$AD$23+L92,NA()),IF(I92="nthWeekdayOfMonth",IF(AND(ISNUMBER(J92),J92=INT(J92),J92&gt;=1,J92&lt;=12,ISNUMBER(M92),M92=INT(M92),M92&gt;=1,M92&lt;=7,ISNUMBER(N92),N92=INT(N92),N92&gt;=1,N92&lt;=5,MONTH(DATE(Übersicht!$B$4,J92,1)+MOD(M92-WEEKDAY(DATE(Übersicht!$B$4,J92,1),2),7)+7*(N92-1))=J92,K92="",L92=""),DATE(Übersicht!$B$4,J92,1)+MOD(M92-WEEKDAY(DATE(Übersicht!$B$4,J92,1),2),7)+7*(N92-1),NA()),IF(I92="nthWeekdayOffsetDays",IF(AND(ISNUMBER(J92),J92=INT(J92),J92&gt;=1,J92&lt;=12,ISNUMBER(M92),M92=INT(M92),M92&gt;=1,M92&lt;=7,ISNUMBER(N92),N92=INT(N92),N92&gt;=1,N92&lt;=5,MONTH(DATE(Übersicht!$B$4,J92,1)+MOD(M92-WEEKDAY(DATE(Übersicht!$B$4,J92,1),2),7)+7*(N92-1))=J92,K92="",ISNUMBER(L92),L92=INT(L92),L92&gt;=-366,L92&lt;=366),DATE(Übersicht!$B$4,J92,1)+MOD(M92-WEEKDAY(DATE(Übersicht!$B$4,J92,1),2),7)+7*(N92-1)+L92,NA()),NA())))),NA())</f>
        <v>46600</v>
      </c>
      <c r="X92" s="15">
        <f t="shared" si="2"/>
        <v>46600</v>
      </c>
      <c r="Y92" s="11" t="s">
        <v>470</v>
      </c>
      <c r="Z92" s="11" t="s">
        <v>471</v>
      </c>
      <c r="AA92" s="26" t="s">
        <v>413</v>
      </c>
    </row>
    <row r="93" spans="1:27" ht="38" customHeight="1">
      <c r="A93" s="10" t="s">
        <v>153</v>
      </c>
      <c r="B93" s="10" t="s">
        <v>67</v>
      </c>
      <c r="C93" s="10" t="s">
        <v>465</v>
      </c>
      <c r="D93" s="24" t="s">
        <v>479</v>
      </c>
      <c r="E93" s="24" t="s">
        <v>480</v>
      </c>
      <c r="F93" s="25"/>
      <c r="G93" s="25"/>
      <c r="H93" s="10" t="s">
        <v>468</v>
      </c>
      <c r="I93" s="10" t="s">
        <v>407</v>
      </c>
      <c r="J93" s="28">
        <v>8</v>
      </c>
      <c r="K93" s="28">
        <v>15</v>
      </c>
      <c r="L93" s="24"/>
      <c r="M93" s="24"/>
      <c r="N93" s="24"/>
      <c r="O93" s="29">
        <v>46023</v>
      </c>
      <c r="P93" s="29"/>
      <c r="Q93" s="24">
        <v>100</v>
      </c>
      <c r="R93" s="24" t="s">
        <v>69</v>
      </c>
      <c r="S93" s="10"/>
      <c r="T93" s="10" t="s">
        <v>409</v>
      </c>
      <c r="U93" s="10"/>
      <c r="V93" s="10" t="s">
        <v>469</v>
      </c>
      <c r="W93" s="14">
        <f>IF(AND(ISNUMBER(Übersicht!$B$4),Übersicht!$B$4=INT(Übersicht!$B$4),Übersicht!$B$4&gt;=2026,Übersicht!$B$4&lt;=2028),IF(I93="fixedMonthDay",IF(AND(ISNUMBER(J93),J93=INT(J93),J93&gt;=1,J93&lt;=12,ISNUMBER(K93),K93=INT(K93),K93&gt;=1,K93&lt;=31,MONTH(DATE(Übersicht!$B$4,J93,K93))=J93,DAY(DATE(Übersicht!$B$4,J93,K93))=K93,L93="",M93="",N93=""),DATE(Übersicht!$B$4,J93,K93),NA()),IF(I93="easterOffsetDays",IF(AND(ISNUMBER(L93),L93=INT(L93),L93&gt;=-366,L93&lt;=366,J93="",K93="",M93="",N93=""),$AD$23+L93,NA()),IF(I93="nthWeekdayOfMonth",IF(AND(ISNUMBER(J93),J93=INT(J93),J93&gt;=1,J93&lt;=12,ISNUMBER(M93),M93=INT(M93),M93&gt;=1,M93&lt;=7,ISNUMBER(N93),N93=INT(N93),N93&gt;=1,N93&lt;=5,MONTH(DATE(Übersicht!$B$4,J93,1)+MOD(M93-WEEKDAY(DATE(Übersicht!$B$4,J93,1),2),7)+7*(N93-1))=J93,K93="",L93=""),DATE(Übersicht!$B$4,J93,1)+MOD(M93-WEEKDAY(DATE(Übersicht!$B$4,J93,1),2),7)+7*(N93-1),NA()),IF(I93="nthWeekdayOffsetDays",IF(AND(ISNUMBER(J93),J93=INT(J93),J93&gt;=1,J93&lt;=12,ISNUMBER(M93),M93=INT(M93),M93&gt;=1,M93&lt;=7,ISNUMBER(N93),N93=INT(N93),N93&gt;=1,N93&lt;=5,MONTH(DATE(Übersicht!$B$4,J93,1)+MOD(M93-WEEKDAY(DATE(Übersicht!$B$4,J93,1),2),7)+7*(N93-1))=J93,K93="",ISNUMBER(L93),L93=INT(L93),L93&gt;=-366,L93&lt;=366),DATE(Übersicht!$B$4,J93,1)+MOD(M93-WEEKDAY(DATE(Übersicht!$B$4,J93,1),2),7)+7*(N93-1)+L93,NA()),NA())))),NA())</f>
        <v>46614</v>
      </c>
      <c r="X93" s="14">
        <f t="shared" si="2"/>
        <v>46614</v>
      </c>
      <c r="Y93" s="10" t="s">
        <v>470</v>
      </c>
      <c r="Z93" s="10" t="s">
        <v>471</v>
      </c>
      <c r="AA93" s="24" t="s">
        <v>413</v>
      </c>
    </row>
    <row r="94" spans="1:27" ht="38" customHeight="1">
      <c r="A94" s="11" t="s">
        <v>154</v>
      </c>
      <c r="B94" s="11" t="s">
        <v>67</v>
      </c>
      <c r="C94" s="11" t="s">
        <v>465</v>
      </c>
      <c r="D94" s="26" t="s">
        <v>483</v>
      </c>
      <c r="E94" s="26" t="s">
        <v>484</v>
      </c>
      <c r="F94" s="27"/>
      <c r="G94" s="27"/>
      <c r="H94" s="11" t="s">
        <v>468</v>
      </c>
      <c r="I94" s="11" t="s">
        <v>407</v>
      </c>
      <c r="J94" s="30">
        <v>12</v>
      </c>
      <c r="K94" s="30">
        <v>8</v>
      </c>
      <c r="L94" s="26"/>
      <c r="M94" s="26"/>
      <c r="N94" s="26"/>
      <c r="O94" s="31">
        <v>46023</v>
      </c>
      <c r="P94" s="31"/>
      <c r="Q94" s="26">
        <v>100</v>
      </c>
      <c r="R94" s="26" t="s">
        <v>69</v>
      </c>
      <c r="S94" s="11"/>
      <c r="T94" s="11" t="s">
        <v>409</v>
      </c>
      <c r="U94" s="11"/>
      <c r="V94" s="11" t="s">
        <v>469</v>
      </c>
      <c r="W94" s="15">
        <f>IF(AND(ISNUMBER(Übersicht!$B$4),Übersicht!$B$4=INT(Übersicht!$B$4),Übersicht!$B$4&gt;=2026,Übersicht!$B$4&lt;=2028),IF(I94="fixedMonthDay",IF(AND(ISNUMBER(J94),J94=INT(J94),J94&gt;=1,J94&lt;=12,ISNUMBER(K94),K94=INT(K94),K94&gt;=1,K94&lt;=31,MONTH(DATE(Übersicht!$B$4,J94,K94))=J94,DAY(DATE(Übersicht!$B$4,J94,K94))=K94,L94="",M94="",N94=""),DATE(Übersicht!$B$4,J94,K94),NA()),IF(I94="easterOffsetDays",IF(AND(ISNUMBER(L94),L94=INT(L94),L94&gt;=-366,L94&lt;=366,J94="",K94="",M94="",N94=""),$AD$23+L94,NA()),IF(I94="nthWeekdayOfMonth",IF(AND(ISNUMBER(J94),J94=INT(J94),J94&gt;=1,J94&lt;=12,ISNUMBER(M94),M94=INT(M94),M94&gt;=1,M94&lt;=7,ISNUMBER(N94),N94=INT(N94),N94&gt;=1,N94&lt;=5,MONTH(DATE(Übersicht!$B$4,J94,1)+MOD(M94-WEEKDAY(DATE(Übersicht!$B$4,J94,1),2),7)+7*(N94-1))=J94,K94="",L94=""),DATE(Übersicht!$B$4,J94,1)+MOD(M94-WEEKDAY(DATE(Übersicht!$B$4,J94,1),2),7)+7*(N94-1),NA()),IF(I94="nthWeekdayOffsetDays",IF(AND(ISNUMBER(J94),J94=INT(J94),J94&gt;=1,J94&lt;=12,ISNUMBER(M94),M94=INT(M94),M94&gt;=1,M94&lt;=7,ISNUMBER(N94),N94=INT(N94),N94&gt;=1,N94&lt;=5,MONTH(DATE(Übersicht!$B$4,J94,1)+MOD(M94-WEEKDAY(DATE(Übersicht!$B$4,J94,1),2),7)+7*(N94-1))=J94,K94="",ISNUMBER(L94),L94=INT(L94),L94&gt;=-366,L94&lt;=366),DATE(Übersicht!$B$4,J94,1)+MOD(M94-WEEKDAY(DATE(Übersicht!$B$4,J94,1),2),7)+7*(N94-1)+L94,NA()),NA())))),NA())</f>
        <v>46729</v>
      </c>
      <c r="X94" s="15">
        <f t="shared" si="2"/>
        <v>46729</v>
      </c>
      <c r="Y94" s="11" t="s">
        <v>470</v>
      </c>
      <c r="Z94" s="11" t="s">
        <v>471</v>
      </c>
      <c r="AA94" s="26" t="s">
        <v>413</v>
      </c>
    </row>
    <row r="95" spans="1:27" ht="38" customHeight="1">
      <c r="A95" s="10" t="s">
        <v>155</v>
      </c>
      <c r="B95" s="10" t="s">
        <v>67</v>
      </c>
      <c r="C95" s="10" t="s">
        <v>465</v>
      </c>
      <c r="D95" s="24" t="s">
        <v>448</v>
      </c>
      <c r="E95" s="24" t="s">
        <v>449</v>
      </c>
      <c r="F95" s="25"/>
      <c r="G95" s="25"/>
      <c r="H95" s="10" t="s">
        <v>468</v>
      </c>
      <c r="I95" s="10" t="s">
        <v>407</v>
      </c>
      <c r="J95" s="28">
        <v>12</v>
      </c>
      <c r="K95" s="28">
        <v>25</v>
      </c>
      <c r="L95" s="24"/>
      <c r="M95" s="24"/>
      <c r="N95" s="24"/>
      <c r="O95" s="29">
        <v>46023</v>
      </c>
      <c r="P95" s="29"/>
      <c r="Q95" s="24">
        <v>100</v>
      </c>
      <c r="R95" s="24" t="s">
        <v>69</v>
      </c>
      <c r="S95" s="10"/>
      <c r="T95" s="10" t="s">
        <v>409</v>
      </c>
      <c r="U95" s="10"/>
      <c r="V95" s="10" t="s">
        <v>469</v>
      </c>
      <c r="W95" s="14">
        <f>IF(AND(ISNUMBER(Übersicht!$B$4),Übersicht!$B$4=INT(Übersicht!$B$4),Übersicht!$B$4&gt;=2026,Übersicht!$B$4&lt;=2028),IF(I95="fixedMonthDay",IF(AND(ISNUMBER(J95),J95=INT(J95),J95&gt;=1,J95&lt;=12,ISNUMBER(K95),K95=INT(K95),K95&gt;=1,K95&lt;=31,MONTH(DATE(Übersicht!$B$4,J95,K95))=J95,DAY(DATE(Übersicht!$B$4,J95,K95))=K95,L95="",M95="",N95=""),DATE(Übersicht!$B$4,J95,K95),NA()),IF(I95="easterOffsetDays",IF(AND(ISNUMBER(L95),L95=INT(L95),L95&gt;=-366,L95&lt;=366,J95="",K95="",M95="",N95=""),$AD$23+L95,NA()),IF(I95="nthWeekdayOfMonth",IF(AND(ISNUMBER(J95),J95=INT(J95),J95&gt;=1,J95&lt;=12,ISNUMBER(M95),M95=INT(M95),M95&gt;=1,M95&lt;=7,ISNUMBER(N95),N95=INT(N95),N95&gt;=1,N95&lt;=5,MONTH(DATE(Übersicht!$B$4,J95,1)+MOD(M95-WEEKDAY(DATE(Übersicht!$B$4,J95,1),2),7)+7*(N95-1))=J95,K95="",L95=""),DATE(Übersicht!$B$4,J95,1)+MOD(M95-WEEKDAY(DATE(Übersicht!$B$4,J95,1),2),7)+7*(N95-1),NA()),IF(I95="nthWeekdayOffsetDays",IF(AND(ISNUMBER(J95),J95=INT(J95),J95&gt;=1,J95&lt;=12,ISNUMBER(M95),M95=INT(M95),M95&gt;=1,M95&lt;=7,ISNUMBER(N95),N95=INT(N95),N95&gt;=1,N95&lt;=5,MONTH(DATE(Übersicht!$B$4,J95,1)+MOD(M95-WEEKDAY(DATE(Übersicht!$B$4,J95,1),2),7)+7*(N95-1))=J95,K95="",ISNUMBER(L95),L95=INT(L95),L95&gt;=-366,L95&lt;=366),DATE(Übersicht!$B$4,J95,1)+MOD(M95-WEEKDAY(DATE(Übersicht!$B$4,J95,1),2),7)+7*(N95-1)+L95,NA()),NA())))),NA())</f>
        <v>46746</v>
      </c>
      <c r="X95" s="14">
        <f t="shared" si="2"/>
        <v>46746</v>
      </c>
      <c r="Y95" s="10" t="s">
        <v>470</v>
      </c>
      <c r="Z95" s="10" t="s">
        <v>471</v>
      </c>
      <c r="AA95" s="24" t="s">
        <v>413</v>
      </c>
    </row>
    <row r="96" spans="1:27" ht="38" customHeight="1">
      <c r="A96" s="11" t="s">
        <v>156</v>
      </c>
      <c r="B96" s="11" t="s">
        <v>67</v>
      </c>
      <c r="C96" s="11" t="s">
        <v>465</v>
      </c>
      <c r="D96" s="26" t="s">
        <v>451</v>
      </c>
      <c r="E96" s="26" t="s">
        <v>452</v>
      </c>
      <c r="F96" s="27"/>
      <c r="G96" s="27"/>
      <c r="H96" s="11" t="s">
        <v>468</v>
      </c>
      <c r="I96" s="11" t="s">
        <v>407</v>
      </c>
      <c r="J96" s="30">
        <v>12</v>
      </c>
      <c r="K96" s="30">
        <v>26</v>
      </c>
      <c r="L96" s="26"/>
      <c r="M96" s="26"/>
      <c r="N96" s="26"/>
      <c r="O96" s="31">
        <v>46023</v>
      </c>
      <c r="P96" s="31"/>
      <c r="Q96" s="26">
        <v>100</v>
      </c>
      <c r="R96" s="26" t="s">
        <v>69</v>
      </c>
      <c r="S96" s="11"/>
      <c r="T96" s="11" t="s">
        <v>409</v>
      </c>
      <c r="U96" s="11"/>
      <c r="V96" s="11" t="s">
        <v>469</v>
      </c>
      <c r="W96" s="15">
        <f>IF(AND(ISNUMBER(Übersicht!$B$4),Übersicht!$B$4=INT(Übersicht!$B$4),Übersicht!$B$4&gt;=2026,Übersicht!$B$4&lt;=2028),IF(I96="fixedMonthDay",IF(AND(ISNUMBER(J96),J96=INT(J96),J96&gt;=1,J96&lt;=12,ISNUMBER(K96),K96=INT(K96),K96&gt;=1,K96&lt;=31,MONTH(DATE(Übersicht!$B$4,J96,K96))=J96,DAY(DATE(Übersicht!$B$4,J96,K96))=K96,L96="",M96="",N96=""),DATE(Übersicht!$B$4,J96,K96),NA()),IF(I96="easterOffsetDays",IF(AND(ISNUMBER(L96),L96=INT(L96),L96&gt;=-366,L96&lt;=366,J96="",K96="",M96="",N96=""),$AD$23+L96,NA()),IF(I96="nthWeekdayOfMonth",IF(AND(ISNUMBER(J96),J96=INT(J96),J96&gt;=1,J96&lt;=12,ISNUMBER(M96),M96=INT(M96),M96&gt;=1,M96&lt;=7,ISNUMBER(N96),N96=INT(N96),N96&gt;=1,N96&lt;=5,MONTH(DATE(Übersicht!$B$4,J96,1)+MOD(M96-WEEKDAY(DATE(Übersicht!$B$4,J96,1),2),7)+7*(N96-1))=J96,K96="",L96=""),DATE(Übersicht!$B$4,J96,1)+MOD(M96-WEEKDAY(DATE(Übersicht!$B$4,J96,1),2),7)+7*(N96-1),NA()),IF(I96="nthWeekdayOffsetDays",IF(AND(ISNUMBER(J96),J96=INT(J96),J96&gt;=1,J96&lt;=12,ISNUMBER(M96),M96=INT(M96),M96&gt;=1,M96&lt;=7,ISNUMBER(N96),N96=INT(N96),N96&gt;=1,N96&lt;=5,MONTH(DATE(Übersicht!$B$4,J96,1)+MOD(M96-WEEKDAY(DATE(Übersicht!$B$4,J96,1),2),7)+7*(N96-1))=J96,K96="",ISNUMBER(L96),L96=INT(L96),L96&gt;=-366,L96&lt;=366),DATE(Übersicht!$B$4,J96,1)+MOD(M96-WEEKDAY(DATE(Übersicht!$B$4,J96,1),2),7)+7*(N96-1)+L96,NA()),NA())))),NA())</f>
        <v>46747</v>
      </c>
      <c r="X96" s="15">
        <f t="shared" si="2"/>
        <v>46747</v>
      </c>
      <c r="Y96" s="11" t="s">
        <v>470</v>
      </c>
      <c r="Z96" s="11" t="s">
        <v>471</v>
      </c>
      <c r="AA96" s="26" t="s">
        <v>413</v>
      </c>
    </row>
    <row r="97" spans="1:27" ht="42" customHeight="1">
      <c r="A97" s="10" t="s">
        <v>159</v>
      </c>
      <c r="B97" s="10" t="s">
        <v>157</v>
      </c>
      <c r="C97" s="10" t="s">
        <v>493</v>
      </c>
      <c r="D97" s="24" t="s">
        <v>416</v>
      </c>
      <c r="E97" s="24" t="s">
        <v>417</v>
      </c>
      <c r="F97" s="25" t="s">
        <v>494</v>
      </c>
      <c r="G97" s="25" t="s">
        <v>495</v>
      </c>
      <c r="H97" s="10" t="s">
        <v>406</v>
      </c>
      <c r="I97" s="10" t="s">
        <v>407</v>
      </c>
      <c r="J97" s="28">
        <v>1</v>
      </c>
      <c r="K97" s="28">
        <v>1</v>
      </c>
      <c r="L97" s="24"/>
      <c r="M97" s="24"/>
      <c r="N97" s="24"/>
      <c r="O97" s="29">
        <v>46023</v>
      </c>
      <c r="P97" s="29"/>
      <c r="Q97" s="24">
        <v>100</v>
      </c>
      <c r="R97" s="24" t="s">
        <v>69</v>
      </c>
      <c r="S97" s="10"/>
      <c r="T97" s="10" t="s">
        <v>409</v>
      </c>
      <c r="U97" s="10"/>
      <c r="V97" s="10" t="s">
        <v>469</v>
      </c>
      <c r="W97" s="14">
        <f>IF(AND(ISNUMBER(Übersicht!$B$4),Übersicht!$B$4=INT(Übersicht!$B$4),Übersicht!$B$4&gt;=2026,Übersicht!$B$4&lt;=2028),IF(I97="fixedMonthDay",IF(AND(ISNUMBER(J97),J97=INT(J97),J97&gt;=1,J97&lt;=12,ISNUMBER(K97),K97=INT(K97),K97&gt;=1,K97&lt;=31,MONTH(DATE(Übersicht!$B$4,J97,K97))=J97,DAY(DATE(Übersicht!$B$4,J97,K97))=K97,L97="",M97="",N97=""),DATE(Übersicht!$B$4,J97,K97),NA()),IF(I97="easterOffsetDays",IF(AND(ISNUMBER(L97),L97=INT(L97),L97&gt;=-366,L97&lt;=366,J97="",K97="",M97="",N97=""),$AD$23+L97,NA()),IF(I97="nthWeekdayOfMonth",IF(AND(ISNUMBER(J97),J97=INT(J97),J97&gt;=1,J97&lt;=12,ISNUMBER(M97),M97=INT(M97),M97&gt;=1,M97&lt;=7,ISNUMBER(N97),N97=INT(N97),N97&gt;=1,N97&lt;=5,MONTH(DATE(Übersicht!$B$4,J97,1)+MOD(M97-WEEKDAY(DATE(Übersicht!$B$4,J97,1),2),7)+7*(N97-1))=J97,K97="",L97=""),DATE(Übersicht!$B$4,J97,1)+MOD(M97-WEEKDAY(DATE(Übersicht!$B$4,J97,1),2),7)+7*(N97-1),NA()),IF(I97="nthWeekdayOffsetDays",IF(AND(ISNUMBER(J97),J97=INT(J97),J97&gt;=1,J97&lt;=12,ISNUMBER(M97),M97=INT(M97),M97&gt;=1,M97&lt;=7,ISNUMBER(N97),N97=INT(N97),N97&gt;=1,N97&lt;=5,MONTH(DATE(Übersicht!$B$4,J97,1)+MOD(M97-WEEKDAY(DATE(Übersicht!$B$4,J97,1),2),7)+7*(N97-1))=J97,K97="",ISNUMBER(L97),L97=INT(L97),L97&gt;=-366,L97&lt;=366),DATE(Übersicht!$B$4,J97,1)+MOD(M97-WEEKDAY(DATE(Übersicht!$B$4,J97,1),2),7)+7*(N97-1)+L97,NA()),NA())))),NA())</f>
        <v>46388</v>
      </c>
      <c r="X97" s="14">
        <f t="shared" si="2"/>
        <v>46388</v>
      </c>
      <c r="Y97" s="10" t="s">
        <v>496</v>
      </c>
      <c r="Z97" s="10" t="s">
        <v>412</v>
      </c>
      <c r="AA97" s="24" t="s">
        <v>413</v>
      </c>
    </row>
    <row r="98" spans="1:27" ht="42" customHeight="1">
      <c r="A98" s="11" t="s">
        <v>161</v>
      </c>
      <c r="B98" s="11" t="s">
        <v>157</v>
      </c>
      <c r="C98" s="11" t="s">
        <v>493</v>
      </c>
      <c r="D98" s="26" t="s">
        <v>497</v>
      </c>
      <c r="E98" s="26" t="s">
        <v>498</v>
      </c>
      <c r="F98" s="27" t="s">
        <v>499</v>
      </c>
      <c r="G98" s="27" t="s">
        <v>500</v>
      </c>
      <c r="H98" s="11" t="s">
        <v>406</v>
      </c>
      <c r="I98" s="11" t="s">
        <v>407</v>
      </c>
      <c r="J98" s="30">
        <v>1</v>
      </c>
      <c r="K98" s="30">
        <v>6</v>
      </c>
      <c r="L98" s="26"/>
      <c r="M98" s="26"/>
      <c r="N98" s="26"/>
      <c r="O98" s="31">
        <v>46023</v>
      </c>
      <c r="P98" s="31"/>
      <c r="Q98" s="26">
        <v>100</v>
      </c>
      <c r="R98" s="26" t="s">
        <v>69</v>
      </c>
      <c r="S98" s="11"/>
      <c r="T98" s="11" t="s">
        <v>409</v>
      </c>
      <c r="U98" s="11"/>
      <c r="V98" s="11" t="s">
        <v>469</v>
      </c>
      <c r="W98" s="15">
        <f>IF(AND(ISNUMBER(Übersicht!$B$4),Übersicht!$B$4=INT(Übersicht!$B$4),Übersicht!$B$4&gt;=2026,Übersicht!$B$4&lt;=2028),IF(I98="fixedMonthDay",IF(AND(ISNUMBER(J98),J98=INT(J98),J98&gt;=1,J98&lt;=12,ISNUMBER(K98),K98=INT(K98),K98&gt;=1,K98&lt;=31,MONTH(DATE(Übersicht!$B$4,J98,K98))=J98,DAY(DATE(Übersicht!$B$4,J98,K98))=K98,L98="",M98="",N98=""),DATE(Übersicht!$B$4,J98,K98),NA()),IF(I98="easterOffsetDays",IF(AND(ISNUMBER(L98),L98=INT(L98),L98&gt;=-366,L98&lt;=366,J98="",K98="",M98="",N98=""),$AD$23+L98,NA()),IF(I98="nthWeekdayOfMonth",IF(AND(ISNUMBER(J98),J98=INT(J98),J98&gt;=1,J98&lt;=12,ISNUMBER(M98),M98=INT(M98),M98&gt;=1,M98&lt;=7,ISNUMBER(N98),N98=INT(N98),N98&gt;=1,N98&lt;=5,MONTH(DATE(Übersicht!$B$4,J98,1)+MOD(M98-WEEKDAY(DATE(Übersicht!$B$4,J98,1),2),7)+7*(N98-1))=J98,K98="",L98=""),DATE(Übersicht!$B$4,J98,1)+MOD(M98-WEEKDAY(DATE(Übersicht!$B$4,J98,1),2),7)+7*(N98-1),NA()),IF(I98="nthWeekdayOffsetDays",IF(AND(ISNUMBER(J98),J98=INT(J98),J98&gt;=1,J98&lt;=12,ISNUMBER(M98),M98=INT(M98),M98&gt;=1,M98&lt;=7,ISNUMBER(N98),N98=INT(N98),N98&gt;=1,N98&lt;=5,MONTH(DATE(Übersicht!$B$4,J98,1)+MOD(M98-WEEKDAY(DATE(Übersicht!$B$4,J98,1),2),7)+7*(N98-1))=J98,K98="",ISNUMBER(L98),L98=INT(L98),L98&gt;=-366,L98&lt;=366),DATE(Übersicht!$B$4,J98,1)+MOD(M98-WEEKDAY(DATE(Übersicht!$B$4,J98,1),2),7)+7*(N98-1)+L98,NA()),NA())))),NA())</f>
        <v>46393</v>
      </c>
      <c r="X98" s="15">
        <f t="shared" si="2"/>
        <v>46393</v>
      </c>
      <c r="Y98" s="11" t="s">
        <v>496</v>
      </c>
      <c r="Z98" s="11" t="s">
        <v>412</v>
      </c>
      <c r="AA98" s="26" t="s">
        <v>413</v>
      </c>
    </row>
    <row r="99" spans="1:27" ht="42" customHeight="1">
      <c r="A99" s="10" t="s">
        <v>163</v>
      </c>
      <c r="B99" s="10" t="s">
        <v>157</v>
      </c>
      <c r="C99" s="10" t="s">
        <v>493</v>
      </c>
      <c r="D99" s="24" t="s">
        <v>501</v>
      </c>
      <c r="E99" s="24" t="s">
        <v>502</v>
      </c>
      <c r="F99" s="25" t="s">
        <v>503</v>
      </c>
      <c r="G99" s="25" t="s">
        <v>504</v>
      </c>
      <c r="H99" s="10" t="s">
        <v>406</v>
      </c>
      <c r="I99" s="10" t="s">
        <v>407</v>
      </c>
      <c r="J99" s="28">
        <v>3</v>
      </c>
      <c r="K99" s="28">
        <v>19</v>
      </c>
      <c r="L99" s="24"/>
      <c r="M99" s="24"/>
      <c r="N99" s="24"/>
      <c r="O99" s="29">
        <v>46023</v>
      </c>
      <c r="P99" s="29"/>
      <c r="Q99" s="24">
        <v>100</v>
      </c>
      <c r="R99" s="24" t="s">
        <v>69</v>
      </c>
      <c r="S99" s="10"/>
      <c r="T99" s="10" t="s">
        <v>409</v>
      </c>
      <c r="U99" s="10"/>
      <c r="V99" s="10" t="s">
        <v>469</v>
      </c>
      <c r="W99" s="14">
        <f>IF(AND(ISNUMBER(Übersicht!$B$4),Übersicht!$B$4=INT(Übersicht!$B$4),Übersicht!$B$4&gt;=2026,Übersicht!$B$4&lt;=2028),IF(I99="fixedMonthDay",IF(AND(ISNUMBER(J99),J99=INT(J99),J99&gt;=1,J99&lt;=12,ISNUMBER(K99),K99=INT(K99),K99&gt;=1,K99&lt;=31,MONTH(DATE(Übersicht!$B$4,J99,K99))=J99,DAY(DATE(Übersicht!$B$4,J99,K99))=K99,L99="",M99="",N99=""),DATE(Übersicht!$B$4,J99,K99),NA()),IF(I99="easterOffsetDays",IF(AND(ISNUMBER(L99),L99=INT(L99),L99&gt;=-366,L99&lt;=366,J99="",K99="",M99="",N99=""),$AD$23+L99,NA()),IF(I99="nthWeekdayOfMonth",IF(AND(ISNUMBER(J99),J99=INT(J99),J99&gt;=1,J99&lt;=12,ISNUMBER(M99),M99=INT(M99),M99&gt;=1,M99&lt;=7,ISNUMBER(N99),N99=INT(N99),N99&gt;=1,N99&lt;=5,MONTH(DATE(Übersicht!$B$4,J99,1)+MOD(M99-WEEKDAY(DATE(Übersicht!$B$4,J99,1),2),7)+7*(N99-1))=J99,K99="",L99=""),DATE(Übersicht!$B$4,J99,1)+MOD(M99-WEEKDAY(DATE(Übersicht!$B$4,J99,1),2),7)+7*(N99-1),NA()),IF(I99="nthWeekdayOffsetDays",IF(AND(ISNUMBER(J99),J99=INT(J99),J99&gt;=1,J99&lt;=12,ISNUMBER(M99),M99=INT(M99),M99&gt;=1,M99&lt;=7,ISNUMBER(N99),N99=INT(N99),N99&gt;=1,N99&lt;=5,MONTH(DATE(Übersicht!$B$4,J99,1)+MOD(M99-WEEKDAY(DATE(Übersicht!$B$4,J99,1),2),7)+7*(N99-1))=J99,K99="",ISNUMBER(L99),L99=INT(L99),L99&gt;=-366,L99&lt;=366),DATE(Übersicht!$B$4,J99,1)+MOD(M99-WEEKDAY(DATE(Übersicht!$B$4,J99,1),2),7)+7*(N99-1)+L99,NA()),NA())))),NA())</f>
        <v>46465</v>
      </c>
      <c r="X99" s="14">
        <f t="shared" si="2"/>
        <v>46465</v>
      </c>
      <c r="Y99" s="10" t="s">
        <v>496</v>
      </c>
      <c r="Z99" s="10" t="s">
        <v>412</v>
      </c>
      <c r="AA99" s="24" t="s">
        <v>413</v>
      </c>
    </row>
    <row r="100" spans="1:27" ht="42" customHeight="1">
      <c r="A100" s="11" t="s">
        <v>164</v>
      </c>
      <c r="B100" s="11" t="s">
        <v>157</v>
      </c>
      <c r="C100" s="11" t="s">
        <v>493</v>
      </c>
      <c r="D100" s="26" t="s">
        <v>432</v>
      </c>
      <c r="E100" s="26" t="s">
        <v>433</v>
      </c>
      <c r="F100" s="27" t="s">
        <v>505</v>
      </c>
      <c r="G100" s="27" t="s">
        <v>506</v>
      </c>
      <c r="H100" s="11" t="s">
        <v>406</v>
      </c>
      <c r="I100" s="11" t="s">
        <v>426</v>
      </c>
      <c r="J100" s="30"/>
      <c r="K100" s="30"/>
      <c r="L100" s="26">
        <v>1</v>
      </c>
      <c r="M100" s="26"/>
      <c r="N100" s="26"/>
      <c r="O100" s="31">
        <v>46023</v>
      </c>
      <c r="P100" s="31"/>
      <c r="Q100" s="26">
        <v>100</v>
      </c>
      <c r="R100" s="26" t="s">
        <v>69</v>
      </c>
      <c r="S100" s="11"/>
      <c r="T100" s="11" t="s">
        <v>409</v>
      </c>
      <c r="U100" s="11"/>
      <c r="V100" s="11" t="s">
        <v>469</v>
      </c>
      <c r="W100" s="15">
        <f>IF(AND(ISNUMBER(Übersicht!$B$4),Übersicht!$B$4=INT(Übersicht!$B$4),Übersicht!$B$4&gt;=2026,Übersicht!$B$4&lt;=2028),IF(I100="fixedMonthDay",IF(AND(ISNUMBER(J100),J100=INT(J100),J100&gt;=1,J100&lt;=12,ISNUMBER(K100),K100=INT(K100),K100&gt;=1,K100&lt;=31,MONTH(DATE(Übersicht!$B$4,J100,K100))=J100,DAY(DATE(Übersicht!$B$4,J100,K100))=K100,L100="",M100="",N100=""),DATE(Übersicht!$B$4,J100,K100),NA()),IF(I100="easterOffsetDays",IF(AND(ISNUMBER(L100),L100=INT(L100),L100&gt;=-366,L100&lt;=366,J100="",K100="",M100="",N100=""),$AD$23+L100,NA()),IF(I100="nthWeekdayOfMonth",IF(AND(ISNUMBER(J100),J100=INT(J100),J100&gt;=1,J100&lt;=12,ISNUMBER(M100),M100=INT(M100),M100&gt;=1,M100&lt;=7,ISNUMBER(N100),N100=INT(N100),N100&gt;=1,N100&lt;=5,MONTH(DATE(Übersicht!$B$4,J100,1)+MOD(M100-WEEKDAY(DATE(Übersicht!$B$4,J100,1),2),7)+7*(N100-1))=J100,K100="",L100=""),DATE(Übersicht!$B$4,J100,1)+MOD(M100-WEEKDAY(DATE(Übersicht!$B$4,J100,1),2),7)+7*(N100-1),NA()),IF(I100="nthWeekdayOffsetDays",IF(AND(ISNUMBER(J100),J100=INT(J100),J100&gt;=1,J100&lt;=12,ISNUMBER(M100),M100=INT(M100),M100&gt;=1,M100&lt;=7,ISNUMBER(N100),N100=INT(N100),N100&gt;=1,N100&lt;=5,MONTH(DATE(Übersicht!$B$4,J100,1)+MOD(M100-WEEKDAY(DATE(Übersicht!$B$4,J100,1),2),7)+7*(N100-1))=J100,K100="",ISNUMBER(L100),L100=INT(L100),L100&gt;=-366,L100&lt;=366),DATE(Übersicht!$B$4,J100,1)+MOD(M100-WEEKDAY(DATE(Übersicht!$B$4,J100,1),2),7)+7*(N100-1)+L100,NA()),NA())))),NA())</f>
        <v>46475</v>
      </c>
      <c r="X100" s="15">
        <f t="shared" si="2"/>
        <v>46475</v>
      </c>
      <c r="Y100" s="11" t="s">
        <v>496</v>
      </c>
      <c r="Z100" s="11" t="s">
        <v>412</v>
      </c>
      <c r="AA100" s="26" t="s">
        <v>413</v>
      </c>
    </row>
    <row r="101" spans="1:27" ht="42" customHeight="1">
      <c r="A101" s="10" t="s">
        <v>165</v>
      </c>
      <c r="B101" s="10" t="s">
        <v>157</v>
      </c>
      <c r="C101" s="10" t="s">
        <v>493</v>
      </c>
      <c r="D101" s="24" t="s">
        <v>491</v>
      </c>
      <c r="E101" s="24" t="s">
        <v>492</v>
      </c>
      <c r="F101" s="25" t="s">
        <v>507</v>
      </c>
      <c r="G101" s="25" t="s">
        <v>508</v>
      </c>
      <c r="H101" s="10" t="s">
        <v>406</v>
      </c>
      <c r="I101" s="10" t="s">
        <v>407</v>
      </c>
      <c r="J101" s="28">
        <v>5</v>
      </c>
      <c r="K101" s="28">
        <v>1</v>
      </c>
      <c r="L101" s="24"/>
      <c r="M101" s="24"/>
      <c r="N101" s="24"/>
      <c r="O101" s="29">
        <v>46023</v>
      </c>
      <c r="P101" s="29"/>
      <c r="Q101" s="24">
        <v>100</v>
      </c>
      <c r="R101" s="24" t="s">
        <v>69</v>
      </c>
      <c r="S101" s="10"/>
      <c r="T101" s="10" t="s">
        <v>409</v>
      </c>
      <c r="U101" s="10"/>
      <c r="V101" s="10" t="s">
        <v>469</v>
      </c>
      <c r="W101" s="14">
        <f>IF(AND(ISNUMBER(Übersicht!$B$4),Übersicht!$B$4=INT(Übersicht!$B$4),Übersicht!$B$4&gt;=2026,Übersicht!$B$4&lt;=2028),IF(I101="fixedMonthDay",IF(AND(ISNUMBER(J101),J101=INT(J101),J101&gt;=1,J101&lt;=12,ISNUMBER(K101),K101=INT(K101),K101&gt;=1,K101&lt;=31,MONTH(DATE(Übersicht!$B$4,J101,K101))=J101,DAY(DATE(Übersicht!$B$4,J101,K101))=K101,L101="",M101="",N101=""),DATE(Übersicht!$B$4,J101,K101),NA()),IF(I101="easterOffsetDays",IF(AND(ISNUMBER(L101),L101=INT(L101),L101&gt;=-366,L101&lt;=366,J101="",K101="",M101="",N101=""),$AD$23+L101,NA()),IF(I101="nthWeekdayOfMonth",IF(AND(ISNUMBER(J101),J101=INT(J101),J101&gt;=1,J101&lt;=12,ISNUMBER(M101),M101=INT(M101),M101&gt;=1,M101&lt;=7,ISNUMBER(N101),N101=INT(N101),N101&gt;=1,N101&lt;=5,MONTH(DATE(Übersicht!$B$4,J101,1)+MOD(M101-WEEKDAY(DATE(Übersicht!$B$4,J101,1),2),7)+7*(N101-1))=J101,K101="",L101=""),DATE(Übersicht!$B$4,J101,1)+MOD(M101-WEEKDAY(DATE(Übersicht!$B$4,J101,1),2),7)+7*(N101-1),NA()),IF(I101="nthWeekdayOffsetDays",IF(AND(ISNUMBER(J101),J101=INT(J101),J101&gt;=1,J101&lt;=12,ISNUMBER(M101),M101=INT(M101),M101&gt;=1,M101&lt;=7,ISNUMBER(N101),N101=INT(N101),N101&gt;=1,N101&lt;=5,MONTH(DATE(Übersicht!$B$4,J101,1)+MOD(M101-WEEKDAY(DATE(Übersicht!$B$4,J101,1),2),7)+7*(N101-1))=J101,K101="",ISNUMBER(L101),L101=INT(L101),L101&gt;=-366,L101&lt;=366),DATE(Übersicht!$B$4,J101,1)+MOD(M101-WEEKDAY(DATE(Übersicht!$B$4,J101,1),2),7)+7*(N101-1)+L101,NA()),NA())))),NA())</f>
        <v>46508</v>
      </c>
      <c r="X101" s="14">
        <f t="shared" si="2"/>
        <v>46508</v>
      </c>
      <c r="Y101" s="10" t="s">
        <v>496</v>
      </c>
      <c r="Z101" s="10" t="s">
        <v>412</v>
      </c>
      <c r="AA101" s="24" t="s">
        <v>413</v>
      </c>
    </row>
    <row r="102" spans="1:27" ht="42" customHeight="1">
      <c r="A102" s="11" t="s">
        <v>166</v>
      </c>
      <c r="B102" s="11" t="s">
        <v>157</v>
      </c>
      <c r="C102" s="11" t="s">
        <v>493</v>
      </c>
      <c r="D102" s="26" t="s">
        <v>435</v>
      </c>
      <c r="E102" s="26" t="s">
        <v>436</v>
      </c>
      <c r="F102" s="27" t="s">
        <v>509</v>
      </c>
      <c r="G102" s="27" t="s">
        <v>510</v>
      </c>
      <c r="H102" s="11" t="s">
        <v>406</v>
      </c>
      <c r="I102" s="11" t="s">
        <v>426</v>
      </c>
      <c r="J102" s="30"/>
      <c r="K102" s="30"/>
      <c r="L102" s="26">
        <v>39</v>
      </c>
      <c r="M102" s="26"/>
      <c r="N102" s="26"/>
      <c r="O102" s="31">
        <v>46023</v>
      </c>
      <c r="P102" s="31"/>
      <c r="Q102" s="26">
        <v>100</v>
      </c>
      <c r="R102" s="26" t="s">
        <v>69</v>
      </c>
      <c r="S102" s="11"/>
      <c r="T102" s="11" t="s">
        <v>409</v>
      </c>
      <c r="U102" s="11"/>
      <c r="V102" s="11" t="s">
        <v>469</v>
      </c>
      <c r="W102" s="15">
        <f>IF(AND(ISNUMBER(Übersicht!$B$4),Übersicht!$B$4=INT(Übersicht!$B$4),Übersicht!$B$4&gt;=2026,Übersicht!$B$4&lt;=2028),IF(I102="fixedMonthDay",IF(AND(ISNUMBER(J102),J102=INT(J102),J102&gt;=1,J102&lt;=12,ISNUMBER(K102),K102=INT(K102),K102&gt;=1,K102&lt;=31,MONTH(DATE(Übersicht!$B$4,J102,K102))=J102,DAY(DATE(Übersicht!$B$4,J102,K102))=K102,L102="",M102="",N102=""),DATE(Übersicht!$B$4,J102,K102),NA()),IF(I102="easterOffsetDays",IF(AND(ISNUMBER(L102),L102=INT(L102),L102&gt;=-366,L102&lt;=366,J102="",K102="",M102="",N102=""),$AD$23+L102,NA()),IF(I102="nthWeekdayOfMonth",IF(AND(ISNUMBER(J102),J102=INT(J102),J102&gt;=1,J102&lt;=12,ISNUMBER(M102),M102=INT(M102),M102&gt;=1,M102&lt;=7,ISNUMBER(N102),N102=INT(N102),N102&gt;=1,N102&lt;=5,MONTH(DATE(Übersicht!$B$4,J102,1)+MOD(M102-WEEKDAY(DATE(Übersicht!$B$4,J102,1),2),7)+7*(N102-1))=J102,K102="",L102=""),DATE(Übersicht!$B$4,J102,1)+MOD(M102-WEEKDAY(DATE(Übersicht!$B$4,J102,1),2),7)+7*(N102-1),NA()),IF(I102="nthWeekdayOffsetDays",IF(AND(ISNUMBER(J102),J102=INT(J102),J102&gt;=1,J102&lt;=12,ISNUMBER(M102),M102=INT(M102),M102&gt;=1,M102&lt;=7,ISNUMBER(N102),N102=INT(N102),N102&gt;=1,N102&lt;=5,MONTH(DATE(Übersicht!$B$4,J102,1)+MOD(M102-WEEKDAY(DATE(Übersicht!$B$4,J102,1),2),7)+7*(N102-1))=J102,K102="",ISNUMBER(L102),L102=INT(L102),L102&gt;=-366,L102&lt;=366),DATE(Übersicht!$B$4,J102,1)+MOD(M102-WEEKDAY(DATE(Übersicht!$B$4,J102,1),2),7)+7*(N102-1)+L102,NA()),NA())))),NA())</f>
        <v>46513</v>
      </c>
      <c r="X102" s="15">
        <f t="shared" si="2"/>
        <v>46513</v>
      </c>
      <c r="Y102" s="11" t="s">
        <v>496</v>
      </c>
      <c r="Z102" s="11" t="s">
        <v>412</v>
      </c>
      <c r="AA102" s="26" t="s">
        <v>413</v>
      </c>
    </row>
    <row r="103" spans="1:27" ht="42" customHeight="1">
      <c r="A103" s="10" t="s">
        <v>167</v>
      </c>
      <c r="B103" s="10" t="s">
        <v>157</v>
      </c>
      <c r="C103" s="10" t="s">
        <v>493</v>
      </c>
      <c r="D103" s="24" t="s">
        <v>441</v>
      </c>
      <c r="E103" s="24" t="s">
        <v>442</v>
      </c>
      <c r="F103" s="25" t="s">
        <v>511</v>
      </c>
      <c r="G103" s="25" t="s">
        <v>512</v>
      </c>
      <c r="H103" s="10" t="s">
        <v>406</v>
      </c>
      <c r="I103" s="10" t="s">
        <v>426</v>
      </c>
      <c r="J103" s="28"/>
      <c r="K103" s="28"/>
      <c r="L103" s="24">
        <v>50</v>
      </c>
      <c r="M103" s="24"/>
      <c r="N103" s="24"/>
      <c r="O103" s="29">
        <v>46023</v>
      </c>
      <c r="P103" s="29"/>
      <c r="Q103" s="24">
        <v>100</v>
      </c>
      <c r="R103" s="24" t="s">
        <v>69</v>
      </c>
      <c r="S103" s="10"/>
      <c r="T103" s="10" t="s">
        <v>409</v>
      </c>
      <c r="U103" s="10"/>
      <c r="V103" s="10" t="s">
        <v>469</v>
      </c>
      <c r="W103" s="14">
        <f>IF(AND(ISNUMBER(Übersicht!$B$4),Übersicht!$B$4=INT(Übersicht!$B$4),Übersicht!$B$4&gt;=2026,Übersicht!$B$4&lt;=2028),IF(I103="fixedMonthDay",IF(AND(ISNUMBER(J103),J103=INT(J103),J103&gt;=1,J103&lt;=12,ISNUMBER(K103),K103=INT(K103),K103&gt;=1,K103&lt;=31,MONTH(DATE(Übersicht!$B$4,J103,K103))=J103,DAY(DATE(Übersicht!$B$4,J103,K103))=K103,L103="",M103="",N103=""),DATE(Übersicht!$B$4,J103,K103),NA()),IF(I103="easterOffsetDays",IF(AND(ISNUMBER(L103),L103=INT(L103),L103&gt;=-366,L103&lt;=366,J103="",K103="",M103="",N103=""),$AD$23+L103,NA()),IF(I103="nthWeekdayOfMonth",IF(AND(ISNUMBER(J103),J103=INT(J103),J103&gt;=1,J103&lt;=12,ISNUMBER(M103),M103=INT(M103),M103&gt;=1,M103&lt;=7,ISNUMBER(N103),N103=INT(N103),N103&gt;=1,N103&lt;=5,MONTH(DATE(Übersicht!$B$4,J103,1)+MOD(M103-WEEKDAY(DATE(Übersicht!$B$4,J103,1),2),7)+7*(N103-1))=J103,K103="",L103=""),DATE(Übersicht!$B$4,J103,1)+MOD(M103-WEEKDAY(DATE(Übersicht!$B$4,J103,1),2),7)+7*(N103-1),NA()),IF(I103="nthWeekdayOffsetDays",IF(AND(ISNUMBER(J103),J103=INT(J103),J103&gt;=1,J103&lt;=12,ISNUMBER(M103),M103=INT(M103),M103&gt;=1,M103&lt;=7,ISNUMBER(N103),N103=INT(N103),N103&gt;=1,N103&lt;=5,MONTH(DATE(Übersicht!$B$4,J103,1)+MOD(M103-WEEKDAY(DATE(Übersicht!$B$4,J103,1),2),7)+7*(N103-1))=J103,K103="",ISNUMBER(L103),L103=INT(L103),L103&gt;=-366,L103&lt;=366),DATE(Übersicht!$B$4,J103,1)+MOD(M103-WEEKDAY(DATE(Übersicht!$B$4,J103,1),2),7)+7*(N103-1)+L103,NA()),NA())))),NA())</f>
        <v>46524</v>
      </c>
      <c r="X103" s="14">
        <f t="shared" ref="X103:X134" si="3">IF(AND(ISNUMBER(O103),O103=INT(O103),O103&gt;=-115780,O103&lt;=2958465,OR(P103="",AND(ISNUMBER(P103),P103=INT(P103),P103&gt;=-115780,P103&lt;=2958465,P103&gt;=O103)),OR(AA103="Ganztägig",AA103="Ab 12.00 Uhr")),IF(AND(W103&gt;=O103,OR(P103="",W103&lt;=P103)),W103,"Ausserhalb Geltung"),NA())</f>
        <v>46524</v>
      </c>
      <c r="Y103" s="10" t="s">
        <v>496</v>
      </c>
      <c r="Z103" s="10" t="s">
        <v>412</v>
      </c>
      <c r="AA103" s="24" t="s">
        <v>413</v>
      </c>
    </row>
    <row r="104" spans="1:27" ht="42" customHeight="1">
      <c r="A104" s="11" t="s">
        <v>168</v>
      </c>
      <c r="B104" s="11" t="s">
        <v>157</v>
      </c>
      <c r="C104" s="11" t="s">
        <v>493</v>
      </c>
      <c r="D104" s="26" t="s">
        <v>455</v>
      </c>
      <c r="E104" s="26" t="s">
        <v>456</v>
      </c>
      <c r="F104" s="27" t="s">
        <v>513</v>
      </c>
      <c r="G104" s="27" t="s">
        <v>514</v>
      </c>
      <c r="H104" s="11" t="s">
        <v>406</v>
      </c>
      <c r="I104" s="11" t="s">
        <v>426</v>
      </c>
      <c r="J104" s="30"/>
      <c r="K104" s="30"/>
      <c r="L104" s="26">
        <v>60</v>
      </c>
      <c r="M104" s="26"/>
      <c r="N104" s="26"/>
      <c r="O104" s="31">
        <v>46023</v>
      </c>
      <c r="P104" s="31"/>
      <c r="Q104" s="26">
        <v>100</v>
      </c>
      <c r="R104" s="26" t="s">
        <v>69</v>
      </c>
      <c r="S104" s="11"/>
      <c r="T104" s="11" t="s">
        <v>409</v>
      </c>
      <c r="U104" s="11"/>
      <c r="V104" s="11" t="s">
        <v>469</v>
      </c>
      <c r="W104" s="15">
        <f>IF(AND(ISNUMBER(Übersicht!$B$4),Übersicht!$B$4=INT(Übersicht!$B$4),Übersicht!$B$4&gt;=2026,Übersicht!$B$4&lt;=2028),IF(I104="fixedMonthDay",IF(AND(ISNUMBER(J104),J104=INT(J104),J104&gt;=1,J104&lt;=12,ISNUMBER(K104),K104=INT(K104),K104&gt;=1,K104&lt;=31,MONTH(DATE(Übersicht!$B$4,J104,K104))=J104,DAY(DATE(Übersicht!$B$4,J104,K104))=K104,L104="",M104="",N104=""),DATE(Übersicht!$B$4,J104,K104),NA()),IF(I104="easterOffsetDays",IF(AND(ISNUMBER(L104),L104=INT(L104),L104&gt;=-366,L104&lt;=366,J104="",K104="",M104="",N104=""),$AD$23+L104,NA()),IF(I104="nthWeekdayOfMonth",IF(AND(ISNUMBER(J104),J104=INT(J104),J104&gt;=1,J104&lt;=12,ISNUMBER(M104),M104=INT(M104),M104&gt;=1,M104&lt;=7,ISNUMBER(N104),N104=INT(N104),N104&gt;=1,N104&lt;=5,MONTH(DATE(Übersicht!$B$4,J104,1)+MOD(M104-WEEKDAY(DATE(Übersicht!$B$4,J104,1),2),7)+7*(N104-1))=J104,K104="",L104=""),DATE(Übersicht!$B$4,J104,1)+MOD(M104-WEEKDAY(DATE(Übersicht!$B$4,J104,1),2),7)+7*(N104-1),NA()),IF(I104="nthWeekdayOffsetDays",IF(AND(ISNUMBER(J104),J104=INT(J104),J104&gt;=1,J104&lt;=12,ISNUMBER(M104),M104=INT(M104),M104&gt;=1,M104&lt;=7,ISNUMBER(N104),N104=INT(N104),N104&gt;=1,N104&lt;=5,MONTH(DATE(Übersicht!$B$4,J104,1)+MOD(M104-WEEKDAY(DATE(Übersicht!$B$4,J104,1),2),7)+7*(N104-1))=J104,K104="",ISNUMBER(L104),L104=INT(L104),L104&gt;=-366,L104&lt;=366),DATE(Übersicht!$B$4,J104,1)+MOD(M104-WEEKDAY(DATE(Übersicht!$B$4,J104,1),2),7)+7*(N104-1)+L104,NA()),NA())))),NA())</f>
        <v>46534</v>
      </c>
      <c r="X104" s="15">
        <f t="shared" si="3"/>
        <v>46534</v>
      </c>
      <c r="Y104" s="11" t="s">
        <v>496</v>
      </c>
      <c r="Z104" s="11" t="s">
        <v>412</v>
      </c>
      <c r="AA104" s="26" t="s">
        <v>413</v>
      </c>
    </row>
    <row r="105" spans="1:27" ht="42" customHeight="1">
      <c r="A105" s="10" t="s">
        <v>169</v>
      </c>
      <c r="B105" s="10" t="s">
        <v>157</v>
      </c>
      <c r="C105" s="10" t="s">
        <v>493</v>
      </c>
      <c r="D105" s="24" t="s">
        <v>515</v>
      </c>
      <c r="E105" s="24" t="s">
        <v>516</v>
      </c>
      <c r="F105" s="25" t="s">
        <v>517</v>
      </c>
      <c r="G105" s="25" t="s">
        <v>518</v>
      </c>
      <c r="H105" s="10" t="s">
        <v>406</v>
      </c>
      <c r="I105" s="10" t="s">
        <v>407</v>
      </c>
      <c r="J105" s="28">
        <v>6</v>
      </c>
      <c r="K105" s="28">
        <v>29</v>
      </c>
      <c r="L105" s="24"/>
      <c r="M105" s="24"/>
      <c r="N105" s="24"/>
      <c r="O105" s="29">
        <v>46023</v>
      </c>
      <c r="P105" s="29"/>
      <c r="Q105" s="24">
        <v>100</v>
      </c>
      <c r="R105" s="24" t="s">
        <v>69</v>
      </c>
      <c r="S105" s="10"/>
      <c r="T105" s="10" t="s">
        <v>409</v>
      </c>
      <c r="U105" s="10"/>
      <c r="V105" s="10" t="s">
        <v>469</v>
      </c>
      <c r="W105" s="14">
        <f>IF(AND(ISNUMBER(Übersicht!$B$4),Übersicht!$B$4=INT(Übersicht!$B$4),Übersicht!$B$4&gt;=2026,Übersicht!$B$4&lt;=2028),IF(I105="fixedMonthDay",IF(AND(ISNUMBER(J105),J105=INT(J105),J105&gt;=1,J105&lt;=12,ISNUMBER(K105),K105=INT(K105),K105&gt;=1,K105&lt;=31,MONTH(DATE(Übersicht!$B$4,J105,K105))=J105,DAY(DATE(Übersicht!$B$4,J105,K105))=K105,L105="",M105="",N105=""),DATE(Übersicht!$B$4,J105,K105),NA()),IF(I105="easterOffsetDays",IF(AND(ISNUMBER(L105),L105=INT(L105),L105&gt;=-366,L105&lt;=366,J105="",K105="",M105="",N105=""),$AD$23+L105,NA()),IF(I105="nthWeekdayOfMonth",IF(AND(ISNUMBER(J105),J105=INT(J105),J105&gt;=1,J105&lt;=12,ISNUMBER(M105),M105=INT(M105),M105&gt;=1,M105&lt;=7,ISNUMBER(N105),N105=INT(N105),N105&gt;=1,N105&lt;=5,MONTH(DATE(Übersicht!$B$4,J105,1)+MOD(M105-WEEKDAY(DATE(Übersicht!$B$4,J105,1),2),7)+7*(N105-1))=J105,K105="",L105=""),DATE(Übersicht!$B$4,J105,1)+MOD(M105-WEEKDAY(DATE(Übersicht!$B$4,J105,1),2),7)+7*(N105-1),NA()),IF(I105="nthWeekdayOffsetDays",IF(AND(ISNUMBER(J105),J105=INT(J105),J105&gt;=1,J105&lt;=12,ISNUMBER(M105),M105=INT(M105),M105&gt;=1,M105&lt;=7,ISNUMBER(N105),N105=INT(N105),N105&gt;=1,N105&lt;=5,MONTH(DATE(Übersicht!$B$4,J105,1)+MOD(M105-WEEKDAY(DATE(Übersicht!$B$4,J105,1),2),7)+7*(N105-1))=J105,K105="",ISNUMBER(L105),L105=INT(L105),L105&gt;=-366,L105&lt;=366),DATE(Übersicht!$B$4,J105,1)+MOD(M105-WEEKDAY(DATE(Übersicht!$B$4,J105,1),2),7)+7*(N105-1)+L105,NA()),NA())))),NA())</f>
        <v>46567</v>
      </c>
      <c r="X105" s="14">
        <f t="shared" si="3"/>
        <v>46567</v>
      </c>
      <c r="Y105" s="10" t="s">
        <v>496</v>
      </c>
      <c r="Z105" s="10" t="s">
        <v>412</v>
      </c>
      <c r="AA105" s="24" t="s">
        <v>413</v>
      </c>
    </row>
    <row r="106" spans="1:27" ht="42" customHeight="1">
      <c r="A106" s="11" t="s">
        <v>170</v>
      </c>
      <c r="B106" s="11" t="s">
        <v>157</v>
      </c>
      <c r="C106" s="11" t="s">
        <v>493</v>
      </c>
      <c r="D106" s="26" t="s">
        <v>404</v>
      </c>
      <c r="E106" s="26" t="s">
        <v>405</v>
      </c>
      <c r="F106" s="27" t="s">
        <v>519</v>
      </c>
      <c r="G106" s="27" t="s">
        <v>520</v>
      </c>
      <c r="H106" s="11" t="s">
        <v>406</v>
      </c>
      <c r="I106" s="11" t="s">
        <v>407</v>
      </c>
      <c r="J106" s="30">
        <v>8</v>
      </c>
      <c r="K106" s="30">
        <v>1</v>
      </c>
      <c r="L106" s="26"/>
      <c r="M106" s="26"/>
      <c r="N106" s="26"/>
      <c r="O106" s="31">
        <v>46023</v>
      </c>
      <c r="P106" s="31"/>
      <c r="Q106" s="26">
        <v>100</v>
      </c>
      <c r="R106" s="26" t="s">
        <v>69</v>
      </c>
      <c r="S106" s="11"/>
      <c r="T106" s="11" t="s">
        <v>409</v>
      </c>
      <c r="U106" s="11"/>
      <c r="V106" s="11" t="s">
        <v>469</v>
      </c>
      <c r="W106" s="15">
        <f>IF(AND(ISNUMBER(Übersicht!$B$4),Übersicht!$B$4=INT(Übersicht!$B$4),Übersicht!$B$4&gt;=2026,Übersicht!$B$4&lt;=2028),IF(I106="fixedMonthDay",IF(AND(ISNUMBER(J106),J106=INT(J106),J106&gt;=1,J106&lt;=12,ISNUMBER(K106),K106=INT(K106),K106&gt;=1,K106&lt;=31,MONTH(DATE(Übersicht!$B$4,J106,K106))=J106,DAY(DATE(Übersicht!$B$4,J106,K106))=K106,L106="",M106="",N106=""),DATE(Übersicht!$B$4,J106,K106),NA()),IF(I106="easterOffsetDays",IF(AND(ISNUMBER(L106),L106=INT(L106),L106&gt;=-366,L106&lt;=366,J106="",K106="",M106="",N106=""),$AD$23+L106,NA()),IF(I106="nthWeekdayOfMonth",IF(AND(ISNUMBER(J106),J106=INT(J106),J106&gt;=1,J106&lt;=12,ISNUMBER(M106),M106=INT(M106),M106&gt;=1,M106&lt;=7,ISNUMBER(N106),N106=INT(N106),N106&gt;=1,N106&lt;=5,MONTH(DATE(Übersicht!$B$4,J106,1)+MOD(M106-WEEKDAY(DATE(Übersicht!$B$4,J106,1),2),7)+7*(N106-1))=J106,K106="",L106=""),DATE(Übersicht!$B$4,J106,1)+MOD(M106-WEEKDAY(DATE(Übersicht!$B$4,J106,1),2),7)+7*(N106-1),NA()),IF(I106="nthWeekdayOffsetDays",IF(AND(ISNUMBER(J106),J106=INT(J106),J106&gt;=1,J106&lt;=12,ISNUMBER(M106),M106=INT(M106),M106&gt;=1,M106&lt;=7,ISNUMBER(N106),N106=INT(N106),N106&gt;=1,N106&lt;=5,MONTH(DATE(Übersicht!$B$4,J106,1)+MOD(M106-WEEKDAY(DATE(Übersicht!$B$4,J106,1),2),7)+7*(N106-1))=J106,K106="",ISNUMBER(L106),L106=INT(L106),L106&gt;=-366,L106&lt;=366),DATE(Übersicht!$B$4,J106,1)+MOD(M106-WEEKDAY(DATE(Übersicht!$B$4,J106,1),2),7)+7*(N106-1)+L106,NA()),NA())))),NA())</f>
        <v>46600</v>
      </c>
      <c r="X106" s="15">
        <f t="shared" si="3"/>
        <v>46600</v>
      </c>
      <c r="Y106" s="11" t="s">
        <v>496</v>
      </c>
      <c r="Z106" s="11" t="s">
        <v>412</v>
      </c>
      <c r="AA106" s="26" t="s">
        <v>413</v>
      </c>
    </row>
    <row r="107" spans="1:27" ht="42" customHeight="1">
      <c r="A107" s="10" t="s">
        <v>171</v>
      </c>
      <c r="B107" s="10" t="s">
        <v>157</v>
      </c>
      <c r="C107" s="10" t="s">
        <v>493</v>
      </c>
      <c r="D107" s="24" t="s">
        <v>479</v>
      </c>
      <c r="E107" s="24" t="s">
        <v>480</v>
      </c>
      <c r="F107" s="25" t="s">
        <v>521</v>
      </c>
      <c r="G107" s="25" t="s">
        <v>522</v>
      </c>
      <c r="H107" s="10" t="s">
        <v>406</v>
      </c>
      <c r="I107" s="10" t="s">
        <v>407</v>
      </c>
      <c r="J107" s="28">
        <v>8</v>
      </c>
      <c r="K107" s="28">
        <v>15</v>
      </c>
      <c r="L107" s="24"/>
      <c r="M107" s="24"/>
      <c r="N107" s="24"/>
      <c r="O107" s="29">
        <v>46023</v>
      </c>
      <c r="P107" s="29"/>
      <c r="Q107" s="24">
        <v>100</v>
      </c>
      <c r="R107" s="24" t="s">
        <v>69</v>
      </c>
      <c r="S107" s="10"/>
      <c r="T107" s="10" t="s">
        <v>409</v>
      </c>
      <c r="U107" s="10"/>
      <c r="V107" s="10" t="s">
        <v>469</v>
      </c>
      <c r="W107" s="14">
        <f>IF(AND(ISNUMBER(Übersicht!$B$4),Übersicht!$B$4=INT(Übersicht!$B$4),Übersicht!$B$4&gt;=2026,Übersicht!$B$4&lt;=2028),IF(I107="fixedMonthDay",IF(AND(ISNUMBER(J107),J107=INT(J107),J107&gt;=1,J107&lt;=12,ISNUMBER(K107),K107=INT(K107),K107&gt;=1,K107&lt;=31,MONTH(DATE(Übersicht!$B$4,J107,K107))=J107,DAY(DATE(Übersicht!$B$4,J107,K107))=K107,L107="",M107="",N107=""),DATE(Übersicht!$B$4,J107,K107),NA()),IF(I107="easterOffsetDays",IF(AND(ISNUMBER(L107),L107=INT(L107),L107&gt;=-366,L107&lt;=366,J107="",K107="",M107="",N107=""),$AD$23+L107,NA()),IF(I107="nthWeekdayOfMonth",IF(AND(ISNUMBER(J107),J107=INT(J107),J107&gt;=1,J107&lt;=12,ISNUMBER(M107),M107=INT(M107),M107&gt;=1,M107&lt;=7,ISNUMBER(N107),N107=INT(N107),N107&gt;=1,N107&lt;=5,MONTH(DATE(Übersicht!$B$4,J107,1)+MOD(M107-WEEKDAY(DATE(Übersicht!$B$4,J107,1),2),7)+7*(N107-1))=J107,K107="",L107=""),DATE(Übersicht!$B$4,J107,1)+MOD(M107-WEEKDAY(DATE(Übersicht!$B$4,J107,1),2),7)+7*(N107-1),NA()),IF(I107="nthWeekdayOffsetDays",IF(AND(ISNUMBER(J107),J107=INT(J107),J107&gt;=1,J107&lt;=12,ISNUMBER(M107),M107=INT(M107),M107&gt;=1,M107&lt;=7,ISNUMBER(N107),N107=INT(N107),N107&gt;=1,N107&lt;=5,MONTH(DATE(Übersicht!$B$4,J107,1)+MOD(M107-WEEKDAY(DATE(Übersicht!$B$4,J107,1),2),7)+7*(N107-1))=J107,K107="",ISNUMBER(L107),L107=INT(L107),L107&gt;=-366,L107&lt;=366),DATE(Übersicht!$B$4,J107,1)+MOD(M107-WEEKDAY(DATE(Übersicht!$B$4,J107,1),2),7)+7*(N107-1)+L107,NA()),NA())))),NA())</f>
        <v>46614</v>
      </c>
      <c r="X107" s="14">
        <f t="shared" si="3"/>
        <v>46614</v>
      </c>
      <c r="Y107" s="10" t="s">
        <v>496</v>
      </c>
      <c r="Z107" s="10" t="s">
        <v>412</v>
      </c>
      <c r="AA107" s="24" t="s">
        <v>413</v>
      </c>
    </row>
    <row r="108" spans="1:27" ht="42" customHeight="1">
      <c r="A108" s="11" t="s">
        <v>172</v>
      </c>
      <c r="B108" s="11" t="s">
        <v>157</v>
      </c>
      <c r="C108" s="11" t="s">
        <v>493</v>
      </c>
      <c r="D108" s="26" t="s">
        <v>466</v>
      </c>
      <c r="E108" s="26" t="s">
        <v>467</v>
      </c>
      <c r="F108" s="27" t="s">
        <v>523</v>
      </c>
      <c r="G108" s="27" t="s">
        <v>524</v>
      </c>
      <c r="H108" s="11" t="s">
        <v>406</v>
      </c>
      <c r="I108" s="11" t="s">
        <v>407</v>
      </c>
      <c r="J108" s="30">
        <v>11</v>
      </c>
      <c r="K108" s="30">
        <v>1</v>
      </c>
      <c r="L108" s="26"/>
      <c r="M108" s="26"/>
      <c r="N108" s="26"/>
      <c r="O108" s="31">
        <v>46023</v>
      </c>
      <c r="P108" s="31"/>
      <c r="Q108" s="26">
        <v>100</v>
      </c>
      <c r="R108" s="26" t="s">
        <v>69</v>
      </c>
      <c r="S108" s="11"/>
      <c r="T108" s="11" t="s">
        <v>409</v>
      </c>
      <c r="U108" s="11"/>
      <c r="V108" s="11" t="s">
        <v>469</v>
      </c>
      <c r="W108" s="15">
        <f>IF(AND(ISNUMBER(Übersicht!$B$4),Übersicht!$B$4=INT(Übersicht!$B$4),Übersicht!$B$4&gt;=2026,Übersicht!$B$4&lt;=2028),IF(I108="fixedMonthDay",IF(AND(ISNUMBER(J108),J108=INT(J108),J108&gt;=1,J108&lt;=12,ISNUMBER(K108),K108=INT(K108),K108&gt;=1,K108&lt;=31,MONTH(DATE(Übersicht!$B$4,J108,K108))=J108,DAY(DATE(Übersicht!$B$4,J108,K108))=K108,L108="",M108="",N108=""),DATE(Übersicht!$B$4,J108,K108),NA()),IF(I108="easterOffsetDays",IF(AND(ISNUMBER(L108),L108=INT(L108),L108&gt;=-366,L108&lt;=366,J108="",K108="",M108="",N108=""),$AD$23+L108,NA()),IF(I108="nthWeekdayOfMonth",IF(AND(ISNUMBER(J108),J108=INT(J108),J108&gt;=1,J108&lt;=12,ISNUMBER(M108),M108=INT(M108),M108&gt;=1,M108&lt;=7,ISNUMBER(N108),N108=INT(N108),N108&gt;=1,N108&lt;=5,MONTH(DATE(Übersicht!$B$4,J108,1)+MOD(M108-WEEKDAY(DATE(Übersicht!$B$4,J108,1),2),7)+7*(N108-1))=J108,K108="",L108=""),DATE(Übersicht!$B$4,J108,1)+MOD(M108-WEEKDAY(DATE(Übersicht!$B$4,J108,1),2),7)+7*(N108-1),NA()),IF(I108="nthWeekdayOffsetDays",IF(AND(ISNUMBER(J108),J108=INT(J108),J108&gt;=1,J108&lt;=12,ISNUMBER(M108),M108=INT(M108),M108&gt;=1,M108&lt;=7,ISNUMBER(N108),N108=INT(N108),N108&gt;=1,N108&lt;=5,MONTH(DATE(Übersicht!$B$4,J108,1)+MOD(M108-WEEKDAY(DATE(Übersicht!$B$4,J108,1),2),7)+7*(N108-1))=J108,K108="",ISNUMBER(L108),L108=INT(L108),L108&gt;=-366,L108&lt;=366),DATE(Übersicht!$B$4,J108,1)+MOD(M108-WEEKDAY(DATE(Übersicht!$B$4,J108,1),2),7)+7*(N108-1)+L108,NA()),NA())))),NA())</f>
        <v>46692</v>
      </c>
      <c r="X108" s="15">
        <f t="shared" si="3"/>
        <v>46692</v>
      </c>
      <c r="Y108" s="11" t="s">
        <v>496</v>
      </c>
      <c r="Z108" s="11" t="s">
        <v>412</v>
      </c>
      <c r="AA108" s="26" t="s">
        <v>413</v>
      </c>
    </row>
    <row r="109" spans="1:27" ht="42" customHeight="1">
      <c r="A109" s="10" t="s">
        <v>173</v>
      </c>
      <c r="B109" s="10" t="s">
        <v>157</v>
      </c>
      <c r="C109" s="10" t="s">
        <v>493</v>
      </c>
      <c r="D109" s="24" t="s">
        <v>483</v>
      </c>
      <c r="E109" s="24" t="s">
        <v>484</v>
      </c>
      <c r="F109" s="25" t="s">
        <v>525</v>
      </c>
      <c r="G109" s="25" t="s">
        <v>526</v>
      </c>
      <c r="H109" s="10" t="s">
        <v>406</v>
      </c>
      <c r="I109" s="10" t="s">
        <v>407</v>
      </c>
      <c r="J109" s="28">
        <v>12</v>
      </c>
      <c r="K109" s="28">
        <v>8</v>
      </c>
      <c r="L109" s="24"/>
      <c r="M109" s="24"/>
      <c r="N109" s="24"/>
      <c r="O109" s="29">
        <v>46023</v>
      </c>
      <c r="P109" s="29"/>
      <c r="Q109" s="24">
        <v>100</v>
      </c>
      <c r="R109" s="24" t="s">
        <v>69</v>
      </c>
      <c r="S109" s="10"/>
      <c r="T109" s="10" t="s">
        <v>409</v>
      </c>
      <c r="U109" s="10"/>
      <c r="V109" s="10" t="s">
        <v>469</v>
      </c>
      <c r="W109" s="14">
        <f>IF(AND(ISNUMBER(Übersicht!$B$4),Übersicht!$B$4=INT(Übersicht!$B$4),Übersicht!$B$4&gt;=2026,Übersicht!$B$4&lt;=2028),IF(I109="fixedMonthDay",IF(AND(ISNUMBER(J109),J109=INT(J109),J109&gt;=1,J109&lt;=12,ISNUMBER(K109),K109=INT(K109),K109&gt;=1,K109&lt;=31,MONTH(DATE(Übersicht!$B$4,J109,K109))=J109,DAY(DATE(Übersicht!$B$4,J109,K109))=K109,L109="",M109="",N109=""),DATE(Übersicht!$B$4,J109,K109),NA()),IF(I109="easterOffsetDays",IF(AND(ISNUMBER(L109),L109=INT(L109),L109&gt;=-366,L109&lt;=366,J109="",K109="",M109="",N109=""),$AD$23+L109,NA()),IF(I109="nthWeekdayOfMonth",IF(AND(ISNUMBER(J109),J109=INT(J109),J109&gt;=1,J109&lt;=12,ISNUMBER(M109),M109=INT(M109),M109&gt;=1,M109&lt;=7,ISNUMBER(N109),N109=INT(N109),N109&gt;=1,N109&lt;=5,MONTH(DATE(Übersicht!$B$4,J109,1)+MOD(M109-WEEKDAY(DATE(Übersicht!$B$4,J109,1),2),7)+7*(N109-1))=J109,K109="",L109=""),DATE(Übersicht!$B$4,J109,1)+MOD(M109-WEEKDAY(DATE(Übersicht!$B$4,J109,1),2),7)+7*(N109-1),NA()),IF(I109="nthWeekdayOffsetDays",IF(AND(ISNUMBER(J109),J109=INT(J109),J109&gt;=1,J109&lt;=12,ISNUMBER(M109),M109=INT(M109),M109&gt;=1,M109&lt;=7,ISNUMBER(N109),N109=INT(N109),N109&gt;=1,N109&lt;=5,MONTH(DATE(Übersicht!$B$4,J109,1)+MOD(M109-WEEKDAY(DATE(Übersicht!$B$4,J109,1),2),7)+7*(N109-1))=J109,K109="",ISNUMBER(L109),L109=INT(L109),L109&gt;=-366,L109&lt;=366),DATE(Übersicht!$B$4,J109,1)+MOD(M109-WEEKDAY(DATE(Übersicht!$B$4,J109,1),2),7)+7*(N109-1)+L109,NA()),NA())))),NA())</f>
        <v>46729</v>
      </c>
      <c r="X109" s="14">
        <f t="shared" si="3"/>
        <v>46729</v>
      </c>
      <c r="Y109" s="10" t="s">
        <v>496</v>
      </c>
      <c r="Z109" s="10" t="s">
        <v>412</v>
      </c>
      <c r="AA109" s="24" t="s">
        <v>413</v>
      </c>
    </row>
    <row r="110" spans="1:27" ht="42" customHeight="1">
      <c r="A110" s="11" t="s">
        <v>174</v>
      </c>
      <c r="B110" s="11" t="s">
        <v>157</v>
      </c>
      <c r="C110" s="11" t="s">
        <v>493</v>
      </c>
      <c r="D110" s="26" t="s">
        <v>448</v>
      </c>
      <c r="E110" s="26" t="s">
        <v>449</v>
      </c>
      <c r="F110" s="27" t="s">
        <v>527</v>
      </c>
      <c r="G110" s="27" t="s">
        <v>528</v>
      </c>
      <c r="H110" s="11" t="s">
        <v>406</v>
      </c>
      <c r="I110" s="11" t="s">
        <v>407</v>
      </c>
      <c r="J110" s="30">
        <v>12</v>
      </c>
      <c r="K110" s="30">
        <v>25</v>
      </c>
      <c r="L110" s="26"/>
      <c r="M110" s="26"/>
      <c r="N110" s="26"/>
      <c r="O110" s="31">
        <v>46023</v>
      </c>
      <c r="P110" s="31"/>
      <c r="Q110" s="26">
        <v>100</v>
      </c>
      <c r="R110" s="26" t="s">
        <v>69</v>
      </c>
      <c r="S110" s="11"/>
      <c r="T110" s="11" t="s">
        <v>409</v>
      </c>
      <c r="U110" s="11"/>
      <c r="V110" s="11" t="s">
        <v>469</v>
      </c>
      <c r="W110" s="15">
        <f>IF(AND(ISNUMBER(Übersicht!$B$4),Übersicht!$B$4=INT(Übersicht!$B$4),Übersicht!$B$4&gt;=2026,Übersicht!$B$4&lt;=2028),IF(I110="fixedMonthDay",IF(AND(ISNUMBER(J110),J110=INT(J110),J110&gt;=1,J110&lt;=12,ISNUMBER(K110),K110=INT(K110),K110&gt;=1,K110&lt;=31,MONTH(DATE(Übersicht!$B$4,J110,K110))=J110,DAY(DATE(Übersicht!$B$4,J110,K110))=K110,L110="",M110="",N110=""),DATE(Übersicht!$B$4,J110,K110),NA()),IF(I110="easterOffsetDays",IF(AND(ISNUMBER(L110),L110=INT(L110),L110&gt;=-366,L110&lt;=366,J110="",K110="",M110="",N110=""),$AD$23+L110,NA()),IF(I110="nthWeekdayOfMonth",IF(AND(ISNUMBER(J110),J110=INT(J110),J110&gt;=1,J110&lt;=12,ISNUMBER(M110),M110=INT(M110),M110&gt;=1,M110&lt;=7,ISNUMBER(N110),N110=INT(N110),N110&gt;=1,N110&lt;=5,MONTH(DATE(Übersicht!$B$4,J110,1)+MOD(M110-WEEKDAY(DATE(Übersicht!$B$4,J110,1),2),7)+7*(N110-1))=J110,K110="",L110=""),DATE(Übersicht!$B$4,J110,1)+MOD(M110-WEEKDAY(DATE(Übersicht!$B$4,J110,1),2),7)+7*(N110-1),NA()),IF(I110="nthWeekdayOffsetDays",IF(AND(ISNUMBER(J110),J110=INT(J110),J110&gt;=1,J110&lt;=12,ISNUMBER(M110),M110=INT(M110),M110&gt;=1,M110&lt;=7,ISNUMBER(N110),N110=INT(N110),N110&gt;=1,N110&lt;=5,MONTH(DATE(Übersicht!$B$4,J110,1)+MOD(M110-WEEKDAY(DATE(Übersicht!$B$4,J110,1),2),7)+7*(N110-1))=J110,K110="",ISNUMBER(L110),L110=INT(L110),L110&gt;=-366,L110&lt;=366),DATE(Übersicht!$B$4,J110,1)+MOD(M110-WEEKDAY(DATE(Übersicht!$B$4,J110,1),2),7)+7*(N110-1)+L110,NA()),NA())))),NA())</f>
        <v>46746</v>
      </c>
      <c r="X110" s="15">
        <f t="shared" si="3"/>
        <v>46746</v>
      </c>
      <c r="Y110" s="11" t="s">
        <v>496</v>
      </c>
      <c r="Z110" s="11" t="s">
        <v>412</v>
      </c>
      <c r="AA110" s="26" t="s">
        <v>413</v>
      </c>
    </row>
    <row r="111" spans="1:27" ht="42" customHeight="1">
      <c r="A111" s="10" t="s">
        <v>175</v>
      </c>
      <c r="B111" s="10" t="s">
        <v>157</v>
      </c>
      <c r="C111" s="10" t="s">
        <v>493</v>
      </c>
      <c r="D111" s="24" t="s">
        <v>451</v>
      </c>
      <c r="E111" s="24" t="s">
        <v>452</v>
      </c>
      <c r="F111" s="25" t="s">
        <v>529</v>
      </c>
      <c r="G111" s="25" t="s">
        <v>530</v>
      </c>
      <c r="H111" s="10" t="s">
        <v>406</v>
      </c>
      <c r="I111" s="10" t="s">
        <v>407</v>
      </c>
      <c r="J111" s="28">
        <v>12</v>
      </c>
      <c r="K111" s="28">
        <v>26</v>
      </c>
      <c r="L111" s="24"/>
      <c r="M111" s="24"/>
      <c r="N111" s="24"/>
      <c r="O111" s="29">
        <v>46023</v>
      </c>
      <c r="P111" s="29"/>
      <c r="Q111" s="24">
        <v>100</v>
      </c>
      <c r="R111" s="24" t="s">
        <v>69</v>
      </c>
      <c r="S111" s="10"/>
      <c r="T111" s="10" t="s">
        <v>409</v>
      </c>
      <c r="U111" s="10"/>
      <c r="V111" s="10" t="s">
        <v>469</v>
      </c>
      <c r="W111" s="14">
        <f>IF(AND(ISNUMBER(Übersicht!$B$4),Übersicht!$B$4=INT(Übersicht!$B$4),Übersicht!$B$4&gt;=2026,Übersicht!$B$4&lt;=2028),IF(I111="fixedMonthDay",IF(AND(ISNUMBER(J111),J111=INT(J111),J111&gt;=1,J111&lt;=12,ISNUMBER(K111),K111=INT(K111),K111&gt;=1,K111&lt;=31,MONTH(DATE(Übersicht!$B$4,J111,K111))=J111,DAY(DATE(Übersicht!$B$4,J111,K111))=K111,L111="",M111="",N111=""),DATE(Übersicht!$B$4,J111,K111),NA()),IF(I111="easterOffsetDays",IF(AND(ISNUMBER(L111),L111=INT(L111),L111&gt;=-366,L111&lt;=366,J111="",K111="",M111="",N111=""),$AD$23+L111,NA()),IF(I111="nthWeekdayOfMonth",IF(AND(ISNUMBER(J111),J111=INT(J111),J111&gt;=1,J111&lt;=12,ISNUMBER(M111),M111=INT(M111),M111&gt;=1,M111&lt;=7,ISNUMBER(N111),N111=INT(N111),N111&gt;=1,N111&lt;=5,MONTH(DATE(Übersicht!$B$4,J111,1)+MOD(M111-WEEKDAY(DATE(Übersicht!$B$4,J111,1),2),7)+7*(N111-1))=J111,K111="",L111=""),DATE(Übersicht!$B$4,J111,1)+MOD(M111-WEEKDAY(DATE(Übersicht!$B$4,J111,1),2),7)+7*(N111-1),NA()),IF(I111="nthWeekdayOffsetDays",IF(AND(ISNUMBER(J111),J111=INT(J111),J111&gt;=1,J111&lt;=12,ISNUMBER(M111),M111=INT(M111),M111&gt;=1,M111&lt;=7,ISNUMBER(N111),N111=INT(N111),N111&gt;=1,N111&lt;=5,MONTH(DATE(Übersicht!$B$4,J111,1)+MOD(M111-WEEKDAY(DATE(Übersicht!$B$4,J111,1),2),7)+7*(N111-1))=J111,K111="",ISNUMBER(L111),L111=INT(L111),L111&gt;=-366,L111&lt;=366),DATE(Übersicht!$B$4,J111,1)+MOD(M111-WEEKDAY(DATE(Übersicht!$B$4,J111,1),2),7)+7*(N111-1)+L111,NA()),NA())))),NA())</f>
        <v>46747</v>
      </c>
      <c r="X111" s="14">
        <f t="shared" si="3"/>
        <v>46747</v>
      </c>
      <c r="Y111" s="10" t="s">
        <v>496</v>
      </c>
      <c r="Z111" s="10" t="s">
        <v>412</v>
      </c>
      <c r="AA111" s="24" t="s">
        <v>413</v>
      </c>
    </row>
    <row r="112" spans="1:27" ht="42" customHeight="1">
      <c r="A112" s="11" t="s">
        <v>178</v>
      </c>
      <c r="B112" s="11" t="s">
        <v>176</v>
      </c>
      <c r="C112" s="11" t="s">
        <v>531</v>
      </c>
      <c r="D112" s="26" t="s">
        <v>416</v>
      </c>
      <c r="E112" s="26" t="s">
        <v>417</v>
      </c>
      <c r="F112" s="27" t="s">
        <v>532</v>
      </c>
      <c r="G112" s="27" t="s">
        <v>495</v>
      </c>
      <c r="H112" s="11" t="s">
        <v>406</v>
      </c>
      <c r="I112" s="11" t="s">
        <v>407</v>
      </c>
      <c r="J112" s="30">
        <v>1</v>
      </c>
      <c r="K112" s="30">
        <v>1</v>
      </c>
      <c r="L112" s="26"/>
      <c r="M112" s="26"/>
      <c r="N112" s="26"/>
      <c r="O112" s="31">
        <v>46023</v>
      </c>
      <c r="P112" s="31"/>
      <c r="Q112" s="26">
        <v>100</v>
      </c>
      <c r="R112" s="26" t="s">
        <v>69</v>
      </c>
      <c r="S112" s="11"/>
      <c r="T112" s="11" t="s">
        <v>409</v>
      </c>
      <c r="U112" s="11"/>
      <c r="V112" s="11" t="s">
        <v>469</v>
      </c>
      <c r="W112" s="15">
        <f>IF(AND(ISNUMBER(Übersicht!$B$4),Übersicht!$B$4=INT(Übersicht!$B$4),Übersicht!$B$4&gt;=2026,Übersicht!$B$4&lt;=2028),IF(I112="fixedMonthDay",IF(AND(ISNUMBER(J112),J112=INT(J112),J112&gt;=1,J112&lt;=12,ISNUMBER(K112),K112=INT(K112),K112&gt;=1,K112&lt;=31,MONTH(DATE(Übersicht!$B$4,J112,K112))=J112,DAY(DATE(Übersicht!$B$4,J112,K112))=K112,L112="",M112="",N112=""),DATE(Übersicht!$B$4,J112,K112),NA()),IF(I112="easterOffsetDays",IF(AND(ISNUMBER(L112),L112=INT(L112),L112&gt;=-366,L112&lt;=366,J112="",K112="",M112="",N112=""),$AD$23+L112,NA()),IF(I112="nthWeekdayOfMonth",IF(AND(ISNUMBER(J112),J112=INT(J112),J112&gt;=1,J112&lt;=12,ISNUMBER(M112),M112=INT(M112),M112&gt;=1,M112&lt;=7,ISNUMBER(N112),N112=INT(N112),N112&gt;=1,N112&lt;=5,MONTH(DATE(Übersicht!$B$4,J112,1)+MOD(M112-WEEKDAY(DATE(Übersicht!$B$4,J112,1),2),7)+7*(N112-1))=J112,K112="",L112=""),DATE(Übersicht!$B$4,J112,1)+MOD(M112-WEEKDAY(DATE(Übersicht!$B$4,J112,1),2),7)+7*(N112-1),NA()),IF(I112="nthWeekdayOffsetDays",IF(AND(ISNUMBER(J112),J112=INT(J112),J112&gt;=1,J112&lt;=12,ISNUMBER(M112),M112=INT(M112),M112&gt;=1,M112&lt;=7,ISNUMBER(N112),N112=INT(N112),N112&gt;=1,N112&lt;=5,MONTH(DATE(Übersicht!$B$4,J112,1)+MOD(M112-WEEKDAY(DATE(Übersicht!$B$4,J112,1),2),7)+7*(N112-1))=J112,K112="",ISNUMBER(L112),L112=INT(L112),L112&gt;=-366,L112&lt;=366),DATE(Übersicht!$B$4,J112,1)+MOD(M112-WEEKDAY(DATE(Übersicht!$B$4,J112,1),2),7)+7*(N112-1)+L112,NA()),NA())))),NA())</f>
        <v>46388</v>
      </c>
      <c r="X112" s="15">
        <f t="shared" si="3"/>
        <v>46388</v>
      </c>
      <c r="Y112" s="11" t="s">
        <v>533</v>
      </c>
      <c r="Z112" s="11" t="s">
        <v>427</v>
      </c>
      <c r="AA112" s="26" t="s">
        <v>413</v>
      </c>
    </row>
    <row r="113" spans="1:27" ht="42" customHeight="1">
      <c r="A113" s="10" t="s">
        <v>180</v>
      </c>
      <c r="B113" s="10" t="s">
        <v>176</v>
      </c>
      <c r="C113" s="10" t="s">
        <v>531</v>
      </c>
      <c r="D113" s="24" t="s">
        <v>424</v>
      </c>
      <c r="E113" s="24" t="s">
        <v>425</v>
      </c>
      <c r="F113" s="25" t="s">
        <v>534</v>
      </c>
      <c r="G113" s="25" t="s">
        <v>535</v>
      </c>
      <c r="H113" s="10" t="s">
        <v>406</v>
      </c>
      <c r="I113" s="10" t="s">
        <v>426</v>
      </c>
      <c r="J113" s="28"/>
      <c r="K113" s="28"/>
      <c r="L113" s="24">
        <v>-2</v>
      </c>
      <c r="M113" s="24"/>
      <c r="N113" s="24"/>
      <c r="O113" s="29">
        <v>46023</v>
      </c>
      <c r="P113" s="29"/>
      <c r="Q113" s="24">
        <v>100</v>
      </c>
      <c r="R113" s="24" t="s">
        <v>69</v>
      </c>
      <c r="S113" s="10"/>
      <c r="T113" s="10" t="s">
        <v>409</v>
      </c>
      <c r="U113" s="10"/>
      <c r="V113" s="10" t="s">
        <v>469</v>
      </c>
      <c r="W113" s="14">
        <f>IF(AND(ISNUMBER(Übersicht!$B$4),Übersicht!$B$4=INT(Übersicht!$B$4),Übersicht!$B$4&gt;=2026,Übersicht!$B$4&lt;=2028),IF(I113="fixedMonthDay",IF(AND(ISNUMBER(J113),J113=INT(J113),J113&gt;=1,J113&lt;=12,ISNUMBER(K113),K113=INT(K113),K113&gt;=1,K113&lt;=31,MONTH(DATE(Übersicht!$B$4,J113,K113))=J113,DAY(DATE(Übersicht!$B$4,J113,K113))=K113,L113="",M113="",N113=""),DATE(Übersicht!$B$4,J113,K113),NA()),IF(I113="easterOffsetDays",IF(AND(ISNUMBER(L113),L113=INT(L113),L113&gt;=-366,L113&lt;=366,J113="",K113="",M113="",N113=""),$AD$23+L113,NA()),IF(I113="nthWeekdayOfMonth",IF(AND(ISNUMBER(J113),J113=INT(J113),J113&gt;=1,J113&lt;=12,ISNUMBER(M113),M113=INT(M113),M113&gt;=1,M113&lt;=7,ISNUMBER(N113),N113=INT(N113),N113&gt;=1,N113&lt;=5,MONTH(DATE(Übersicht!$B$4,J113,1)+MOD(M113-WEEKDAY(DATE(Übersicht!$B$4,J113,1),2),7)+7*(N113-1))=J113,K113="",L113=""),DATE(Übersicht!$B$4,J113,1)+MOD(M113-WEEKDAY(DATE(Übersicht!$B$4,J113,1),2),7)+7*(N113-1),NA()),IF(I113="nthWeekdayOffsetDays",IF(AND(ISNUMBER(J113),J113=INT(J113),J113&gt;=1,J113&lt;=12,ISNUMBER(M113),M113=INT(M113),M113&gt;=1,M113&lt;=7,ISNUMBER(N113),N113=INT(N113),N113&gt;=1,N113&lt;=5,MONTH(DATE(Übersicht!$B$4,J113,1)+MOD(M113-WEEKDAY(DATE(Übersicht!$B$4,J113,1),2),7)+7*(N113-1))=J113,K113="",ISNUMBER(L113),L113=INT(L113),L113&gt;=-366,L113&lt;=366),DATE(Übersicht!$B$4,J113,1)+MOD(M113-WEEKDAY(DATE(Übersicht!$B$4,J113,1),2),7)+7*(N113-1)+L113,NA()),NA())))),NA())</f>
        <v>46472</v>
      </c>
      <c r="X113" s="14">
        <f t="shared" si="3"/>
        <v>46472</v>
      </c>
      <c r="Y113" s="10" t="s">
        <v>533</v>
      </c>
      <c r="Z113" s="10" t="s">
        <v>536</v>
      </c>
      <c r="AA113" s="24" t="s">
        <v>413</v>
      </c>
    </row>
    <row r="114" spans="1:27" ht="42" customHeight="1">
      <c r="A114" s="11" t="s">
        <v>181</v>
      </c>
      <c r="B114" s="11" t="s">
        <v>176</v>
      </c>
      <c r="C114" s="11" t="s">
        <v>531</v>
      </c>
      <c r="D114" s="26" t="s">
        <v>476</v>
      </c>
      <c r="E114" s="26" t="s">
        <v>430</v>
      </c>
      <c r="F114" s="27" t="s">
        <v>537</v>
      </c>
      <c r="G114" s="27" t="s">
        <v>538</v>
      </c>
      <c r="H114" s="11" t="s">
        <v>406</v>
      </c>
      <c r="I114" s="11" t="s">
        <v>426</v>
      </c>
      <c r="J114" s="30"/>
      <c r="K114" s="30"/>
      <c r="L114" s="26">
        <v>0</v>
      </c>
      <c r="M114" s="26"/>
      <c r="N114" s="26"/>
      <c r="O114" s="31">
        <v>46023</v>
      </c>
      <c r="P114" s="31"/>
      <c r="Q114" s="26">
        <v>100</v>
      </c>
      <c r="R114" s="26" t="s">
        <v>69</v>
      </c>
      <c r="S114" s="11"/>
      <c r="T114" s="11" t="s">
        <v>409</v>
      </c>
      <c r="U114" s="11"/>
      <c r="V114" s="11" t="s">
        <v>469</v>
      </c>
      <c r="W114" s="15">
        <f>IF(AND(ISNUMBER(Übersicht!$B$4),Übersicht!$B$4=INT(Übersicht!$B$4),Übersicht!$B$4&gt;=2026,Übersicht!$B$4&lt;=2028),IF(I114="fixedMonthDay",IF(AND(ISNUMBER(J114),J114=INT(J114),J114&gt;=1,J114&lt;=12,ISNUMBER(K114),K114=INT(K114),K114&gt;=1,K114&lt;=31,MONTH(DATE(Übersicht!$B$4,J114,K114))=J114,DAY(DATE(Übersicht!$B$4,J114,K114))=K114,L114="",M114="",N114=""),DATE(Übersicht!$B$4,J114,K114),NA()),IF(I114="easterOffsetDays",IF(AND(ISNUMBER(L114),L114=INT(L114),L114&gt;=-366,L114&lt;=366,J114="",K114="",M114="",N114=""),$AD$23+L114,NA()),IF(I114="nthWeekdayOfMonth",IF(AND(ISNUMBER(J114),J114=INT(J114),J114&gt;=1,J114&lt;=12,ISNUMBER(M114),M114=INT(M114),M114&gt;=1,M114&lt;=7,ISNUMBER(N114),N114=INT(N114),N114&gt;=1,N114&lt;=5,MONTH(DATE(Übersicht!$B$4,J114,1)+MOD(M114-WEEKDAY(DATE(Übersicht!$B$4,J114,1),2),7)+7*(N114-1))=J114,K114="",L114=""),DATE(Übersicht!$B$4,J114,1)+MOD(M114-WEEKDAY(DATE(Übersicht!$B$4,J114,1),2),7)+7*(N114-1),NA()),IF(I114="nthWeekdayOffsetDays",IF(AND(ISNUMBER(J114),J114=INT(J114),J114&gt;=1,J114&lt;=12,ISNUMBER(M114),M114=INT(M114),M114&gt;=1,M114&lt;=7,ISNUMBER(N114),N114=INT(N114),N114&gt;=1,N114&lt;=5,MONTH(DATE(Übersicht!$B$4,J114,1)+MOD(M114-WEEKDAY(DATE(Übersicht!$B$4,J114,1),2),7)+7*(N114-1))=J114,K114="",ISNUMBER(L114),L114=INT(L114),L114&gt;=-366,L114&lt;=366),DATE(Übersicht!$B$4,J114,1)+MOD(M114-WEEKDAY(DATE(Übersicht!$B$4,J114,1),2),7)+7*(N114-1)+L114,NA()),NA())))),NA())</f>
        <v>46474</v>
      </c>
      <c r="X114" s="15">
        <f t="shared" si="3"/>
        <v>46474</v>
      </c>
      <c r="Y114" s="11" t="s">
        <v>533</v>
      </c>
      <c r="Z114" s="11" t="s">
        <v>539</v>
      </c>
      <c r="AA114" s="26" t="s">
        <v>413</v>
      </c>
    </row>
    <row r="115" spans="1:27" ht="42" customHeight="1">
      <c r="A115" s="10" t="s">
        <v>182</v>
      </c>
      <c r="B115" s="10" t="s">
        <v>176</v>
      </c>
      <c r="C115" s="10" t="s">
        <v>531</v>
      </c>
      <c r="D115" s="24" t="s">
        <v>432</v>
      </c>
      <c r="E115" s="24" t="s">
        <v>433</v>
      </c>
      <c r="F115" s="25" t="s">
        <v>505</v>
      </c>
      <c r="G115" s="25" t="s">
        <v>506</v>
      </c>
      <c r="H115" s="10" t="s">
        <v>406</v>
      </c>
      <c r="I115" s="10" t="s">
        <v>426</v>
      </c>
      <c r="J115" s="28"/>
      <c r="K115" s="28"/>
      <c r="L115" s="24">
        <v>1</v>
      </c>
      <c r="M115" s="24"/>
      <c r="N115" s="24"/>
      <c r="O115" s="29">
        <v>46023</v>
      </c>
      <c r="P115" s="29"/>
      <c r="Q115" s="24">
        <v>100</v>
      </c>
      <c r="R115" s="24" t="s">
        <v>69</v>
      </c>
      <c r="S115" s="10"/>
      <c r="T115" s="10" t="s">
        <v>409</v>
      </c>
      <c r="U115" s="10"/>
      <c r="V115" s="10" t="s">
        <v>469</v>
      </c>
      <c r="W115" s="14">
        <f>IF(AND(ISNUMBER(Übersicht!$B$4),Übersicht!$B$4=INT(Übersicht!$B$4),Übersicht!$B$4&gt;=2026,Übersicht!$B$4&lt;=2028),IF(I115="fixedMonthDay",IF(AND(ISNUMBER(J115),J115=INT(J115),J115&gt;=1,J115&lt;=12,ISNUMBER(K115),K115=INT(K115),K115&gt;=1,K115&lt;=31,MONTH(DATE(Übersicht!$B$4,J115,K115))=J115,DAY(DATE(Übersicht!$B$4,J115,K115))=K115,L115="",M115="",N115=""),DATE(Übersicht!$B$4,J115,K115),NA()),IF(I115="easterOffsetDays",IF(AND(ISNUMBER(L115),L115=INT(L115),L115&gt;=-366,L115&lt;=366,J115="",K115="",M115="",N115=""),$AD$23+L115,NA()),IF(I115="nthWeekdayOfMonth",IF(AND(ISNUMBER(J115),J115=INT(J115),J115&gt;=1,J115&lt;=12,ISNUMBER(M115),M115=INT(M115),M115&gt;=1,M115&lt;=7,ISNUMBER(N115),N115=INT(N115),N115&gt;=1,N115&lt;=5,MONTH(DATE(Übersicht!$B$4,J115,1)+MOD(M115-WEEKDAY(DATE(Übersicht!$B$4,J115,1),2),7)+7*(N115-1))=J115,K115="",L115=""),DATE(Übersicht!$B$4,J115,1)+MOD(M115-WEEKDAY(DATE(Übersicht!$B$4,J115,1),2),7)+7*(N115-1),NA()),IF(I115="nthWeekdayOffsetDays",IF(AND(ISNUMBER(J115),J115=INT(J115),J115&gt;=1,J115&lt;=12,ISNUMBER(M115),M115=INT(M115),M115&gt;=1,M115&lt;=7,ISNUMBER(N115),N115=INT(N115),N115&gt;=1,N115&lt;=5,MONTH(DATE(Übersicht!$B$4,J115,1)+MOD(M115-WEEKDAY(DATE(Übersicht!$B$4,J115,1),2),7)+7*(N115-1))=J115,K115="",ISNUMBER(L115),L115=INT(L115),L115&gt;=-366,L115&lt;=366),DATE(Übersicht!$B$4,J115,1)+MOD(M115-WEEKDAY(DATE(Übersicht!$B$4,J115,1),2),7)+7*(N115-1)+L115,NA()),NA())))),NA())</f>
        <v>46475</v>
      </c>
      <c r="X115" s="14">
        <f t="shared" si="3"/>
        <v>46475</v>
      </c>
      <c r="Y115" s="10" t="s">
        <v>533</v>
      </c>
      <c r="Z115" s="10" t="s">
        <v>427</v>
      </c>
      <c r="AA115" s="24" t="s">
        <v>413</v>
      </c>
    </row>
    <row r="116" spans="1:27" ht="42" customHeight="1">
      <c r="A116" s="11" t="s">
        <v>183</v>
      </c>
      <c r="B116" s="11" t="s">
        <v>176</v>
      </c>
      <c r="C116" s="11" t="s">
        <v>531</v>
      </c>
      <c r="D116" s="26" t="s">
        <v>435</v>
      </c>
      <c r="E116" s="26" t="s">
        <v>436</v>
      </c>
      <c r="F116" s="27" t="s">
        <v>509</v>
      </c>
      <c r="G116" s="27" t="s">
        <v>510</v>
      </c>
      <c r="H116" s="11" t="s">
        <v>406</v>
      </c>
      <c r="I116" s="11" t="s">
        <v>426</v>
      </c>
      <c r="J116" s="30"/>
      <c r="K116" s="30"/>
      <c r="L116" s="26">
        <v>39</v>
      </c>
      <c r="M116" s="26"/>
      <c r="N116" s="26"/>
      <c r="O116" s="31">
        <v>46023</v>
      </c>
      <c r="P116" s="31"/>
      <c r="Q116" s="26">
        <v>100</v>
      </c>
      <c r="R116" s="26" t="s">
        <v>69</v>
      </c>
      <c r="S116" s="11"/>
      <c r="T116" s="11" t="s">
        <v>409</v>
      </c>
      <c r="U116" s="11"/>
      <c r="V116" s="11" t="s">
        <v>469</v>
      </c>
      <c r="W116" s="15">
        <f>IF(AND(ISNUMBER(Übersicht!$B$4),Übersicht!$B$4=INT(Übersicht!$B$4),Übersicht!$B$4&gt;=2026,Übersicht!$B$4&lt;=2028),IF(I116="fixedMonthDay",IF(AND(ISNUMBER(J116),J116=INT(J116),J116&gt;=1,J116&lt;=12,ISNUMBER(K116),K116=INT(K116),K116&gt;=1,K116&lt;=31,MONTH(DATE(Übersicht!$B$4,J116,K116))=J116,DAY(DATE(Übersicht!$B$4,J116,K116))=K116,L116="",M116="",N116=""),DATE(Übersicht!$B$4,J116,K116),NA()),IF(I116="easterOffsetDays",IF(AND(ISNUMBER(L116),L116=INT(L116),L116&gt;=-366,L116&lt;=366,J116="",K116="",M116="",N116=""),$AD$23+L116,NA()),IF(I116="nthWeekdayOfMonth",IF(AND(ISNUMBER(J116),J116=INT(J116),J116&gt;=1,J116&lt;=12,ISNUMBER(M116),M116=INT(M116),M116&gt;=1,M116&lt;=7,ISNUMBER(N116),N116=INT(N116),N116&gt;=1,N116&lt;=5,MONTH(DATE(Übersicht!$B$4,J116,1)+MOD(M116-WEEKDAY(DATE(Übersicht!$B$4,J116,1),2),7)+7*(N116-1))=J116,K116="",L116=""),DATE(Übersicht!$B$4,J116,1)+MOD(M116-WEEKDAY(DATE(Übersicht!$B$4,J116,1),2),7)+7*(N116-1),NA()),IF(I116="nthWeekdayOffsetDays",IF(AND(ISNUMBER(J116),J116=INT(J116),J116&gt;=1,J116&lt;=12,ISNUMBER(M116),M116=INT(M116),M116&gt;=1,M116&lt;=7,ISNUMBER(N116),N116=INT(N116),N116&gt;=1,N116&lt;=5,MONTH(DATE(Übersicht!$B$4,J116,1)+MOD(M116-WEEKDAY(DATE(Übersicht!$B$4,J116,1),2),7)+7*(N116-1))=J116,K116="",ISNUMBER(L116),L116=INT(L116),L116&gt;=-366,L116&lt;=366),DATE(Übersicht!$B$4,J116,1)+MOD(M116-WEEKDAY(DATE(Übersicht!$B$4,J116,1),2),7)+7*(N116-1)+L116,NA()),NA())))),NA())</f>
        <v>46513</v>
      </c>
      <c r="X116" s="15">
        <f t="shared" si="3"/>
        <v>46513</v>
      </c>
      <c r="Y116" s="11" t="s">
        <v>533</v>
      </c>
      <c r="Z116" s="11" t="s">
        <v>427</v>
      </c>
      <c r="AA116" s="26" t="s">
        <v>413</v>
      </c>
    </row>
    <row r="117" spans="1:27" ht="42" customHeight="1">
      <c r="A117" s="10" t="s">
        <v>184</v>
      </c>
      <c r="B117" s="10" t="s">
        <v>176</v>
      </c>
      <c r="C117" s="10" t="s">
        <v>531</v>
      </c>
      <c r="D117" s="24" t="s">
        <v>540</v>
      </c>
      <c r="E117" s="24" t="s">
        <v>439</v>
      </c>
      <c r="F117" s="25" t="s">
        <v>541</v>
      </c>
      <c r="G117" s="25" t="s">
        <v>542</v>
      </c>
      <c r="H117" s="10" t="s">
        <v>406</v>
      </c>
      <c r="I117" s="10" t="s">
        <v>426</v>
      </c>
      <c r="J117" s="28"/>
      <c r="K117" s="28"/>
      <c r="L117" s="24">
        <v>49</v>
      </c>
      <c r="M117" s="24"/>
      <c r="N117" s="24"/>
      <c r="O117" s="29">
        <v>46023</v>
      </c>
      <c r="P117" s="29"/>
      <c r="Q117" s="24">
        <v>100</v>
      </c>
      <c r="R117" s="24" t="s">
        <v>69</v>
      </c>
      <c r="S117" s="10"/>
      <c r="T117" s="10" t="s">
        <v>409</v>
      </c>
      <c r="U117" s="10"/>
      <c r="V117" s="10" t="s">
        <v>469</v>
      </c>
      <c r="W117" s="14">
        <f>IF(AND(ISNUMBER(Übersicht!$B$4),Übersicht!$B$4=INT(Übersicht!$B$4),Übersicht!$B$4&gt;=2026,Übersicht!$B$4&lt;=2028),IF(I117="fixedMonthDay",IF(AND(ISNUMBER(J117),J117=INT(J117),J117&gt;=1,J117&lt;=12,ISNUMBER(K117),K117=INT(K117),K117&gt;=1,K117&lt;=31,MONTH(DATE(Übersicht!$B$4,J117,K117))=J117,DAY(DATE(Übersicht!$B$4,J117,K117))=K117,L117="",M117="",N117=""),DATE(Übersicht!$B$4,J117,K117),NA()),IF(I117="easterOffsetDays",IF(AND(ISNUMBER(L117),L117=INT(L117),L117&gt;=-366,L117&lt;=366,J117="",K117="",M117="",N117=""),$AD$23+L117,NA()),IF(I117="nthWeekdayOfMonth",IF(AND(ISNUMBER(J117),J117=INT(J117),J117&gt;=1,J117&lt;=12,ISNUMBER(M117),M117=INT(M117),M117&gt;=1,M117&lt;=7,ISNUMBER(N117),N117=INT(N117),N117&gt;=1,N117&lt;=5,MONTH(DATE(Übersicht!$B$4,J117,1)+MOD(M117-WEEKDAY(DATE(Übersicht!$B$4,J117,1),2),7)+7*(N117-1))=J117,K117="",L117=""),DATE(Übersicht!$B$4,J117,1)+MOD(M117-WEEKDAY(DATE(Übersicht!$B$4,J117,1),2),7)+7*(N117-1),NA()),IF(I117="nthWeekdayOffsetDays",IF(AND(ISNUMBER(J117),J117=INT(J117),J117&gt;=1,J117&lt;=12,ISNUMBER(M117),M117=INT(M117),M117&gt;=1,M117&lt;=7,ISNUMBER(N117),N117=INT(N117),N117&gt;=1,N117&lt;=5,MONTH(DATE(Übersicht!$B$4,J117,1)+MOD(M117-WEEKDAY(DATE(Übersicht!$B$4,J117,1),2),7)+7*(N117-1))=J117,K117="",ISNUMBER(L117),L117=INT(L117),L117&gt;=-366,L117&lt;=366),DATE(Übersicht!$B$4,J117,1)+MOD(M117-WEEKDAY(DATE(Übersicht!$B$4,J117,1),2),7)+7*(N117-1)+L117,NA()),NA())))),NA())</f>
        <v>46523</v>
      </c>
      <c r="X117" s="14">
        <f t="shared" si="3"/>
        <v>46523</v>
      </c>
      <c r="Y117" s="10" t="s">
        <v>533</v>
      </c>
      <c r="Z117" s="10" t="s">
        <v>539</v>
      </c>
      <c r="AA117" s="24" t="s">
        <v>413</v>
      </c>
    </row>
    <row r="118" spans="1:27" ht="42" customHeight="1">
      <c r="A118" s="11" t="s">
        <v>185</v>
      </c>
      <c r="B118" s="11" t="s">
        <v>176</v>
      </c>
      <c r="C118" s="11" t="s">
        <v>531</v>
      </c>
      <c r="D118" s="26" t="s">
        <v>441</v>
      </c>
      <c r="E118" s="26" t="s">
        <v>442</v>
      </c>
      <c r="F118" s="27" t="s">
        <v>511</v>
      </c>
      <c r="G118" s="27" t="s">
        <v>512</v>
      </c>
      <c r="H118" s="11" t="s">
        <v>406</v>
      </c>
      <c r="I118" s="11" t="s">
        <v>426</v>
      </c>
      <c r="J118" s="30"/>
      <c r="K118" s="30"/>
      <c r="L118" s="26">
        <v>50</v>
      </c>
      <c r="M118" s="26"/>
      <c r="N118" s="26"/>
      <c r="O118" s="31">
        <v>46023</v>
      </c>
      <c r="P118" s="31"/>
      <c r="Q118" s="26">
        <v>100</v>
      </c>
      <c r="R118" s="26" t="s">
        <v>69</v>
      </c>
      <c r="S118" s="11"/>
      <c r="T118" s="11" t="s">
        <v>409</v>
      </c>
      <c r="U118" s="11"/>
      <c r="V118" s="11" t="s">
        <v>469</v>
      </c>
      <c r="W118" s="15">
        <f>IF(AND(ISNUMBER(Übersicht!$B$4),Übersicht!$B$4=INT(Übersicht!$B$4),Übersicht!$B$4&gt;=2026,Übersicht!$B$4&lt;=2028),IF(I118="fixedMonthDay",IF(AND(ISNUMBER(J118),J118=INT(J118),J118&gt;=1,J118&lt;=12,ISNUMBER(K118),K118=INT(K118),K118&gt;=1,K118&lt;=31,MONTH(DATE(Übersicht!$B$4,J118,K118))=J118,DAY(DATE(Übersicht!$B$4,J118,K118))=K118,L118="",M118="",N118=""),DATE(Übersicht!$B$4,J118,K118),NA()),IF(I118="easterOffsetDays",IF(AND(ISNUMBER(L118),L118=INT(L118),L118&gt;=-366,L118&lt;=366,J118="",K118="",M118="",N118=""),$AD$23+L118,NA()),IF(I118="nthWeekdayOfMonth",IF(AND(ISNUMBER(J118),J118=INT(J118),J118&gt;=1,J118&lt;=12,ISNUMBER(M118),M118=INT(M118),M118&gt;=1,M118&lt;=7,ISNUMBER(N118),N118=INT(N118),N118&gt;=1,N118&lt;=5,MONTH(DATE(Übersicht!$B$4,J118,1)+MOD(M118-WEEKDAY(DATE(Übersicht!$B$4,J118,1),2),7)+7*(N118-1))=J118,K118="",L118=""),DATE(Übersicht!$B$4,J118,1)+MOD(M118-WEEKDAY(DATE(Übersicht!$B$4,J118,1),2),7)+7*(N118-1),NA()),IF(I118="nthWeekdayOffsetDays",IF(AND(ISNUMBER(J118),J118=INT(J118),J118&gt;=1,J118&lt;=12,ISNUMBER(M118),M118=INT(M118),M118&gt;=1,M118&lt;=7,ISNUMBER(N118),N118=INT(N118),N118&gt;=1,N118&lt;=5,MONTH(DATE(Übersicht!$B$4,J118,1)+MOD(M118-WEEKDAY(DATE(Übersicht!$B$4,J118,1),2),7)+7*(N118-1))=J118,K118="",ISNUMBER(L118),L118=INT(L118),L118&gt;=-366,L118&lt;=366),DATE(Übersicht!$B$4,J118,1)+MOD(M118-WEEKDAY(DATE(Übersicht!$B$4,J118,1),2),7)+7*(N118-1)+L118,NA()),NA())))),NA())</f>
        <v>46524</v>
      </c>
      <c r="X118" s="15">
        <f t="shared" si="3"/>
        <v>46524</v>
      </c>
      <c r="Y118" s="11" t="s">
        <v>533</v>
      </c>
      <c r="Z118" s="11" t="s">
        <v>427</v>
      </c>
      <c r="AA118" s="26" t="s">
        <v>413</v>
      </c>
    </row>
    <row r="119" spans="1:27" ht="42" customHeight="1">
      <c r="A119" s="10" t="s">
        <v>186</v>
      </c>
      <c r="B119" s="10" t="s">
        <v>176</v>
      </c>
      <c r="C119" s="10" t="s">
        <v>531</v>
      </c>
      <c r="D119" s="24" t="s">
        <v>404</v>
      </c>
      <c r="E119" s="24" t="s">
        <v>405</v>
      </c>
      <c r="F119" s="25" t="s">
        <v>519</v>
      </c>
      <c r="G119" s="25" t="s">
        <v>520</v>
      </c>
      <c r="H119" s="10" t="s">
        <v>406</v>
      </c>
      <c r="I119" s="10" t="s">
        <v>407</v>
      </c>
      <c r="J119" s="28">
        <v>8</v>
      </c>
      <c r="K119" s="28">
        <v>1</v>
      </c>
      <c r="L119" s="24"/>
      <c r="M119" s="24"/>
      <c r="N119" s="24"/>
      <c r="O119" s="29">
        <v>46023</v>
      </c>
      <c r="P119" s="29"/>
      <c r="Q119" s="24">
        <v>100</v>
      </c>
      <c r="R119" s="24" t="s">
        <v>69</v>
      </c>
      <c r="S119" s="10"/>
      <c r="T119" s="10" t="s">
        <v>409</v>
      </c>
      <c r="U119" s="10"/>
      <c r="V119" s="10" t="s">
        <v>469</v>
      </c>
      <c r="W119" s="14">
        <f>IF(AND(ISNUMBER(Übersicht!$B$4),Übersicht!$B$4=INT(Übersicht!$B$4),Übersicht!$B$4&gt;=2026,Übersicht!$B$4&lt;=2028),IF(I119="fixedMonthDay",IF(AND(ISNUMBER(J119),J119=INT(J119),J119&gt;=1,J119&lt;=12,ISNUMBER(K119),K119=INT(K119),K119&gt;=1,K119&lt;=31,MONTH(DATE(Übersicht!$B$4,J119,K119))=J119,DAY(DATE(Übersicht!$B$4,J119,K119))=K119,L119="",M119="",N119=""),DATE(Übersicht!$B$4,J119,K119),NA()),IF(I119="easterOffsetDays",IF(AND(ISNUMBER(L119),L119=INT(L119),L119&gt;=-366,L119&lt;=366,J119="",K119="",M119="",N119=""),$AD$23+L119,NA()),IF(I119="nthWeekdayOfMonth",IF(AND(ISNUMBER(J119),J119=INT(J119),J119&gt;=1,J119&lt;=12,ISNUMBER(M119),M119=INT(M119),M119&gt;=1,M119&lt;=7,ISNUMBER(N119),N119=INT(N119),N119&gt;=1,N119&lt;=5,MONTH(DATE(Übersicht!$B$4,J119,1)+MOD(M119-WEEKDAY(DATE(Übersicht!$B$4,J119,1),2),7)+7*(N119-1))=J119,K119="",L119=""),DATE(Übersicht!$B$4,J119,1)+MOD(M119-WEEKDAY(DATE(Übersicht!$B$4,J119,1),2),7)+7*(N119-1),NA()),IF(I119="nthWeekdayOffsetDays",IF(AND(ISNUMBER(J119),J119=INT(J119),J119&gt;=1,J119&lt;=12,ISNUMBER(M119),M119=INT(M119),M119&gt;=1,M119&lt;=7,ISNUMBER(N119),N119=INT(N119),N119&gt;=1,N119&lt;=5,MONTH(DATE(Übersicht!$B$4,J119,1)+MOD(M119-WEEKDAY(DATE(Übersicht!$B$4,J119,1),2),7)+7*(N119-1))=J119,K119="",ISNUMBER(L119),L119=INT(L119),L119&gt;=-366,L119&lt;=366),DATE(Übersicht!$B$4,J119,1)+MOD(M119-WEEKDAY(DATE(Übersicht!$B$4,J119,1),2),7)+7*(N119-1)+L119,NA()),NA())))),NA())</f>
        <v>46600</v>
      </c>
      <c r="X119" s="14">
        <f t="shared" si="3"/>
        <v>46600</v>
      </c>
      <c r="Y119" s="10" t="s">
        <v>411</v>
      </c>
      <c r="Z119" s="10" t="s">
        <v>412</v>
      </c>
      <c r="AA119" s="24" t="s">
        <v>413</v>
      </c>
    </row>
    <row r="120" spans="1:27" ht="42" customHeight="1">
      <c r="A120" s="11" t="s">
        <v>187</v>
      </c>
      <c r="B120" s="11" t="s">
        <v>176</v>
      </c>
      <c r="C120" s="11" t="s">
        <v>531</v>
      </c>
      <c r="D120" s="26" t="s">
        <v>543</v>
      </c>
      <c r="E120" s="26" t="s">
        <v>445</v>
      </c>
      <c r="F120" s="27" t="s">
        <v>544</v>
      </c>
      <c r="G120" s="27" t="s">
        <v>545</v>
      </c>
      <c r="H120" s="11" t="s">
        <v>406</v>
      </c>
      <c r="I120" s="11" t="s">
        <v>446</v>
      </c>
      <c r="J120" s="30">
        <v>9</v>
      </c>
      <c r="K120" s="30"/>
      <c r="L120" s="26"/>
      <c r="M120" s="26">
        <v>7</v>
      </c>
      <c r="N120" s="26">
        <v>3</v>
      </c>
      <c r="O120" s="31">
        <v>46023</v>
      </c>
      <c r="P120" s="31"/>
      <c r="Q120" s="26">
        <v>100</v>
      </c>
      <c r="R120" s="26" t="s">
        <v>69</v>
      </c>
      <c r="S120" s="11"/>
      <c r="T120" s="11" t="s">
        <v>409</v>
      </c>
      <c r="U120" s="11"/>
      <c r="V120" s="11" t="s">
        <v>469</v>
      </c>
      <c r="W120" s="15">
        <f>IF(AND(ISNUMBER(Übersicht!$B$4),Übersicht!$B$4=INT(Übersicht!$B$4),Übersicht!$B$4&gt;=2026,Übersicht!$B$4&lt;=2028),IF(I120="fixedMonthDay",IF(AND(ISNUMBER(J120),J120=INT(J120),J120&gt;=1,J120&lt;=12,ISNUMBER(K120),K120=INT(K120),K120&gt;=1,K120&lt;=31,MONTH(DATE(Übersicht!$B$4,J120,K120))=J120,DAY(DATE(Übersicht!$B$4,J120,K120))=K120,L120="",M120="",N120=""),DATE(Übersicht!$B$4,J120,K120),NA()),IF(I120="easterOffsetDays",IF(AND(ISNUMBER(L120),L120=INT(L120),L120&gt;=-366,L120&lt;=366,J120="",K120="",M120="",N120=""),$AD$23+L120,NA()),IF(I120="nthWeekdayOfMonth",IF(AND(ISNUMBER(J120),J120=INT(J120),J120&gt;=1,J120&lt;=12,ISNUMBER(M120),M120=INT(M120),M120&gt;=1,M120&lt;=7,ISNUMBER(N120),N120=INT(N120),N120&gt;=1,N120&lt;=5,MONTH(DATE(Übersicht!$B$4,J120,1)+MOD(M120-WEEKDAY(DATE(Übersicht!$B$4,J120,1),2),7)+7*(N120-1))=J120,K120="",L120=""),DATE(Übersicht!$B$4,J120,1)+MOD(M120-WEEKDAY(DATE(Übersicht!$B$4,J120,1),2),7)+7*(N120-1),NA()),IF(I120="nthWeekdayOffsetDays",IF(AND(ISNUMBER(J120),J120=INT(J120),J120&gt;=1,J120&lt;=12,ISNUMBER(M120),M120=INT(M120),M120&gt;=1,M120&lt;=7,ISNUMBER(N120),N120=INT(N120),N120&gt;=1,N120&lt;=5,MONTH(DATE(Übersicht!$B$4,J120,1)+MOD(M120-WEEKDAY(DATE(Übersicht!$B$4,J120,1),2),7)+7*(N120-1))=J120,K120="",ISNUMBER(L120),L120=INT(L120),L120&gt;=-366,L120&lt;=366),DATE(Übersicht!$B$4,J120,1)+MOD(M120-WEEKDAY(DATE(Übersicht!$B$4,J120,1),2),7)+7*(N120-1)+L120,NA()),NA())))),NA())</f>
        <v>46649</v>
      </c>
      <c r="X120" s="15">
        <f t="shared" si="3"/>
        <v>46649</v>
      </c>
      <c r="Y120" s="11" t="s">
        <v>533</v>
      </c>
      <c r="Z120" s="11" t="s">
        <v>539</v>
      </c>
      <c r="AA120" s="26" t="s">
        <v>413</v>
      </c>
    </row>
    <row r="121" spans="1:27" ht="42" customHeight="1">
      <c r="A121" s="10" t="s">
        <v>188</v>
      </c>
      <c r="B121" s="10" t="s">
        <v>176</v>
      </c>
      <c r="C121" s="10" t="s">
        <v>531</v>
      </c>
      <c r="D121" s="24" t="s">
        <v>546</v>
      </c>
      <c r="E121" s="24" t="s">
        <v>449</v>
      </c>
      <c r="F121" s="25" t="s">
        <v>527</v>
      </c>
      <c r="G121" s="25" t="s">
        <v>528</v>
      </c>
      <c r="H121" s="10" t="s">
        <v>406</v>
      </c>
      <c r="I121" s="10" t="s">
        <v>407</v>
      </c>
      <c r="J121" s="28">
        <v>12</v>
      </c>
      <c r="K121" s="28">
        <v>25</v>
      </c>
      <c r="L121" s="24"/>
      <c r="M121" s="24"/>
      <c r="N121" s="24"/>
      <c r="O121" s="29">
        <v>46023</v>
      </c>
      <c r="P121" s="29"/>
      <c r="Q121" s="24">
        <v>100</v>
      </c>
      <c r="R121" s="24" t="s">
        <v>69</v>
      </c>
      <c r="S121" s="10"/>
      <c r="T121" s="10" t="s">
        <v>409</v>
      </c>
      <c r="U121" s="10"/>
      <c r="V121" s="10" t="s">
        <v>469</v>
      </c>
      <c r="W121" s="14">
        <f>IF(AND(ISNUMBER(Übersicht!$B$4),Übersicht!$B$4=INT(Übersicht!$B$4),Übersicht!$B$4&gt;=2026,Übersicht!$B$4&lt;=2028),IF(I121="fixedMonthDay",IF(AND(ISNUMBER(J121),J121=INT(J121),J121&gt;=1,J121&lt;=12,ISNUMBER(K121),K121=INT(K121),K121&gt;=1,K121&lt;=31,MONTH(DATE(Übersicht!$B$4,J121,K121))=J121,DAY(DATE(Übersicht!$B$4,J121,K121))=K121,L121="",M121="",N121=""),DATE(Übersicht!$B$4,J121,K121),NA()),IF(I121="easterOffsetDays",IF(AND(ISNUMBER(L121),L121=INT(L121),L121&gt;=-366,L121&lt;=366,J121="",K121="",M121="",N121=""),$AD$23+L121,NA()),IF(I121="nthWeekdayOfMonth",IF(AND(ISNUMBER(J121),J121=INT(J121),J121&gt;=1,J121&lt;=12,ISNUMBER(M121),M121=INT(M121),M121&gt;=1,M121&lt;=7,ISNUMBER(N121),N121=INT(N121),N121&gt;=1,N121&lt;=5,MONTH(DATE(Übersicht!$B$4,J121,1)+MOD(M121-WEEKDAY(DATE(Übersicht!$B$4,J121,1),2),7)+7*(N121-1))=J121,K121="",L121=""),DATE(Übersicht!$B$4,J121,1)+MOD(M121-WEEKDAY(DATE(Übersicht!$B$4,J121,1),2),7)+7*(N121-1),NA()),IF(I121="nthWeekdayOffsetDays",IF(AND(ISNUMBER(J121),J121=INT(J121),J121&gt;=1,J121&lt;=12,ISNUMBER(M121),M121=INT(M121),M121&gt;=1,M121&lt;=7,ISNUMBER(N121),N121=INT(N121),N121&gt;=1,N121&lt;=5,MONTH(DATE(Übersicht!$B$4,J121,1)+MOD(M121-WEEKDAY(DATE(Übersicht!$B$4,J121,1),2),7)+7*(N121-1))=J121,K121="",ISNUMBER(L121),L121=INT(L121),L121&gt;=-366,L121&lt;=366),DATE(Übersicht!$B$4,J121,1)+MOD(M121-WEEKDAY(DATE(Übersicht!$B$4,J121,1),2),7)+7*(N121-1)+L121,NA()),NA())))),NA())</f>
        <v>46746</v>
      </c>
      <c r="X121" s="14">
        <f t="shared" si="3"/>
        <v>46746</v>
      </c>
      <c r="Y121" s="10" t="s">
        <v>533</v>
      </c>
      <c r="Z121" s="10" t="s">
        <v>536</v>
      </c>
      <c r="AA121" s="24" t="s">
        <v>413</v>
      </c>
    </row>
    <row r="122" spans="1:27" ht="42" customHeight="1">
      <c r="A122" s="11" t="s">
        <v>189</v>
      </c>
      <c r="B122" s="11" t="s">
        <v>176</v>
      </c>
      <c r="C122" s="11" t="s">
        <v>531</v>
      </c>
      <c r="D122" s="26" t="s">
        <v>547</v>
      </c>
      <c r="E122" s="26" t="s">
        <v>452</v>
      </c>
      <c r="F122" s="27" t="s">
        <v>529</v>
      </c>
      <c r="G122" s="27" t="s">
        <v>530</v>
      </c>
      <c r="H122" s="11" t="s">
        <v>406</v>
      </c>
      <c r="I122" s="11" t="s">
        <v>407</v>
      </c>
      <c r="J122" s="30">
        <v>12</v>
      </c>
      <c r="K122" s="30">
        <v>26</v>
      </c>
      <c r="L122" s="26"/>
      <c r="M122" s="26"/>
      <c r="N122" s="26"/>
      <c r="O122" s="31">
        <v>46023</v>
      </c>
      <c r="P122" s="31"/>
      <c r="Q122" s="26">
        <v>100</v>
      </c>
      <c r="R122" s="26" t="s">
        <v>69</v>
      </c>
      <c r="S122" s="11"/>
      <c r="T122" s="11" t="s">
        <v>409</v>
      </c>
      <c r="U122" s="11"/>
      <c r="V122" s="11" t="s">
        <v>469</v>
      </c>
      <c r="W122" s="15">
        <f>IF(AND(ISNUMBER(Übersicht!$B$4),Übersicht!$B$4=INT(Übersicht!$B$4),Übersicht!$B$4&gt;=2026,Übersicht!$B$4&lt;=2028),IF(I122="fixedMonthDay",IF(AND(ISNUMBER(J122),J122=INT(J122),J122&gt;=1,J122&lt;=12,ISNUMBER(K122),K122=INT(K122),K122&gt;=1,K122&lt;=31,MONTH(DATE(Übersicht!$B$4,J122,K122))=J122,DAY(DATE(Übersicht!$B$4,J122,K122))=K122,L122="",M122="",N122=""),DATE(Übersicht!$B$4,J122,K122),NA()),IF(I122="easterOffsetDays",IF(AND(ISNUMBER(L122),L122=INT(L122),L122&gt;=-366,L122&lt;=366,J122="",K122="",M122="",N122=""),$AD$23+L122,NA()),IF(I122="nthWeekdayOfMonth",IF(AND(ISNUMBER(J122),J122=INT(J122),J122&gt;=1,J122&lt;=12,ISNUMBER(M122),M122=INT(M122),M122&gt;=1,M122&lt;=7,ISNUMBER(N122),N122=INT(N122),N122&gt;=1,N122&lt;=5,MONTH(DATE(Übersicht!$B$4,J122,1)+MOD(M122-WEEKDAY(DATE(Übersicht!$B$4,J122,1),2),7)+7*(N122-1))=J122,K122="",L122=""),DATE(Übersicht!$B$4,J122,1)+MOD(M122-WEEKDAY(DATE(Übersicht!$B$4,J122,1),2),7)+7*(N122-1),NA()),IF(I122="nthWeekdayOffsetDays",IF(AND(ISNUMBER(J122),J122=INT(J122),J122&gt;=1,J122&lt;=12,ISNUMBER(M122),M122=INT(M122),M122&gt;=1,M122&lt;=7,ISNUMBER(N122),N122=INT(N122),N122&gt;=1,N122&lt;=5,MONTH(DATE(Übersicht!$B$4,J122,1)+MOD(M122-WEEKDAY(DATE(Übersicht!$B$4,J122,1),2),7)+7*(N122-1))=J122,K122="",ISNUMBER(L122),L122=INT(L122),L122&gt;=-366,L122&lt;=366),DATE(Übersicht!$B$4,J122,1)+MOD(M122-WEEKDAY(DATE(Übersicht!$B$4,J122,1),2),7)+7*(N122-1)+L122,NA()),NA())))),NA())</f>
        <v>46747</v>
      </c>
      <c r="X122" s="15">
        <f t="shared" si="3"/>
        <v>46747</v>
      </c>
      <c r="Y122" s="11" t="s">
        <v>533</v>
      </c>
      <c r="Z122" s="11" t="s">
        <v>427</v>
      </c>
      <c r="AA122" s="26" t="s">
        <v>413</v>
      </c>
    </row>
    <row r="123" spans="1:27" ht="44" customHeight="1">
      <c r="A123" s="10" t="s">
        <v>192</v>
      </c>
      <c r="B123" s="10" t="s">
        <v>190</v>
      </c>
      <c r="C123" s="10" t="s">
        <v>548</v>
      </c>
      <c r="D123" s="24" t="s">
        <v>416</v>
      </c>
      <c r="E123" s="24" t="s">
        <v>417</v>
      </c>
      <c r="F123" s="25" t="s">
        <v>494</v>
      </c>
      <c r="G123" s="25" t="s">
        <v>495</v>
      </c>
      <c r="H123" s="10" t="s">
        <v>406</v>
      </c>
      <c r="I123" s="10" t="s">
        <v>407</v>
      </c>
      <c r="J123" s="28">
        <v>1</v>
      </c>
      <c r="K123" s="28">
        <v>1</v>
      </c>
      <c r="L123" s="24"/>
      <c r="M123" s="24"/>
      <c r="N123" s="24"/>
      <c r="O123" s="29">
        <v>46023</v>
      </c>
      <c r="P123" s="29"/>
      <c r="Q123" s="24">
        <v>100</v>
      </c>
      <c r="R123" s="24" t="s">
        <v>69</v>
      </c>
      <c r="S123" s="10"/>
      <c r="T123" s="10" t="s">
        <v>409</v>
      </c>
      <c r="U123" s="10"/>
      <c r="V123" s="10" t="s">
        <v>469</v>
      </c>
      <c r="W123" s="14">
        <f>IF(AND(ISNUMBER(Übersicht!$B$4),Übersicht!$B$4=INT(Übersicht!$B$4),Übersicht!$B$4&gt;=2026,Übersicht!$B$4&lt;=2028),IF(I123="fixedMonthDay",IF(AND(ISNUMBER(J123),J123=INT(J123),J123&gt;=1,J123&lt;=12,ISNUMBER(K123),K123=INT(K123),K123&gt;=1,K123&lt;=31,MONTH(DATE(Übersicht!$B$4,J123,K123))=J123,DAY(DATE(Übersicht!$B$4,J123,K123))=K123,L123="",M123="",N123=""),DATE(Übersicht!$B$4,J123,K123),NA()),IF(I123="easterOffsetDays",IF(AND(ISNUMBER(L123),L123=INT(L123),L123&gt;=-366,L123&lt;=366,J123="",K123="",M123="",N123=""),$AD$23+L123,NA()),IF(I123="nthWeekdayOfMonth",IF(AND(ISNUMBER(J123),J123=INT(J123),J123&gt;=1,J123&lt;=12,ISNUMBER(M123),M123=INT(M123),M123&gt;=1,M123&lt;=7,ISNUMBER(N123),N123=INT(N123),N123&gt;=1,N123&lt;=5,MONTH(DATE(Übersicht!$B$4,J123,1)+MOD(M123-WEEKDAY(DATE(Übersicht!$B$4,J123,1),2),7)+7*(N123-1))=J123,K123="",L123=""),DATE(Übersicht!$B$4,J123,1)+MOD(M123-WEEKDAY(DATE(Übersicht!$B$4,J123,1),2),7)+7*(N123-1),NA()),IF(I123="nthWeekdayOffsetDays",IF(AND(ISNUMBER(J123),J123=INT(J123),J123&gt;=1,J123&lt;=12,ISNUMBER(M123),M123=INT(M123),M123&gt;=1,M123&lt;=7,ISNUMBER(N123),N123=INT(N123),N123&gt;=1,N123&lt;=5,MONTH(DATE(Übersicht!$B$4,J123,1)+MOD(M123-WEEKDAY(DATE(Übersicht!$B$4,J123,1),2),7)+7*(N123-1))=J123,K123="",ISNUMBER(L123),L123=INT(L123),L123&gt;=-366,L123&lt;=366),DATE(Übersicht!$B$4,J123,1)+MOD(M123-WEEKDAY(DATE(Übersicht!$B$4,J123,1),2),7)+7*(N123-1)+L123,NA()),NA())))),NA())</f>
        <v>46388</v>
      </c>
      <c r="X123" s="14">
        <f t="shared" si="3"/>
        <v>46388</v>
      </c>
      <c r="Y123" s="10" t="s">
        <v>549</v>
      </c>
      <c r="Z123" s="10" t="s">
        <v>412</v>
      </c>
      <c r="AA123" s="24" t="s">
        <v>413</v>
      </c>
    </row>
    <row r="124" spans="1:27" ht="44" customHeight="1">
      <c r="A124" s="11" t="s">
        <v>194</v>
      </c>
      <c r="B124" s="11" t="s">
        <v>190</v>
      </c>
      <c r="C124" s="11" t="s">
        <v>548</v>
      </c>
      <c r="D124" s="26" t="s">
        <v>501</v>
      </c>
      <c r="E124" s="26" t="s">
        <v>502</v>
      </c>
      <c r="F124" s="27" t="s">
        <v>503</v>
      </c>
      <c r="G124" s="27" t="s">
        <v>504</v>
      </c>
      <c r="H124" s="11" t="s">
        <v>406</v>
      </c>
      <c r="I124" s="11" t="s">
        <v>407</v>
      </c>
      <c r="J124" s="30">
        <v>3</v>
      </c>
      <c r="K124" s="30">
        <v>19</v>
      </c>
      <c r="L124" s="26"/>
      <c r="M124" s="26"/>
      <c r="N124" s="26"/>
      <c r="O124" s="31">
        <v>46023</v>
      </c>
      <c r="P124" s="31"/>
      <c r="Q124" s="26">
        <v>100</v>
      </c>
      <c r="R124" s="26" t="s">
        <v>69</v>
      </c>
      <c r="S124" s="11"/>
      <c r="T124" s="11" t="s">
        <v>409</v>
      </c>
      <c r="U124" s="11"/>
      <c r="V124" s="11" t="s">
        <v>469</v>
      </c>
      <c r="W124" s="15">
        <f>IF(AND(ISNUMBER(Übersicht!$B$4),Übersicht!$B$4=INT(Übersicht!$B$4),Übersicht!$B$4&gt;=2026,Übersicht!$B$4&lt;=2028),IF(I124="fixedMonthDay",IF(AND(ISNUMBER(J124),J124=INT(J124),J124&gt;=1,J124&lt;=12,ISNUMBER(K124),K124=INT(K124),K124&gt;=1,K124&lt;=31,MONTH(DATE(Übersicht!$B$4,J124,K124))=J124,DAY(DATE(Übersicht!$B$4,J124,K124))=K124,L124="",M124="",N124=""),DATE(Übersicht!$B$4,J124,K124),NA()),IF(I124="easterOffsetDays",IF(AND(ISNUMBER(L124),L124=INT(L124),L124&gt;=-366,L124&lt;=366,J124="",K124="",M124="",N124=""),$AD$23+L124,NA()),IF(I124="nthWeekdayOfMonth",IF(AND(ISNUMBER(J124),J124=INT(J124),J124&gt;=1,J124&lt;=12,ISNUMBER(M124),M124=INT(M124),M124&gt;=1,M124&lt;=7,ISNUMBER(N124),N124=INT(N124),N124&gt;=1,N124&lt;=5,MONTH(DATE(Übersicht!$B$4,J124,1)+MOD(M124-WEEKDAY(DATE(Übersicht!$B$4,J124,1),2),7)+7*(N124-1))=J124,K124="",L124=""),DATE(Übersicht!$B$4,J124,1)+MOD(M124-WEEKDAY(DATE(Übersicht!$B$4,J124,1),2),7)+7*(N124-1),NA()),IF(I124="nthWeekdayOffsetDays",IF(AND(ISNUMBER(J124),J124=INT(J124),J124&gt;=1,J124&lt;=12,ISNUMBER(M124),M124=INT(M124),M124&gt;=1,M124&lt;=7,ISNUMBER(N124),N124=INT(N124),N124&gt;=1,N124&lt;=5,MONTH(DATE(Übersicht!$B$4,J124,1)+MOD(M124-WEEKDAY(DATE(Übersicht!$B$4,J124,1),2),7)+7*(N124-1))=J124,K124="",ISNUMBER(L124),L124=INT(L124),L124&gt;=-366,L124&lt;=366),DATE(Übersicht!$B$4,J124,1)+MOD(M124-WEEKDAY(DATE(Übersicht!$B$4,J124,1),2),7)+7*(N124-1)+L124,NA()),NA())))),NA())</f>
        <v>46465</v>
      </c>
      <c r="X124" s="15">
        <f t="shared" si="3"/>
        <v>46465</v>
      </c>
      <c r="Y124" s="11" t="s">
        <v>549</v>
      </c>
      <c r="Z124" s="11" t="s">
        <v>412</v>
      </c>
      <c r="AA124" s="26" t="s">
        <v>413</v>
      </c>
    </row>
    <row r="125" spans="1:27" ht="44" customHeight="1">
      <c r="A125" s="10" t="s">
        <v>195</v>
      </c>
      <c r="B125" s="10" t="s">
        <v>190</v>
      </c>
      <c r="C125" s="10" t="s">
        <v>548</v>
      </c>
      <c r="D125" s="24" t="s">
        <v>435</v>
      </c>
      <c r="E125" s="24" t="s">
        <v>436</v>
      </c>
      <c r="F125" s="25" t="s">
        <v>509</v>
      </c>
      <c r="G125" s="25" t="s">
        <v>510</v>
      </c>
      <c r="H125" s="10" t="s">
        <v>406</v>
      </c>
      <c r="I125" s="10" t="s">
        <v>426</v>
      </c>
      <c r="J125" s="28"/>
      <c r="K125" s="28"/>
      <c r="L125" s="24">
        <v>39</v>
      </c>
      <c r="M125" s="24"/>
      <c r="N125" s="24"/>
      <c r="O125" s="29">
        <v>46023</v>
      </c>
      <c r="P125" s="29"/>
      <c r="Q125" s="24">
        <v>100</v>
      </c>
      <c r="R125" s="24" t="s">
        <v>69</v>
      </c>
      <c r="S125" s="10"/>
      <c r="T125" s="10" t="s">
        <v>409</v>
      </c>
      <c r="U125" s="10"/>
      <c r="V125" s="10" t="s">
        <v>469</v>
      </c>
      <c r="W125" s="14">
        <f>IF(AND(ISNUMBER(Übersicht!$B$4),Übersicht!$B$4=INT(Übersicht!$B$4),Übersicht!$B$4&gt;=2026,Übersicht!$B$4&lt;=2028),IF(I125="fixedMonthDay",IF(AND(ISNUMBER(J125),J125=INT(J125),J125&gt;=1,J125&lt;=12,ISNUMBER(K125),K125=INT(K125),K125&gt;=1,K125&lt;=31,MONTH(DATE(Übersicht!$B$4,J125,K125))=J125,DAY(DATE(Übersicht!$B$4,J125,K125))=K125,L125="",M125="",N125=""),DATE(Übersicht!$B$4,J125,K125),NA()),IF(I125="easterOffsetDays",IF(AND(ISNUMBER(L125),L125=INT(L125),L125&gt;=-366,L125&lt;=366,J125="",K125="",M125="",N125=""),$AD$23+L125,NA()),IF(I125="nthWeekdayOfMonth",IF(AND(ISNUMBER(J125),J125=INT(J125),J125&gt;=1,J125&lt;=12,ISNUMBER(M125),M125=INT(M125),M125&gt;=1,M125&lt;=7,ISNUMBER(N125),N125=INT(N125),N125&gt;=1,N125&lt;=5,MONTH(DATE(Übersicht!$B$4,J125,1)+MOD(M125-WEEKDAY(DATE(Übersicht!$B$4,J125,1),2),7)+7*(N125-1))=J125,K125="",L125=""),DATE(Übersicht!$B$4,J125,1)+MOD(M125-WEEKDAY(DATE(Übersicht!$B$4,J125,1),2),7)+7*(N125-1),NA()),IF(I125="nthWeekdayOffsetDays",IF(AND(ISNUMBER(J125),J125=INT(J125),J125&gt;=1,J125&lt;=12,ISNUMBER(M125),M125=INT(M125),M125&gt;=1,M125&lt;=7,ISNUMBER(N125),N125=INT(N125),N125&gt;=1,N125&lt;=5,MONTH(DATE(Übersicht!$B$4,J125,1)+MOD(M125-WEEKDAY(DATE(Übersicht!$B$4,J125,1),2),7)+7*(N125-1))=J125,K125="",ISNUMBER(L125),L125=INT(L125),L125&gt;=-366,L125&lt;=366),DATE(Übersicht!$B$4,J125,1)+MOD(M125-WEEKDAY(DATE(Übersicht!$B$4,J125,1),2),7)+7*(N125-1)+L125,NA()),NA())))),NA())</f>
        <v>46513</v>
      </c>
      <c r="X125" s="14">
        <f t="shared" si="3"/>
        <v>46513</v>
      </c>
      <c r="Y125" s="10" t="s">
        <v>549</v>
      </c>
      <c r="Z125" s="10" t="s">
        <v>412</v>
      </c>
      <c r="AA125" s="24" t="s">
        <v>413</v>
      </c>
    </row>
    <row r="126" spans="1:27" ht="44" customHeight="1">
      <c r="A126" s="11" t="s">
        <v>196</v>
      </c>
      <c r="B126" s="11" t="s">
        <v>190</v>
      </c>
      <c r="C126" s="11" t="s">
        <v>548</v>
      </c>
      <c r="D126" s="26" t="s">
        <v>455</v>
      </c>
      <c r="E126" s="26" t="s">
        <v>456</v>
      </c>
      <c r="F126" s="27" t="s">
        <v>513</v>
      </c>
      <c r="G126" s="27" t="s">
        <v>514</v>
      </c>
      <c r="H126" s="11" t="s">
        <v>406</v>
      </c>
      <c r="I126" s="11" t="s">
        <v>426</v>
      </c>
      <c r="J126" s="30"/>
      <c r="K126" s="30"/>
      <c r="L126" s="26">
        <v>60</v>
      </c>
      <c r="M126" s="26"/>
      <c r="N126" s="26"/>
      <c r="O126" s="31">
        <v>46023</v>
      </c>
      <c r="P126" s="31"/>
      <c r="Q126" s="26">
        <v>100</v>
      </c>
      <c r="R126" s="26" t="s">
        <v>69</v>
      </c>
      <c r="S126" s="11"/>
      <c r="T126" s="11" t="s">
        <v>409</v>
      </c>
      <c r="U126" s="11"/>
      <c r="V126" s="11" t="s">
        <v>469</v>
      </c>
      <c r="W126" s="15">
        <f>IF(AND(ISNUMBER(Übersicht!$B$4),Übersicht!$B$4=INT(Übersicht!$B$4),Übersicht!$B$4&gt;=2026,Übersicht!$B$4&lt;=2028),IF(I126="fixedMonthDay",IF(AND(ISNUMBER(J126),J126=INT(J126),J126&gt;=1,J126&lt;=12,ISNUMBER(K126),K126=INT(K126),K126&gt;=1,K126&lt;=31,MONTH(DATE(Übersicht!$B$4,J126,K126))=J126,DAY(DATE(Übersicht!$B$4,J126,K126))=K126,L126="",M126="",N126=""),DATE(Übersicht!$B$4,J126,K126),NA()),IF(I126="easterOffsetDays",IF(AND(ISNUMBER(L126),L126=INT(L126),L126&gt;=-366,L126&lt;=366,J126="",K126="",M126="",N126=""),$AD$23+L126,NA()),IF(I126="nthWeekdayOfMonth",IF(AND(ISNUMBER(J126),J126=INT(J126),J126&gt;=1,J126&lt;=12,ISNUMBER(M126),M126=INT(M126),M126&gt;=1,M126&lt;=7,ISNUMBER(N126),N126=INT(N126),N126&gt;=1,N126&lt;=5,MONTH(DATE(Übersicht!$B$4,J126,1)+MOD(M126-WEEKDAY(DATE(Übersicht!$B$4,J126,1),2),7)+7*(N126-1))=J126,K126="",L126=""),DATE(Übersicht!$B$4,J126,1)+MOD(M126-WEEKDAY(DATE(Übersicht!$B$4,J126,1),2),7)+7*(N126-1),NA()),IF(I126="nthWeekdayOffsetDays",IF(AND(ISNUMBER(J126),J126=INT(J126),J126&gt;=1,J126&lt;=12,ISNUMBER(M126),M126=INT(M126),M126&gt;=1,M126&lt;=7,ISNUMBER(N126),N126=INT(N126),N126&gt;=1,N126&lt;=5,MONTH(DATE(Übersicht!$B$4,J126,1)+MOD(M126-WEEKDAY(DATE(Übersicht!$B$4,J126,1),2),7)+7*(N126-1))=J126,K126="",ISNUMBER(L126),L126=INT(L126),L126&gt;=-366,L126&lt;=366),DATE(Übersicht!$B$4,J126,1)+MOD(M126-WEEKDAY(DATE(Übersicht!$B$4,J126,1),2),7)+7*(N126-1)+L126,NA()),NA())))),NA())</f>
        <v>46534</v>
      </c>
      <c r="X126" s="15">
        <f t="shared" si="3"/>
        <v>46534</v>
      </c>
      <c r="Y126" s="11" t="s">
        <v>549</v>
      </c>
      <c r="Z126" s="11" t="s">
        <v>412</v>
      </c>
      <c r="AA126" s="26" t="s">
        <v>413</v>
      </c>
    </row>
    <row r="127" spans="1:27" ht="44" customHeight="1">
      <c r="A127" s="10" t="s">
        <v>197</v>
      </c>
      <c r="B127" s="10" t="s">
        <v>190</v>
      </c>
      <c r="C127" s="10" t="s">
        <v>548</v>
      </c>
      <c r="D127" s="24" t="s">
        <v>404</v>
      </c>
      <c r="E127" s="24" t="s">
        <v>405</v>
      </c>
      <c r="F127" s="25" t="s">
        <v>519</v>
      </c>
      <c r="G127" s="25" t="s">
        <v>520</v>
      </c>
      <c r="H127" s="10" t="s">
        <v>406</v>
      </c>
      <c r="I127" s="10" t="s">
        <v>407</v>
      </c>
      <c r="J127" s="28">
        <v>8</v>
      </c>
      <c r="K127" s="28">
        <v>1</v>
      </c>
      <c r="L127" s="24"/>
      <c r="M127" s="24"/>
      <c r="N127" s="24"/>
      <c r="O127" s="29">
        <v>46023</v>
      </c>
      <c r="P127" s="29"/>
      <c r="Q127" s="24">
        <v>100</v>
      </c>
      <c r="R127" s="24" t="s">
        <v>69</v>
      </c>
      <c r="S127" s="10"/>
      <c r="T127" s="10" t="s">
        <v>409</v>
      </c>
      <c r="U127" s="10"/>
      <c r="V127" s="10" t="s">
        <v>469</v>
      </c>
      <c r="W127" s="14">
        <f>IF(AND(ISNUMBER(Übersicht!$B$4),Übersicht!$B$4=INT(Übersicht!$B$4),Übersicht!$B$4&gt;=2026,Übersicht!$B$4&lt;=2028),IF(I127="fixedMonthDay",IF(AND(ISNUMBER(J127),J127=INT(J127),J127&gt;=1,J127&lt;=12,ISNUMBER(K127),K127=INT(K127),K127&gt;=1,K127&lt;=31,MONTH(DATE(Übersicht!$B$4,J127,K127))=J127,DAY(DATE(Übersicht!$B$4,J127,K127))=K127,L127="",M127="",N127=""),DATE(Übersicht!$B$4,J127,K127),NA()),IF(I127="easterOffsetDays",IF(AND(ISNUMBER(L127),L127=INT(L127),L127&gt;=-366,L127&lt;=366,J127="",K127="",M127="",N127=""),$AD$23+L127,NA()),IF(I127="nthWeekdayOfMonth",IF(AND(ISNUMBER(J127),J127=INT(J127),J127&gt;=1,J127&lt;=12,ISNUMBER(M127),M127=INT(M127),M127&gt;=1,M127&lt;=7,ISNUMBER(N127),N127=INT(N127),N127&gt;=1,N127&lt;=5,MONTH(DATE(Übersicht!$B$4,J127,1)+MOD(M127-WEEKDAY(DATE(Übersicht!$B$4,J127,1),2),7)+7*(N127-1))=J127,K127="",L127=""),DATE(Übersicht!$B$4,J127,1)+MOD(M127-WEEKDAY(DATE(Übersicht!$B$4,J127,1),2),7)+7*(N127-1),NA()),IF(I127="nthWeekdayOffsetDays",IF(AND(ISNUMBER(J127),J127=INT(J127),J127&gt;=1,J127&lt;=12,ISNUMBER(M127),M127=INT(M127),M127&gt;=1,M127&lt;=7,ISNUMBER(N127),N127=INT(N127),N127&gt;=1,N127&lt;=5,MONTH(DATE(Übersicht!$B$4,J127,1)+MOD(M127-WEEKDAY(DATE(Übersicht!$B$4,J127,1),2),7)+7*(N127-1))=J127,K127="",ISNUMBER(L127),L127=INT(L127),L127&gt;=-366,L127&lt;=366),DATE(Übersicht!$B$4,J127,1)+MOD(M127-WEEKDAY(DATE(Übersicht!$B$4,J127,1),2),7)+7*(N127-1)+L127,NA()),NA())))),NA())</f>
        <v>46600</v>
      </c>
      <c r="X127" s="14">
        <f t="shared" si="3"/>
        <v>46600</v>
      </c>
      <c r="Y127" s="10" t="s">
        <v>411</v>
      </c>
      <c r="Z127" s="10" t="s">
        <v>412</v>
      </c>
      <c r="AA127" s="24" t="s">
        <v>413</v>
      </c>
    </row>
    <row r="128" spans="1:27" ht="44" customHeight="1">
      <c r="A128" s="11" t="s">
        <v>198</v>
      </c>
      <c r="B128" s="11" t="s">
        <v>190</v>
      </c>
      <c r="C128" s="11" t="s">
        <v>548</v>
      </c>
      <c r="D128" s="26" t="s">
        <v>479</v>
      </c>
      <c r="E128" s="26" t="s">
        <v>480</v>
      </c>
      <c r="F128" s="27" t="s">
        <v>521</v>
      </c>
      <c r="G128" s="27" t="s">
        <v>522</v>
      </c>
      <c r="H128" s="11" t="s">
        <v>406</v>
      </c>
      <c r="I128" s="11" t="s">
        <v>407</v>
      </c>
      <c r="J128" s="30">
        <v>8</v>
      </c>
      <c r="K128" s="30">
        <v>15</v>
      </c>
      <c r="L128" s="26"/>
      <c r="M128" s="26"/>
      <c r="N128" s="26"/>
      <c r="O128" s="31">
        <v>46023</v>
      </c>
      <c r="P128" s="31"/>
      <c r="Q128" s="26">
        <v>100</v>
      </c>
      <c r="R128" s="26" t="s">
        <v>69</v>
      </c>
      <c r="S128" s="11"/>
      <c r="T128" s="11" t="s">
        <v>409</v>
      </c>
      <c r="U128" s="11"/>
      <c r="V128" s="11" t="s">
        <v>469</v>
      </c>
      <c r="W128" s="15">
        <f>IF(AND(ISNUMBER(Übersicht!$B$4),Übersicht!$B$4=INT(Übersicht!$B$4),Übersicht!$B$4&gt;=2026,Übersicht!$B$4&lt;=2028),IF(I128="fixedMonthDay",IF(AND(ISNUMBER(J128),J128=INT(J128),J128&gt;=1,J128&lt;=12,ISNUMBER(K128),K128=INT(K128),K128&gt;=1,K128&lt;=31,MONTH(DATE(Übersicht!$B$4,J128,K128))=J128,DAY(DATE(Übersicht!$B$4,J128,K128))=K128,L128="",M128="",N128=""),DATE(Übersicht!$B$4,J128,K128),NA()),IF(I128="easterOffsetDays",IF(AND(ISNUMBER(L128),L128=INT(L128),L128&gt;=-366,L128&lt;=366,J128="",K128="",M128="",N128=""),$AD$23+L128,NA()),IF(I128="nthWeekdayOfMonth",IF(AND(ISNUMBER(J128),J128=INT(J128),J128&gt;=1,J128&lt;=12,ISNUMBER(M128),M128=INT(M128),M128&gt;=1,M128&lt;=7,ISNUMBER(N128),N128=INT(N128),N128&gt;=1,N128&lt;=5,MONTH(DATE(Übersicht!$B$4,J128,1)+MOD(M128-WEEKDAY(DATE(Übersicht!$B$4,J128,1),2),7)+7*(N128-1))=J128,K128="",L128=""),DATE(Übersicht!$B$4,J128,1)+MOD(M128-WEEKDAY(DATE(Übersicht!$B$4,J128,1),2),7)+7*(N128-1),NA()),IF(I128="nthWeekdayOffsetDays",IF(AND(ISNUMBER(J128),J128=INT(J128),J128&gt;=1,J128&lt;=12,ISNUMBER(M128),M128=INT(M128),M128&gt;=1,M128&lt;=7,ISNUMBER(N128),N128=INT(N128),N128&gt;=1,N128&lt;=5,MONTH(DATE(Übersicht!$B$4,J128,1)+MOD(M128-WEEKDAY(DATE(Übersicht!$B$4,J128,1),2),7)+7*(N128-1))=J128,K128="",ISNUMBER(L128),L128=INT(L128),L128&gt;=-366,L128&lt;=366),DATE(Übersicht!$B$4,J128,1)+MOD(M128-WEEKDAY(DATE(Übersicht!$B$4,J128,1),2),7)+7*(N128-1)+L128,NA()),NA())))),NA())</f>
        <v>46614</v>
      </c>
      <c r="X128" s="15">
        <f t="shared" si="3"/>
        <v>46614</v>
      </c>
      <c r="Y128" s="11" t="s">
        <v>549</v>
      </c>
      <c r="Z128" s="11" t="s">
        <v>412</v>
      </c>
      <c r="AA128" s="26" t="s">
        <v>413</v>
      </c>
    </row>
    <row r="129" spans="1:27" ht="44" customHeight="1">
      <c r="A129" s="10" t="s">
        <v>199</v>
      </c>
      <c r="B129" s="10" t="s">
        <v>190</v>
      </c>
      <c r="C129" s="10" t="s">
        <v>548</v>
      </c>
      <c r="D129" s="24" t="s">
        <v>466</v>
      </c>
      <c r="E129" s="24" t="s">
        <v>467</v>
      </c>
      <c r="F129" s="25" t="s">
        <v>523</v>
      </c>
      <c r="G129" s="25" t="s">
        <v>524</v>
      </c>
      <c r="H129" s="10" t="s">
        <v>406</v>
      </c>
      <c r="I129" s="10" t="s">
        <v>407</v>
      </c>
      <c r="J129" s="28">
        <v>11</v>
      </c>
      <c r="K129" s="28">
        <v>1</v>
      </c>
      <c r="L129" s="24"/>
      <c r="M129" s="24"/>
      <c r="N129" s="24"/>
      <c r="O129" s="29">
        <v>46023</v>
      </c>
      <c r="P129" s="29"/>
      <c r="Q129" s="24">
        <v>100</v>
      </c>
      <c r="R129" s="24" t="s">
        <v>69</v>
      </c>
      <c r="S129" s="10"/>
      <c r="T129" s="10" t="s">
        <v>409</v>
      </c>
      <c r="U129" s="10"/>
      <c r="V129" s="10" t="s">
        <v>469</v>
      </c>
      <c r="W129" s="14">
        <f>IF(AND(ISNUMBER(Übersicht!$B$4),Übersicht!$B$4=INT(Übersicht!$B$4),Übersicht!$B$4&gt;=2026,Übersicht!$B$4&lt;=2028),IF(I129="fixedMonthDay",IF(AND(ISNUMBER(J129),J129=INT(J129),J129&gt;=1,J129&lt;=12,ISNUMBER(K129),K129=INT(K129),K129&gt;=1,K129&lt;=31,MONTH(DATE(Übersicht!$B$4,J129,K129))=J129,DAY(DATE(Übersicht!$B$4,J129,K129))=K129,L129="",M129="",N129=""),DATE(Übersicht!$B$4,J129,K129),NA()),IF(I129="easterOffsetDays",IF(AND(ISNUMBER(L129),L129=INT(L129),L129&gt;=-366,L129&lt;=366,J129="",K129="",M129="",N129=""),$AD$23+L129,NA()),IF(I129="nthWeekdayOfMonth",IF(AND(ISNUMBER(J129),J129=INT(J129),J129&gt;=1,J129&lt;=12,ISNUMBER(M129),M129=INT(M129),M129&gt;=1,M129&lt;=7,ISNUMBER(N129),N129=INT(N129),N129&gt;=1,N129&lt;=5,MONTH(DATE(Übersicht!$B$4,J129,1)+MOD(M129-WEEKDAY(DATE(Übersicht!$B$4,J129,1),2),7)+7*(N129-1))=J129,K129="",L129=""),DATE(Übersicht!$B$4,J129,1)+MOD(M129-WEEKDAY(DATE(Übersicht!$B$4,J129,1),2),7)+7*(N129-1),NA()),IF(I129="nthWeekdayOffsetDays",IF(AND(ISNUMBER(J129),J129=INT(J129),J129&gt;=1,J129&lt;=12,ISNUMBER(M129),M129=INT(M129),M129&gt;=1,M129&lt;=7,ISNUMBER(N129),N129=INT(N129),N129&gt;=1,N129&lt;=5,MONTH(DATE(Übersicht!$B$4,J129,1)+MOD(M129-WEEKDAY(DATE(Übersicht!$B$4,J129,1),2),7)+7*(N129-1))=J129,K129="",ISNUMBER(L129),L129=INT(L129),L129&gt;=-366,L129&lt;=366),DATE(Übersicht!$B$4,J129,1)+MOD(M129-WEEKDAY(DATE(Übersicht!$B$4,J129,1),2),7)+7*(N129-1)+L129,NA()),NA())))),NA())</f>
        <v>46692</v>
      </c>
      <c r="X129" s="14">
        <f t="shared" si="3"/>
        <v>46692</v>
      </c>
      <c r="Y129" s="10" t="s">
        <v>549</v>
      </c>
      <c r="Z129" s="10" t="s">
        <v>412</v>
      </c>
      <c r="AA129" s="24" t="s">
        <v>413</v>
      </c>
    </row>
    <row r="130" spans="1:27" ht="44" customHeight="1">
      <c r="A130" s="11" t="s">
        <v>200</v>
      </c>
      <c r="B130" s="11" t="s">
        <v>190</v>
      </c>
      <c r="C130" s="11" t="s">
        <v>548</v>
      </c>
      <c r="D130" s="26" t="s">
        <v>483</v>
      </c>
      <c r="E130" s="26" t="s">
        <v>484</v>
      </c>
      <c r="F130" s="27" t="s">
        <v>525</v>
      </c>
      <c r="G130" s="27" t="s">
        <v>526</v>
      </c>
      <c r="H130" s="11" t="s">
        <v>406</v>
      </c>
      <c r="I130" s="11" t="s">
        <v>407</v>
      </c>
      <c r="J130" s="30">
        <v>12</v>
      </c>
      <c r="K130" s="30">
        <v>8</v>
      </c>
      <c r="L130" s="26"/>
      <c r="M130" s="26"/>
      <c r="N130" s="26"/>
      <c r="O130" s="31">
        <v>46023</v>
      </c>
      <c r="P130" s="31"/>
      <c r="Q130" s="26">
        <v>100</v>
      </c>
      <c r="R130" s="26" t="s">
        <v>69</v>
      </c>
      <c r="S130" s="11"/>
      <c r="T130" s="11" t="s">
        <v>409</v>
      </c>
      <c r="U130" s="11"/>
      <c r="V130" s="11" t="s">
        <v>469</v>
      </c>
      <c r="W130" s="15">
        <f>IF(AND(ISNUMBER(Übersicht!$B$4),Übersicht!$B$4=INT(Übersicht!$B$4),Übersicht!$B$4&gt;=2026,Übersicht!$B$4&lt;=2028),IF(I130="fixedMonthDay",IF(AND(ISNUMBER(J130),J130=INT(J130),J130&gt;=1,J130&lt;=12,ISNUMBER(K130),K130=INT(K130),K130&gt;=1,K130&lt;=31,MONTH(DATE(Übersicht!$B$4,J130,K130))=J130,DAY(DATE(Übersicht!$B$4,J130,K130))=K130,L130="",M130="",N130=""),DATE(Übersicht!$B$4,J130,K130),NA()),IF(I130="easterOffsetDays",IF(AND(ISNUMBER(L130),L130=INT(L130),L130&gt;=-366,L130&lt;=366,J130="",K130="",M130="",N130=""),$AD$23+L130,NA()),IF(I130="nthWeekdayOfMonth",IF(AND(ISNUMBER(J130),J130=INT(J130),J130&gt;=1,J130&lt;=12,ISNUMBER(M130),M130=INT(M130),M130&gt;=1,M130&lt;=7,ISNUMBER(N130),N130=INT(N130),N130&gt;=1,N130&lt;=5,MONTH(DATE(Übersicht!$B$4,J130,1)+MOD(M130-WEEKDAY(DATE(Übersicht!$B$4,J130,1),2),7)+7*(N130-1))=J130,K130="",L130=""),DATE(Übersicht!$B$4,J130,1)+MOD(M130-WEEKDAY(DATE(Übersicht!$B$4,J130,1),2),7)+7*(N130-1),NA()),IF(I130="nthWeekdayOffsetDays",IF(AND(ISNUMBER(J130),J130=INT(J130),J130&gt;=1,J130&lt;=12,ISNUMBER(M130),M130=INT(M130),M130&gt;=1,M130&lt;=7,ISNUMBER(N130),N130=INT(N130),N130&gt;=1,N130&lt;=5,MONTH(DATE(Übersicht!$B$4,J130,1)+MOD(M130-WEEKDAY(DATE(Übersicht!$B$4,J130,1),2),7)+7*(N130-1))=J130,K130="",ISNUMBER(L130),L130=INT(L130),L130&gt;=-366,L130&lt;=366),DATE(Übersicht!$B$4,J130,1)+MOD(M130-WEEKDAY(DATE(Übersicht!$B$4,J130,1),2),7)+7*(N130-1)+L130,NA()),NA())))),NA())</f>
        <v>46729</v>
      </c>
      <c r="X130" s="15">
        <f t="shared" si="3"/>
        <v>46729</v>
      </c>
      <c r="Y130" s="11" t="s">
        <v>549</v>
      </c>
      <c r="Z130" s="11" t="s">
        <v>412</v>
      </c>
      <c r="AA130" s="26" t="s">
        <v>413</v>
      </c>
    </row>
    <row r="131" spans="1:27" ht="44" customHeight="1">
      <c r="A131" s="10" t="s">
        <v>201</v>
      </c>
      <c r="B131" s="10" t="s">
        <v>190</v>
      </c>
      <c r="C131" s="10" t="s">
        <v>548</v>
      </c>
      <c r="D131" s="24" t="s">
        <v>448</v>
      </c>
      <c r="E131" s="24" t="s">
        <v>449</v>
      </c>
      <c r="F131" s="25" t="s">
        <v>527</v>
      </c>
      <c r="G131" s="25" t="s">
        <v>528</v>
      </c>
      <c r="H131" s="10" t="s">
        <v>406</v>
      </c>
      <c r="I131" s="10" t="s">
        <v>407</v>
      </c>
      <c r="J131" s="28">
        <v>12</v>
      </c>
      <c r="K131" s="28">
        <v>25</v>
      </c>
      <c r="L131" s="24"/>
      <c r="M131" s="24"/>
      <c r="N131" s="24"/>
      <c r="O131" s="29">
        <v>46023</v>
      </c>
      <c r="P131" s="29"/>
      <c r="Q131" s="24">
        <v>100</v>
      </c>
      <c r="R131" s="24" t="s">
        <v>69</v>
      </c>
      <c r="S131" s="10"/>
      <c r="T131" s="10" t="s">
        <v>409</v>
      </c>
      <c r="U131" s="10"/>
      <c r="V131" s="10" t="s">
        <v>469</v>
      </c>
      <c r="W131" s="14">
        <f>IF(AND(ISNUMBER(Übersicht!$B$4),Übersicht!$B$4=INT(Übersicht!$B$4),Übersicht!$B$4&gt;=2026,Übersicht!$B$4&lt;=2028),IF(I131="fixedMonthDay",IF(AND(ISNUMBER(J131),J131=INT(J131),J131&gt;=1,J131&lt;=12,ISNUMBER(K131),K131=INT(K131),K131&gt;=1,K131&lt;=31,MONTH(DATE(Übersicht!$B$4,J131,K131))=J131,DAY(DATE(Übersicht!$B$4,J131,K131))=K131,L131="",M131="",N131=""),DATE(Übersicht!$B$4,J131,K131),NA()),IF(I131="easterOffsetDays",IF(AND(ISNUMBER(L131),L131=INT(L131),L131&gt;=-366,L131&lt;=366,J131="",K131="",M131="",N131=""),$AD$23+L131,NA()),IF(I131="nthWeekdayOfMonth",IF(AND(ISNUMBER(J131),J131=INT(J131),J131&gt;=1,J131&lt;=12,ISNUMBER(M131),M131=INT(M131),M131&gt;=1,M131&lt;=7,ISNUMBER(N131),N131=INT(N131),N131&gt;=1,N131&lt;=5,MONTH(DATE(Übersicht!$B$4,J131,1)+MOD(M131-WEEKDAY(DATE(Übersicht!$B$4,J131,1),2),7)+7*(N131-1))=J131,K131="",L131=""),DATE(Übersicht!$B$4,J131,1)+MOD(M131-WEEKDAY(DATE(Übersicht!$B$4,J131,1),2),7)+7*(N131-1),NA()),IF(I131="nthWeekdayOffsetDays",IF(AND(ISNUMBER(J131),J131=INT(J131),J131&gt;=1,J131&lt;=12,ISNUMBER(M131),M131=INT(M131),M131&gt;=1,M131&lt;=7,ISNUMBER(N131),N131=INT(N131),N131&gt;=1,N131&lt;=5,MONTH(DATE(Übersicht!$B$4,J131,1)+MOD(M131-WEEKDAY(DATE(Übersicht!$B$4,J131,1),2),7)+7*(N131-1))=J131,K131="",ISNUMBER(L131),L131=INT(L131),L131&gt;=-366,L131&lt;=366),DATE(Übersicht!$B$4,J131,1)+MOD(M131-WEEKDAY(DATE(Übersicht!$B$4,J131,1),2),7)+7*(N131-1)+L131,NA()),NA())))),NA())</f>
        <v>46746</v>
      </c>
      <c r="X131" s="14">
        <f t="shared" si="3"/>
        <v>46746</v>
      </c>
      <c r="Y131" s="10" t="s">
        <v>549</v>
      </c>
      <c r="Z131" s="10" t="s">
        <v>412</v>
      </c>
      <c r="AA131" s="24" t="s">
        <v>413</v>
      </c>
    </row>
    <row r="132" spans="1:27" ht="44" customHeight="1">
      <c r="A132" s="11" t="s">
        <v>203</v>
      </c>
      <c r="B132" s="11" t="s">
        <v>190</v>
      </c>
      <c r="C132" s="11" t="s">
        <v>550</v>
      </c>
      <c r="D132" s="26" t="s">
        <v>551</v>
      </c>
      <c r="E132" s="26" t="s">
        <v>552</v>
      </c>
      <c r="F132" s="27"/>
      <c r="G132" s="27"/>
      <c r="H132" s="11" t="s">
        <v>468</v>
      </c>
      <c r="I132" s="11" t="s">
        <v>407</v>
      </c>
      <c r="J132" s="30">
        <v>1</v>
      </c>
      <c r="K132" s="30">
        <v>2</v>
      </c>
      <c r="L132" s="26"/>
      <c r="M132" s="26"/>
      <c r="N132" s="26"/>
      <c r="O132" s="31">
        <v>46023</v>
      </c>
      <c r="P132" s="31"/>
      <c r="Q132" s="26">
        <v>100</v>
      </c>
      <c r="R132" s="26" t="s">
        <v>69</v>
      </c>
      <c r="S132" s="11"/>
      <c r="T132" s="11" t="s">
        <v>409</v>
      </c>
      <c r="U132" s="11"/>
      <c r="V132" s="11" t="s">
        <v>469</v>
      </c>
      <c r="W132" s="15">
        <f>IF(AND(ISNUMBER(Übersicht!$B$4),Übersicht!$B$4=INT(Übersicht!$B$4),Übersicht!$B$4&gt;=2026,Übersicht!$B$4&lt;=2028),IF(I132="fixedMonthDay",IF(AND(ISNUMBER(J132),J132=INT(J132),J132&gt;=1,J132&lt;=12,ISNUMBER(K132),K132=INT(K132),K132&gt;=1,K132&lt;=31,MONTH(DATE(Übersicht!$B$4,J132,K132))=J132,DAY(DATE(Übersicht!$B$4,J132,K132))=K132,L132="",M132="",N132=""),DATE(Übersicht!$B$4,J132,K132),NA()),IF(I132="easterOffsetDays",IF(AND(ISNUMBER(L132),L132=INT(L132),L132&gt;=-366,L132&lt;=366,J132="",K132="",M132="",N132=""),$AD$23+L132,NA()),IF(I132="nthWeekdayOfMonth",IF(AND(ISNUMBER(J132),J132=INT(J132),J132&gt;=1,J132&lt;=12,ISNUMBER(M132),M132=INT(M132),M132&gt;=1,M132&lt;=7,ISNUMBER(N132),N132=INT(N132),N132&gt;=1,N132&lt;=5,MONTH(DATE(Übersicht!$B$4,J132,1)+MOD(M132-WEEKDAY(DATE(Übersicht!$B$4,J132,1),2),7)+7*(N132-1))=J132,K132="",L132=""),DATE(Übersicht!$B$4,J132,1)+MOD(M132-WEEKDAY(DATE(Übersicht!$B$4,J132,1),2),7)+7*(N132-1),NA()),IF(I132="nthWeekdayOffsetDays",IF(AND(ISNUMBER(J132),J132=INT(J132),J132&gt;=1,J132&lt;=12,ISNUMBER(M132),M132=INT(M132),M132&gt;=1,M132&lt;=7,ISNUMBER(N132),N132=INT(N132),N132&gt;=1,N132&lt;=5,MONTH(DATE(Übersicht!$B$4,J132,1)+MOD(M132-WEEKDAY(DATE(Übersicht!$B$4,J132,1),2),7)+7*(N132-1))=J132,K132="",ISNUMBER(L132),L132=INT(L132),L132&gt;=-366,L132&lt;=366),DATE(Übersicht!$B$4,J132,1)+MOD(M132-WEEKDAY(DATE(Übersicht!$B$4,J132,1),2),7)+7*(N132-1)+L132,NA()),NA())))),NA())</f>
        <v>46389</v>
      </c>
      <c r="X132" s="15">
        <f t="shared" si="3"/>
        <v>46389</v>
      </c>
      <c r="Y132" s="11" t="s">
        <v>553</v>
      </c>
      <c r="Z132" s="11" t="s">
        <v>554</v>
      </c>
      <c r="AA132" s="26" t="s">
        <v>413</v>
      </c>
    </row>
    <row r="133" spans="1:27" ht="44" customHeight="1">
      <c r="A133" s="10" t="s">
        <v>204</v>
      </c>
      <c r="B133" s="10" t="s">
        <v>190</v>
      </c>
      <c r="C133" s="10" t="s">
        <v>550</v>
      </c>
      <c r="D133" s="24" t="s">
        <v>432</v>
      </c>
      <c r="E133" s="24" t="s">
        <v>433</v>
      </c>
      <c r="F133" s="25" t="s">
        <v>505</v>
      </c>
      <c r="G133" s="25" t="s">
        <v>506</v>
      </c>
      <c r="H133" s="10" t="s">
        <v>468</v>
      </c>
      <c r="I133" s="10" t="s">
        <v>426</v>
      </c>
      <c r="J133" s="28"/>
      <c r="K133" s="28"/>
      <c r="L133" s="24">
        <v>1</v>
      </c>
      <c r="M133" s="24"/>
      <c r="N133" s="24"/>
      <c r="O133" s="29">
        <v>46023</v>
      </c>
      <c r="P133" s="29"/>
      <c r="Q133" s="24">
        <v>100</v>
      </c>
      <c r="R133" s="24" t="s">
        <v>69</v>
      </c>
      <c r="S133" s="10"/>
      <c r="T133" s="10" t="s">
        <v>409</v>
      </c>
      <c r="U133" s="10"/>
      <c r="V133" s="10" t="s">
        <v>469</v>
      </c>
      <c r="W133" s="14">
        <f>IF(AND(ISNUMBER(Übersicht!$B$4),Übersicht!$B$4=INT(Übersicht!$B$4),Übersicht!$B$4&gt;=2026,Übersicht!$B$4&lt;=2028),IF(I133="fixedMonthDay",IF(AND(ISNUMBER(J133),J133=INT(J133),J133&gt;=1,J133&lt;=12,ISNUMBER(K133),K133=INT(K133),K133&gt;=1,K133&lt;=31,MONTH(DATE(Übersicht!$B$4,J133,K133))=J133,DAY(DATE(Übersicht!$B$4,J133,K133))=K133,L133="",M133="",N133=""),DATE(Übersicht!$B$4,J133,K133),NA()),IF(I133="easterOffsetDays",IF(AND(ISNUMBER(L133),L133=INT(L133),L133&gt;=-366,L133&lt;=366,J133="",K133="",M133="",N133=""),$AD$23+L133,NA()),IF(I133="nthWeekdayOfMonth",IF(AND(ISNUMBER(J133),J133=INT(J133),J133&gt;=1,J133&lt;=12,ISNUMBER(M133),M133=INT(M133),M133&gt;=1,M133&lt;=7,ISNUMBER(N133),N133=INT(N133),N133&gt;=1,N133&lt;=5,MONTH(DATE(Übersicht!$B$4,J133,1)+MOD(M133-WEEKDAY(DATE(Übersicht!$B$4,J133,1),2),7)+7*(N133-1))=J133,K133="",L133=""),DATE(Übersicht!$B$4,J133,1)+MOD(M133-WEEKDAY(DATE(Übersicht!$B$4,J133,1),2),7)+7*(N133-1),NA()),IF(I133="nthWeekdayOffsetDays",IF(AND(ISNUMBER(J133),J133=INT(J133),J133&gt;=1,J133&lt;=12,ISNUMBER(M133),M133=INT(M133),M133&gt;=1,M133&lt;=7,ISNUMBER(N133),N133=INT(N133),N133&gt;=1,N133&lt;=5,MONTH(DATE(Übersicht!$B$4,J133,1)+MOD(M133-WEEKDAY(DATE(Übersicht!$B$4,J133,1),2),7)+7*(N133-1))=J133,K133="",ISNUMBER(L133),L133=INT(L133),L133&gt;=-366,L133&lt;=366),DATE(Übersicht!$B$4,J133,1)+MOD(M133-WEEKDAY(DATE(Übersicht!$B$4,J133,1),2),7)+7*(N133-1)+L133,NA()),NA())))),NA())</f>
        <v>46475</v>
      </c>
      <c r="X133" s="14">
        <f t="shared" si="3"/>
        <v>46475</v>
      </c>
      <c r="Y133" s="10" t="s">
        <v>553</v>
      </c>
      <c r="Z133" s="10" t="s">
        <v>554</v>
      </c>
      <c r="AA133" s="24" t="s">
        <v>413</v>
      </c>
    </row>
    <row r="134" spans="1:27" ht="44" customHeight="1">
      <c r="A134" s="11" t="s">
        <v>205</v>
      </c>
      <c r="B134" s="11" t="s">
        <v>190</v>
      </c>
      <c r="C134" s="11" t="s">
        <v>550</v>
      </c>
      <c r="D134" s="26" t="s">
        <v>441</v>
      </c>
      <c r="E134" s="26" t="s">
        <v>442</v>
      </c>
      <c r="F134" s="27" t="s">
        <v>511</v>
      </c>
      <c r="G134" s="27" t="s">
        <v>512</v>
      </c>
      <c r="H134" s="11" t="s">
        <v>468</v>
      </c>
      <c r="I134" s="11" t="s">
        <v>426</v>
      </c>
      <c r="J134" s="30"/>
      <c r="K134" s="30"/>
      <c r="L134" s="26">
        <v>50</v>
      </c>
      <c r="M134" s="26"/>
      <c r="N134" s="26"/>
      <c r="O134" s="31">
        <v>46023</v>
      </c>
      <c r="P134" s="31"/>
      <c r="Q134" s="26">
        <v>100</v>
      </c>
      <c r="R134" s="26" t="s">
        <v>69</v>
      </c>
      <c r="S134" s="11"/>
      <c r="T134" s="11" t="s">
        <v>409</v>
      </c>
      <c r="U134" s="11"/>
      <c r="V134" s="11" t="s">
        <v>469</v>
      </c>
      <c r="W134" s="15">
        <f>IF(AND(ISNUMBER(Übersicht!$B$4),Übersicht!$B$4=INT(Übersicht!$B$4),Übersicht!$B$4&gt;=2026,Übersicht!$B$4&lt;=2028),IF(I134="fixedMonthDay",IF(AND(ISNUMBER(J134),J134=INT(J134),J134&gt;=1,J134&lt;=12,ISNUMBER(K134),K134=INT(K134),K134&gt;=1,K134&lt;=31,MONTH(DATE(Übersicht!$B$4,J134,K134))=J134,DAY(DATE(Übersicht!$B$4,J134,K134))=K134,L134="",M134="",N134=""),DATE(Übersicht!$B$4,J134,K134),NA()),IF(I134="easterOffsetDays",IF(AND(ISNUMBER(L134),L134=INT(L134),L134&gt;=-366,L134&lt;=366,J134="",K134="",M134="",N134=""),$AD$23+L134,NA()),IF(I134="nthWeekdayOfMonth",IF(AND(ISNUMBER(J134),J134=INT(J134),J134&gt;=1,J134&lt;=12,ISNUMBER(M134),M134=INT(M134),M134&gt;=1,M134&lt;=7,ISNUMBER(N134),N134=INT(N134),N134&gt;=1,N134&lt;=5,MONTH(DATE(Übersicht!$B$4,J134,1)+MOD(M134-WEEKDAY(DATE(Übersicht!$B$4,J134,1),2),7)+7*(N134-1))=J134,K134="",L134=""),DATE(Übersicht!$B$4,J134,1)+MOD(M134-WEEKDAY(DATE(Übersicht!$B$4,J134,1),2),7)+7*(N134-1),NA()),IF(I134="nthWeekdayOffsetDays",IF(AND(ISNUMBER(J134),J134=INT(J134),J134&gt;=1,J134&lt;=12,ISNUMBER(M134),M134=INT(M134),M134&gt;=1,M134&lt;=7,ISNUMBER(N134),N134=INT(N134),N134&gt;=1,N134&lt;=5,MONTH(DATE(Übersicht!$B$4,J134,1)+MOD(M134-WEEKDAY(DATE(Übersicht!$B$4,J134,1),2),7)+7*(N134-1))=J134,K134="",ISNUMBER(L134),L134=INT(L134),L134&gt;=-366,L134&lt;=366),DATE(Übersicht!$B$4,J134,1)+MOD(M134-WEEKDAY(DATE(Übersicht!$B$4,J134,1),2),7)+7*(N134-1)+L134,NA()),NA())))),NA())</f>
        <v>46524</v>
      </c>
      <c r="X134" s="15">
        <f t="shared" si="3"/>
        <v>46524</v>
      </c>
      <c r="Y134" s="11" t="s">
        <v>553</v>
      </c>
      <c r="Z134" s="11" t="s">
        <v>554</v>
      </c>
      <c r="AA134" s="26" t="s">
        <v>413</v>
      </c>
    </row>
    <row r="135" spans="1:27" ht="44" customHeight="1">
      <c r="A135" s="10" t="s">
        <v>206</v>
      </c>
      <c r="B135" s="10" t="s">
        <v>190</v>
      </c>
      <c r="C135" s="10" t="s">
        <v>550</v>
      </c>
      <c r="D135" s="24" t="s">
        <v>555</v>
      </c>
      <c r="E135" s="24" t="s">
        <v>556</v>
      </c>
      <c r="F135" s="25" t="s">
        <v>529</v>
      </c>
      <c r="G135" s="25" t="s">
        <v>530</v>
      </c>
      <c r="H135" s="10" t="s">
        <v>468</v>
      </c>
      <c r="I135" s="10" t="s">
        <v>407</v>
      </c>
      <c r="J135" s="28">
        <v>12</v>
      </c>
      <c r="K135" s="28">
        <v>26</v>
      </c>
      <c r="L135" s="24"/>
      <c r="M135" s="24"/>
      <c r="N135" s="24"/>
      <c r="O135" s="29">
        <v>46023</v>
      </c>
      <c r="P135" s="29"/>
      <c r="Q135" s="24">
        <v>100</v>
      </c>
      <c r="R135" s="24" t="s">
        <v>69</v>
      </c>
      <c r="S135" s="10"/>
      <c r="T135" s="10" t="s">
        <v>409</v>
      </c>
      <c r="U135" s="10"/>
      <c r="V135" s="10" t="s">
        <v>469</v>
      </c>
      <c r="W135" s="14">
        <f>IF(AND(ISNUMBER(Übersicht!$B$4),Übersicht!$B$4=INT(Übersicht!$B$4),Übersicht!$B$4&gt;=2026,Übersicht!$B$4&lt;=2028),IF(I135="fixedMonthDay",IF(AND(ISNUMBER(J135),J135=INT(J135),J135&gt;=1,J135&lt;=12,ISNUMBER(K135),K135=INT(K135),K135&gt;=1,K135&lt;=31,MONTH(DATE(Übersicht!$B$4,J135,K135))=J135,DAY(DATE(Übersicht!$B$4,J135,K135))=K135,L135="",M135="",N135=""),DATE(Übersicht!$B$4,J135,K135),NA()),IF(I135="easterOffsetDays",IF(AND(ISNUMBER(L135),L135=INT(L135),L135&gt;=-366,L135&lt;=366,J135="",K135="",M135="",N135=""),$AD$23+L135,NA()),IF(I135="nthWeekdayOfMonth",IF(AND(ISNUMBER(J135),J135=INT(J135),J135&gt;=1,J135&lt;=12,ISNUMBER(M135),M135=INT(M135),M135&gt;=1,M135&lt;=7,ISNUMBER(N135),N135=INT(N135),N135&gt;=1,N135&lt;=5,MONTH(DATE(Übersicht!$B$4,J135,1)+MOD(M135-WEEKDAY(DATE(Übersicht!$B$4,J135,1),2),7)+7*(N135-1))=J135,K135="",L135=""),DATE(Übersicht!$B$4,J135,1)+MOD(M135-WEEKDAY(DATE(Übersicht!$B$4,J135,1),2),7)+7*(N135-1),NA()),IF(I135="nthWeekdayOffsetDays",IF(AND(ISNUMBER(J135),J135=INT(J135),J135&gt;=1,J135&lt;=12,ISNUMBER(M135),M135=INT(M135),M135&gt;=1,M135&lt;=7,ISNUMBER(N135),N135=INT(N135),N135&gt;=1,N135&lt;=5,MONTH(DATE(Übersicht!$B$4,J135,1)+MOD(M135-WEEKDAY(DATE(Übersicht!$B$4,J135,1),2),7)+7*(N135-1))=J135,K135="",ISNUMBER(L135),L135=INT(L135),L135&gt;=-366,L135&lt;=366),DATE(Übersicht!$B$4,J135,1)+MOD(M135-WEEKDAY(DATE(Übersicht!$B$4,J135,1),2),7)+7*(N135-1)+L135,NA()),NA())))),NA())</f>
        <v>46747</v>
      </c>
      <c r="X135" s="14">
        <f t="shared" ref="X135:X166" si="4">IF(AND(ISNUMBER(O135),O135=INT(O135),O135&gt;=-115780,O135&lt;=2958465,OR(P135="",AND(ISNUMBER(P135),P135=INT(P135),P135&gt;=-115780,P135&lt;=2958465,P135&gt;=O135)),OR(AA135="Ganztägig",AA135="Ab 12.00 Uhr")),IF(AND(W135&gt;=O135,OR(P135="",W135&lt;=P135)),W135,"Ausserhalb Geltung"),NA())</f>
        <v>46747</v>
      </c>
      <c r="Y135" s="10" t="s">
        <v>553</v>
      </c>
      <c r="Z135" s="10" t="s">
        <v>554</v>
      </c>
      <c r="AA135" s="24" t="s">
        <v>413</v>
      </c>
    </row>
    <row r="136" spans="1:27" ht="44" customHeight="1">
      <c r="A136" s="11" t="s">
        <v>209</v>
      </c>
      <c r="B136" s="11" t="s">
        <v>207</v>
      </c>
      <c r="C136" s="11" t="s">
        <v>557</v>
      </c>
      <c r="D136" s="26" t="s">
        <v>416</v>
      </c>
      <c r="E136" s="26" t="s">
        <v>417</v>
      </c>
      <c r="F136" s="27" t="s">
        <v>494</v>
      </c>
      <c r="G136" s="27" t="s">
        <v>495</v>
      </c>
      <c r="H136" s="11" t="s">
        <v>457</v>
      </c>
      <c r="I136" s="11" t="s">
        <v>407</v>
      </c>
      <c r="J136" s="30">
        <v>1</v>
      </c>
      <c r="K136" s="30">
        <v>1</v>
      </c>
      <c r="L136" s="26"/>
      <c r="M136" s="26"/>
      <c r="N136" s="26"/>
      <c r="O136" s="31">
        <v>46023</v>
      </c>
      <c r="P136" s="31"/>
      <c r="Q136" s="26">
        <v>100</v>
      </c>
      <c r="R136" s="26" t="s">
        <v>69</v>
      </c>
      <c r="S136" s="11"/>
      <c r="T136" s="11" t="s">
        <v>409</v>
      </c>
      <c r="U136" s="11"/>
      <c r="V136" s="11" t="s">
        <v>469</v>
      </c>
      <c r="W136" s="15">
        <f>IF(AND(ISNUMBER(Übersicht!$B$4),Übersicht!$B$4=INT(Übersicht!$B$4),Übersicht!$B$4&gt;=2026,Übersicht!$B$4&lt;=2028),IF(I136="fixedMonthDay",IF(AND(ISNUMBER(J136),J136=INT(J136),J136&gt;=1,J136&lt;=12,ISNUMBER(K136),K136=INT(K136),K136&gt;=1,K136&lt;=31,MONTH(DATE(Übersicht!$B$4,J136,K136))=J136,DAY(DATE(Übersicht!$B$4,J136,K136))=K136,L136="",M136="",N136=""),DATE(Übersicht!$B$4,J136,K136),NA()),IF(I136="easterOffsetDays",IF(AND(ISNUMBER(L136),L136=INT(L136),L136&gt;=-366,L136&lt;=366,J136="",K136="",M136="",N136=""),$AD$23+L136,NA()),IF(I136="nthWeekdayOfMonth",IF(AND(ISNUMBER(J136),J136=INT(J136),J136&gt;=1,J136&lt;=12,ISNUMBER(M136),M136=INT(M136),M136&gt;=1,M136&lt;=7,ISNUMBER(N136),N136=INT(N136),N136&gt;=1,N136&lt;=5,MONTH(DATE(Übersicht!$B$4,J136,1)+MOD(M136-WEEKDAY(DATE(Übersicht!$B$4,J136,1),2),7)+7*(N136-1))=J136,K136="",L136=""),DATE(Übersicht!$B$4,J136,1)+MOD(M136-WEEKDAY(DATE(Übersicht!$B$4,J136,1),2),7)+7*(N136-1),NA()),IF(I136="nthWeekdayOffsetDays",IF(AND(ISNUMBER(J136),J136=INT(J136),J136&gt;=1,J136&lt;=12,ISNUMBER(M136),M136=INT(M136),M136&gt;=1,M136&lt;=7,ISNUMBER(N136),N136=INT(N136),N136&gt;=1,N136&lt;=5,MONTH(DATE(Übersicht!$B$4,J136,1)+MOD(M136-WEEKDAY(DATE(Übersicht!$B$4,J136,1),2),7)+7*(N136-1))=J136,K136="",ISNUMBER(L136),L136=INT(L136),L136&gt;=-366,L136&lt;=366),DATE(Übersicht!$B$4,J136,1)+MOD(M136-WEEKDAY(DATE(Übersicht!$B$4,J136,1),2),7)+7*(N136-1)+L136,NA()),NA())))),NA())</f>
        <v>46388</v>
      </c>
      <c r="X136" s="15">
        <f t="shared" si="4"/>
        <v>46388</v>
      </c>
      <c r="Y136" s="11" t="s">
        <v>558</v>
      </c>
      <c r="Z136" s="11" t="s">
        <v>559</v>
      </c>
      <c r="AA136" s="26" t="s">
        <v>413</v>
      </c>
    </row>
    <row r="137" spans="1:27" ht="44" customHeight="1">
      <c r="A137" s="10" t="s">
        <v>210</v>
      </c>
      <c r="B137" s="10" t="s">
        <v>207</v>
      </c>
      <c r="C137" s="10" t="s">
        <v>557</v>
      </c>
      <c r="D137" s="24" t="s">
        <v>424</v>
      </c>
      <c r="E137" s="24" t="s">
        <v>425</v>
      </c>
      <c r="F137" s="25" t="s">
        <v>534</v>
      </c>
      <c r="G137" s="25" t="s">
        <v>535</v>
      </c>
      <c r="H137" s="10" t="s">
        <v>457</v>
      </c>
      <c r="I137" s="10" t="s">
        <v>426</v>
      </c>
      <c r="J137" s="28"/>
      <c r="K137" s="28"/>
      <c r="L137" s="24">
        <v>-2</v>
      </c>
      <c r="M137" s="24"/>
      <c r="N137" s="24"/>
      <c r="O137" s="29">
        <v>46023</v>
      </c>
      <c r="P137" s="29"/>
      <c r="Q137" s="24">
        <v>100</v>
      </c>
      <c r="R137" s="24" t="s">
        <v>69</v>
      </c>
      <c r="S137" s="10"/>
      <c r="T137" s="10" t="s">
        <v>409</v>
      </c>
      <c r="U137" s="10"/>
      <c r="V137" s="10" t="s">
        <v>469</v>
      </c>
      <c r="W137" s="14">
        <f>IF(AND(ISNUMBER(Übersicht!$B$4),Übersicht!$B$4=INT(Übersicht!$B$4),Übersicht!$B$4&gt;=2026,Übersicht!$B$4&lt;=2028),IF(I137="fixedMonthDay",IF(AND(ISNUMBER(J137),J137=INT(J137),J137&gt;=1,J137&lt;=12,ISNUMBER(K137),K137=INT(K137),K137&gt;=1,K137&lt;=31,MONTH(DATE(Übersicht!$B$4,J137,K137))=J137,DAY(DATE(Übersicht!$B$4,J137,K137))=K137,L137="",M137="",N137=""),DATE(Übersicht!$B$4,J137,K137),NA()),IF(I137="easterOffsetDays",IF(AND(ISNUMBER(L137),L137=INT(L137),L137&gt;=-366,L137&lt;=366,J137="",K137="",M137="",N137=""),$AD$23+L137,NA()),IF(I137="nthWeekdayOfMonth",IF(AND(ISNUMBER(J137),J137=INT(J137),J137&gt;=1,J137&lt;=12,ISNUMBER(M137),M137=INT(M137),M137&gt;=1,M137&lt;=7,ISNUMBER(N137),N137=INT(N137),N137&gt;=1,N137&lt;=5,MONTH(DATE(Übersicht!$B$4,J137,1)+MOD(M137-WEEKDAY(DATE(Übersicht!$B$4,J137,1),2),7)+7*(N137-1))=J137,K137="",L137=""),DATE(Übersicht!$B$4,J137,1)+MOD(M137-WEEKDAY(DATE(Übersicht!$B$4,J137,1),2),7)+7*(N137-1),NA()),IF(I137="nthWeekdayOffsetDays",IF(AND(ISNUMBER(J137),J137=INT(J137),J137&gt;=1,J137&lt;=12,ISNUMBER(M137),M137=INT(M137),M137&gt;=1,M137&lt;=7,ISNUMBER(N137),N137=INT(N137),N137&gt;=1,N137&lt;=5,MONTH(DATE(Übersicht!$B$4,J137,1)+MOD(M137-WEEKDAY(DATE(Übersicht!$B$4,J137,1),2),7)+7*(N137-1))=J137,K137="",ISNUMBER(L137),L137=INT(L137),L137&gt;=-366,L137&lt;=366),DATE(Übersicht!$B$4,J137,1)+MOD(M137-WEEKDAY(DATE(Übersicht!$B$4,J137,1),2),7)+7*(N137-1)+L137,NA()),NA())))),NA())</f>
        <v>46472</v>
      </c>
      <c r="X137" s="14">
        <f t="shared" si="4"/>
        <v>46472</v>
      </c>
      <c r="Y137" s="10" t="s">
        <v>558</v>
      </c>
      <c r="Z137" s="10" t="s">
        <v>559</v>
      </c>
      <c r="AA137" s="24" t="s">
        <v>413</v>
      </c>
    </row>
    <row r="138" spans="1:27" ht="44" customHeight="1">
      <c r="A138" s="11" t="s">
        <v>211</v>
      </c>
      <c r="B138" s="11" t="s">
        <v>207</v>
      </c>
      <c r="C138" s="11" t="s">
        <v>557</v>
      </c>
      <c r="D138" s="26" t="s">
        <v>435</v>
      </c>
      <c r="E138" s="26" t="s">
        <v>436</v>
      </c>
      <c r="F138" s="27" t="s">
        <v>509</v>
      </c>
      <c r="G138" s="27" t="s">
        <v>510</v>
      </c>
      <c r="H138" s="11" t="s">
        <v>457</v>
      </c>
      <c r="I138" s="11" t="s">
        <v>426</v>
      </c>
      <c r="J138" s="30"/>
      <c r="K138" s="30"/>
      <c r="L138" s="26">
        <v>39</v>
      </c>
      <c r="M138" s="26"/>
      <c r="N138" s="26"/>
      <c r="O138" s="31">
        <v>46023</v>
      </c>
      <c r="P138" s="31"/>
      <c r="Q138" s="26">
        <v>100</v>
      </c>
      <c r="R138" s="26" t="s">
        <v>69</v>
      </c>
      <c r="S138" s="11"/>
      <c r="T138" s="11" t="s">
        <v>409</v>
      </c>
      <c r="U138" s="11"/>
      <c r="V138" s="11" t="s">
        <v>469</v>
      </c>
      <c r="W138" s="15">
        <f>IF(AND(ISNUMBER(Übersicht!$B$4),Übersicht!$B$4=INT(Übersicht!$B$4),Übersicht!$B$4&gt;=2026,Übersicht!$B$4&lt;=2028),IF(I138="fixedMonthDay",IF(AND(ISNUMBER(J138),J138=INT(J138),J138&gt;=1,J138&lt;=12,ISNUMBER(K138),K138=INT(K138),K138&gt;=1,K138&lt;=31,MONTH(DATE(Übersicht!$B$4,J138,K138))=J138,DAY(DATE(Übersicht!$B$4,J138,K138))=K138,L138="",M138="",N138=""),DATE(Übersicht!$B$4,J138,K138),NA()),IF(I138="easterOffsetDays",IF(AND(ISNUMBER(L138),L138=INT(L138),L138&gt;=-366,L138&lt;=366,J138="",K138="",M138="",N138=""),$AD$23+L138,NA()),IF(I138="nthWeekdayOfMonth",IF(AND(ISNUMBER(J138),J138=INT(J138),J138&gt;=1,J138&lt;=12,ISNUMBER(M138),M138=INT(M138),M138&gt;=1,M138&lt;=7,ISNUMBER(N138),N138=INT(N138),N138&gt;=1,N138&lt;=5,MONTH(DATE(Übersicht!$B$4,J138,1)+MOD(M138-WEEKDAY(DATE(Übersicht!$B$4,J138,1),2),7)+7*(N138-1))=J138,K138="",L138=""),DATE(Übersicht!$B$4,J138,1)+MOD(M138-WEEKDAY(DATE(Übersicht!$B$4,J138,1),2),7)+7*(N138-1),NA()),IF(I138="nthWeekdayOffsetDays",IF(AND(ISNUMBER(J138),J138=INT(J138),J138&gt;=1,J138&lt;=12,ISNUMBER(M138),M138=INT(M138),M138&gt;=1,M138&lt;=7,ISNUMBER(N138),N138=INT(N138),N138&gt;=1,N138&lt;=5,MONTH(DATE(Übersicht!$B$4,J138,1)+MOD(M138-WEEKDAY(DATE(Übersicht!$B$4,J138,1),2),7)+7*(N138-1))=J138,K138="",ISNUMBER(L138),L138=INT(L138),L138&gt;=-366,L138&lt;=366),DATE(Übersicht!$B$4,J138,1)+MOD(M138-WEEKDAY(DATE(Übersicht!$B$4,J138,1),2),7)+7*(N138-1)+L138,NA()),NA())))),NA())</f>
        <v>46513</v>
      </c>
      <c r="X138" s="15">
        <f t="shared" si="4"/>
        <v>46513</v>
      </c>
      <c r="Y138" s="11" t="s">
        <v>558</v>
      </c>
      <c r="Z138" s="11" t="s">
        <v>559</v>
      </c>
      <c r="AA138" s="26" t="s">
        <v>413</v>
      </c>
    </row>
    <row r="139" spans="1:27" ht="44" customHeight="1">
      <c r="A139" s="10" t="s">
        <v>212</v>
      </c>
      <c r="B139" s="10" t="s">
        <v>207</v>
      </c>
      <c r="C139" s="10" t="s">
        <v>557</v>
      </c>
      <c r="D139" s="24" t="s">
        <v>455</v>
      </c>
      <c r="E139" s="24" t="s">
        <v>456</v>
      </c>
      <c r="F139" s="25" t="s">
        <v>513</v>
      </c>
      <c r="G139" s="25" t="s">
        <v>514</v>
      </c>
      <c r="H139" s="10" t="s">
        <v>457</v>
      </c>
      <c r="I139" s="10" t="s">
        <v>426</v>
      </c>
      <c r="J139" s="28"/>
      <c r="K139" s="28"/>
      <c r="L139" s="24">
        <v>60</v>
      </c>
      <c r="M139" s="24"/>
      <c r="N139" s="24"/>
      <c r="O139" s="29">
        <v>46023</v>
      </c>
      <c r="P139" s="29"/>
      <c r="Q139" s="24">
        <v>100</v>
      </c>
      <c r="R139" s="24" t="s">
        <v>69</v>
      </c>
      <c r="S139" s="10"/>
      <c r="T139" s="10" t="s">
        <v>409</v>
      </c>
      <c r="U139" s="10"/>
      <c r="V139" s="10" t="s">
        <v>469</v>
      </c>
      <c r="W139" s="14">
        <f>IF(AND(ISNUMBER(Übersicht!$B$4),Übersicht!$B$4=INT(Übersicht!$B$4),Übersicht!$B$4&gt;=2026,Übersicht!$B$4&lt;=2028),IF(I139="fixedMonthDay",IF(AND(ISNUMBER(J139),J139=INT(J139),J139&gt;=1,J139&lt;=12,ISNUMBER(K139),K139=INT(K139),K139&gt;=1,K139&lt;=31,MONTH(DATE(Übersicht!$B$4,J139,K139))=J139,DAY(DATE(Übersicht!$B$4,J139,K139))=K139,L139="",M139="",N139=""),DATE(Übersicht!$B$4,J139,K139),NA()),IF(I139="easterOffsetDays",IF(AND(ISNUMBER(L139),L139=INT(L139),L139&gt;=-366,L139&lt;=366,J139="",K139="",M139="",N139=""),$AD$23+L139,NA()),IF(I139="nthWeekdayOfMonth",IF(AND(ISNUMBER(J139),J139=INT(J139),J139&gt;=1,J139&lt;=12,ISNUMBER(M139),M139=INT(M139),M139&gt;=1,M139&lt;=7,ISNUMBER(N139),N139=INT(N139),N139&gt;=1,N139&lt;=5,MONTH(DATE(Übersicht!$B$4,J139,1)+MOD(M139-WEEKDAY(DATE(Übersicht!$B$4,J139,1),2),7)+7*(N139-1))=J139,K139="",L139=""),DATE(Übersicht!$B$4,J139,1)+MOD(M139-WEEKDAY(DATE(Übersicht!$B$4,J139,1),2),7)+7*(N139-1),NA()),IF(I139="nthWeekdayOffsetDays",IF(AND(ISNUMBER(J139),J139=INT(J139),J139&gt;=1,J139&lt;=12,ISNUMBER(M139),M139=INT(M139),M139&gt;=1,M139&lt;=7,ISNUMBER(N139),N139=INT(N139),N139&gt;=1,N139&lt;=5,MONTH(DATE(Übersicht!$B$4,J139,1)+MOD(M139-WEEKDAY(DATE(Übersicht!$B$4,J139,1),2),7)+7*(N139-1))=J139,K139="",ISNUMBER(L139),L139=INT(L139),L139&gt;=-366,L139&lt;=366),DATE(Übersicht!$B$4,J139,1)+MOD(M139-WEEKDAY(DATE(Übersicht!$B$4,J139,1),2),7)+7*(N139-1)+L139,NA()),NA())))),NA())</f>
        <v>46534</v>
      </c>
      <c r="X139" s="14">
        <f t="shared" si="4"/>
        <v>46534</v>
      </c>
      <c r="Y139" s="10" t="s">
        <v>558</v>
      </c>
      <c r="Z139" s="10" t="s">
        <v>560</v>
      </c>
      <c r="AA139" s="24" t="s">
        <v>413</v>
      </c>
    </row>
    <row r="140" spans="1:27" ht="44" customHeight="1">
      <c r="A140" s="11" t="s">
        <v>213</v>
      </c>
      <c r="B140" s="11" t="s">
        <v>207</v>
      </c>
      <c r="C140" s="11" t="s">
        <v>557</v>
      </c>
      <c r="D140" s="26" t="s">
        <v>404</v>
      </c>
      <c r="E140" s="26" t="s">
        <v>405</v>
      </c>
      <c r="F140" s="27" t="s">
        <v>519</v>
      </c>
      <c r="G140" s="27" t="s">
        <v>520</v>
      </c>
      <c r="H140" s="11" t="s">
        <v>406</v>
      </c>
      <c r="I140" s="11" t="s">
        <v>407</v>
      </c>
      <c r="J140" s="30">
        <v>8</v>
      </c>
      <c r="K140" s="30">
        <v>1</v>
      </c>
      <c r="L140" s="26"/>
      <c r="M140" s="26"/>
      <c r="N140" s="26"/>
      <c r="O140" s="31">
        <v>46023</v>
      </c>
      <c r="P140" s="31"/>
      <c r="Q140" s="26">
        <v>100</v>
      </c>
      <c r="R140" s="26" t="s">
        <v>69</v>
      </c>
      <c r="S140" s="11"/>
      <c r="T140" s="11" t="s">
        <v>409</v>
      </c>
      <c r="U140" s="11"/>
      <c r="V140" s="11" t="s">
        <v>469</v>
      </c>
      <c r="W140" s="15">
        <f>IF(AND(ISNUMBER(Übersicht!$B$4),Übersicht!$B$4=INT(Übersicht!$B$4),Übersicht!$B$4&gt;=2026,Übersicht!$B$4&lt;=2028),IF(I140="fixedMonthDay",IF(AND(ISNUMBER(J140),J140=INT(J140),J140&gt;=1,J140&lt;=12,ISNUMBER(K140),K140=INT(K140),K140&gt;=1,K140&lt;=31,MONTH(DATE(Übersicht!$B$4,J140,K140))=J140,DAY(DATE(Übersicht!$B$4,J140,K140))=K140,L140="",M140="",N140=""),DATE(Übersicht!$B$4,J140,K140),NA()),IF(I140="easterOffsetDays",IF(AND(ISNUMBER(L140),L140=INT(L140),L140&gt;=-366,L140&lt;=366,J140="",K140="",M140="",N140=""),$AD$23+L140,NA()),IF(I140="nthWeekdayOfMonth",IF(AND(ISNUMBER(J140),J140=INT(J140),J140&gt;=1,J140&lt;=12,ISNUMBER(M140),M140=INT(M140),M140&gt;=1,M140&lt;=7,ISNUMBER(N140),N140=INT(N140),N140&gt;=1,N140&lt;=5,MONTH(DATE(Übersicht!$B$4,J140,1)+MOD(M140-WEEKDAY(DATE(Übersicht!$B$4,J140,1),2),7)+7*(N140-1))=J140,K140="",L140=""),DATE(Übersicht!$B$4,J140,1)+MOD(M140-WEEKDAY(DATE(Übersicht!$B$4,J140,1),2),7)+7*(N140-1),NA()),IF(I140="nthWeekdayOffsetDays",IF(AND(ISNUMBER(J140),J140=INT(J140),J140&gt;=1,J140&lt;=12,ISNUMBER(M140),M140=INT(M140),M140&gt;=1,M140&lt;=7,ISNUMBER(N140),N140=INT(N140),N140&gt;=1,N140&lt;=5,MONTH(DATE(Übersicht!$B$4,J140,1)+MOD(M140-WEEKDAY(DATE(Übersicht!$B$4,J140,1),2),7)+7*(N140-1))=J140,K140="",ISNUMBER(L140),L140=INT(L140),L140&gt;=-366,L140&lt;=366),DATE(Übersicht!$B$4,J140,1)+MOD(M140-WEEKDAY(DATE(Übersicht!$B$4,J140,1),2),7)+7*(N140-1)+L140,NA()),NA())))),NA())</f>
        <v>46600</v>
      </c>
      <c r="X140" s="15">
        <f t="shared" si="4"/>
        <v>46600</v>
      </c>
      <c r="Y140" s="11" t="s">
        <v>411</v>
      </c>
      <c r="Z140" s="11" t="s">
        <v>561</v>
      </c>
      <c r="AA140" s="26" t="s">
        <v>413</v>
      </c>
    </row>
    <row r="141" spans="1:27" ht="44" customHeight="1">
      <c r="A141" s="10" t="s">
        <v>214</v>
      </c>
      <c r="B141" s="10" t="s">
        <v>207</v>
      </c>
      <c r="C141" s="10" t="s">
        <v>557</v>
      </c>
      <c r="D141" s="24" t="s">
        <v>479</v>
      </c>
      <c r="E141" s="24" t="s">
        <v>480</v>
      </c>
      <c r="F141" s="25" t="s">
        <v>521</v>
      </c>
      <c r="G141" s="25" t="s">
        <v>522</v>
      </c>
      <c r="H141" s="10" t="s">
        <v>457</v>
      </c>
      <c r="I141" s="10" t="s">
        <v>407</v>
      </c>
      <c r="J141" s="28">
        <v>8</v>
      </c>
      <c r="K141" s="28">
        <v>15</v>
      </c>
      <c r="L141" s="24"/>
      <c r="M141" s="24"/>
      <c r="N141" s="24"/>
      <c r="O141" s="29">
        <v>46023</v>
      </c>
      <c r="P141" s="29"/>
      <c r="Q141" s="24">
        <v>100</v>
      </c>
      <c r="R141" s="24" t="s">
        <v>69</v>
      </c>
      <c r="S141" s="10"/>
      <c r="T141" s="10" t="s">
        <v>409</v>
      </c>
      <c r="U141" s="10"/>
      <c r="V141" s="10" t="s">
        <v>469</v>
      </c>
      <c r="W141" s="14">
        <f>IF(AND(ISNUMBER(Übersicht!$B$4),Übersicht!$B$4=INT(Übersicht!$B$4),Übersicht!$B$4&gt;=2026,Übersicht!$B$4&lt;=2028),IF(I141="fixedMonthDay",IF(AND(ISNUMBER(J141),J141=INT(J141),J141&gt;=1,J141&lt;=12,ISNUMBER(K141),K141=INT(K141),K141&gt;=1,K141&lt;=31,MONTH(DATE(Übersicht!$B$4,J141,K141))=J141,DAY(DATE(Übersicht!$B$4,J141,K141))=K141,L141="",M141="",N141=""),DATE(Übersicht!$B$4,J141,K141),NA()),IF(I141="easterOffsetDays",IF(AND(ISNUMBER(L141),L141=INT(L141),L141&gt;=-366,L141&lt;=366,J141="",K141="",M141="",N141=""),$AD$23+L141,NA()),IF(I141="nthWeekdayOfMonth",IF(AND(ISNUMBER(J141),J141=INT(J141),J141&gt;=1,J141&lt;=12,ISNUMBER(M141),M141=INT(M141),M141&gt;=1,M141&lt;=7,ISNUMBER(N141),N141=INT(N141),N141&gt;=1,N141&lt;=5,MONTH(DATE(Übersicht!$B$4,J141,1)+MOD(M141-WEEKDAY(DATE(Übersicht!$B$4,J141,1),2),7)+7*(N141-1))=J141,K141="",L141=""),DATE(Übersicht!$B$4,J141,1)+MOD(M141-WEEKDAY(DATE(Übersicht!$B$4,J141,1),2),7)+7*(N141-1),NA()),IF(I141="nthWeekdayOffsetDays",IF(AND(ISNUMBER(J141),J141=INT(J141),J141&gt;=1,J141&lt;=12,ISNUMBER(M141),M141=INT(M141),M141&gt;=1,M141&lt;=7,ISNUMBER(N141),N141=INT(N141),N141&gt;=1,N141&lt;=5,MONTH(DATE(Übersicht!$B$4,J141,1)+MOD(M141-WEEKDAY(DATE(Übersicht!$B$4,J141,1),2),7)+7*(N141-1))=J141,K141="",ISNUMBER(L141),L141=INT(L141),L141&gt;=-366,L141&lt;=366),DATE(Übersicht!$B$4,J141,1)+MOD(M141-WEEKDAY(DATE(Übersicht!$B$4,J141,1),2),7)+7*(N141-1)+L141,NA()),NA())))),NA())</f>
        <v>46614</v>
      </c>
      <c r="X141" s="14">
        <f t="shared" si="4"/>
        <v>46614</v>
      </c>
      <c r="Y141" s="10" t="s">
        <v>558</v>
      </c>
      <c r="Z141" s="10" t="s">
        <v>560</v>
      </c>
      <c r="AA141" s="24" t="s">
        <v>413</v>
      </c>
    </row>
    <row r="142" spans="1:27" ht="44" customHeight="1">
      <c r="A142" s="11" t="s">
        <v>215</v>
      </c>
      <c r="B142" s="11" t="s">
        <v>207</v>
      </c>
      <c r="C142" s="11" t="s">
        <v>557</v>
      </c>
      <c r="D142" s="26" t="s">
        <v>466</v>
      </c>
      <c r="E142" s="26" t="s">
        <v>467</v>
      </c>
      <c r="F142" s="27" t="s">
        <v>523</v>
      </c>
      <c r="G142" s="27" t="s">
        <v>524</v>
      </c>
      <c r="H142" s="11" t="s">
        <v>457</v>
      </c>
      <c r="I142" s="11" t="s">
        <v>407</v>
      </c>
      <c r="J142" s="30">
        <v>11</v>
      </c>
      <c r="K142" s="30">
        <v>1</v>
      </c>
      <c r="L142" s="26"/>
      <c r="M142" s="26"/>
      <c r="N142" s="26"/>
      <c r="O142" s="31">
        <v>46023</v>
      </c>
      <c r="P142" s="31"/>
      <c r="Q142" s="26">
        <v>100</v>
      </c>
      <c r="R142" s="26" t="s">
        <v>69</v>
      </c>
      <c r="S142" s="11"/>
      <c r="T142" s="11" t="s">
        <v>409</v>
      </c>
      <c r="U142" s="11"/>
      <c r="V142" s="11" t="s">
        <v>469</v>
      </c>
      <c r="W142" s="15">
        <f>IF(AND(ISNUMBER(Übersicht!$B$4),Übersicht!$B$4=INT(Übersicht!$B$4),Übersicht!$B$4&gt;=2026,Übersicht!$B$4&lt;=2028),IF(I142="fixedMonthDay",IF(AND(ISNUMBER(J142),J142=INT(J142),J142&gt;=1,J142&lt;=12,ISNUMBER(K142),K142=INT(K142),K142&gt;=1,K142&lt;=31,MONTH(DATE(Übersicht!$B$4,J142,K142))=J142,DAY(DATE(Übersicht!$B$4,J142,K142))=K142,L142="",M142="",N142=""),DATE(Übersicht!$B$4,J142,K142),NA()),IF(I142="easterOffsetDays",IF(AND(ISNUMBER(L142),L142=INT(L142),L142&gt;=-366,L142&lt;=366,J142="",K142="",M142="",N142=""),$AD$23+L142,NA()),IF(I142="nthWeekdayOfMonth",IF(AND(ISNUMBER(J142),J142=INT(J142),J142&gt;=1,J142&lt;=12,ISNUMBER(M142),M142=INT(M142),M142&gt;=1,M142&lt;=7,ISNUMBER(N142),N142=INT(N142),N142&gt;=1,N142&lt;=5,MONTH(DATE(Übersicht!$B$4,J142,1)+MOD(M142-WEEKDAY(DATE(Übersicht!$B$4,J142,1),2),7)+7*(N142-1))=J142,K142="",L142=""),DATE(Übersicht!$B$4,J142,1)+MOD(M142-WEEKDAY(DATE(Übersicht!$B$4,J142,1),2),7)+7*(N142-1),NA()),IF(I142="nthWeekdayOffsetDays",IF(AND(ISNUMBER(J142),J142=INT(J142),J142&gt;=1,J142&lt;=12,ISNUMBER(M142),M142=INT(M142),M142&gt;=1,M142&lt;=7,ISNUMBER(N142),N142=INT(N142),N142&gt;=1,N142&lt;=5,MONTH(DATE(Übersicht!$B$4,J142,1)+MOD(M142-WEEKDAY(DATE(Übersicht!$B$4,J142,1),2),7)+7*(N142-1))=J142,K142="",ISNUMBER(L142),L142=INT(L142),L142&gt;=-366,L142&lt;=366),DATE(Übersicht!$B$4,J142,1)+MOD(M142-WEEKDAY(DATE(Übersicht!$B$4,J142,1),2),7)+7*(N142-1)+L142,NA()),NA())))),NA())</f>
        <v>46692</v>
      </c>
      <c r="X142" s="15">
        <f t="shared" si="4"/>
        <v>46692</v>
      </c>
      <c r="Y142" s="11" t="s">
        <v>558</v>
      </c>
      <c r="Z142" s="11" t="s">
        <v>560</v>
      </c>
      <c r="AA142" s="26" t="s">
        <v>413</v>
      </c>
    </row>
    <row r="143" spans="1:27" ht="44" customHeight="1">
      <c r="A143" s="10" t="s">
        <v>216</v>
      </c>
      <c r="B143" s="10" t="s">
        <v>207</v>
      </c>
      <c r="C143" s="10" t="s">
        <v>557</v>
      </c>
      <c r="D143" s="24" t="s">
        <v>483</v>
      </c>
      <c r="E143" s="24" t="s">
        <v>484</v>
      </c>
      <c r="F143" s="25" t="s">
        <v>525</v>
      </c>
      <c r="G143" s="25" t="s">
        <v>526</v>
      </c>
      <c r="H143" s="10" t="s">
        <v>457</v>
      </c>
      <c r="I143" s="10" t="s">
        <v>407</v>
      </c>
      <c r="J143" s="28">
        <v>12</v>
      </c>
      <c r="K143" s="28">
        <v>8</v>
      </c>
      <c r="L143" s="24"/>
      <c r="M143" s="24"/>
      <c r="N143" s="24"/>
      <c r="O143" s="29">
        <v>46023</v>
      </c>
      <c r="P143" s="29"/>
      <c r="Q143" s="24">
        <v>100</v>
      </c>
      <c r="R143" s="24" t="s">
        <v>69</v>
      </c>
      <c r="S143" s="10"/>
      <c r="T143" s="10" t="s">
        <v>409</v>
      </c>
      <c r="U143" s="10"/>
      <c r="V143" s="10" t="s">
        <v>469</v>
      </c>
      <c r="W143" s="14">
        <f>IF(AND(ISNUMBER(Übersicht!$B$4),Übersicht!$B$4=INT(Übersicht!$B$4),Übersicht!$B$4&gt;=2026,Übersicht!$B$4&lt;=2028),IF(I143="fixedMonthDay",IF(AND(ISNUMBER(J143),J143=INT(J143),J143&gt;=1,J143&lt;=12,ISNUMBER(K143),K143=INT(K143),K143&gt;=1,K143&lt;=31,MONTH(DATE(Übersicht!$B$4,J143,K143))=J143,DAY(DATE(Übersicht!$B$4,J143,K143))=K143,L143="",M143="",N143=""),DATE(Übersicht!$B$4,J143,K143),NA()),IF(I143="easterOffsetDays",IF(AND(ISNUMBER(L143),L143=INT(L143),L143&gt;=-366,L143&lt;=366,J143="",K143="",M143="",N143=""),$AD$23+L143,NA()),IF(I143="nthWeekdayOfMonth",IF(AND(ISNUMBER(J143),J143=INT(J143),J143&gt;=1,J143&lt;=12,ISNUMBER(M143),M143=INT(M143),M143&gt;=1,M143&lt;=7,ISNUMBER(N143),N143=INT(N143),N143&gt;=1,N143&lt;=5,MONTH(DATE(Übersicht!$B$4,J143,1)+MOD(M143-WEEKDAY(DATE(Übersicht!$B$4,J143,1),2),7)+7*(N143-1))=J143,K143="",L143=""),DATE(Übersicht!$B$4,J143,1)+MOD(M143-WEEKDAY(DATE(Übersicht!$B$4,J143,1),2),7)+7*(N143-1),NA()),IF(I143="nthWeekdayOffsetDays",IF(AND(ISNUMBER(J143),J143=INT(J143),J143&gt;=1,J143&lt;=12,ISNUMBER(M143),M143=INT(M143),M143&gt;=1,M143&lt;=7,ISNUMBER(N143),N143=INT(N143),N143&gt;=1,N143&lt;=5,MONTH(DATE(Übersicht!$B$4,J143,1)+MOD(M143-WEEKDAY(DATE(Übersicht!$B$4,J143,1),2),7)+7*(N143-1))=J143,K143="",ISNUMBER(L143),L143=INT(L143),L143&gt;=-366,L143&lt;=366),DATE(Übersicht!$B$4,J143,1)+MOD(M143-WEEKDAY(DATE(Übersicht!$B$4,J143,1),2),7)+7*(N143-1)+L143,NA()),NA())))),NA())</f>
        <v>46729</v>
      </c>
      <c r="X143" s="14">
        <f t="shared" si="4"/>
        <v>46729</v>
      </c>
      <c r="Y143" s="10" t="s">
        <v>558</v>
      </c>
      <c r="Z143" s="10" t="s">
        <v>560</v>
      </c>
      <c r="AA143" s="24" t="s">
        <v>413</v>
      </c>
    </row>
    <row r="144" spans="1:27" ht="44" customHeight="1">
      <c r="A144" s="11" t="s">
        <v>217</v>
      </c>
      <c r="B144" s="11" t="s">
        <v>207</v>
      </c>
      <c r="C144" s="11" t="s">
        <v>557</v>
      </c>
      <c r="D144" s="26" t="s">
        <v>448</v>
      </c>
      <c r="E144" s="26" t="s">
        <v>449</v>
      </c>
      <c r="F144" s="27" t="s">
        <v>527</v>
      </c>
      <c r="G144" s="27" t="s">
        <v>528</v>
      </c>
      <c r="H144" s="11" t="s">
        <v>457</v>
      </c>
      <c r="I144" s="11" t="s">
        <v>407</v>
      </c>
      <c r="J144" s="30">
        <v>12</v>
      </c>
      <c r="K144" s="30">
        <v>25</v>
      </c>
      <c r="L144" s="26"/>
      <c r="M144" s="26"/>
      <c r="N144" s="26"/>
      <c r="O144" s="31">
        <v>46023</v>
      </c>
      <c r="P144" s="31"/>
      <c r="Q144" s="26">
        <v>100</v>
      </c>
      <c r="R144" s="26" t="s">
        <v>69</v>
      </c>
      <c r="S144" s="11"/>
      <c r="T144" s="11" t="s">
        <v>409</v>
      </c>
      <c r="U144" s="11"/>
      <c r="V144" s="11" t="s">
        <v>469</v>
      </c>
      <c r="W144" s="15">
        <f>IF(AND(ISNUMBER(Übersicht!$B$4),Übersicht!$B$4=INT(Übersicht!$B$4),Übersicht!$B$4&gt;=2026,Übersicht!$B$4&lt;=2028),IF(I144="fixedMonthDay",IF(AND(ISNUMBER(J144),J144=INT(J144),J144&gt;=1,J144&lt;=12,ISNUMBER(K144),K144=INT(K144),K144&gt;=1,K144&lt;=31,MONTH(DATE(Übersicht!$B$4,J144,K144))=J144,DAY(DATE(Übersicht!$B$4,J144,K144))=K144,L144="",M144="",N144=""),DATE(Übersicht!$B$4,J144,K144),NA()),IF(I144="easterOffsetDays",IF(AND(ISNUMBER(L144),L144=INT(L144),L144&gt;=-366,L144&lt;=366,J144="",K144="",M144="",N144=""),$AD$23+L144,NA()),IF(I144="nthWeekdayOfMonth",IF(AND(ISNUMBER(J144),J144=INT(J144),J144&gt;=1,J144&lt;=12,ISNUMBER(M144),M144=INT(M144),M144&gt;=1,M144&lt;=7,ISNUMBER(N144),N144=INT(N144),N144&gt;=1,N144&lt;=5,MONTH(DATE(Übersicht!$B$4,J144,1)+MOD(M144-WEEKDAY(DATE(Übersicht!$B$4,J144,1),2),7)+7*(N144-1))=J144,K144="",L144=""),DATE(Übersicht!$B$4,J144,1)+MOD(M144-WEEKDAY(DATE(Übersicht!$B$4,J144,1),2),7)+7*(N144-1),NA()),IF(I144="nthWeekdayOffsetDays",IF(AND(ISNUMBER(J144),J144=INT(J144),J144&gt;=1,J144&lt;=12,ISNUMBER(M144),M144=INT(M144),M144&gt;=1,M144&lt;=7,ISNUMBER(N144),N144=INT(N144),N144&gt;=1,N144&lt;=5,MONTH(DATE(Übersicht!$B$4,J144,1)+MOD(M144-WEEKDAY(DATE(Übersicht!$B$4,J144,1),2),7)+7*(N144-1))=J144,K144="",ISNUMBER(L144),L144=INT(L144),L144&gt;=-366,L144&lt;=366),DATE(Übersicht!$B$4,J144,1)+MOD(M144-WEEKDAY(DATE(Übersicht!$B$4,J144,1),2),7)+7*(N144-1)+L144,NA()),NA())))),NA())</f>
        <v>46746</v>
      </c>
      <c r="X144" s="15">
        <f t="shared" si="4"/>
        <v>46746</v>
      </c>
      <c r="Y144" s="11" t="s">
        <v>558</v>
      </c>
      <c r="Z144" s="11" t="s">
        <v>559</v>
      </c>
      <c r="AA144" s="26" t="s">
        <v>413</v>
      </c>
    </row>
    <row r="145" spans="1:27" ht="44" customHeight="1">
      <c r="A145" s="10" t="s">
        <v>219</v>
      </c>
      <c r="B145" s="10" t="s">
        <v>207</v>
      </c>
      <c r="C145" s="10" t="s">
        <v>562</v>
      </c>
      <c r="D145" s="24" t="s">
        <v>416</v>
      </c>
      <c r="E145" s="24" t="s">
        <v>417</v>
      </c>
      <c r="F145" s="25" t="s">
        <v>494</v>
      </c>
      <c r="G145" s="25" t="s">
        <v>495</v>
      </c>
      <c r="H145" s="10" t="s">
        <v>457</v>
      </c>
      <c r="I145" s="10" t="s">
        <v>407</v>
      </c>
      <c r="J145" s="28">
        <v>1</v>
      </c>
      <c r="K145" s="28">
        <v>1</v>
      </c>
      <c r="L145" s="24"/>
      <c r="M145" s="24"/>
      <c r="N145" s="24"/>
      <c r="O145" s="29">
        <v>46023</v>
      </c>
      <c r="P145" s="29"/>
      <c r="Q145" s="24">
        <v>100</v>
      </c>
      <c r="R145" s="24" t="s">
        <v>69</v>
      </c>
      <c r="S145" s="10"/>
      <c r="T145" s="10" t="s">
        <v>409</v>
      </c>
      <c r="U145" s="10"/>
      <c r="V145" s="10" t="s">
        <v>469</v>
      </c>
      <c r="W145" s="14">
        <f>IF(AND(ISNUMBER(Übersicht!$B$4),Übersicht!$B$4=INT(Übersicht!$B$4),Übersicht!$B$4&gt;=2026,Übersicht!$B$4&lt;=2028),IF(I145="fixedMonthDay",IF(AND(ISNUMBER(J145),J145=INT(J145),J145&gt;=1,J145&lt;=12,ISNUMBER(K145),K145=INT(K145),K145&gt;=1,K145&lt;=31,MONTH(DATE(Übersicht!$B$4,J145,K145))=J145,DAY(DATE(Übersicht!$B$4,J145,K145))=K145,L145="",M145="",N145=""),DATE(Übersicht!$B$4,J145,K145),NA()),IF(I145="easterOffsetDays",IF(AND(ISNUMBER(L145),L145=INT(L145),L145&gt;=-366,L145&lt;=366,J145="",K145="",M145="",N145=""),$AD$23+L145,NA()),IF(I145="nthWeekdayOfMonth",IF(AND(ISNUMBER(J145),J145=INT(J145),J145&gt;=1,J145&lt;=12,ISNUMBER(M145),M145=INT(M145),M145&gt;=1,M145&lt;=7,ISNUMBER(N145),N145=INT(N145),N145&gt;=1,N145&lt;=5,MONTH(DATE(Übersicht!$B$4,J145,1)+MOD(M145-WEEKDAY(DATE(Übersicht!$B$4,J145,1),2),7)+7*(N145-1))=J145,K145="",L145=""),DATE(Übersicht!$B$4,J145,1)+MOD(M145-WEEKDAY(DATE(Übersicht!$B$4,J145,1),2),7)+7*(N145-1),NA()),IF(I145="nthWeekdayOffsetDays",IF(AND(ISNUMBER(J145),J145=INT(J145),J145&gt;=1,J145&lt;=12,ISNUMBER(M145),M145=INT(M145),M145&gt;=1,M145&lt;=7,ISNUMBER(N145),N145=INT(N145),N145&gt;=1,N145&lt;=5,MONTH(DATE(Übersicht!$B$4,J145,1)+MOD(M145-WEEKDAY(DATE(Übersicht!$B$4,J145,1),2),7)+7*(N145-1))=J145,K145="",ISNUMBER(L145),L145=INT(L145),L145&gt;=-366,L145&lt;=366),DATE(Übersicht!$B$4,J145,1)+MOD(M145-WEEKDAY(DATE(Übersicht!$B$4,J145,1),2),7)+7*(N145-1)+L145,NA()),NA())))),NA())</f>
        <v>46388</v>
      </c>
      <c r="X145" s="14">
        <f t="shared" si="4"/>
        <v>46388</v>
      </c>
      <c r="Y145" s="10" t="s">
        <v>558</v>
      </c>
      <c r="Z145" s="10" t="s">
        <v>559</v>
      </c>
      <c r="AA145" s="24" t="s">
        <v>413</v>
      </c>
    </row>
    <row r="146" spans="1:27" ht="44" customHeight="1">
      <c r="A146" s="11" t="s">
        <v>220</v>
      </c>
      <c r="B146" s="11" t="s">
        <v>207</v>
      </c>
      <c r="C146" s="11" t="s">
        <v>562</v>
      </c>
      <c r="D146" s="26" t="s">
        <v>421</v>
      </c>
      <c r="E146" s="26" t="s">
        <v>563</v>
      </c>
      <c r="F146" s="27" t="s">
        <v>564</v>
      </c>
      <c r="G146" s="27" t="s">
        <v>565</v>
      </c>
      <c r="H146" s="11" t="s">
        <v>457</v>
      </c>
      <c r="I146" s="11" t="s">
        <v>407</v>
      </c>
      <c r="J146" s="30">
        <v>1</v>
      </c>
      <c r="K146" s="30">
        <v>2</v>
      </c>
      <c r="L146" s="26"/>
      <c r="M146" s="26"/>
      <c r="N146" s="26"/>
      <c r="O146" s="31">
        <v>46023</v>
      </c>
      <c r="P146" s="31"/>
      <c r="Q146" s="26">
        <v>100</v>
      </c>
      <c r="R146" s="26" t="s">
        <v>69</v>
      </c>
      <c r="S146" s="11"/>
      <c r="T146" s="11" t="s">
        <v>409</v>
      </c>
      <c r="U146" s="11"/>
      <c r="V146" s="11" t="s">
        <v>469</v>
      </c>
      <c r="W146" s="15">
        <f>IF(AND(ISNUMBER(Übersicht!$B$4),Übersicht!$B$4=INT(Übersicht!$B$4),Übersicht!$B$4&gt;=2026,Übersicht!$B$4&lt;=2028),IF(I146="fixedMonthDay",IF(AND(ISNUMBER(J146),J146=INT(J146),J146&gt;=1,J146&lt;=12,ISNUMBER(K146),K146=INT(K146),K146&gt;=1,K146&lt;=31,MONTH(DATE(Übersicht!$B$4,J146,K146))=J146,DAY(DATE(Übersicht!$B$4,J146,K146))=K146,L146="",M146="",N146=""),DATE(Übersicht!$B$4,J146,K146),NA()),IF(I146="easterOffsetDays",IF(AND(ISNUMBER(L146),L146=INT(L146),L146&gt;=-366,L146&lt;=366,J146="",K146="",M146="",N146=""),$AD$23+L146,NA()),IF(I146="nthWeekdayOfMonth",IF(AND(ISNUMBER(J146),J146=INT(J146),J146&gt;=1,J146&lt;=12,ISNUMBER(M146),M146=INT(M146),M146&gt;=1,M146&lt;=7,ISNUMBER(N146),N146=INT(N146),N146&gt;=1,N146&lt;=5,MONTH(DATE(Übersicht!$B$4,J146,1)+MOD(M146-WEEKDAY(DATE(Übersicht!$B$4,J146,1),2),7)+7*(N146-1))=J146,K146="",L146=""),DATE(Übersicht!$B$4,J146,1)+MOD(M146-WEEKDAY(DATE(Übersicht!$B$4,J146,1),2),7)+7*(N146-1),NA()),IF(I146="nthWeekdayOffsetDays",IF(AND(ISNUMBER(J146),J146=INT(J146),J146&gt;=1,J146&lt;=12,ISNUMBER(M146),M146=INT(M146),M146&gt;=1,M146&lt;=7,ISNUMBER(N146),N146=INT(N146),N146&gt;=1,N146&lt;=5,MONTH(DATE(Übersicht!$B$4,J146,1)+MOD(M146-WEEKDAY(DATE(Übersicht!$B$4,J146,1),2),7)+7*(N146-1))=J146,K146="",ISNUMBER(L146),L146=INT(L146),L146&gt;=-366,L146&lt;=366),DATE(Übersicht!$B$4,J146,1)+MOD(M146-WEEKDAY(DATE(Übersicht!$B$4,J146,1),2),7)+7*(N146-1)+L146,NA()),NA())))),NA())</f>
        <v>46389</v>
      </c>
      <c r="X146" s="15">
        <f t="shared" si="4"/>
        <v>46389</v>
      </c>
      <c r="Y146" s="11" t="s">
        <v>558</v>
      </c>
      <c r="Z146" s="11" t="s">
        <v>566</v>
      </c>
      <c r="AA146" s="26" t="s">
        <v>413</v>
      </c>
    </row>
    <row r="147" spans="1:27" ht="44" customHeight="1">
      <c r="A147" s="10" t="s">
        <v>221</v>
      </c>
      <c r="B147" s="10" t="s">
        <v>207</v>
      </c>
      <c r="C147" s="10" t="s">
        <v>562</v>
      </c>
      <c r="D147" s="24" t="s">
        <v>424</v>
      </c>
      <c r="E147" s="24" t="s">
        <v>425</v>
      </c>
      <c r="F147" s="25" t="s">
        <v>534</v>
      </c>
      <c r="G147" s="25" t="s">
        <v>535</v>
      </c>
      <c r="H147" s="10" t="s">
        <v>457</v>
      </c>
      <c r="I147" s="10" t="s">
        <v>426</v>
      </c>
      <c r="J147" s="28"/>
      <c r="K147" s="28"/>
      <c r="L147" s="24">
        <v>-2</v>
      </c>
      <c r="M147" s="24"/>
      <c r="N147" s="24"/>
      <c r="O147" s="29">
        <v>46023</v>
      </c>
      <c r="P147" s="29"/>
      <c r="Q147" s="24">
        <v>100</v>
      </c>
      <c r="R147" s="24" t="s">
        <v>69</v>
      </c>
      <c r="S147" s="10"/>
      <c r="T147" s="10" t="s">
        <v>409</v>
      </c>
      <c r="U147" s="10"/>
      <c r="V147" s="10" t="s">
        <v>469</v>
      </c>
      <c r="W147" s="14">
        <f>IF(AND(ISNUMBER(Übersicht!$B$4),Übersicht!$B$4=INT(Übersicht!$B$4),Übersicht!$B$4&gt;=2026,Übersicht!$B$4&lt;=2028),IF(I147="fixedMonthDay",IF(AND(ISNUMBER(J147),J147=INT(J147),J147&gt;=1,J147&lt;=12,ISNUMBER(K147),K147=INT(K147),K147&gt;=1,K147&lt;=31,MONTH(DATE(Übersicht!$B$4,J147,K147))=J147,DAY(DATE(Übersicht!$B$4,J147,K147))=K147,L147="",M147="",N147=""),DATE(Übersicht!$B$4,J147,K147),NA()),IF(I147="easterOffsetDays",IF(AND(ISNUMBER(L147),L147=INT(L147),L147&gt;=-366,L147&lt;=366,J147="",K147="",M147="",N147=""),$AD$23+L147,NA()),IF(I147="nthWeekdayOfMonth",IF(AND(ISNUMBER(J147),J147=INT(J147),J147&gt;=1,J147&lt;=12,ISNUMBER(M147),M147=INT(M147),M147&gt;=1,M147&lt;=7,ISNUMBER(N147),N147=INT(N147),N147&gt;=1,N147&lt;=5,MONTH(DATE(Übersicht!$B$4,J147,1)+MOD(M147-WEEKDAY(DATE(Übersicht!$B$4,J147,1),2),7)+7*(N147-1))=J147,K147="",L147=""),DATE(Übersicht!$B$4,J147,1)+MOD(M147-WEEKDAY(DATE(Übersicht!$B$4,J147,1),2),7)+7*(N147-1),NA()),IF(I147="nthWeekdayOffsetDays",IF(AND(ISNUMBER(J147),J147=INT(J147),J147&gt;=1,J147&lt;=12,ISNUMBER(M147),M147=INT(M147),M147&gt;=1,M147&lt;=7,ISNUMBER(N147),N147=INT(N147),N147&gt;=1,N147&lt;=5,MONTH(DATE(Übersicht!$B$4,J147,1)+MOD(M147-WEEKDAY(DATE(Übersicht!$B$4,J147,1),2),7)+7*(N147-1))=J147,K147="",ISNUMBER(L147),L147=INT(L147),L147&gt;=-366,L147&lt;=366),DATE(Übersicht!$B$4,J147,1)+MOD(M147-WEEKDAY(DATE(Übersicht!$B$4,J147,1),2),7)+7*(N147-1)+L147,NA()),NA())))),NA())</f>
        <v>46472</v>
      </c>
      <c r="X147" s="14">
        <f t="shared" si="4"/>
        <v>46472</v>
      </c>
      <c r="Y147" s="10" t="s">
        <v>558</v>
      </c>
      <c r="Z147" s="10" t="s">
        <v>559</v>
      </c>
      <c r="AA147" s="24" t="s">
        <v>413</v>
      </c>
    </row>
    <row r="148" spans="1:27" ht="44" customHeight="1">
      <c r="A148" s="11" t="s">
        <v>222</v>
      </c>
      <c r="B148" s="11" t="s">
        <v>207</v>
      </c>
      <c r="C148" s="11" t="s">
        <v>562</v>
      </c>
      <c r="D148" s="26" t="s">
        <v>432</v>
      </c>
      <c r="E148" s="26" t="s">
        <v>433</v>
      </c>
      <c r="F148" s="27" t="s">
        <v>505</v>
      </c>
      <c r="G148" s="27" t="s">
        <v>506</v>
      </c>
      <c r="H148" s="11" t="s">
        <v>457</v>
      </c>
      <c r="I148" s="11" t="s">
        <v>426</v>
      </c>
      <c r="J148" s="30"/>
      <c r="K148" s="30"/>
      <c r="L148" s="26">
        <v>1</v>
      </c>
      <c r="M148" s="26"/>
      <c r="N148" s="26"/>
      <c r="O148" s="31">
        <v>46023</v>
      </c>
      <c r="P148" s="31"/>
      <c r="Q148" s="26">
        <v>100</v>
      </c>
      <c r="R148" s="26" t="s">
        <v>69</v>
      </c>
      <c r="S148" s="11"/>
      <c r="T148" s="11" t="s">
        <v>409</v>
      </c>
      <c r="U148" s="11"/>
      <c r="V148" s="11" t="s">
        <v>469</v>
      </c>
      <c r="W148" s="15">
        <f>IF(AND(ISNUMBER(Übersicht!$B$4),Übersicht!$B$4=INT(Übersicht!$B$4),Übersicht!$B$4&gt;=2026,Übersicht!$B$4&lt;=2028),IF(I148="fixedMonthDay",IF(AND(ISNUMBER(J148),J148=INT(J148),J148&gt;=1,J148&lt;=12,ISNUMBER(K148),K148=INT(K148),K148&gt;=1,K148&lt;=31,MONTH(DATE(Übersicht!$B$4,J148,K148))=J148,DAY(DATE(Übersicht!$B$4,J148,K148))=K148,L148="",M148="",N148=""),DATE(Übersicht!$B$4,J148,K148),NA()),IF(I148="easterOffsetDays",IF(AND(ISNUMBER(L148),L148=INT(L148),L148&gt;=-366,L148&lt;=366,J148="",K148="",M148="",N148=""),$AD$23+L148,NA()),IF(I148="nthWeekdayOfMonth",IF(AND(ISNUMBER(J148),J148=INT(J148),J148&gt;=1,J148&lt;=12,ISNUMBER(M148),M148=INT(M148),M148&gt;=1,M148&lt;=7,ISNUMBER(N148),N148=INT(N148),N148&gt;=1,N148&lt;=5,MONTH(DATE(Übersicht!$B$4,J148,1)+MOD(M148-WEEKDAY(DATE(Übersicht!$B$4,J148,1),2),7)+7*(N148-1))=J148,K148="",L148=""),DATE(Übersicht!$B$4,J148,1)+MOD(M148-WEEKDAY(DATE(Übersicht!$B$4,J148,1),2),7)+7*(N148-1),NA()),IF(I148="nthWeekdayOffsetDays",IF(AND(ISNUMBER(J148),J148=INT(J148),J148&gt;=1,J148&lt;=12,ISNUMBER(M148),M148=INT(M148),M148&gt;=1,M148&lt;=7,ISNUMBER(N148),N148=INT(N148),N148&gt;=1,N148&lt;=5,MONTH(DATE(Übersicht!$B$4,J148,1)+MOD(M148-WEEKDAY(DATE(Übersicht!$B$4,J148,1),2),7)+7*(N148-1))=J148,K148="",ISNUMBER(L148),L148=INT(L148),L148&gt;=-366,L148&lt;=366),DATE(Übersicht!$B$4,J148,1)+MOD(M148-WEEKDAY(DATE(Übersicht!$B$4,J148,1),2),7)+7*(N148-1)+L148,NA()),NA())))),NA())</f>
        <v>46475</v>
      </c>
      <c r="X148" s="15">
        <f t="shared" si="4"/>
        <v>46475</v>
      </c>
      <c r="Y148" s="11" t="s">
        <v>558</v>
      </c>
      <c r="Z148" s="11" t="s">
        <v>566</v>
      </c>
      <c r="AA148" s="26" t="s">
        <v>413</v>
      </c>
    </row>
    <row r="149" spans="1:27" ht="44" customHeight="1">
      <c r="A149" s="10" t="s">
        <v>223</v>
      </c>
      <c r="B149" s="10" t="s">
        <v>207</v>
      </c>
      <c r="C149" s="10" t="s">
        <v>562</v>
      </c>
      <c r="D149" s="24" t="s">
        <v>435</v>
      </c>
      <c r="E149" s="24" t="s">
        <v>436</v>
      </c>
      <c r="F149" s="25" t="s">
        <v>509</v>
      </c>
      <c r="G149" s="25" t="s">
        <v>510</v>
      </c>
      <c r="H149" s="10" t="s">
        <v>457</v>
      </c>
      <c r="I149" s="10" t="s">
        <v>426</v>
      </c>
      <c r="J149" s="28"/>
      <c r="K149" s="28"/>
      <c r="L149" s="24">
        <v>39</v>
      </c>
      <c r="M149" s="24"/>
      <c r="N149" s="24"/>
      <c r="O149" s="29">
        <v>46023</v>
      </c>
      <c r="P149" s="29"/>
      <c r="Q149" s="24">
        <v>100</v>
      </c>
      <c r="R149" s="24" t="s">
        <v>69</v>
      </c>
      <c r="S149" s="10"/>
      <c r="T149" s="10" t="s">
        <v>409</v>
      </c>
      <c r="U149" s="10"/>
      <c r="V149" s="10" t="s">
        <v>469</v>
      </c>
      <c r="W149" s="14">
        <f>IF(AND(ISNUMBER(Übersicht!$B$4),Übersicht!$B$4=INT(Übersicht!$B$4),Übersicht!$B$4&gt;=2026,Übersicht!$B$4&lt;=2028),IF(I149="fixedMonthDay",IF(AND(ISNUMBER(J149),J149=INT(J149),J149&gt;=1,J149&lt;=12,ISNUMBER(K149),K149=INT(K149),K149&gt;=1,K149&lt;=31,MONTH(DATE(Übersicht!$B$4,J149,K149))=J149,DAY(DATE(Übersicht!$B$4,J149,K149))=K149,L149="",M149="",N149=""),DATE(Übersicht!$B$4,J149,K149),NA()),IF(I149="easterOffsetDays",IF(AND(ISNUMBER(L149),L149=INT(L149),L149&gt;=-366,L149&lt;=366,J149="",K149="",M149="",N149=""),$AD$23+L149,NA()),IF(I149="nthWeekdayOfMonth",IF(AND(ISNUMBER(J149),J149=INT(J149),J149&gt;=1,J149&lt;=12,ISNUMBER(M149),M149=INT(M149),M149&gt;=1,M149&lt;=7,ISNUMBER(N149),N149=INT(N149),N149&gt;=1,N149&lt;=5,MONTH(DATE(Übersicht!$B$4,J149,1)+MOD(M149-WEEKDAY(DATE(Übersicht!$B$4,J149,1),2),7)+7*(N149-1))=J149,K149="",L149=""),DATE(Übersicht!$B$4,J149,1)+MOD(M149-WEEKDAY(DATE(Übersicht!$B$4,J149,1),2),7)+7*(N149-1),NA()),IF(I149="nthWeekdayOffsetDays",IF(AND(ISNUMBER(J149),J149=INT(J149),J149&gt;=1,J149&lt;=12,ISNUMBER(M149),M149=INT(M149),M149&gt;=1,M149&lt;=7,ISNUMBER(N149),N149=INT(N149),N149&gt;=1,N149&lt;=5,MONTH(DATE(Übersicht!$B$4,J149,1)+MOD(M149-WEEKDAY(DATE(Übersicht!$B$4,J149,1),2),7)+7*(N149-1))=J149,K149="",ISNUMBER(L149),L149=INT(L149),L149&gt;=-366,L149&lt;=366),DATE(Übersicht!$B$4,J149,1)+MOD(M149-WEEKDAY(DATE(Übersicht!$B$4,J149,1),2),7)+7*(N149-1)+L149,NA()),NA())))),NA())</f>
        <v>46513</v>
      </c>
      <c r="X149" s="14">
        <f t="shared" si="4"/>
        <v>46513</v>
      </c>
      <c r="Y149" s="10" t="s">
        <v>558</v>
      </c>
      <c r="Z149" s="10" t="s">
        <v>559</v>
      </c>
      <c r="AA149" s="24" t="s">
        <v>413</v>
      </c>
    </row>
    <row r="150" spans="1:27" ht="44" customHeight="1">
      <c r="A150" s="11" t="s">
        <v>224</v>
      </c>
      <c r="B150" s="11" t="s">
        <v>207</v>
      </c>
      <c r="C150" s="11" t="s">
        <v>562</v>
      </c>
      <c r="D150" s="26" t="s">
        <v>441</v>
      </c>
      <c r="E150" s="26" t="s">
        <v>442</v>
      </c>
      <c r="F150" s="27" t="s">
        <v>511</v>
      </c>
      <c r="G150" s="27" t="s">
        <v>512</v>
      </c>
      <c r="H150" s="11" t="s">
        <v>457</v>
      </c>
      <c r="I150" s="11" t="s">
        <v>426</v>
      </c>
      <c r="J150" s="30"/>
      <c r="K150" s="30"/>
      <c r="L150" s="26">
        <v>50</v>
      </c>
      <c r="M150" s="26"/>
      <c r="N150" s="26"/>
      <c r="O150" s="31">
        <v>46023</v>
      </c>
      <c r="P150" s="31"/>
      <c r="Q150" s="26">
        <v>100</v>
      </c>
      <c r="R150" s="26" t="s">
        <v>69</v>
      </c>
      <c r="S150" s="11"/>
      <c r="T150" s="11" t="s">
        <v>409</v>
      </c>
      <c r="U150" s="11"/>
      <c r="V150" s="11" t="s">
        <v>469</v>
      </c>
      <c r="W150" s="15">
        <f>IF(AND(ISNUMBER(Übersicht!$B$4),Übersicht!$B$4=INT(Übersicht!$B$4),Übersicht!$B$4&gt;=2026,Übersicht!$B$4&lt;=2028),IF(I150="fixedMonthDay",IF(AND(ISNUMBER(J150),J150=INT(J150),J150&gt;=1,J150&lt;=12,ISNUMBER(K150),K150=INT(K150),K150&gt;=1,K150&lt;=31,MONTH(DATE(Übersicht!$B$4,J150,K150))=J150,DAY(DATE(Übersicht!$B$4,J150,K150))=K150,L150="",M150="",N150=""),DATE(Übersicht!$B$4,J150,K150),NA()),IF(I150="easterOffsetDays",IF(AND(ISNUMBER(L150),L150=INT(L150),L150&gt;=-366,L150&lt;=366,J150="",K150="",M150="",N150=""),$AD$23+L150,NA()),IF(I150="nthWeekdayOfMonth",IF(AND(ISNUMBER(J150),J150=INT(J150),J150&gt;=1,J150&lt;=12,ISNUMBER(M150),M150=INT(M150),M150&gt;=1,M150&lt;=7,ISNUMBER(N150),N150=INT(N150),N150&gt;=1,N150&lt;=5,MONTH(DATE(Übersicht!$B$4,J150,1)+MOD(M150-WEEKDAY(DATE(Übersicht!$B$4,J150,1),2),7)+7*(N150-1))=J150,K150="",L150=""),DATE(Übersicht!$B$4,J150,1)+MOD(M150-WEEKDAY(DATE(Übersicht!$B$4,J150,1),2),7)+7*(N150-1),NA()),IF(I150="nthWeekdayOffsetDays",IF(AND(ISNUMBER(J150),J150=INT(J150),J150&gt;=1,J150&lt;=12,ISNUMBER(M150),M150=INT(M150),M150&gt;=1,M150&lt;=7,ISNUMBER(N150),N150=INT(N150),N150&gt;=1,N150&lt;=5,MONTH(DATE(Übersicht!$B$4,J150,1)+MOD(M150-WEEKDAY(DATE(Übersicht!$B$4,J150,1),2),7)+7*(N150-1))=J150,K150="",ISNUMBER(L150),L150=INT(L150),L150&gt;=-366,L150&lt;=366),DATE(Übersicht!$B$4,J150,1)+MOD(M150-WEEKDAY(DATE(Übersicht!$B$4,J150,1),2),7)+7*(N150-1)+L150,NA()),NA())))),NA())</f>
        <v>46524</v>
      </c>
      <c r="X150" s="15">
        <f t="shared" si="4"/>
        <v>46524</v>
      </c>
      <c r="Y150" s="11" t="s">
        <v>558</v>
      </c>
      <c r="Z150" s="11" t="s">
        <v>566</v>
      </c>
      <c r="AA150" s="26" t="s">
        <v>413</v>
      </c>
    </row>
    <row r="151" spans="1:27" ht="44" customHeight="1">
      <c r="A151" s="10" t="s">
        <v>225</v>
      </c>
      <c r="B151" s="10" t="s">
        <v>207</v>
      </c>
      <c r="C151" s="10" t="s">
        <v>562</v>
      </c>
      <c r="D151" s="24" t="s">
        <v>404</v>
      </c>
      <c r="E151" s="24" t="s">
        <v>405</v>
      </c>
      <c r="F151" s="25" t="s">
        <v>519</v>
      </c>
      <c r="G151" s="25" t="s">
        <v>520</v>
      </c>
      <c r="H151" s="10" t="s">
        <v>406</v>
      </c>
      <c r="I151" s="10" t="s">
        <v>407</v>
      </c>
      <c r="J151" s="28">
        <v>8</v>
      </c>
      <c r="K151" s="28">
        <v>1</v>
      </c>
      <c r="L151" s="24"/>
      <c r="M151" s="24"/>
      <c r="N151" s="24"/>
      <c r="O151" s="29">
        <v>46023</v>
      </c>
      <c r="P151" s="29"/>
      <c r="Q151" s="24">
        <v>100</v>
      </c>
      <c r="R151" s="24" t="s">
        <v>69</v>
      </c>
      <c r="S151" s="10"/>
      <c r="T151" s="10" t="s">
        <v>409</v>
      </c>
      <c r="U151" s="10"/>
      <c r="V151" s="10" t="s">
        <v>469</v>
      </c>
      <c r="W151" s="14">
        <f>IF(AND(ISNUMBER(Übersicht!$B$4),Übersicht!$B$4=INT(Übersicht!$B$4),Übersicht!$B$4&gt;=2026,Übersicht!$B$4&lt;=2028),IF(I151="fixedMonthDay",IF(AND(ISNUMBER(J151),J151=INT(J151),J151&gt;=1,J151&lt;=12,ISNUMBER(K151),K151=INT(K151),K151&gt;=1,K151&lt;=31,MONTH(DATE(Übersicht!$B$4,J151,K151))=J151,DAY(DATE(Übersicht!$B$4,J151,K151))=K151,L151="",M151="",N151=""),DATE(Übersicht!$B$4,J151,K151),NA()),IF(I151="easterOffsetDays",IF(AND(ISNUMBER(L151),L151=INT(L151),L151&gt;=-366,L151&lt;=366,J151="",K151="",M151="",N151=""),$AD$23+L151,NA()),IF(I151="nthWeekdayOfMonth",IF(AND(ISNUMBER(J151),J151=INT(J151),J151&gt;=1,J151&lt;=12,ISNUMBER(M151),M151=INT(M151),M151&gt;=1,M151&lt;=7,ISNUMBER(N151),N151=INT(N151),N151&gt;=1,N151&lt;=5,MONTH(DATE(Übersicht!$B$4,J151,1)+MOD(M151-WEEKDAY(DATE(Übersicht!$B$4,J151,1),2),7)+7*(N151-1))=J151,K151="",L151=""),DATE(Übersicht!$B$4,J151,1)+MOD(M151-WEEKDAY(DATE(Übersicht!$B$4,J151,1),2),7)+7*(N151-1),NA()),IF(I151="nthWeekdayOffsetDays",IF(AND(ISNUMBER(J151),J151=INT(J151),J151&gt;=1,J151&lt;=12,ISNUMBER(M151),M151=INT(M151),M151&gt;=1,M151&lt;=7,ISNUMBER(N151),N151=INT(N151),N151&gt;=1,N151&lt;=5,MONTH(DATE(Übersicht!$B$4,J151,1)+MOD(M151-WEEKDAY(DATE(Übersicht!$B$4,J151,1),2),7)+7*(N151-1))=J151,K151="",ISNUMBER(L151),L151=INT(L151),L151&gt;=-366,L151&lt;=366),DATE(Übersicht!$B$4,J151,1)+MOD(M151-WEEKDAY(DATE(Übersicht!$B$4,J151,1),2),7)+7*(N151-1)+L151,NA()),NA())))),NA())</f>
        <v>46600</v>
      </c>
      <c r="X151" s="14">
        <f t="shared" si="4"/>
        <v>46600</v>
      </c>
      <c r="Y151" s="10" t="s">
        <v>411</v>
      </c>
      <c r="Z151" s="10" t="s">
        <v>561</v>
      </c>
      <c r="AA151" s="24" t="s">
        <v>413</v>
      </c>
    </row>
    <row r="152" spans="1:27" ht="44" customHeight="1">
      <c r="A152" s="11" t="s">
        <v>226</v>
      </c>
      <c r="B152" s="11" t="s">
        <v>207</v>
      </c>
      <c r="C152" s="11" t="s">
        <v>562</v>
      </c>
      <c r="D152" s="26" t="s">
        <v>448</v>
      </c>
      <c r="E152" s="26" t="s">
        <v>449</v>
      </c>
      <c r="F152" s="27" t="s">
        <v>527</v>
      </c>
      <c r="G152" s="27" t="s">
        <v>528</v>
      </c>
      <c r="H152" s="11" t="s">
        <v>457</v>
      </c>
      <c r="I152" s="11" t="s">
        <v>407</v>
      </c>
      <c r="J152" s="30">
        <v>12</v>
      </c>
      <c r="K152" s="30">
        <v>25</v>
      </c>
      <c r="L152" s="26"/>
      <c r="M152" s="26"/>
      <c r="N152" s="26"/>
      <c r="O152" s="31">
        <v>46023</v>
      </c>
      <c r="P152" s="31"/>
      <c r="Q152" s="26">
        <v>100</v>
      </c>
      <c r="R152" s="26" t="s">
        <v>69</v>
      </c>
      <c r="S152" s="11"/>
      <c r="T152" s="11" t="s">
        <v>409</v>
      </c>
      <c r="U152" s="11"/>
      <c r="V152" s="11" t="s">
        <v>469</v>
      </c>
      <c r="W152" s="15">
        <f>IF(AND(ISNUMBER(Übersicht!$B$4),Übersicht!$B$4=INT(Übersicht!$B$4),Übersicht!$B$4&gt;=2026,Übersicht!$B$4&lt;=2028),IF(I152="fixedMonthDay",IF(AND(ISNUMBER(J152),J152=INT(J152),J152&gt;=1,J152&lt;=12,ISNUMBER(K152),K152=INT(K152),K152&gt;=1,K152&lt;=31,MONTH(DATE(Übersicht!$B$4,J152,K152))=J152,DAY(DATE(Übersicht!$B$4,J152,K152))=K152,L152="",M152="",N152=""),DATE(Übersicht!$B$4,J152,K152),NA()),IF(I152="easterOffsetDays",IF(AND(ISNUMBER(L152),L152=INT(L152),L152&gt;=-366,L152&lt;=366,J152="",K152="",M152="",N152=""),$AD$23+L152,NA()),IF(I152="nthWeekdayOfMonth",IF(AND(ISNUMBER(J152),J152=INT(J152),J152&gt;=1,J152&lt;=12,ISNUMBER(M152),M152=INT(M152),M152&gt;=1,M152&lt;=7,ISNUMBER(N152),N152=INT(N152),N152&gt;=1,N152&lt;=5,MONTH(DATE(Übersicht!$B$4,J152,1)+MOD(M152-WEEKDAY(DATE(Übersicht!$B$4,J152,1),2),7)+7*(N152-1))=J152,K152="",L152=""),DATE(Übersicht!$B$4,J152,1)+MOD(M152-WEEKDAY(DATE(Übersicht!$B$4,J152,1),2),7)+7*(N152-1),NA()),IF(I152="nthWeekdayOffsetDays",IF(AND(ISNUMBER(J152),J152=INT(J152),J152&gt;=1,J152&lt;=12,ISNUMBER(M152),M152=INT(M152),M152&gt;=1,M152&lt;=7,ISNUMBER(N152),N152=INT(N152),N152&gt;=1,N152&lt;=5,MONTH(DATE(Übersicht!$B$4,J152,1)+MOD(M152-WEEKDAY(DATE(Übersicht!$B$4,J152,1),2),7)+7*(N152-1))=J152,K152="",ISNUMBER(L152),L152=INT(L152),L152&gt;=-366,L152&lt;=366),DATE(Übersicht!$B$4,J152,1)+MOD(M152-WEEKDAY(DATE(Übersicht!$B$4,J152,1),2),7)+7*(N152-1)+L152,NA()),NA())))),NA())</f>
        <v>46746</v>
      </c>
      <c r="X152" s="15">
        <f t="shared" si="4"/>
        <v>46746</v>
      </c>
      <c r="Y152" s="11" t="s">
        <v>558</v>
      </c>
      <c r="Z152" s="11" t="s">
        <v>559</v>
      </c>
      <c r="AA152" s="26" t="s">
        <v>413</v>
      </c>
    </row>
    <row r="153" spans="1:27" ht="44" customHeight="1">
      <c r="A153" s="10" t="s">
        <v>227</v>
      </c>
      <c r="B153" s="10" t="s">
        <v>207</v>
      </c>
      <c r="C153" s="10" t="s">
        <v>562</v>
      </c>
      <c r="D153" s="24" t="s">
        <v>451</v>
      </c>
      <c r="E153" s="24" t="s">
        <v>567</v>
      </c>
      <c r="F153" s="25" t="s">
        <v>529</v>
      </c>
      <c r="G153" s="25" t="s">
        <v>530</v>
      </c>
      <c r="H153" s="10" t="s">
        <v>457</v>
      </c>
      <c r="I153" s="10" t="s">
        <v>407</v>
      </c>
      <c r="J153" s="28">
        <v>12</v>
      </c>
      <c r="K153" s="28">
        <v>26</v>
      </c>
      <c r="L153" s="24"/>
      <c r="M153" s="24"/>
      <c r="N153" s="24"/>
      <c r="O153" s="29">
        <v>46023</v>
      </c>
      <c r="P153" s="29"/>
      <c r="Q153" s="24">
        <v>100</v>
      </c>
      <c r="R153" s="24" t="s">
        <v>69</v>
      </c>
      <c r="S153" s="10"/>
      <c r="T153" s="10" t="s">
        <v>409</v>
      </c>
      <c r="U153" s="10"/>
      <c r="V153" s="10" t="s">
        <v>469</v>
      </c>
      <c r="W153" s="14">
        <f>IF(AND(ISNUMBER(Übersicht!$B$4),Übersicht!$B$4=INT(Übersicht!$B$4),Übersicht!$B$4&gt;=2026,Übersicht!$B$4&lt;=2028),IF(I153="fixedMonthDay",IF(AND(ISNUMBER(J153),J153=INT(J153),J153&gt;=1,J153&lt;=12,ISNUMBER(K153),K153=INT(K153),K153&gt;=1,K153&lt;=31,MONTH(DATE(Übersicht!$B$4,J153,K153))=J153,DAY(DATE(Übersicht!$B$4,J153,K153))=K153,L153="",M153="",N153=""),DATE(Übersicht!$B$4,J153,K153),NA()),IF(I153="easterOffsetDays",IF(AND(ISNUMBER(L153),L153=INT(L153),L153&gt;=-366,L153&lt;=366,J153="",K153="",M153="",N153=""),$AD$23+L153,NA()),IF(I153="nthWeekdayOfMonth",IF(AND(ISNUMBER(J153),J153=INT(J153),J153&gt;=1,J153&lt;=12,ISNUMBER(M153),M153=INT(M153),M153&gt;=1,M153&lt;=7,ISNUMBER(N153),N153=INT(N153),N153&gt;=1,N153&lt;=5,MONTH(DATE(Übersicht!$B$4,J153,1)+MOD(M153-WEEKDAY(DATE(Übersicht!$B$4,J153,1),2),7)+7*(N153-1))=J153,K153="",L153=""),DATE(Übersicht!$B$4,J153,1)+MOD(M153-WEEKDAY(DATE(Übersicht!$B$4,J153,1),2),7)+7*(N153-1),NA()),IF(I153="nthWeekdayOffsetDays",IF(AND(ISNUMBER(J153),J153=INT(J153),J153&gt;=1,J153&lt;=12,ISNUMBER(M153),M153=INT(M153),M153&gt;=1,M153&lt;=7,ISNUMBER(N153),N153=INT(N153),N153&gt;=1,N153&lt;=5,MONTH(DATE(Übersicht!$B$4,J153,1)+MOD(M153-WEEKDAY(DATE(Übersicht!$B$4,J153,1),2),7)+7*(N153-1))=J153,K153="",ISNUMBER(L153),L153=INT(L153),L153&gt;=-366,L153&lt;=366),DATE(Übersicht!$B$4,J153,1)+MOD(M153-WEEKDAY(DATE(Übersicht!$B$4,J153,1),2),7)+7*(N153-1)+L153,NA()),NA())))),NA())</f>
        <v>46747</v>
      </c>
      <c r="X153" s="14">
        <f t="shared" si="4"/>
        <v>46747</v>
      </c>
      <c r="Y153" s="10" t="s">
        <v>558</v>
      </c>
      <c r="Z153" s="10" t="s">
        <v>566</v>
      </c>
      <c r="AA153" s="24" t="s">
        <v>413</v>
      </c>
    </row>
    <row r="154" spans="1:27" ht="44" customHeight="1">
      <c r="A154" s="11" t="s">
        <v>229</v>
      </c>
      <c r="B154" s="11" t="s">
        <v>207</v>
      </c>
      <c r="C154" s="11" t="s">
        <v>568</v>
      </c>
      <c r="D154" s="26" t="s">
        <v>416</v>
      </c>
      <c r="E154" s="26" t="s">
        <v>417</v>
      </c>
      <c r="F154" s="27" t="s">
        <v>494</v>
      </c>
      <c r="G154" s="27" t="s">
        <v>495</v>
      </c>
      <c r="H154" s="11" t="s">
        <v>468</v>
      </c>
      <c r="I154" s="11" t="s">
        <v>407</v>
      </c>
      <c r="J154" s="30">
        <v>1</v>
      </c>
      <c r="K154" s="30">
        <v>1</v>
      </c>
      <c r="L154" s="26"/>
      <c r="M154" s="26"/>
      <c r="N154" s="26"/>
      <c r="O154" s="31">
        <v>46023</v>
      </c>
      <c r="P154" s="31"/>
      <c r="Q154" s="26">
        <v>100</v>
      </c>
      <c r="R154" s="26" t="s">
        <v>69</v>
      </c>
      <c r="S154" s="11"/>
      <c r="T154" s="11" t="s">
        <v>409</v>
      </c>
      <c r="U154" s="11"/>
      <c r="V154" s="11" t="s">
        <v>469</v>
      </c>
      <c r="W154" s="15">
        <f>IF(AND(ISNUMBER(Übersicht!$B$4),Übersicht!$B$4=INT(Übersicht!$B$4),Übersicht!$B$4&gt;=2026,Übersicht!$B$4&lt;=2028),IF(I154="fixedMonthDay",IF(AND(ISNUMBER(J154),J154=INT(J154),J154&gt;=1,J154&lt;=12,ISNUMBER(K154),K154=INT(K154),K154&gt;=1,K154&lt;=31,MONTH(DATE(Übersicht!$B$4,J154,K154))=J154,DAY(DATE(Übersicht!$B$4,J154,K154))=K154,L154="",M154="",N154=""),DATE(Übersicht!$B$4,J154,K154),NA()),IF(I154="easterOffsetDays",IF(AND(ISNUMBER(L154),L154=INT(L154),L154&gt;=-366,L154&lt;=366,J154="",K154="",M154="",N154=""),$AD$23+L154,NA()),IF(I154="nthWeekdayOfMonth",IF(AND(ISNUMBER(J154),J154=INT(J154),J154&gt;=1,J154&lt;=12,ISNUMBER(M154),M154=INT(M154),M154&gt;=1,M154&lt;=7,ISNUMBER(N154),N154=INT(N154),N154&gt;=1,N154&lt;=5,MONTH(DATE(Übersicht!$B$4,J154,1)+MOD(M154-WEEKDAY(DATE(Übersicht!$B$4,J154,1),2),7)+7*(N154-1))=J154,K154="",L154=""),DATE(Übersicht!$B$4,J154,1)+MOD(M154-WEEKDAY(DATE(Übersicht!$B$4,J154,1),2),7)+7*(N154-1),NA()),IF(I154="nthWeekdayOffsetDays",IF(AND(ISNUMBER(J154),J154=INT(J154),J154&gt;=1,J154&lt;=12,ISNUMBER(M154),M154=INT(M154),M154&gt;=1,M154&lt;=7,ISNUMBER(N154),N154=INT(N154),N154&gt;=1,N154&lt;=5,MONTH(DATE(Übersicht!$B$4,J154,1)+MOD(M154-WEEKDAY(DATE(Übersicht!$B$4,J154,1),2),7)+7*(N154-1))=J154,K154="",ISNUMBER(L154),L154=INT(L154),L154&gt;=-366,L154&lt;=366),DATE(Übersicht!$B$4,J154,1)+MOD(M154-WEEKDAY(DATE(Übersicht!$B$4,J154,1),2),7)+7*(N154-1)+L154,NA()),NA())))),NA())</f>
        <v>46388</v>
      </c>
      <c r="X154" s="15">
        <f t="shared" si="4"/>
        <v>46388</v>
      </c>
      <c r="Y154" s="11" t="s">
        <v>569</v>
      </c>
      <c r="Z154" s="11" t="s">
        <v>570</v>
      </c>
      <c r="AA154" s="26" t="s">
        <v>413</v>
      </c>
    </row>
    <row r="155" spans="1:27" ht="44" customHeight="1">
      <c r="A155" s="10" t="s">
        <v>230</v>
      </c>
      <c r="B155" s="10" t="s">
        <v>207</v>
      </c>
      <c r="C155" s="10" t="s">
        <v>568</v>
      </c>
      <c r="D155" s="24" t="s">
        <v>421</v>
      </c>
      <c r="E155" s="24" t="s">
        <v>563</v>
      </c>
      <c r="F155" s="25" t="s">
        <v>564</v>
      </c>
      <c r="G155" s="25" t="s">
        <v>565</v>
      </c>
      <c r="H155" s="10" t="s">
        <v>468</v>
      </c>
      <c r="I155" s="10" t="s">
        <v>407</v>
      </c>
      <c r="J155" s="28">
        <v>1</v>
      </c>
      <c r="K155" s="28">
        <v>2</v>
      </c>
      <c r="L155" s="24"/>
      <c r="M155" s="24"/>
      <c r="N155" s="24"/>
      <c r="O155" s="29">
        <v>46023</v>
      </c>
      <c r="P155" s="29"/>
      <c r="Q155" s="24">
        <v>100</v>
      </c>
      <c r="R155" s="24" t="s">
        <v>69</v>
      </c>
      <c r="S155" s="10"/>
      <c r="T155" s="10" t="s">
        <v>409</v>
      </c>
      <c r="U155" s="10"/>
      <c r="V155" s="10" t="s">
        <v>469</v>
      </c>
      <c r="W155" s="14">
        <f>IF(AND(ISNUMBER(Übersicht!$B$4),Übersicht!$B$4=INT(Übersicht!$B$4),Übersicht!$B$4&gt;=2026,Übersicht!$B$4&lt;=2028),IF(I155="fixedMonthDay",IF(AND(ISNUMBER(J155),J155=INT(J155),J155&gt;=1,J155&lt;=12,ISNUMBER(K155),K155=INT(K155),K155&gt;=1,K155&lt;=31,MONTH(DATE(Übersicht!$B$4,J155,K155))=J155,DAY(DATE(Übersicht!$B$4,J155,K155))=K155,L155="",M155="",N155=""),DATE(Übersicht!$B$4,J155,K155),NA()),IF(I155="easterOffsetDays",IF(AND(ISNUMBER(L155),L155=INT(L155),L155&gt;=-366,L155&lt;=366,J155="",K155="",M155="",N155=""),$AD$23+L155,NA()),IF(I155="nthWeekdayOfMonth",IF(AND(ISNUMBER(J155),J155=INT(J155),J155&gt;=1,J155&lt;=12,ISNUMBER(M155),M155=INT(M155),M155&gt;=1,M155&lt;=7,ISNUMBER(N155),N155=INT(N155),N155&gt;=1,N155&lt;=5,MONTH(DATE(Übersicht!$B$4,J155,1)+MOD(M155-WEEKDAY(DATE(Übersicht!$B$4,J155,1),2),7)+7*(N155-1))=J155,K155="",L155=""),DATE(Übersicht!$B$4,J155,1)+MOD(M155-WEEKDAY(DATE(Übersicht!$B$4,J155,1),2),7)+7*(N155-1),NA()),IF(I155="nthWeekdayOffsetDays",IF(AND(ISNUMBER(J155),J155=INT(J155),J155&gt;=1,J155&lt;=12,ISNUMBER(M155),M155=INT(M155),M155&gt;=1,M155&lt;=7,ISNUMBER(N155),N155=INT(N155),N155&gt;=1,N155&lt;=5,MONTH(DATE(Übersicht!$B$4,J155,1)+MOD(M155-WEEKDAY(DATE(Übersicht!$B$4,J155,1),2),7)+7*(N155-1))=J155,K155="",ISNUMBER(L155),L155=INT(L155),L155&gt;=-366,L155&lt;=366),DATE(Übersicht!$B$4,J155,1)+MOD(M155-WEEKDAY(DATE(Übersicht!$B$4,J155,1),2),7)+7*(N155-1)+L155,NA()),NA())))),NA())</f>
        <v>46389</v>
      </c>
      <c r="X155" s="14">
        <f t="shared" si="4"/>
        <v>46389</v>
      </c>
      <c r="Y155" s="10" t="s">
        <v>569</v>
      </c>
      <c r="Z155" s="10" t="s">
        <v>570</v>
      </c>
      <c r="AA155" s="24" t="s">
        <v>413</v>
      </c>
    </row>
    <row r="156" spans="1:27" ht="44" customHeight="1">
      <c r="A156" s="11" t="s">
        <v>231</v>
      </c>
      <c r="B156" s="11" t="s">
        <v>207</v>
      </c>
      <c r="C156" s="11" t="s">
        <v>568</v>
      </c>
      <c r="D156" s="26" t="s">
        <v>424</v>
      </c>
      <c r="E156" s="26" t="s">
        <v>425</v>
      </c>
      <c r="F156" s="27" t="s">
        <v>534</v>
      </c>
      <c r="G156" s="27" t="s">
        <v>535</v>
      </c>
      <c r="H156" s="11" t="s">
        <v>468</v>
      </c>
      <c r="I156" s="11" t="s">
        <v>426</v>
      </c>
      <c r="J156" s="30"/>
      <c r="K156" s="30"/>
      <c r="L156" s="26">
        <v>-2</v>
      </c>
      <c r="M156" s="26"/>
      <c r="N156" s="26"/>
      <c r="O156" s="31">
        <v>46023</v>
      </c>
      <c r="P156" s="31"/>
      <c r="Q156" s="26">
        <v>100</v>
      </c>
      <c r="R156" s="26" t="s">
        <v>69</v>
      </c>
      <c r="S156" s="11"/>
      <c r="T156" s="11" t="s">
        <v>409</v>
      </c>
      <c r="U156" s="11"/>
      <c r="V156" s="11" t="s">
        <v>469</v>
      </c>
      <c r="W156" s="15">
        <f>IF(AND(ISNUMBER(Übersicht!$B$4),Übersicht!$B$4=INT(Übersicht!$B$4),Übersicht!$B$4&gt;=2026,Übersicht!$B$4&lt;=2028),IF(I156="fixedMonthDay",IF(AND(ISNUMBER(J156),J156=INT(J156),J156&gt;=1,J156&lt;=12,ISNUMBER(K156),K156=INT(K156),K156&gt;=1,K156&lt;=31,MONTH(DATE(Übersicht!$B$4,J156,K156))=J156,DAY(DATE(Übersicht!$B$4,J156,K156))=K156,L156="",M156="",N156=""),DATE(Übersicht!$B$4,J156,K156),NA()),IF(I156="easterOffsetDays",IF(AND(ISNUMBER(L156),L156=INT(L156),L156&gt;=-366,L156&lt;=366,J156="",K156="",M156="",N156=""),$AD$23+L156,NA()),IF(I156="nthWeekdayOfMonth",IF(AND(ISNUMBER(J156),J156=INT(J156),J156&gt;=1,J156&lt;=12,ISNUMBER(M156),M156=INT(M156),M156&gt;=1,M156&lt;=7,ISNUMBER(N156),N156=INT(N156),N156&gt;=1,N156&lt;=5,MONTH(DATE(Übersicht!$B$4,J156,1)+MOD(M156-WEEKDAY(DATE(Übersicht!$B$4,J156,1),2),7)+7*(N156-1))=J156,K156="",L156=""),DATE(Übersicht!$B$4,J156,1)+MOD(M156-WEEKDAY(DATE(Übersicht!$B$4,J156,1),2),7)+7*(N156-1),NA()),IF(I156="nthWeekdayOffsetDays",IF(AND(ISNUMBER(J156),J156=INT(J156),J156&gt;=1,J156&lt;=12,ISNUMBER(M156),M156=INT(M156),M156&gt;=1,M156&lt;=7,ISNUMBER(N156),N156=INT(N156),N156&gt;=1,N156&lt;=5,MONTH(DATE(Übersicht!$B$4,J156,1)+MOD(M156-WEEKDAY(DATE(Übersicht!$B$4,J156,1),2),7)+7*(N156-1))=J156,K156="",ISNUMBER(L156),L156=INT(L156),L156&gt;=-366,L156&lt;=366),DATE(Übersicht!$B$4,J156,1)+MOD(M156-WEEKDAY(DATE(Übersicht!$B$4,J156,1),2),7)+7*(N156-1)+L156,NA()),NA())))),NA())</f>
        <v>46472</v>
      </c>
      <c r="X156" s="15">
        <f t="shared" si="4"/>
        <v>46472</v>
      </c>
      <c r="Y156" s="11" t="s">
        <v>569</v>
      </c>
      <c r="Z156" s="11" t="s">
        <v>570</v>
      </c>
      <c r="AA156" s="26" t="s">
        <v>413</v>
      </c>
    </row>
    <row r="157" spans="1:27" ht="44" customHeight="1">
      <c r="A157" s="10" t="s">
        <v>232</v>
      </c>
      <c r="B157" s="10" t="s">
        <v>207</v>
      </c>
      <c r="C157" s="10" t="s">
        <v>568</v>
      </c>
      <c r="D157" s="24" t="s">
        <v>429</v>
      </c>
      <c r="E157" s="24" t="s">
        <v>430</v>
      </c>
      <c r="F157" s="25" t="s">
        <v>537</v>
      </c>
      <c r="G157" s="25" t="s">
        <v>538</v>
      </c>
      <c r="H157" s="10" t="s">
        <v>468</v>
      </c>
      <c r="I157" s="10" t="s">
        <v>426</v>
      </c>
      <c r="J157" s="28"/>
      <c r="K157" s="28"/>
      <c r="L157" s="24">
        <v>0</v>
      </c>
      <c r="M157" s="24"/>
      <c r="N157" s="24"/>
      <c r="O157" s="29">
        <v>46023</v>
      </c>
      <c r="P157" s="29"/>
      <c r="Q157" s="24">
        <v>100</v>
      </c>
      <c r="R157" s="24" t="s">
        <v>69</v>
      </c>
      <c r="S157" s="10"/>
      <c r="T157" s="10" t="s">
        <v>409</v>
      </c>
      <c r="U157" s="10"/>
      <c r="V157" s="10" t="s">
        <v>469</v>
      </c>
      <c r="W157" s="14">
        <f>IF(AND(ISNUMBER(Übersicht!$B$4),Übersicht!$B$4=INT(Übersicht!$B$4),Übersicht!$B$4&gt;=2026,Übersicht!$B$4&lt;=2028),IF(I157="fixedMonthDay",IF(AND(ISNUMBER(J157),J157=INT(J157),J157&gt;=1,J157&lt;=12,ISNUMBER(K157),K157=INT(K157),K157&gt;=1,K157&lt;=31,MONTH(DATE(Übersicht!$B$4,J157,K157))=J157,DAY(DATE(Übersicht!$B$4,J157,K157))=K157,L157="",M157="",N157=""),DATE(Übersicht!$B$4,J157,K157),NA()),IF(I157="easterOffsetDays",IF(AND(ISNUMBER(L157),L157=INT(L157),L157&gt;=-366,L157&lt;=366,J157="",K157="",M157="",N157=""),$AD$23+L157,NA()),IF(I157="nthWeekdayOfMonth",IF(AND(ISNUMBER(J157),J157=INT(J157),J157&gt;=1,J157&lt;=12,ISNUMBER(M157),M157=INT(M157),M157&gt;=1,M157&lt;=7,ISNUMBER(N157),N157=INT(N157),N157&gt;=1,N157&lt;=5,MONTH(DATE(Übersicht!$B$4,J157,1)+MOD(M157-WEEKDAY(DATE(Übersicht!$B$4,J157,1),2),7)+7*(N157-1))=J157,K157="",L157=""),DATE(Übersicht!$B$4,J157,1)+MOD(M157-WEEKDAY(DATE(Übersicht!$B$4,J157,1),2),7)+7*(N157-1),NA()),IF(I157="nthWeekdayOffsetDays",IF(AND(ISNUMBER(J157),J157=INT(J157),J157&gt;=1,J157&lt;=12,ISNUMBER(M157),M157=INT(M157),M157&gt;=1,M157&lt;=7,ISNUMBER(N157),N157=INT(N157),N157&gt;=1,N157&lt;=5,MONTH(DATE(Übersicht!$B$4,J157,1)+MOD(M157-WEEKDAY(DATE(Übersicht!$B$4,J157,1),2),7)+7*(N157-1))=J157,K157="",ISNUMBER(L157),L157=INT(L157),L157&gt;=-366,L157&lt;=366),DATE(Übersicht!$B$4,J157,1)+MOD(M157-WEEKDAY(DATE(Übersicht!$B$4,J157,1),2),7)+7*(N157-1)+L157,NA()),NA())))),NA())</f>
        <v>46474</v>
      </c>
      <c r="X157" s="14">
        <f t="shared" si="4"/>
        <v>46474</v>
      </c>
      <c r="Y157" s="10" t="s">
        <v>569</v>
      </c>
      <c r="Z157" s="10" t="s">
        <v>570</v>
      </c>
      <c r="AA157" s="24" t="s">
        <v>413</v>
      </c>
    </row>
    <row r="158" spans="1:27" ht="44" customHeight="1">
      <c r="A158" s="11" t="s">
        <v>233</v>
      </c>
      <c r="B158" s="11" t="s">
        <v>207</v>
      </c>
      <c r="C158" s="11" t="s">
        <v>568</v>
      </c>
      <c r="D158" s="26" t="s">
        <v>432</v>
      </c>
      <c r="E158" s="26" t="s">
        <v>433</v>
      </c>
      <c r="F158" s="27" t="s">
        <v>505</v>
      </c>
      <c r="G158" s="27" t="s">
        <v>506</v>
      </c>
      <c r="H158" s="11" t="s">
        <v>468</v>
      </c>
      <c r="I158" s="11" t="s">
        <v>426</v>
      </c>
      <c r="J158" s="30"/>
      <c r="K158" s="30"/>
      <c r="L158" s="26">
        <v>1</v>
      </c>
      <c r="M158" s="26"/>
      <c r="N158" s="26"/>
      <c r="O158" s="31">
        <v>46023</v>
      </c>
      <c r="P158" s="31"/>
      <c r="Q158" s="26">
        <v>100</v>
      </c>
      <c r="R158" s="26" t="s">
        <v>69</v>
      </c>
      <c r="S158" s="11"/>
      <c r="T158" s="11" t="s">
        <v>409</v>
      </c>
      <c r="U158" s="11"/>
      <c r="V158" s="11" t="s">
        <v>469</v>
      </c>
      <c r="W158" s="15">
        <f>IF(AND(ISNUMBER(Übersicht!$B$4),Übersicht!$B$4=INT(Übersicht!$B$4),Übersicht!$B$4&gt;=2026,Übersicht!$B$4&lt;=2028),IF(I158="fixedMonthDay",IF(AND(ISNUMBER(J158),J158=INT(J158),J158&gt;=1,J158&lt;=12,ISNUMBER(K158),K158=INT(K158),K158&gt;=1,K158&lt;=31,MONTH(DATE(Übersicht!$B$4,J158,K158))=J158,DAY(DATE(Übersicht!$B$4,J158,K158))=K158,L158="",M158="",N158=""),DATE(Übersicht!$B$4,J158,K158),NA()),IF(I158="easterOffsetDays",IF(AND(ISNUMBER(L158),L158=INT(L158),L158&gt;=-366,L158&lt;=366,J158="",K158="",M158="",N158=""),$AD$23+L158,NA()),IF(I158="nthWeekdayOfMonth",IF(AND(ISNUMBER(J158),J158=INT(J158),J158&gt;=1,J158&lt;=12,ISNUMBER(M158),M158=INT(M158),M158&gt;=1,M158&lt;=7,ISNUMBER(N158),N158=INT(N158),N158&gt;=1,N158&lt;=5,MONTH(DATE(Übersicht!$B$4,J158,1)+MOD(M158-WEEKDAY(DATE(Übersicht!$B$4,J158,1),2),7)+7*(N158-1))=J158,K158="",L158=""),DATE(Übersicht!$B$4,J158,1)+MOD(M158-WEEKDAY(DATE(Übersicht!$B$4,J158,1),2),7)+7*(N158-1),NA()),IF(I158="nthWeekdayOffsetDays",IF(AND(ISNUMBER(J158),J158=INT(J158),J158&gt;=1,J158&lt;=12,ISNUMBER(M158),M158=INT(M158),M158&gt;=1,M158&lt;=7,ISNUMBER(N158),N158=INT(N158),N158&gt;=1,N158&lt;=5,MONTH(DATE(Übersicht!$B$4,J158,1)+MOD(M158-WEEKDAY(DATE(Übersicht!$B$4,J158,1),2),7)+7*(N158-1))=J158,K158="",ISNUMBER(L158),L158=INT(L158),L158&gt;=-366,L158&lt;=366),DATE(Übersicht!$B$4,J158,1)+MOD(M158-WEEKDAY(DATE(Übersicht!$B$4,J158,1),2),7)+7*(N158-1)+L158,NA()),NA())))),NA())</f>
        <v>46475</v>
      </c>
      <c r="X158" s="15">
        <f t="shared" si="4"/>
        <v>46475</v>
      </c>
      <c r="Y158" s="11" t="s">
        <v>569</v>
      </c>
      <c r="Z158" s="11" t="s">
        <v>570</v>
      </c>
      <c r="AA158" s="26" t="s">
        <v>413</v>
      </c>
    </row>
    <row r="159" spans="1:27" ht="44" customHeight="1">
      <c r="A159" s="10" t="s">
        <v>234</v>
      </c>
      <c r="B159" s="10" t="s">
        <v>207</v>
      </c>
      <c r="C159" s="10" t="s">
        <v>568</v>
      </c>
      <c r="D159" s="24" t="s">
        <v>435</v>
      </c>
      <c r="E159" s="24" t="s">
        <v>436</v>
      </c>
      <c r="F159" s="25" t="s">
        <v>509</v>
      </c>
      <c r="G159" s="25" t="s">
        <v>510</v>
      </c>
      <c r="H159" s="10" t="s">
        <v>468</v>
      </c>
      <c r="I159" s="10" t="s">
        <v>426</v>
      </c>
      <c r="J159" s="28"/>
      <c r="K159" s="28"/>
      <c r="L159" s="24">
        <v>39</v>
      </c>
      <c r="M159" s="24"/>
      <c r="N159" s="24"/>
      <c r="O159" s="29">
        <v>46023</v>
      </c>
      <c r="P159" s="29"/>
      <c r="Q159" s="24">
        <v>100</v>
      </c>
      <c r="R159" s="24" t="s">
        <v>69</v>
      </c>
      <c r="S159" s="10"/>
      <c r="T159" s="10" t="s">
        <v>409</v>
      </c>
      <c r="U159" s="10"/>
      <c r="V159" s="10" t="s">
        <v>469</v>
      </c>
      <c r="W159" s="14">
        <f>IF(AND(ISNUMBER(Übersicht!$B$4),Übersicht!$B$4=INT(Übersicht!$B$4),Übersicht!$B$4&gt;=2026,Übersicht!$B$4&lt;=2028),IF(I159="fixedMonthDay",IF(AND(ISNUMBER(J159),J159=INT(J159),J159&gt;=1,J159&lt;=12,ISNUMBER(K159),K159=INT(K159),K159&gt;=1,K159&lt;=31,MONTH(DATE(Übersicht!$B$4,J159,K159))=J159,DAY(DATE(Übersicht!$B$4,J159,K159))=K159,L159="",M159="",N159=""),DATE(Übersicht!$B$4,J159,K159),NA()),IF(I159="easterOffsetDays",IF(AND(ISNUMBER(L159),L159=INT(L159),L159&gt;=-366,L159&lt;=366,J159="",K159="",M159="",N159=""),$AD$23+L159,NA()),IF(I159="nthWeekdayOfMonth",IF(AND(ISNUMBER(J159),J159=INT(J159),J159&gt;=1,J159&lt;=12,ISNUMBER(M159),M159=INT(M159),M159&gt;=1,M159&lt;=7,ISNUMBER(N159),N159=INT(N159),N159&gt;=1,N159&lt;=5,MONTH(DATE(Übersicht!$B$4,J159,1)+MOD(M159-WEEKDAY(DATE(Übersicht!$B$4,J159,1),2),7)+7*(N159-1))=J159,K159="",L159=""),DATE(Übersicht!$B$4,J159,1)+MOD(M159-WEEKDAY(DATE(Übersicht!$B$4,J159,1),2),7)+7*(N159-1),NA()),IF(I159="nthWeekdayOffsetDays",IF(AND(ISNUMBER(J159),J159=INT(J159),J159&gt;=1,J159&lt;=12,ISNUMBER(M159),M159=INT(M159),M159&gt;=1,M159&lt;=7,ISNUMBER(N159),N159=INT(N159),N159&gt;=1,N159&lt;=5,MONTH(DATE(Übersicht!$B$4,J159,1)+MOD(M159-WEEKDAY(DATE(Übersicht!$B$4,J159,1),2),7)+7*(N159-1))=J159,K159="",ISNUMBER(L159),L159=INT(L159),L159&gt;=-366,L159&lt;=366),DATE(Übersicht!$B$4,J159,1)+MOD(M159-WEEKDAY(DATE(Übersicht!$B$4,J159,1),2),7)+7*(N159-1)+L159,NA()),NA())))),NA())</f>
        <v>46513</v>
      </c>
      <c r="X159" s="14">
        <f t="shared" si="4"/>
        <v>46513</v>
      </c>
      <c r="Y159" s="10" t="s">
        <v>569</v>
      </c>
      <c r="Z159" s="10" t="s">
        <v>570</v>
      </c>
      <c r="AA159" s="24" t="s">
        <v>413</v>
      </c>
    </row>
    <row r="160" spans="1:27" ht="44" customHeight="1">
      <c r="A160" s="11" t="s">
        <v>235</v>
      </c>
      <c r="B160" s="11" t="s">
        <v>207</v>
      </c>
      <c r="C160" s="11" t="s">
        <v>568</v>
      </c>
      <c r="D160" s="26" t="s">
        <v>438</v>
      </c>
      <c r="E160" s="26" t="s">
        <v>439</v>
      </c>
      <c r="F160" s="27" t="s">
        <v>541</v>
      </c>
      <c r="G160" s="27" t="s">
        <v>542</v>
      </c>
      <c r="H160" s="11" t="s">
        <v>468</v>
      </c>
      <c r="I160" s="11" t="s">
        <v>426</v>
      </c>
      <c r="J160" s="30"/>
      <c r="K160" s="30"/>
      <c r="L160" s="26">
        <v>49</v>
      </c>
      <c r="M160" s="26"/>
      <c r="N160" s="26"/>
      <c r="O160" s="31">
        <v>46023</v>
      </c>
      <c r="P160" s="31"/>
      <c r="Q160" s="26">
        <v>100</v>
      </c>
      <c r="R160" s="26" t="s">
        <v>69</v>
      </c>
      <c r="S160" s="11"/>
      <c r="T160" s="11" t="s">
        <v>409</v>
      </c>
      <c r="U160" s="11"/>
      <c r="V160" s="11" t="s">
        <v>469</v>
      </c>
      <c r="W160" s="15">
        <f>IF(AND(ISNUMBER(Übersicht!$B$4),Übersicht!$B$4=INT(Übersicht!$B$4),Übersicht!$B$4&gt;=2026,Übersicht!$B$4&lt;=2028),IF(I160="fixedMonthDay",IF(AND(ISNUMBER(J160),J160=INT(J160),J160&gt;=1,J160&lt;=12,ISNUMBER(K160),K160=INT(K160),K160&gt;=1,K160&lt;=31,MONTH(DATE(Übersicht!$B$4,J160,K160))=J160,DAY(DATE(Übersicht!$B$4,J160,K160))=K160,L160="",M160="",N160=""),DATE(Übersicht!$B$4,J160,K160),NA()),IF(I160="easterOffsetDays",IF(AND(ISNUMBER(L160),L160=INT(L160),L160&gt;=-366,L160&lt;=366,J160="",K160="",M160="",N160=""),$AD$23+L160,NA()),IF(I160="nthWeekdayOfMonth",IF(AND(ISNUMBER(J160),J160=INT(J160),J160&gt;=1,J160&lt;=12,ISNUMBER(M160),M160=INT(M160),M160&gt;=1,M160&lt;=7,ISNUMBER(N160),N160=INT(N160),N160&gt;=1,N160&lt;=5,MONTH(DATE(Übersicht!$B$4,J160,1)+MOD(M160-WEEKDAY(DATE(Übersicht!$B$4,J160,1),2),7)+7*(N160-1))=J160,K160="",L160=""),DATE(Übersicht!$B$4,J160,1)+MOD(M160-WEEKDAY(DATE(Übersicht!$B$4,J160,1),2),7)+7*(N160-1),NA()),IF(I160="nthWeekdayOffsetDays",IF(AND(ISNUMBER(J160),J160=INT(J160),J160&gt;=1,J160&lt;=12,ISNUMBER(M160),M160=INT(M160),M160&gt;=1,M160&lt;=7,ISNUMBER(N160),N160=INT(N160),N160&gt;=1,N160&lt;=5,MONTH(DATE(Übersicht!$B$4,J160,1)+MOD(M160-WEEKDAY(DATE(Übersicht!$B$4,J160,1),2),7)+7*(N160-1))=J160,K160="",ISNUMBER(L160),L160=INT(L160),L160&gt;=-366,L160&lt;=366),DATE(Übersicht!$B$4,J160,1)+MOD(M160-WEEKDAY(DATE(Übersicht!$B$4,J160,1),2),7)+7*(N160-1)+L160,NA()),NA())))),NA())</f>
        <v>46523</v>
      </c>
      <c r="X160" s="15">
        <f t="shared" si="4"/>
        <v>46523</v>
      </c>
      <c r="Y160" s="11" t="s">
        <v>569</v>
      </c>
      <c r="Z160" s="11" t="s">
        <v>570</v>
      </c>
      <c r="AA160" s="26" t="s">
        <v>413</v>
      </c>
    </row>
    <row r="161" spans="1:27" ht="44" customHeight="1">
      <c r="A161" s="10" t="s">
        <v>236</v>
      </c>
      <c r="B161" s="10" t="s">
        <v>207</v>
      </c>
      <c r="C161" s="10" t="s">
        <v>568</v>
      </c>
      <c r="D161" s="24" t="s">
        <v>441</v>
      </c>
      <c r="E161" s="24" t="s">
        <v>442</v>
      </c>
      <c r="F161" s="25" t="s">
        <v>511</v>
      </c>
      <c r="G161" s="25" t="s">
        <v>512</v>
      </c>
      <c r="H161" s="10" t="s">
        <v>468</v>
      </c>
      <c r="I161" s="10" t="s">
        <v>426</v>
      </c>
      <c r="J161" s="28"/>
      <c r="K161" s="28"/>
      <c r="L161" s="24">
        <v>50</v>
      </c>
      <c r="M161" s="24"/>
      <c r="N161" s="24"/>
      <c r="O161" s="29">
        <v>46023</v>
      </c>
      <c r="P161" s="29"/>
      <c r="Q161" s="24">
        <v>100</v>
      </c>
      <c r="R161" s="24" t="s">
        <v>69</v>
      </c>
      <c r="S161" s="10"/>
      <c r="T161" s="10" t="s">
        <v>409</v>
      </c>
      <c r="U161" s="10"/>
      <c r="V161" s="10" t="s">
        <v>469</v>
      </c>
      <c r="W161" s="14">
        <f>IF(AND(ISNUMBER(Übersicht!$B$4),Übersicht!$B$4=INT(Übersicht!$B$4),Übersicht!$B$4&gt;=2026,Übersicht!$B$4&lt;=2028),IF(I161="fixedMonthDay",IF(AND(ISNUMBER(J161),J161=INT(J161),J161&gt;=1,J161&lt;=12,ISNUMBER(K161),K161=INT(K161),K161&gt;=1,K161&lt;=31,MONTH(DATE(Übersicht!$B$4,J161,K161))=J161,DAY(DATE(Übersicht!$B$4,J161,K161))=K161,L161="",M161="",N161=""),DATE(Übersicht!$B$4,J161,K161),NA()),IF(I161="easterOffsetDays",IF(AND(ISNUMBER(L161),L161=INT(L161),L161&gt;=-366,L161&lt;=366,J161="",K161="",M161="",N161=""),$AD$23+L161,NA()),IF(I161="nthWeekdayOfMonth",IF(AND(ISNUMBER(J161),J161=INT(J161),J161&gt;=1,J161&lt;=12,ISNUMBER(M161),M161=INT(M161),M161&gt;=1,M161&lt;=7,ISNUMBER(N161),N161=INT(N161),N161&gt;=1,N161&lt;=5,MONTH(DATE(Übersicht!$B$4,J161,1)+MOD(M161-WEEKDAY(DATE(Übersicht!$B$4,J161,1),2),7)+7*(N161-1))=J161,K161="",L161=""),DATE(Übersicht!$B$4,J161,1)+MOD(M161-WEEKDAY(DATE(Übersicht!$B$4,J161,1),2),7)+7*(N161-1),NA()),IF(I161="nthWeekdayOffsetDays",IF(AND(ISNUMBER(J161),J161=INT(J161),J161&gt;=1,J161&lt;=12,ISNUMBER(M161),M161=INT(M161),M161&gt;=1,M161&lt;=7,ISNUMBER(N161),N161=INT(N161),N161&gt;=1,N161&lt;=5,MONTH(DATE(Übersicht!$B$4,J161,1)+MOD(M161-WEEKDAY(DATE(Übersicht!$B$4,J161,1),2),7)+7*(N161-1))=J161,K161="",ISNUMBER(L161),L161=INT(L161),L161&gt;=-366,L161&lt;=366),DATE(Übersicht!$B$4,J161,1)+MOD(M161-WEEKDAY(DATE(Übersicht!$B$4,J161,1),2),7)+7*(N161-1)+L161,NA()),NA())))),NA())</f>
        <v>46524</v>
      </c>
      <c r="X161" s="14">
        <f t="shared" si="4"/>
        <v>46524</v>
      </c>
      <c r="Y161" s="10" t="s">
        <v>569</v>
      </c>
      <c r="Z161" s="10" t="s">
        <v>570</v>
      </c>
      <c r="AA161" s="24" t="s">
        <v>413</v>
      </c>
    </row>
    <row r="162" spans="1:27" ht="44" customHeight="1">
      <c r="A162" s="11" t="s">
        <v>237</v>
      </c>
      <c r="B162" s="11" t="s">
        <v>207</v>
      </c>
      <c r="C162" s="11" t="s">
        <v>568</v>
      </c>
      <c r="D162" s="26" t="s">
        <v>455</v>
      </c>
      <c r="E162" s="26" t="s">
        <v>456</v>
      </c>
      <c r="F162" s="27" t="s">
        <v>513</v>
      </c>
      <c r="G162" s="27" t="s">
        <v>514</v>
      </c>
      <c r="H162" s="11" t="s">
        <v>468</v>
      </c>
      <c r="I162" s="11" t="s">
        <v>426</v>
      </c>
      <c r="J162" s="30"/>
      <c r="K162" s="30"/>
      <c r="L162" s="26">
        <v>60</v>
      </c>
      <c r="M162" s="26"/>
      <c r="N162" s="26"/>
      <c r="O162" s="31">
        <v>46023</v>
      </c>
      <c r="P162" s="31"/>
      <c r="Q162" s="26">
        <v>100</v>
      </c>
      <c r="R162" s="26" t="s">
        <v>69</v>
      </c>
      <c r="S162" s="11"/>
      <c r="T162" s="11" t="s">
        <v>409</v>
      </c>
      <c r="U162" s="11"/>
      <c r="V162" s="11" t="s">
        <v>469</v>
      </c>
      <c r="W162" s="15">
        <f>IF(AND(ISNUMBER(Übersicht!$B$4),Übersicht!$B$4=INT(Übersicht!$B$4),Übersicht!$B$4&gt;=2026,Übersicht!$B$4&lt;=2028),IF(I162="fixedMonthDay",IF(AND(ISNUMBER(J162),J162=INT(J162),J162&gt;=1,J162&lt;=12,ISNUMBER(K162),K162=INT(K162),K162&gt;=1,K162&lt;=31,MONTH(DATE(Übersicht!$B$4,J162,K162))=J162,DAY(DATE(Übersicht!$B$4,J162,K162))=K162,L162="",M162="",N162=""),DATE(Übersicht!$B$4,J162,K162),NA()),IF(I162="easterOffsetDays",IF(AND(ISNUMBER(L162),L162=INT(L162),L162&gt;=-366,L162&lt;=366,J162="",K162="",M162="",N162=""),$AD$23+L162,NA()),IF(I162="nthWeekdayOfMonth",IF(AND(ISNUMBER(J162),J162=INT(J162),J162&gt;=1,J162&lt;=12,ISNUMBER(M162),M162=INT(M162),M162&gt;=1,M162&lt;=7,ISNUMBER(N162),N162=INT(N162),N162&gt;=1,N162&lt;=5,MONTH(DATE(Übersicht!$B$4,J162,1)+MOD(M162-WEEKDAY(DATE(Übersicht!$B$4,J162,1),2),7)+7*(N162-1))=J162,K162="",L162=""),DATE(Übersicht!$B$4,J162,1)+MOD(M162-WEEKDAY(DATE(Übersicht!$B$4,J162,1),2),7)+7*(N162-1),NA()),IF(I162="nthWeekdayOffsetDays",IF(AND(ISNUMBER(J162),J162=INT(J162),J162&gt;=1,J162&lt;=12,ISNUMBER(M162),M162=INT(M162),M162&gt;=1,M162&lt;=7,ISNUMBER(N162),N162=INT(N162),N162&gt;=1,N162&lt;=5,MONTH(DATE(Übersicht!$B$4,J162,1)+MOD(M162-WEEKDAY(DATE(Übersicht!$B$4,J162,1),2),7)+7*(N162-1))=J162,K162="",ISNUMBER(L162),L162=INT(L162),L162&gt;=-366,L162&lt;=366),DATE(Übersicht!$B$4,J162,1)+MOD(M162-WEEKDAY(DATE(Übersicht!$B$4,J162,1),2),7)+7*(N162-1)+L162,NA()),NA())))),NA())</f>
        <v>46534</v>
      </c>
      <c r="X162" s="15">
        <f t="shared" si="4"/>
        <v>46534</v>
      </c>
      <c r="Y162" s="11" t="s">
        <v>569</v>
      </c>
      <c r="Z162" s="11" t="s">
        <v>570</v>
      </c>
      <c r="AA162" s="26" t="s">
        <v>413</v>
      </c>
    </row>
    <row r="163" spans="1:27" ht="44" customHeight="1">
      <c r="A163" s="10" t="s">
        <v>238</v>
      </c>
      <c r="B163" s="10" t="s">
        <v>207</v>
      </c>
      <c r="C163" s="10" t="s">
        <v>568</v>
      </c>
      <c r="D163" s="24" t="s">
        <v>404</v>
      </c>
      <c r="E163" s="24" t="s">
        <v>405</v>
      </c>
      <c r="F163" s="25" t="s">
        <v>519</v>
      </c>
      <c r="G163" s="25" t="s">
        <v>520</v>
      </c>
      <c r="H163" s="10" t="s">
        <v>468</v>
      </c>
      <c r="I163" s="10" t="s">
        <v>407</v>
      </c>
      <c r="J163" s="28">
        <v>8</v>
      </c>
      <c r="K163" s="28">
        <v>1</v>
      </c>
      <c r="L163" s="24"/>
      <c r="M163" s="24"/>
      <c r="N163" s="24"/>
      <c r="O163" s="29">
        <v>46023</v>
      </c>
      <c r="P163" s="29"/>
      <c r="Q163" s="24">
        <v>100</v>
      </c>
      <c r="R163" s="24" t="s">
        <v>69</v>
      </c>
      <c r="S163" s="10"/>
      <c r="T163" s="10" t="s">
        <v>409</v>
      </c>
      <c r="U163" s="10"/>
      <c r="V163" s="10" t="s">
        <v>469</v>
      </c>
      <c r="W163" s="14">
        <f>IF(AND(ISNUMBER(Übersicht!$B$4),Übersicht!$B$4=INT(Übersicht!$B$4),Übersicht!$B$4&gt;=2026,Übersicht!$B$4&lt;=2028),IF(I163="fixedMonthDay",IF(AND(ISNUMBER(J163),J163=INT(J163),J163&gt;=1,J163&lt;=12,ISNUMBER(K163),K163=INT(K163),K163&gt;=1,K163&lt;=31,MONTH(DATE(Übersicht!$B$4,J163,K163))=J163,DAY(DATE(Übersicht!$B$4,J163,K163))=K163,L163="",M163="",N163=""),DATE(Übersicht!$B$4,J163,K163),NA()),IF(I163="easterOffsetDays",IF(AND(ISNUMBER(L163),L163=INT(L163),L163&gt;=-366,L163&lt;=366,J163="",K163="",M163="",N163=""),$AD$23+L163,NA()),IF(I163="nthWeekdayOfMonth",IF(AND(ISNUMBER(J163),J163=INT(J163),J163&gt;=1,J163&lt;=12,ISNUMBER(M163),M163=INT(M163),M163&gt;=1,M163&lt;=7,ISNUMBER(N163),N163=INT(N163),N163&gt;=1,N163&lt;=5,MONTH(DATE(Übersicht!$B$4,J163,1)+MOD(M163-WEEKDAY(DATE(Übersicht!$B$4,J163,1),2),7)+7*(N163-1))=J163,K163="",L163=""),DATE(Übersicht!$B$4,J163,1)+MOD(M163-WEEKDAY(DATE(Übersicht!$B$4,J163,1),2),7)+7*(N163-1),NA()),IF(I163="nthWeekdayOffsetDays",IF(AND(ISNUMBER(J163),J163=INT(J163),J163&gt;=1,J163&lt;=12,ISNUMBER(M163),M163=INT(M163),M163&gt;=1,M163&lt;=7,ISNUMBER(N163),N163=INT(N163),N163&gt;=1,N163&lt;=5,MONTH(DATE(Übersicht!$B$4,J163,1)+MOD(M163-WEEKDAY(DATE(Übersicht!$B$4,J163,1),2),7)+7*(N163-1))=J163,K163="",ISNUMBER(L163),L163=INT(L163),L163&gt;=-366,L163&lt;=366),DATE(Übersicht!$B$4,J163,1)+MOD(M163-WEEKDAY(DATE(Übersicht!$B$4,J163,1),2),7)+7*(N163-1)+L163,NA()),NA())))),NA())</f>
        <v>46600</v>
      </c>
      <c r="X163" s="14">
        <f t="shared" si="4"/>
        <v>46600</v>
      </c>
      <c r="Y163" s="10" t="s">
        <v>569</v>
      </c>
      <c r="Z163" s="10" t="s">
        <v>570</v>
      </c>
      <c r="AA163" s="24" t="s">
        <v>413</v>
      </c>
    </row>
    <row r="164" spans="1:27" ht="44" customHeight="1">
      <c r="A164" s="11" t="s">
        <v>239</v>
      </c>
      <c r="B164" s="11" t="s">
        <v>207</v>
      </c>
      <c r="C164" s="11" t="s">
        <v>568</v>
      </c>
      <c r="D164" s="26" t="s">
        <v>479</v>
      </c>
      <c r="E164" s="26" t="s">
        <v>480</v>
      </c>
      <c r="F164" s="27" t="s">
        <v>521</v>
      </c>
      <c r="G164" s="27" t="s">
        <v>522</v>
      </c>
      <c r="H164" s="11" t="s">
        <v>468</v>
      </c>
      <c r="I164" s="11" t="s">
        <v>407</v>
      </c>
      <c r="J164" s="30">
        <v>8</v>
      </c>
      <c r="K164" s="30">
        <v>15</v>
      </c>
      <c r="L164" s="26"/>
      <c r="M164" s="26"/>
      <c r="N164" s="26"/>
      <c r="O164" s="31">
        <v>46023</v>
      </c>
      <c r="P164" s="31"/>
      <c r="Q164" s="26">
        <v>100</v>
      </c>
      <c r="R164" s="26" t="s">
        <v>69</v>
      </c>
      <c r="S164" s="11"/>
      <c r="T164" s="11" t="s">
        <v>409</v>
      </c>
      <c r="U164" s="11"/>
      <c r="V164" s="11" t="s">
        <v>469</v>
      </c>
      <c r="W164" s="15">
        <f>IF(AND(ISNUMBER(Übersicht!$B$4),Übersicht!$B$4=INT(Übersicht!$B$4),Übersicht!$B$4&gt;=2026,Übersicht!$B$4&lt;=2028),IF(I164="fixedMonthDay",IF(AND(ISNUMBER(J164),J164=INT(J164),J164&gt;=1,J164&lt;=12,ISNUMBER(K164),K164=INT(K164),K164&gt;=1,K164&lt;=31,MONTH(DATE(Übersicht!$B$4,J164,K164))=J164,DAY(DATE(Übersicht!$B$4,J164,K164))=K164,L164="",M164="",N164=""),DATE(Übersicht!$B$4,J164,K164),NA()),IF(I164="easterOffsetDays",IF(AND(ISNUMBER(L164),L164=INT(L164),L164&gt;=-366,L164&lt;=366,J164="",K164="",M164="",N164=""),$AD$23+L164,NA()),IF(I164="nthWeekdayOfMonth",IF(AND(ISNUMBER(J164),J164=INT(J164),J164&gt;=1,J164&lt;=12,ISNUMBER(M164),M164=INT(M164),M164&gt;=1,M164&lt;=7,ISNUMBER(N164),N164=INT(N164),N164&gt;=1,N164&lt;=5,MONTH(DATE(Übersicht!$B$4,J164,1)+MOD(M164-WEEKDAY(DATE(Übersicht!$B$4,J164,1),2),7)+7*(N164-1))=J164,K164="",L164=""),DATE(Übersicht!$B$4,J164,1)+MOD(M164-WEEKDAY(DATE(Übersicht!$B$4,J164,1),2),7)+7*(N164-1),NA()),IF(I164="nthWeekdayOffsetDays",IF(AND(ISNUMBER(J164),J164=INT(J164),J164&gt;=1,J164&lt;=12,ISNUMBER(M164),M164=INT(M164),M164&gt;=1,M164&lt;=7,ISNUMBER(N164),N164=INT(N164),N164&gt;=1,N164&lt;=5,MONTH(DATE(Übersicht!$B$4,J164,1)+MOD(M164-WEEKDAY(DATE(Übersicht!$B$4,J164,1),2),7)+7*(N164-1))=J164,K164="",ISNUMBER(L164),L164=INT(L164),L164&gt;=-366,L164&lt;=366),DATE(Übersicht!$B$4,J164,1)+MOD(M164-WEEKDAY(DATE(Übersicht!$B$4,J164,1),2),7)+7*(N164-1)+L164,NA()),NA())))),NA())</f>
        <v>46614</v>
      </c>
      <c r="X164" s="15">
        <f t="shared" si="4"/>
        <v>46614</v>
      </c>
      <c r="Y164" s="11" t="s">
        <v>569</v>
      </c>
      <c r="Z164" s="11" t="s">
        <v>570</v>
      </c>
      <c r="AA164" s="26" t="s">
        <v>413</v>
      </c>
    </row>
    <row r="165" spans="1:27" ht="44" customHeight="1">
      <c r="A165" s="10" t="s">
        <v>240</v>
      </c>
      <c r="B165" s="10" t="s">
        <v>207</v>
      </c>
      <c r="C165" s="10" t="s">
        <v>568</v>
      </c>
      <c r="D165" s="24" t="s">
        <v>466</v>
      </c>
      <c r="E165" s="24" t="s">
        <v>467</v>
      </c>
      <c r="F165" s="25" t="s">
        <v>523</v>
      </c>
      <c r="G165" s="25" t="s">
        <v>524</v>
      </c>
      <c r="H165" s="10" t="s">
        <v>468</v>
      </c>
      <c r="I165" s="10" t="s">
        <v>407</v>
      </c>
      <c r="J165" s="28">
        <v>11</v>
      </c>
      <c r="K165" s="28">
        <v>1</v>
      </c>
      <c r="L165" s="24"/>
      <c r="M165" s="24"/>
      <c r="N165" s="24"/>
      <c r="O165" s="29">
        <v>46023</v>
      </c>
      <c r="P165" s="29"/>
      <c r="Q165" s="24">
        <v>100</v>
      </c>
      <c r="R165" s="24" t="s">
        <v>69</v>
      </c>
      <c r="S165" s="10"/>
      <c r="T165" s="10" t="s">
        <v>409</v>
      </c>
      <c r="U165" s="10"/>
      <c r="V165" s="10" t="s">
        <v>469</v>
      </c>
      <c r="W165" s="14">
        <f>IF(AND(ISNUMBER(Übersicht!$B$4),Übersicht!$B$4=INT(Übersicht!$B$4),Übersicht!$B$4&gt;=2026,Übersicht!$B$4&lt;=2028),IF(I165="fixedMonthDay",IF(AND(ISNUMBER(J165),J165=INT(J165),J165&gt;=1,J165&lt;=12,ISNUMBER(K165),K165=INT(K165),K165&gt;=1,K165&lt;=31,MONTH(DATE(Übersicht!$B$4,J165,K165))=J165,DAY(DATE(Übersicht!$B$4,J165,K165))=K165,L165="",M165="",N165=""),DATE(Übersicht!$B$4,J165,K165),NA()),IF(I165="easterOffsetDays",IF(AND(ISNUMBER(L165),L165=INT(L165),L165&gt;=-366,L165&lt;=366,J165="",K165="",M165="",N165=""),$AD$23+L165,NA()),IF(I165="nthWeekdayOfMonth",IF(AND(ISNUMBER(J165),J165=INT(J165),J165&gt;=1,J165&lt;=12,ISNUMBER(M165),M165=INT(M165),M165&gt;=1,M165&lt;=7,ISNUMBER(N165),N165=INT(N165),N165&gt;=1,N165&lt;=5,MONTH(DATE(Übersicht!$B$4,J165,1)+MOD(M165-WEEKDAY(DATE(Übersicht!$B$4,J165,1),2),7)+7*(N165-1))=J165,K165="",L165=""),DATE(Übersicht!$B$4,J165,1)+MOD(M165-WEEKDAY(DATE(Übersicht!$B$4,J165,1),2),7)+7*(N165-1),NA()),IF(I165="nthWeekdayOffsetDays",IF(AND(ISNUMBER(J165),J165=INT(J165),J165&gt;=1,J165&lt;=12,ISNUMBER(M165),M165=INT(M165),M165&gt;=1,M165&lt;=7,ISNUMBER(N165),N165=INT(N165),N165&gt;=1,N165&lt;=5,MONTH(DATE(Übersicht!$B$4,J165,1)+MOD(M165-WEEKDAY(DATE(Übersicht!$B$4,J165,1),2),7)+7*(N165-1))=J165,K165="",ISNUMBER(L165),L165=INT(L165),L165&gt;=-366,L165&lt;=366),DATE(Übersicht!$B$4,J165,1)+MOD(M165-WEEKDAY(DATE(Übersicht!$B$4,J165,1),2),7)+7*(N165-1)+L165,NA()),NA())))),NA())</f>
        <v>46692</v>
      </c>
      <c r="X165" s="14">
        <f t="shared" si="4"/>
        <v>46692</v>
      </c>
      <c r="Y165" s="10" t="s">
        <v>569</v>
      </c>
      <c r="Z165" s="10" t="s">
        <v>570</v>
      </c>
      <c r="AA165" s="24" t="s">
        <v>413</v>
      </c>
    </row>
    <row r="166" spans="1:27" ht="44" customHeight="1">
      <c r="A166" s="11" t="s">
        <v>241</v>
      </c>
      <c r="B166" s="11" t="s">
        <v>207</v>
      </c>
      <c r="C166" s="11" t="s">
        <v>568</v>
      </c>
      <c r="D166" s="26" t="s">
        <v>483</v>
      </c>
      <c r="E166" s="26" t="s">
        <v>484</v>
      </c>
      <c r="F166" s="27" t="s">
        <v>525</v>
      </c>
      <c r="G166" s="27" t="s">
        <v>526</v>
      </c>
      <c r="H166" s="11" t="s">
        <v>468</v>
      </c>
      <c r="I166" s="11" t="s">
        <v>407</v>
      </c>
      <c r="J166" s="30">
        <v>12</v>
      </c>
      <c r="K166" s="30">
        <v>8</v>
      </c>
      <c r="L166" s="26"/>
      <c r="M166" s="26"/>
      <c r="N166" s="26"/>
      <c r="O166" s="31">
        <v>46023</v>
      </c>
      <c r="P166" s="31"/>
      <c r="Q166" s="26">
        <v>100</v>
      </c>
      <c r="R166" s="26" t="s">
        <v>69</v>
      </c>
      <c r="S166" s="11"/>
      <c r="T166" s="11" t="s">
        <v>409</v>
      </c>
      <c r="U166" s="11"/>
      <c r="V166" s="11" t="s">
        <v>469</v>
      </c>
      <c r="W166" s="15">
        <f>IF(AND(ISNUMBER(Übersicht!$B$4),Übersicht!$B$4=INT(Übersicht!$B$4),Übersicht!$B$4&gt;=2026,Übersicht!$B$4&lt;=2028),IF(I166="fixedMonthDay",IF(AND(ISNUMBER(J166),J166=INT(J166),J166&gt;=1,J166&lt;=12,ISNUMBER(K166),K166=INT(K166),K166&gt;=1,K166&lt;=31,MONTH(DATE(Übersicht!$B$4,J166,K166))=J166,DAY(DATE(Übersicht!$B$4,J166,K166))=K166,L166="",M166="",N166=""),DATE(Übersicht!$B$4,J166,K166),NA()),IF(I166="easterOffsetDays",IF(AND(ISNUMBER(L166),L166=INT(L166),L166&gt;=-366,L166&lt;=366,J166="",K166="",M166="",N166=""),$AD$23+L166,NA()),IF(I166="nthWeekdayOfMonth",IF(AND(ISNUMBER(J166),J166=INT(J166),J166&gt;=1,J166&lt;=12,ISNUMBER(M166),M166=INT(M166),M166&gt;=1,M166&lt;=7,ISNUMBER(N166),N166=INT(N166),N166&gt;=1,N166&lt;=5,MONTH(DATE(Übersicht!$B$4,J166,1)+MOD(M166-WEEKDAY(DATE(Übersicht!$B$4,J166,1),2),7)+7*(N166-1))=J166,K166="",L166=""),DATE(Übersicht!$B$4,J166,1)+MOD(M166-WEEKDAY(DATE(Übersicht!$B$4,J166,1),2),7)+7*(N166-1),NA()),IF(I166="nthWeekdayOffsetDays",IF(AND(ISNUMBER(J166),J166=INT(J166),J166&gt;=1,J166&lt;=12,ISNUMBER(M166),M166=INT(M166),M166&gt;=1,M166&lt;=7,ISNUMBER(N166),N166=INT(N166),N166&gt;=1,N166&lt;=5,MONTH(DATE(Übersicht!$B$4,J166,1)+MOD(M166-WEEKDAY(DATE(Übersicht!$B$4,J166,1),2),7)+7*(N166-1))=J166,K166="",ISNUMBER(L166),L166=INT(L166),L166&gt;=-366,L166&lt;=366),DATE(Übersicht!$B$4,J166,1)+MOD(M166-WEEKDAY(DATE(Übersicht!$B$4,J166,1),2),7)+7*(N166-1)+L166,NA()),NA())))),NA())</f>
        <v>46729</v>
      </c>
      <c r="X166" s="15">
        <f t="shared" si="4"/>
        <v>46729</v>
      </c>
      <c r="Y166" s="11" t="s">
        <v>569</v>
      </c>
      <c r="Z166" s="11" t="s">
        <v>570</v>
      </c>
      <c r="AA166" s="26" t="s">
        <v>413</v>
      </c>
    </row>
    <row r="167" spans="1:27" ht="44" customHeight="1">
      <c r="A167" s="10" t="s">
        <v>242</v>
      </c>
      <c r="B167" s="10" t="s">
        <v>207</v>
      </c>
      <c r="C167" s="10" t="s">
        <v>568</v>
      </c>
      <c r="D167" s="24" t="s">
        <v>448</v>
      </c>
      <c r="E167" s="24" t="s">
        <v>449</v>
      </c>
      <c r="F167" s="25" t="s">
        <v>527</v>
      </c>
      <c r="G167" s="25" t="s">
        <v>528</v>
      </c>
      <c r="H167" s="10" t="s">
        <v>468</v>
      </c>
      <c r="I167" s="10" t="s">
        <v>407</v>
      </c>
      <c r="J167" s="28">
        <v>12</v>
      </c>
      <c r="K167" s="28">
        <v>25</v>
      </c>
      <c r="L167" s="24"/>
      <c r="M167" s="24"/>
      <c r="N167" s="24"/>
      <c r="O167" s="29">
        <v>46023</v>
      </c>
      <c r="P167" s="29"/>
      <c r="Q167" s="24">
        <v>100</v>
      </c>
      <c r="R167" s="24" t="s">
        <v>69</v>
      </c>
      <c r="S167" s="10"/>
      <c r="T167" s="10" t="s">
        <v>409</v>
      </c>
      <c r="U167" s="10"/>
      <c r="V167" s="10" t="s">
        <v>469</v>
      </c>
      <c r="W167" s="14">
        <f>IF(AND(ISNUMBER(Übersicht!$B$4),Übersicht!$B$4=INT(Übersicht!$B$4),Übersicht!$B$4&gt;=2026,Übersicht!$B$4&lt;=2028),IF(I167="fixedMonthDay",IF(AND(ISNUMBER(J167),J167=INT(J167),J167&gt;=1,J167&lt;=12,ISNUMBER(K167),K167=INT(K167),K167&gt;=1,K167&lt;=31,MONTH(DATE(Übersicht!$B$4,J167,K167))=J167,DAY(DATE(Übersicht!$B$4,J167,K167))=K167,L167="",M167="",N167=""),DATE(Übersicht!$B$4,J167,K167),NA()),IF(I167="easterOffsetDays",IF(AND(ISNUMBER(L167),L167=INT(L167),L167&gt;=-366,L167&lt;=366,J167="",K167="",M167="",N167=""),$AD$23+L167,NA()),IF(I167="nthWeekdayOfMonth",IF(AND(ISNUMBER(J167),J167=INT(J167),J167&gt;=1,J167&lt;=12,ISNUMBER(M167),M167=INT(M167),M167&gt;=1,M167&lt;=7,ISNUMBER(N167),N167=INT(N167),N167&gt;=1,N167&lt;=5,MONTH(DATE(Übersicht!$B$4,J167,1)+MOD(M167-WEEKDAY(DATE(Übersicht!$B$4,J167,1),2),7)+7*(N167-1))=J167,K167="",L167=""),DATE(Übersicht!$B$4,J167,1)+MOD(M167-WEEKDAY(DATE(Übersicht!$B$4,J167,1),2),7)+7*(N167-1),NA()),IF(I167="nthWeekdayOffsetDays",IF(AND(ISNUMBER(J167),J167=INT(J167),J167&gt;=1,J167&lt;=12,ISNUMBER(M167),M167=INT(M167),M167&gt;=1,M167&lt;=7,ISNUMBER(N167),N167=INT(N167),N167&gt;=1,N167&lt;=5,MONTH(DATE(Übersicht!$B$4,J167,1)+MOD(M167-WEEKDAY(DATE(Übersicht!$B$4,J167,1),2),7)+7*(N167-1))=J167,K167="",ISNUMBER(L167),L167=INT(L167),L167&gt;=-366,L167&lt;=366),DATE(Übersicht!$B$4,J167,1)+MOD(M167-WEEKDAY(DATE(Übersicht!$B$4,J167,1),2),7)+7*(N167-1)+L167,NA()),NA())))),NA())</f>
        <v>46746</v>
      </c>
      <c r="X167" s="14">
        <f t="shared" ref="X167:X198" si="5">IF(AND(ISNUMBER(O167),O167=INT(O167),O167&gt;=-115780,O167&lt;=2958465,OR(P167="",AND(ISNUMBER(P167),P167=INT(P167),P167&gt;=-115780,P167&lt;=2958465,P167&gt;=O167)),OR(AA167="Ganztägig",AA167="Ab 12.00 Uhr")),IF(AND(W167&gt;=O167,OR(P167="",W167&lt;=P167)),W167,"Ausserhalb Geltung"),NA())</f>
        <v>46746</v>
      </c>
      <c r="Y167" s="10" t="s">
        <v>569</v>
      </c>
      <c r="Z167" s="10" t="s">
        <v>570</v>
      </c>
      <c r="AA167" s="24" t="s">
        <v>413</v>
      </c>
    </row>
    <row r="168" spans="1:27" ht="44" customHeight="1">
      <c r="A168" s="11" t="s">
        <v>243</v>
      </c>
      <c r="B168" s="11" t="s">
        <v>207</v>
      </c>
      <c r="C168" s="11" t="s">
        <v>568</v>
      </c>
      <c r="D168" s="26" t="s">
        <v>451</v>
      </c>
      <c r="E168" s="26" t="s">
        <v>567</v>
      </c>
      <c r="F168" s="27" t="s">
        <v>529</v>
      </c>
      <c r="G168" s="27" t="s">
        <v>530</v>
      </c>
      <c r="H168" s="11" t="s">
        <v>468</v>
      </c>
      <c r="I168" s="11" t="s">
        <v>407</v>
      </c>
      <c r="J168" s="30">
        <v>12</v>
      </c>
      <c r="K168" s="30">
        <v>26</v>
      </c>
      <c r="L168" s="26"/>
      <c r="M168" s="26"/>
      <c r="N168" s="26"/>
      <c r="O168" s="31">
        <v>46023</v>
      </c>
      <c r="P168" s="31"/>
      <c r="Q168" s="26">
        <v>100</v>
      </c>
      <c r="R168" s="26" t="s">
        <v>69</v>
      </c>
      <c r="S168" s="11"/>
      <c r="T168" s="11" t="s">
        <v>409</v>
      </c>
      <c r="U168" s="11"/>
      <c r="V168" s="11" t="s">
        <v>469</v>
      </c>
      <c r="W168" s="15">
        <f>IF(AND(ISNUMBER(Übersicht!$B$4),Übersicht!$B$4=INT(Übersicht!$B$4),Übersicht!$B$4&gt;=2026,Übersicht!$B$4&lt;=2028),IF(I168="fixedMonthDay",IF(AND(ISNUMBER(J168),J168=INT(J168),J168&gt;=1,J168&lt;=12,ISNUMBER(K168),K168=INT(K168),K168&gt;=1,K168&lt;=31,MONTH(DATE(Übersicht!$B$4,J168,K168))=J168,DAY(DATE(Übersicht!$B$4,J168,K168))=K168,L168="",M168="",N168=""),DATE(Übersicht!$B$4,J168,K168),NA()),IF(I168="easterOffsetDays",IF(AND(ISNUMBER(L168),L168=INT(L168),L168&gt;=-366,L168&lt;=366,J168="",K168="",M168="",N168=""),$AD$23+L168,NA()),IF(I168="nthWeekdayOfMonth",IF(AND(ISNUMBER(J168),J168=INT(J168),J168&gt;=1,J168&lt;=12,ISNUMBER(M168),M168=INT(M168),M168&gt;=1,M168&lt;=7,ISNUMBER(N168),N168=INT(N168),N168&gt;=1,N168&lt;=5,MONTH(DATE(Übersicht!$B$4,J168,1)+MOD(M168-WEEKDAY(DATE(Übersicht!$B$4,J168,1),2),7)+7*(N168-1))=J168,K168="",L168=""),DATE(Übersicht!$B$4,J168,1)+MOD(M168-WEEKDAY(DATE(Übersicht!$B$4,J168,1),2),7)+7*(N168-1),NA()),IF(I168="nthWeekdayOffsetDays",IF(AND(ISNUMBER(J168),J168=INT(J168),J168&gt;=1,J168&lt;=12,ISNUMBER(M168),M168=INT(M168),M168&gt;=1,M168&lt;=7,ISNUMBER(N168),N168=INT(N168),N168&gt;=1,N168&lt;=5,MONTH(DATE(Übersicht!$B$4,J168,1)+MOD(M168-WEEKDAY(DATE(Übersicht!$B$4,J168,1),2),7)+7*(N168-1))=J168,K168="",ISNUMBER(L168),L168=INT(L168),L168&gt;=-366,L168&lt;=366),DATE(Übersicht!$B$4,J168,1)+MOD(M168-WEEKDAY(DATE(Übersicht!$B$4,J168,1),2),7)+7*(N168-1)+L168,NA()),NA())))),NA())</f>
        <v>46747</v>
      </c>
      <c r="X168" s="15">
        <f t="shared" si="5"/>
        <v>46747</v>
      </c>
      <c r="Y168" s="11" t="s">
        <v>569</v>
      </c>
      <c r="Z168" s="11" t="s">
        <v>570</v>
      </c>
      <c r="AA168" s="26" t="s">
        <v>413</v>
      </c>
    </row>
    <row r="169" spans="1:27" ht="44" customHeight="1">
      <c r="A169" s="10" t="s">
        <v>246</v>
      </c>
      <c r="B169" s="10" t="s">
        <v>244</v>
      </c>
      <c r="C169" s="10" t="s">
        <v>571</v>
      </c>
      <c r="D169" s="24" t="s">
        <v>416</v>
      </c>
      <c r="E169" s="24" t="s">
        <v>417</v>
      </c>
      <c r="F169" s="25" t="s">
        <v>494</v>
      </c>
      <c r="G169" s="25" t="s">
        <v>495</v>
      </c>
      <c r="H169" s="10" t="s">
        <v>406</v>
      </c>
      <c r="I169" s="10" t="s">
        <v>407</v>
      </c>
      <c r="J169" s="28">
        <v>1</v>
      </c>
      <c r="K169" s="28">
        <v>1</v>
      </c>
      <c r="L169" s="24"/>
      <c r="M169" s="24"/>
      <c r="N169" s="24"/>
      <c r="O169" s="29">
        <v>46023</v>
      </c>
      <c r="P169" s="29"/>
      <c r="Q169" s="24">
        <v>100</v>
      </c>
      <c r="R169" s="24" t="s">
        <v>69</v>
      </c>
      <c r="S169" s="10"/>
      <c r="T169" s="10" t="s">
        <v>409</v>
      </c>
      <c r="U169" s="10"/>
      <c r="V169" s="10" t="s">
        <v>469</v>
      </c>
      <c r="W169" s="14">
        <f>IF(AND(ISNUMBER(Übersicht!$B$4),Übersicht!$B$4=INT(Übersicht!$B$4),Übersicht!$B$4&gt;=2026,Übersicht!$B$4&lt;=2028),IF(I169="fixedMonthDay",IF(AND(ISNUMBER(J169),J169=INT(J169),J169&gt;=1,J169&lt;=12,ISNUMBER(K169),K169=INT(K169),K169&gt;=1,K169&lt;=31,MONTH(DATE(Übersicht!$B$4,J169,K169))=J169,DAY(DATE(Übersicht!$B$4,J169,K169))=K169,L169="",M169="",N169=""),DATE(Übersicht!$B$4,J169,K169),NA()),IF(I169="easterOffsetDays",IF(AND(ISNUMBER(L169),L169=INT(L169),L169&gt;=-366,L169&lt;=366,J169="",K169="",M169="",N169=""),$AD$23+L169,NA()),IF(I169="nthWeekdayOfMonth",IF(AND(ISNUMBER(J169),J169=INT(J169),J169&gt;=1,J169&lt;=12,ISNUMBER(M169),M169=INT(M169),M169&gt;=1,M169&lt;=7,ISNUMBER(N169),N169=INT(N169),N169&gt;=1,N169&lt;=5,MONTH(DATE(Übersicht!$B$4,J169,1)+MOD(M169-WEEKDAY(DATE(Übersicht!$B$4,J169,1),2),7)+7*(N169-1))=J169,K169="",L169=""),DATE(Übersicht!$B$4,J169,1)+MOD(M169-WEEKDAY(DATE(Übersicht!$B$4,J169,1),2),7)+7*(N169-1),NA()),IF(I169="nthWeekdayOffsetDays",IF(AND(ISNUMBER(J169),J169=INT(J169),J169&gt;=1,J169&lt;=12,ISNUMBER(M169),M169=INT(M169),M169&gt;=1,M169&lt;=7,ISNUMBER(N169),N169=INT(N169),N169&gt;=1,N169&lt;=5,MONTH(DATE(Übersicht!$B$4,J169,1)+MOD(M169-WEEKDAY(DATE(Übersicht!$B$4,J169,1),2),7)+7*(N169-1))=J169,K169="",ISNUMBER(L169),L169=INT(L169),L169&gt;=-366,L169&lt;=366),DATE(Übersicht!$B$4,J169,1)+MOD(M169-WEEKDAY(DATE(Übersicht!$B$4,J169,1),2),7)+7*(N169-1)+L169,NA()),NA())))),NA())</f>
        <v>46388</v>
      </c>
      <c r="X169" s="14">
        <f t="shared" si="5"/>
        <v>46388</v>
      </c>
      <c r="Y169" s="10" t="s">
        <v>572</v>
      </c>
      <c r="Z169" s="10" t="s">
        <v>573</v>
      </c>
      <c r="AA169" s="24" t="s">
        <v>413</v>
      </c>
    </row>
    <row r="170" spans="1:27" ht="44" customHeight="1">
      <c r="A170" s="11" t="s">
        <v>247</v>
      </c>
      <c r="B170" s="11" t="s">
        <v>244</v>
      </c>
      <c r="C170" s="11" t="s">
        <v>571</v>
      </c>
      <c r="D170" s="26" t="s">
        <v>424</v>
      </c>
      <c r="E170" s="26" t="s">
        <v>425</v>
      </c>
      <c r="F170" s="27" t="s">
        <v>534</v>
      </c>
      <c r="G170" s="27" t="s">
        <v>535</v>
      </c>
      <c r="H170" s="11" t="s">
        <v>406</v>
      </c>
      <c r="I170" s="11" t="s">
        <v>426</v>
      </c>
      <c r="J170" s="30"/>
      <c r="K170" s="30"/>
      <c r="L170" s="26">
        <v>-2</v>
      </c>
      <c r="M170" s="26"/>
      <c r="N170" s="26"/>
      <c r="O170" s="31">
        <v>46023</v>
      </c>
      <c r="P170" s="31"/>
      <c r="Q170" s="26">
        <v>100</v>
      </c>
      <c r="R170" s="26" t="s">
        <v>69</v>
      </c>
      <c r="S170" s="11"/>
      <c r="T170" s="11" t="s">
        <v>409</v>
      </c>
      <c r="U170" s="11"/>
      <c r="V170" s="11" t="s">
        <v>469</v>
      </c>
      <c r="W170" s="15">
        <f>IF(AND(ISNUMBER(Übersicht!$B$4),Übersicht!$B$4=INT(Übersicht!$B$4),Übersicht!$B$4&gt;=2026,Übersicht!$B$4&lt;=2028),IF(I170="fixedMonthDay",IF(AND(ISNUMBER(J170),J170=INT(J170),J170&gt;=1,J170&lt;=12,ISNUMBER(K170),K170=INT(K170),K170&gt;=1,K170&lt;=31,MONTH(DATE(Übersicht!$B$4,J170,K170))=J170,DAY(DATE(Übersicht!$B$4,J170,K170))=K170,L170="",M170="",N170=""),DATE(Übersicht!$B$4,J170,K170),NA()),IF(I170="easterOffsetDays",IF(AND(ISNUMBER(L170),L170=INT(L170),L170&gt;=-366,L170&lt;=366,J170="",K170="",M170="",N170=""),$AD$23+L170,NA()),IF(I170="nthWeekdayOfMonth",IF(AND(ISNUMBER(J170),J170=INT(J170),J170&gt;=1,J170&lt;=12,ISNUMBER(M170),M170=INT(M170),M170&gt;=1,M170&lt;=7,ISNUMBER(N170),N170=INT(N170),N170&gt;=1,N170&lt;=5,MONTH(DATE(Übersicht!$B$4,J170,1)+MOD(M170-WEEKDAY(DATE(Übersicht!$B$4,J170,1),2),7)+7*(N170-1))=J170,K170="",L170=""),DATE(Übersicht!$B$4,J170,1)+MOD(M170-WEEKDAY(DATE(Übersicht!$B$4,J170,1),2),7)+7*(N170-1),NA()),IF(I170="nthWeekdayOffsetDays",IF(AND(ISNUMBER(J170),J170=INT(J170),J170&gt;=1,J170&lt;=12,ISNUMBER(M170),M170=INT(M170),M170&gt;=1,M170&lt;=7,ISNUMBER(N170),N170=INT(N170),N170&gt;=1,N170&lt;=5,MONTH(DATE(Übersicht!$B$4,J170,1)+MOD(M170-WEEKDAY(DATE(Übersicht!$B$4,J170,1),2),7)+7*(N170-1))=J170,K170="",ISNUMBER(L170),L170=INT(L170),L170&gt;=-366,L170&lt;=366),DATE(Übersicht!$B$4,J170,1)+MOD(M170-WEEKDAY(DATE(Übersicht!$B$4,J170,1),2),7)+7*(N170-1)+L170,NA()),NA())))),NA())</f>
        <v>46472</v>
      </c>
      <c r="X170" s="15">
        <f t="shared" si="5"/>
        <v>46472</v>
      </c>
      <c r="Y170" s="11" t="s">
        <v>572</v>
      </c>
      <c r="Z170" s="11" t="s">
        <v>574</v>
      </c>
      <c r="AA170" s="26" t="s">
        <v>413</v>
      </c>
    </row>
    <row r="171" spans="1:27" ht="44" customHeight="1">
      <c r="A171" s="10" t="s">
        <v>248</v>
      </c>
      <c r="B171" s="10" t="s">
        <v>244</v>
      </c>
      <c r="C171" s="10" t="s">
        <v>571</v>
      </c>
      <c r="D171" s="24" t="s">
        <v>429</v>
      </c>
      <c r="E171" s="24" t="s">
        <v>430</v>
      </c>
      <c r="F171" s="25" t="s">
        <v>537</v>
      </c>
      <c r="G171" s="25" t="s">
        <v>538</v>
      </c>
      <c r="H171" s="10" t="s">
        <v>406</v>
      </c>
      <c r="I171" s="10" t="s">
        <v>426</v>
      </c>
      <c r="J171" s="28"/>
      <c r="K171" s="28"/>
      <c r="L171" s="24">
        <v>0</v>
      </c>
      <c r="M171" s="24"/>
      <c r="N171" s="24"/>
      <c r="O171" s="29">
        <v>46023</v>
      </c>
      <c r="P171" s="29"/>
      <c r="Q171" s="24">
        <v>100</v>
      </c>
      <c r="R171" s="24" t="s">
        <v>69</v>
      </c>
      <c r="S171" s="10"/>
      <c r="T171" s="10" t="s">
        <v>409</v>
      </c>
      <c r="U171" s="10"/>
      <c r="V171" s="10" t="s">
        <v>469</v>
      </c>
      <c r="W171" s="14">
        <f>IF(AND(ISNUMBER(Übersicht!$B$4),Übersicht!$B$4=INT(Übersicht!$B$4),Übersicht!$B$4&gt;=2026,Übersicht!$B$4&lt;=2028),IF(I171="fixedMonthDay",IF(AND(ISNUMBER(J171),J171=INT(J171),J171&gt;=1,J171&lt;=12,ISNUMBER(K171),K171=INT(K171),K171&gt;=1,K171&lt;=31,MONTH(DATE(Übersicht!$B$4,J171,K171))=J171,DAY(DATE(Übersicht!$B$4,J171,K171))=K171,L171="",M171="",N171=""),DATE(Übersicht!$B$4,J171,K171),NA()),IF(I171="easterOffsetDays",IF(AND(ISNUMBER(L171),L171=INT(L171),L171&gt;=-366,L171&lt;=366,J171="",K171="",M171="",N171=""),$AD$23+L171,NA()),IF(I171="nthWeekdayOfMonth",IF(AND(ISNUMBER(J171),J171=INT(J171),J171&gt;=1,J171&lt;=12,ISNUMBER(M171),M171=INT(M171),M171&gt;=1,M171&lt;=7,ISNUMBER(N171),N171=INT(N171),N171&gt;=1,N171&lt;=5,MONTH(DATE(Übersicht!$B$4,J171,1)+MOD(M171-WEEKDAY(DATE(Übersicht!$B$4,J171,1),2),7)+7*(N171-1))=J171,K171="",L171=""),DATE(Übersicht!$B$4,J171,1)+MOD(M171-WEEKDAY(DATE(Übersicht!$B$4,J171,1),2),7)+7*(N171-1),NA()),IF(I171="nthWeekdayOffsetDays",IF(AND(ISNUMBER(J171),J171=INT(J171),J171&gt;=1,J171&lt;=12,ISNUMBER(M171),M171=INT(M171),M171&gt;=1,M171&lt;=7,ISNUMBER(N171),N171=INT(N171),N171&gt;=1,N171&lt;=5,MONTH(DATE(Übersicht!$B$4,J171,1)+MOD(M171-WEEKDAY(DATE(Übersicht!$B$4,J171,1),2),7)+7*(N171-1))=J171,K171="",ISNUMBER(L171),L171=INT(L171),L171&gt;=-366,L171&lt;=366),DATE(Übersicht!$B$4,J171,1)+MOD(M171-WEEKDAY(DATE(Übersicht!$B$4,J171,1),2),7)+7*(N171-1)+L171,NA()),NA())))),NA())</f>
        <v>46474</v>
      </c>
      <c r="X171" s="14">
        <f t="shared" si="5"/>
        <v>46474</v>
      </c>
      <c r="Y171" s="10" t="s">
        <v>572</v>
      </c>
      <c r="Z171" s="10" t="s">
        <v>574</v>
      </c>
      <c r="AA171" s="24" t="s">
        <v>413</v>
      </c>
    </row>
    <row r="172" spans="1:27" ht="44" customHeight="1">
      <c r="A172" s="11" t="s">
        <v>249</v>
      </c>
      <c r="B172" s="11" t="s">
        <v>244</v>
      </c>
      <c r="C172" s="11" t="s">
        <v>571</v>
      </c>
      <c r="D172" s="26" t="s">
        <v>575</v>
      </c>
      <c r="E172" s="26" t="s">
        <v>576</v>
      </c>
      <c r="F172" s="27" t="s">
        <v>507</v>
      </c>
      <c r="G172" s="27" t="s">
        <v>577</v>
      </c>
      <c r="H172" s="11" t="s">
        <v>406</v>
      </c>
      <c r="I172" s="11" t="s">
        <v>407</v>
      </c>
      <c r="J172" s="30">
        <v>5</v>
      </c>
      <c r="K172" s="30">
        <v>1</v>
      </c>
      <c r="L172" s="26"/>
      <c r="M172" s="26"/>
      <c r="N172" s="26"/>
      <c r="O172" s="31">
        <v>46023</v>
      </c>
      <c r="P172" s="31"/>
      <c r="Q172" s="26">
        <v>100</v>
      </c>
      <c r="R172" s="26" t="s">
        <v>69</v>
      </c>
      <c r="S172" s="11"/>
      <c r="T172" s="11" t="s">
        <v>409</v>
      </c>
      <c r="U172" s="11"/>
      <c r="V172" s="11" t="s">
        <v>469</v>
      </c>
      <c r="W172" s="15">
        <f>IF(AND(ISNUMBER(Übersicht!$B$4),Übersicht!$B$4=INT(Übersicht!$B$4),Übersicht!$B$4&gt;=2026,Übersicht!$B$4&lt;=2028),IF(I172="fixedMonthDay",IF(AND(ISNUMBER(J172),J172=INT(J172),J172&gt;=1,J172&lt;=12,ISNUMBER(K172),K172=INT(K172),K172&gt;=1,K172&lt;=31,MONTH(DATE(Übersicht!$B$4,J172,K172))=J172,DAY(DATE(Übersicht!$B$4,J172,K172))=K172,L172="",M172="",N172=""),DATE(Übersicht!$B$4,J172,K172),NA()),IF(I172="easterOffsetDays",IF(AND(ISNUMBER(L172),L172=INT(L172),L172&gt;=-366,L172&lt;=366,J172="",K172="",M172="",N172=""),$AD$23+L172,NA()),IF(I172="nthWeekdayOfMonth",IF(AND(ISNUMBER(J172),J172=INT(J172),J172&gt;=1,J172&lt;=12,ISNUMBER(M172),M172=INT(M172),M172&gt;=1,M172&lt;=7,ISNUMBER(N172),N172=INT(N172),N172&gt;=1,N172&lt;=5,MONTH(DATE(Übersicht!$B$4,J172,1)+MOD(M172-WEEKDAY(DATE(Übersicht!$B$4,J172,1),2),7)+7*(N172-1))=J172,K172="",L172=""),DATE(Übersicht!$B$4,J172,1)+MOD(M172-WEEKDAY(DATE(Übersicht!$B$4,J172,1),2),7)+7*(N172-1),NA()),IF(I172="nthWeekdayOffsetDays",IF(AND(ISNUMBER(J172),J172=INT(J172),J172&gt;=1,J172&lt;=12,ISNUMBER(M172),M172=INT(M172),M172&gt;=1,M172&lt;=7,ISNUMBER(N172),N172=INT(N172),N172&gt;=1,N172&lt;=5,MONTH(DATE(Übersicht!$B$4,J172,1)+MOD(M172-WEEKDAY(DATE(Übersicht!$B$4,J172,1),2),7)+7*(N172-1))=J172,K172="",ISNUMBER(L172),L172=INT(L172),L172&gt;=-366,L172&lt;=366),DATE(Übersicht!$B$4,J172,1)+MOD(M172-WEEKDAY(DATE(Übersicht!$B$4,J172,1),2),7)+7*(N172-1)+L172,NA()),NA())))),NA())</f>
        <v>46508</v>
      </c>
      <c r="X172" s="15">
        <f t="shared" si="5"/>
        <v>46508</v>
      </c>
      <c r="Y172" s="11" t="s">
        <v>572</v>
      </c>
      <c r="Z172" s="11" t="s">
        <v>578</v>
      </c>
      <c r="AA172" s="26" t="s">
        <v>579</v>
      </c>
    </row>
    <row r="173" spans="1:27" ht="44" customHeight="1">
      <c r="A173" s="10" t="s">
        <v>251</v>
      </c>
      <c r="B173" s="10" t="s">
        <v>244</v>
      </c>
      <c r="C173" s="10" t="s">
        <v>571</v>
      </c>
      <c r="D173" s="24" t="s">
        <v>435</v>
      </c>
      <c r="E173" s="24" t="s">
        <v>436</v>
      </c>
      <c r="F173" s="25" t="s">
        <v>509</v>
      </c>
      <c r="G173" s="25" t="s">
        <v>510</v>
      </c>
      <c r="H173" s="10" t="s">
        <v>406</v>
      </c>
      <c r="I173" s="10" t="s">
        <v>426</v>
      </c>
      <c r="J173" s="28"/>
      <c r="K173" s="28"/>
      <c r="L173" s="24">
        <v>39</v>
      </c>
      <c r="M173" s="24"/>
      <c r="N173" s="24"/>
      <c r="O173" s="29">
        <v>46023</v>
      </c>
      <c r="P173" s="29"/>
      <c r="Q173" s="24">
        <v>100</v>
      </c>
      <c r="R173" s="24" t="s">
        <v>69</v>
      </c>
      <c r="S173" s="10"/>
      <c r="T173" s="10" t="s">
        <v>409</v>
      </c>
      <c r="U173" s="10"/>
      <c r="V173" s="10" t="s">
        <v>469</v>
      </c>
      <c r="W173" s="14">
        <f>IF(AND(ISNUMBER(Übersicht!$B$4),Übersicht!$B$4=INT(Übersicht!$B$4),Übersicht!$B$4&gt;=2026,Übersicht!$B$4&lt;=2028),IF(I173="fixedMonthDay",IF(AND(ISNUMBER(J173),J173=INT(J173),J173&gt;=1,J173&lt;=12,ISNUMBER(K173),K173=INT(K173),K173&gt;=1,K173&lt;=31,MONTH(DATE(Übersicht!$B$4,J173,K173))=J173,DAY(DATE(Übersicht!$B$4,J173,K173))=K173,L173="",M173="",N173=""),DATE(Übersicht!$B$4,J173,K173),NA()),IF(I173="easterOffsetDays",IF(AND(ISNUMBER(L173),L173=INT(L173),L173&gt;=-366,L173&lt;=366,J173="",K173="",M173="",N173=""),$AD$23+L173,NA()),IF(I173="nthWeekdayOfMonth",IF(AND(ISNUMBER(J173),J173=INT(J173),J173&gt;=1,J173&lt;=12,ISNUMBER(M173),M173=INT(M173),M173&gt;=1,M173&lt;=7,ISNUMBER(N173),N173=INT(N173),N173&gt;=1,N173&lt;=5,MONTH(DATE(Übersicht!$B$4,J173,1)+MOD(M173-WEEKDAY(DATE(Übersicht!$B$4,J173,1),2),7)+7*(N173-1))=J173,K173="",L173=""),DATE(Übersicht!$B$4,J173,1)+MOD(M173-WEEKDAY(DATE(Übersicht!$B$4,J173,1),2),7)+7*(N173-1),NA()),IF(I173="nthWeekdayOffsetDays",IF(AND(ISNUMBER(J173),J173=INT(J173),J173&gt;=1,J173&lt;=12,ISNUMBER(M173),M173=INT(M173),M173&gt;=1,M173&lt;=7,ISNUMBER(N173),N173=INT(N173),N173&gt;=1,N173&lt;=5,MONTH(DATE(Übersicht!$B$4,J173,1)+MOD(M173-WEEKDAY(DATE(Übersicht!$B$4,J173,1),2),7)+7*(N173-1))=J173,K173="",ISNUMBER(L173),L173=INT(L173),L173&gt;=-366,L173&lt;=366),DATE(Übersicht!$B$4,J173,1)+MOD(M173-WEEKDAY(DATE(Übersicht!$B$4,J173,1),2),7)+7*(N173-1)+L173,NA()),NA())))),NA())</f>
        <v>46513</v>
      </c>
      <c r="X173" s="14">
        <f t="shared" si="5"/>
        <v>46513</v>
      </c>
      <c r="Y173" s="10" t="s">
        <v>572</v>
      </c>
      <c r="Z173" s="10" t="s">
        <v>573</v>
      </c>
      <c r="AA173" s="24" t="s">
        <v>413</v>
      </c>
    </row>
    <row r="174" spans="1:27" ht="44" customHeight="1">
      <c r="A174" s="11" t="s">
        <v>252</v>
      </c>
      <c r="B174" s="11" t="s">
        <v>244</v>
      </c>
      <c r="C174" s="11" t="s">
        <v>571</v>
      </c>
      <c r="D174" s="26" t="s">
        <v>438</v>
      </c>
      <c r="E174" s="26" t="s">
        <v>439</v>
      </c>
      <c r="F174" s="27" t="s">
        <v>541</v>
      </c>
      <c r="G174" s="27" t="s">
        <v>542</v>
      </c>
      <c r="H174" s="11" t="s">
        <v>406</v>
      </c>
      <c r="I174" s="11" t="s">
        <v>426</v>
      </c>
      <c r="J174" s="30"/>
      <c r="K174" s="30"/>
      <c r="L174" s="26">
        <v>49</v>
      </c>
      <c r="M174" s="26"/>
      <c r="N174" s="26"/>
      <c r="O174" s="31">
        <v>46023</v>
      </c>
      <c r="P174" s="31"/>
      <c r="Q174" s="26">
        <v>100</v>
      </c>
      <c r="R174" s="26" t="s">
        <v>69</v>
      </c>
      <c r="S174" s="11"/>
      <c r="T174" s="11" t="s">
        <v>409</v>
      </c>
      <c r="U174" s="11"/>
      <c r="V174" s="11" t="s">
        <v>469</v>
      </c>
      <c r="W174" s="15">
        <f>IF(AND(ISNUMBER(Übersicht!$B$4),Übersicht!$B$4=INT(Übersicht!$B$4),Übersicht!$B$4&gt;=2026,Übersicht!$B$4&lt;=2028),IF(I174="fixedMonthDay",IF(AND(ISNUMBER(J174),J174=INT(J174),J174&gt;=1,J174&lt;=12,ISNUMBER(K174),K174=INT(K174),K174&gt;=1,K174&lt;=31,MONTH(DATE(Übersicht!$B$4,J174,K174))=J174,DAY(DATE(Übersicht!$B$4,J174,K174))=K174,L174="",M174="",N174=""),DATE(Übersicht!$B$4,J174,K174),NA()),IF(I174="easterOffsetDays",IF(AND(ISNUMBER(L174),L174=INT(L174),L174&gt;=-366,L174&lt;=366,J174="",K174="",M174="",N174=""),$AD$23+L174,NA()),IF(I174="nthWeekdayOfMonth",IF(AND(ISNUMBER(J174),J174=INT(J174),J174&gt;=1,J174&lt;=12,ISNUMBER(M174),M174=INT(M174),M174&gt;=1,M174&lt;=7,ISNUMBER(N174),N174=INT(N174),N174&gt;=1,N174&lt;=5,MONTH(DATE(Übersicht!$B$4,J174,1)+MOD(M174-WEEKDAY(DATE(Übersicht!$B$4,J174,1),2),7)+7*(N174-1))=J174,K174="",L174=""),DATE(Übersicht!$B$4,J174,1)+MOD(M174-WEEKDAY(DATE(Übersicht!$B$4,J174,1),2),7)+7*(N174-1),NA()),IF(I174="nthWeekdayOffsetDays",IF(AND(ISNUMBER(J174),J174=INT(J174),J174&gt;=1,J174&lt;=12,ISNUMBER(M174),M174=INT(M174),M174&gt;=1,M174&lt;=7,ISNUMBER(N174),N174=INT(N174),N174&gt;=1,N174&lt;=5,MONTH(DATE(Übersicht!$B$4,J174,1)+MOD(M174-WEEKDAY(DATE(Übersicht!$B$4,J174,1),2),7)+7*(N174-1))=J174,K174="",ISNUMBER(L174),L174=INT(L174),L174&gt;=-366,L174&lt;=366),DATE(Übersicht!$B$4,J174,1)+MOD(M174-WEEKDAY(DATE(Übersicht!$B$4,J174,1),2),7)+7*(N174-1)+L174,NA()),NA())))),NA())</f>
        <v>46523</v>
      </c>
      <c r="X174" s="15">
        <f t="shared" si="5"/>
        <v>46523</v>
      </c>
      <c r="Y174" s="11" t="s">
        <v>572</v>
      </c>
      <c r="Z174" s="11" t="s">
        <v>574</v>
      </c>
      <c r="AA174" s="26" t="s">
        <v>413</v>
      </c>
    </row>
    <row r="175" spans="1:27" ht="44" customHeight="1">
      <c r="A175" s="10" t="s">
        <v>253</v>
      </c>
      <c r="B175" s="10" t="s">
        <v>244</v>
      </c>
      <c r="C175" s="10" t="s">
        <v>571</v>
      </c>
      <c r="D175" s="24" t="s">
        <v>455</v>
      </c>
      <c r="E175" s="24" t="s">
        <v>456</v>
      </c>
      <c r="F175" s="25" t="s">
        <v>513</v>
      </c>
      <c r="G175" s="25" t="s">
        <v>514</v>
      </c>
      <c r="H175" s="10" t="s">
        <v>406</v>
      </c>
      <c r="I175" s="10" t="s">
        <v>426</v>
      </c>
      <c r="J175" s="28"/>
      <c r="K175" s="28"/>
      <c r="L175" s="24">
        <v>60</v>
      </c>
      <c r="M175" s="24"/>
      <c r="N175" s="24"/>
      <c r="O175" s="29">
        <v>46023</v>
      </c>
      <c r="P175" s="29"/>
      <c r="Q175" s="24">
        <v>100</v>
      </c>
      <c r="R175" s="24" t="s">
        <v>69</v>
      </c>
      <c r="S175" s="10"/>
      <c r="T175" s="10" t="s">
        <v>409</v>
      </c>
      <c r="U175" s="10"/>
      <c r="V175" s="10" t="s">
        <v>469</v>
      </c>
      <c r="W175" s="14">
        <f>IF(AND(ISNUMBER(Übersicht!$B$4),Übersicht!$B$4=INT(Übersicht!$B$4),Übersicht!$B$4&gt;=2026,Übersicht!$B$4&lt;=2028),IF(I175="fixedMonthDay",IF(AND(ISNUMBER(J175),J175=INT(J175),J175&gt;=1,J175&lt;=12,ISNUMBER(K175),K175=INT(K175),K175&gt;=1,K175&lt;=31,MONTH(DATE(Übersicht!$B$4,J175,K175))=J175,DAY(DATE(Übersicht!$B$4,J175,K175))=K175,L175="",M175="",N175=""),DATE(Übersicht!$B$4,J175,K175),NA()),IF(I175="easterOffsetDays",IF(AND(ISNUMBER(L175),L175=INT(L175),L175&gt;=-366,L175&lt;=366,J175="",K175="",M175="",N175=""),$AD$23+L175,NA()),IF(I175="nthWeekdayOfMonth",IF(AND(ISNUMBER(J175),J175=INT(J175),J175&gt;=1,J175&lt;=12,ISNUMBER(M175),M175=INT(M175),M175&gt;=1,M175&lt;=7,ISNUMBER(N175),N175=INT(N175),N175&gt;=1,N175&lt;=5,MONTH(DATE(Übersicht!$B$4,J175,1)+MOD(M175-WEEKDAY(DATE(Übersicht!$B$4,J175,1),2),7)+7*(N175-1))=J175,K175="",L175=""),DATE(Übersicht!$B$4,J175,1)+MOD(M175-WEEKDAY(DATE(Übersicht!$B$4,J175,1),2),7)+7*(N175-1),NA()),IF(I175="nthWeekdayOffsetDays",IF(AND(ISNUMBER(J175),J175=INT(J175),J175&gt;=1,J175&lt;=12,ISNUMBER(M175),M175=INT(M175),M175&gt;=1,M175&lt;=7,ISNUMBER(N175),N175=INT(N175),N175&gt;=1,N175&lt;=5,MONTH(DATE(Übersicht!$B$4,J175,1)+MOD(M175-WEEKDAY(DATE(Übersicht!$B$4,J175,1),2),7)+7*(N175-1))=J175,K175="",ISNUMBER(L175),L175=INT(L175),L175&gt;=-366,L175&lt;=366),DATE(Übersicht!$B$4,J175,1)+MOD(M175-WEEKDAY(DATE(Übersicht!$B$4,J175,1),2),7)+7*(N175-1)+L175,NA()),NA())))),NA())</f>
        <v>46534</v>
      </c>
      <c r="X175" s="14">
        <f t="shared" si="5"/>
        <v>46534</v>
      </c>
      <c r="Y175" s="10" t="s">
        <v>572</v>
      </c>
      <c r="Z175" s="10" t="s">
        <v>573</v>
      </c>
      <c r="AA175" s="24" t="s">
        <v>413</v>
      </c>
    </row>
    <row r="176" spans="1:27" ht="44" customHeight="1">
      <c r="A176" s="11" t="s">
        <v>254</v>
      </c>
      <c r="B176" s="11" t="s">
        <v>244</v>
      </c>
      <c r="C176" s="11" t="s">
        <v>571</v>
      </c>
      <c r="D176" s="26" t="s">
        <v>404</v>
      </c>
      <c r="E176" s="26" t="s">
        <v>405</v>
      </c>
      <c r="F176" s="27" t="s">
        <v>519</v>
      </c>
      <c r="G176" s="27" t="s">
        <v>520</v>
      </c>
      <c r="H176" s="11" t="s">
        <v>406</v>
      </c>
      <c r="I176" s="11" t="s">
        <v>407</v>
      </c>
      <c r="J176" s="30">
        <v>8</v>
      </c>
      <c r="K176" s="30">
        <v>1</v>
      </c>
      <c r="L176" s="26"/>
      <c r="M176" s="26"/>
      <c r="N176" s="26"/>
      <c r="O176" s="31">
        <v>46023</v>
      </c>
      <c r="P176" s="31"/>
      <c r="Q176" s="26">
        <v>100</v>
      </c>
      <c r="R176" s="26" t="s">
        <v>69</v>
      </c>
      <c r="S176" s="11"/>
      <c r="T176" s="11" t="s">
        <v>409</v>
      </c>
      <c r="U176" s="11"/>
      <c r="V176" s="11" t="s">
        <v>469</v>
      </c>
      <c r="W176" s="15">
        <f>IF(AND(ISNUMBER(Übersicht!$B$4),Übersicht!$B$4=INT(Übersicht!$B$4),Übersicht!$B$4&gt;=2026,Übersicht!$B$4&lt;=2028),IF(I176="fixedMonthDay",IF(AND(ISNUMBER(J176),J176=INT(J176),J176&gt;=1,J176&lt;=12,ISNUMBER(K176),K176=INT(K176),K176&gt;=1,K176&lt;=31,MONTH(DATE(Übersicht!$B$4,J176,K176))=J176,DAY(DATE(Übersicht!$B$4,J176,K176))=K176,L176="",M176="",N176=""),DATE(Übersicht!$B$4,J176,K176),NA()),IF(I176="easterOffsetDays",IF(AND(ISNUMBER(L176),L176=INT(L176),L176&gt;=-366,L176&lt;=366,J176="",K176="",M176="",N176=""),$AD$23+L176,NA()),IF(I176="nthWeekdayOfMonth",IF(AND(ISNUMBER(J176),J176=INT(J176),J176&gt;=1,J176&lt;=12,ISNUMBER(M176),M176=INT(M176),M176&gt;=1,M176&lt;=7,ISNUMBER(N176),N176=INT(N176),N176&gt;=1,N176&lt;=5,MONTH(DATE(Übersicht!$B$4,J176,1)+MOD(M176-WEEKDAY(DATE(Übersicht!$B$4,J176,1),2),7)+7*(N176-1))=J176,K176="",L176=""),DATE(Übersicht!$B$4,J176,1)+MOD(M176-WEEKDAY(DATE(Übersicht!$B$4,J176,1),2),7)+7*(N176-1),NA()),IF(I176="nthWeekdayOffsetDays",IF(AND(ISNUMBER(J176),J176=INT(J176),J176&gt;=1,J176&lt;=12,ISNUMBER(M176),M176=INT(M176),M176&gt;=1,M176&lt;=7,ISNUMBER(N176),N176=INT(N176),N176&gt;=1,N176&lt;=5,MONTH(DATE(Übersicht!$B$4,J176,1)+MOD(M176-WEEKDAY(DATE(Übersicht!$B$4,J176,1),2),7)+7*(N176-1))=J176,K176="",ISNUMBER(L176),L176=INT(L176),L176&gt;=-366,L176&lt;=366),DATE(Übersicht!$B$4,J176,1)+MOD(M176-WEEKDAY(DATE(Übersicht!$B$4,J176,1),2),7)+7*(N176-1)+L176,NA()),NA())))),NA())</f>
        <v>46600</v>
      </c>
      <c r="X176" s="15">
        <f t="shared" si="5"/>
        <v>46600</v>
      </c>
      <c r="Y176" s="11" t="s">
        <v>411</v>
      </c>
      <c r="Z176" s="11" t="s">
        <v>561</v>
      </c>
      <c r="AA176" s="26" t="s">
        <v>413</v>
      </c>
    </row>
    <row r="177" spans="1:27" ht="44" customHeight="1">
      <c r="A177" s="10" t="s">
        <v>255</v>
      </c>
      <c r="B177" s="10" t="s">
        <v>244</v>
      </c>
      <c r="C177" s="10" t="s">
        <v>571</v>
      </c>
      <c r="D177" s="24" t="s">
        <v>479</v>
      </c>
      <c r="E177" s="24" t="s">
        <v>480</v>
      </c>
      <c r="F177" s="25" t="s">
        <v>521</v>
      </c>
      <c r="G177" s="25" t="s">
        <v>522</v>
      </c>
      <c r="H177" s="10" t="s">
        <v>406</v>
      </c>
      <c r="I177" s="10" t="s">
        <v>407</v>
      </c>
      <c r="J177" s="28">
        <v>8</v>
      </c>
      <c r="K177" s="28">
        <v>15</v>
      </c>
      <c r="L177" s="24"/>
      <c r="M177" s="24"/>
      <c r="N177" s="24"/>
      <c r="O177" s="29">
        <v>46023</v>
      </c>
      <c r="P177" s="29"/>
      <c r="Q177" s="24">
        <v>100</v>
      </c>
      <c r="R177" s="24" t="s">
        <v>69</v>
      </c>
      <c r="S177" s="10"/>
      <c r="T177" s="10" t="s">
        <v>409</v>
      </c>
      <c r="U177" s="10"/>
      <c r="V177" s="10" t="s">
        <v>469</v>
      </c>
      <c r="W177" s="14">
        <f>IF(AND(ISNUMBER(Übersicht!$B$4),Übersicht!$B$4=INT(Übersicht!$B$4),Übersicht!$B$4&gt;=2026,Übersicht!$B$4&lt;=2028),IF(I177="fixedMonthDay",IF(AND(ISNUMBER(J177),J177=INT(J177),J177&gt;=1,J177&lt;=12,ISNUMBER(K177),K177=INT(K177),K177&gt;=1,K177&lt;=31,MONTH(DATE(Übersicht!$B$4,J177,K177))=J177,DAY(DATE(Übersicht!$B$4,J177,K177))=K177,L177="",M177="",N177=""),DATE(Übersicht!$B$4,J177,K177),NA()),IF(I177="easterOffsetDays",IF(AND(ISNUMBER(L177),L177=INT(L177),L177&gt;=-366,L177&lt;=366,J177="",K177="",M177="",N177=""),$AD$23+L177,NA()),IF(I177="nthWeekdayOfMonth",IF(AND(ISNUMBER(J177),J177=INT(J177),J177&gt;=1,J177&lt;=12,ISNUMBER(M177),M177=INT(M177),M177&gt;=1,M177&lt;=7,ISNUMBER(N177),N177=INT(N177),N177&gt;=1,N177&lt;=5,MONTH(DATE(Übersicht!$B$4,J177,1)+MOD(M177-WEEKDAY(DATE(Übersicht!$B$4,J177,1),2),7)+7*(N177-1))=J177,K177="",L177=""),DATE(Übersicht!$B$4,J177,1)+MOD(M177-WEEKDAY(DATE(Übersicht!$B$4,J177,1),2),7)+7*(N177-1),NA()),IF(I177="nthWeekdayOffsetDays",IF(AND(ISNUMBER(J177),J177=INT(J177),J177&gt;=1,J177&lt;=12,ISNUMBER(M177),M177=INT(M177),M177&gt;=1,M177&lt;=7,ISNUMBER(N177),N177=INT(N177),N177&gt;=1,N177&lt;=5,MONTH(DATE(Übersicht!$B$4,J177,1)+MOD(M177-WEEKDAY(DATE(Übersicht!$B$4,J177,1),2),7)+7*(N177-1))=J177,K177="",ISNUMBER(L177),L177=INT(L177),L177&gt;=-366,L177&lt;=366),DATE(Übersicht!$B$4,J177,1)+MOD(M177-WEEKDAY(DATE(Übersicht!$B$4,J177,1),2),7)+7*(N177-1)+L177,NA()),NA())))),NA())</f>
        <v>46614</v>
      </c>
      <c r="X177" s="14">
        <f t="shared" si="5"/>
        <v>46614</v>
      </c>
      <c r="Y177" s="10" t="s">
        <v>572</v>
      </c>
      <c r="Z177" s="10" t="s">
        <v>573</v>
      </c>
      <c r="AA177" s="24" t="s">
        <v>413</v>
      </c>
    </row>
    <row r="178" spans="1:27" ht="44" customHeight="1">
      <c r="A178" s="11" t="s">
        <v>256</v>
      </c>
      <c r="B178" s="11" t="s">
        <v>244</v>
      </c>
      <c r="C178" s="11" t="s">
        <v>571</v>
      </c>
      <c r="D178" s="26" t="s">
        <v>444</v>
      </c>
      <c r="E178" s="26" t="s">
        <v>445</v>
      </c>
      <c r="F178" s="27" t="s">
        <v>544</v>
      </c>
      <c r="G178" s="27" t="s">
        <v>545</v>
      </c>
      <c r="H178" s="11" t="s">
        <v>406</v>
      </c>
      <c r="I178" s="11" t="s">
        <v>446</v>
      </c>
      <c r="J178" s="30">
        <v>9</v>
      </c>
      <c r="K178" s="30"/>
      <c r="L178" s="26"/>
      <c r="M178" s="26">
        <v>7</v>
      </c>
      <c r="N178" s="26">
        <v>3</v>
      </c>
      <c r="O178" s="31">
        <v>46023</v>
      </c>
      <c r="P178" s="31"/>
      <c r="Q178" s="26">
        <v>100</v>
      </c>
      <c r="R178" s="26" t="s">
        <v>69</v>
      </c>
      <c r="S178" s="11"/>
      <c r="T178" s="11" t="s">
        <v>409</v>
      </c>
      <c r="U178" s="11"/>
      <c r="V178" s="11" t="s">
        <v>469</v>
      </c>
      <c r="W178" s="15">
        <f>IF(AND(ISNUMBER(Übersicht!$B$4),Übersicht!$B$4=INT(Übersicht!$B$4),Übersicht!$B$4&gt;=2026,Übersicht!$B$4&lt;=2028),IF(I178="fixedMonthDay",IF(AND(ISNUMBER(J178),J178=INT(J178),J178&gt;=1,J178&lt;=12,ISNUMBER(K178),K178=INT(K178),K178&gt;=1,K178&lt;=31,MONTH(DATE(Übersicht!$B$4,J178,K178))=J178,DAY(DATE(Übersicht!$B$4,J178,K178))=K178,L178="",M178="",N178=""),DATE(Übersicht!$B$4,J178,K178),NA()),IF(I178="easterOffsetDays",IF(AND(ISNUMBER(L178),L178=INT(L178),L178&gt;=-366,L178&lt;=366,J178="",K178="",M178="",N178=""),$AD$23+L178,NA()),IF(I178="nthWeekdayOfMonth",IF(AND(ISNUMBER(J178),J178=INT(J178),J178&gt;=1,J178&lt;=12,ISNUMBER(M178),M178=INT(M178),M178&gt;=1,M178&lt;=7,ISNUMBER(N178),N178=INT(N178),N178&gt;=1,N178&lt;=5,MONTH(DATE(Übersicht!$B$4,J178,1)+MOD(M178-WEEKDAY(DATE(Übersicht!$B$4,J178,1),2),7)+7*(N178-1))=J178,K178="",L178=""),DATE(Übersicht!$B$4,J178,1)+MOD(M178-WEEKDAY(DATE(Übersicht!$B$4,J178,1),2),7)+7*(N178-1),NA()),IF(I178="nthWeekdayOffsetDays",IF(AND(ISNUMBER(J178),J178=INT(J178),J178&gt;=1,J178&lt;=12,ISNUMBER(M178),M178=INT(M178),M178&gt;=1,M178&lt;=7,ISNUMBER(N178),N178=INT(N178),N178&gt;=1,N178&lt;=5,MONTH(DATE(Übersicht!$B$4,J178,1)+MOD(M178-WEEKDAY(DATE(Übersicht!$B$4,J178,1),2),7)+7*(N178-1))=J178,K178="",ISNUMBER(L178),L178=INT(L178),L178&gt;=-366,L178&lt;=366),DATE(Übersicht!$B$4,J178,1)+MOD(M178-WEEKDAY(DATE(Übersicht!$B$4,J178,1),2),7)+7*(N178-1)+L178,NA()),NA())))),NA())</f>
        <v>46649</v>
      </c>
      <c r="X178" s="15">
        <f t="shared" si="5"/>
        <v>46649</v>
      </c>
      <c r="Y178" s="11" t="s">
        <v>572</v>
      </c>
      <c r="Z178" s="11" t="s">
        <v>573</v>
      </c>
      <c r="AA178" s="26" t="s">
        <v>413</v>
      </c>
    </row>
    <row r="179" spans="1:27" ht="44" customHeight="1">
      <c r="A179" s="10" t="s">
        <v>257</v>
      </c>
      <c r="B179" s="10" t="s">
        <v>244</v>
      </c>
      <c r="C179" s="10" t="s">
        <v>571</v>
      </c>
      <c r="D179" s="24" t="s">
        <v>466</v>
      </c>
      <c r="E179" s="24" t="s">
        <v>467</v>
      </c>
      <c r="F179" s="25" t="s">
        <v>523</v>
      </c>
      <c r="G179" s="25" t="s">
        <v>524</v>
      </c>
      <c r="H179" s="10" t="s">
        <v>406</v>
      </c>
      <c r="I179" s="10" t="s">
        <v>407</v>
      </c>
      <c r="J179" s="28">
        <v>11</v>
      </c>
      <c r="K179" s="28">
        <v>1</v>
      </c>
      <c r="L179" s="24"/>
      <c r="M179" s="24"/>
      <c r="N179" s="24"/>
      <c r="O179" s="29">
        <v>46023</v>
      </c>
      <c r="P179" s="29"/>
      <c r="Q179" s="24">
        <v>100</v>
      </c>
      <c r="R179" s="24" t="s">
        <v>69</v>
      </c>
      <c r="S179" s="10"/>
      <c r="T179" s="10" t="s">
        <v>409</v>
      </c>
      <c r="U179" s="10"/>
      <c r="V179" s="10" t="s">
        <v>469</v>
      </c>
      <c r="W179" s="14">
        <f>IF(AND(ISNUMBER(Übersicht!$B$4),Übersicht!$B$4=INT(Übersicht!$B$4),Übersicht!$B$4&gt;=2026,Übersicht!$B$4&lt;=2028),IF(I179="fixedMonthDay",IF(AND(ISNUMBER(J179),J179=INT(J179),J179&gt;=1,J179&lt;=12,ISNUMBER(K179),K179=INT(K179),K179&gt;=1,K179&lt;=31,MONTH(DATE(Übersicht!$B$4,J179,K179))=J179,DAY(DATE(Übersicht!$B$4,J179,K179))=K179,L179="",M179="",N179=""),DATE(Übersicht!$B$4,J179,K179),NA()),IF(I179="easterOffsetDays",IF(AND(ISNUMBER(L179),L179=INT(L179),L179&gt;=-366,L179&lt;=366,J179="",K179="",M179="",N179=""),$AD$23+L179,NA()),IF(I179="nthWeekdayOfMonth",IF(AND(ISNUMBER(J179),J179=INT(J179),J179&gt;=1,J179&lt;=12,ISNUMBER(M179),M179=INT(M179),M179&gt;=1,M179&lt;=7,ISNUMBER(N179),N179=INT(N179),N179&gt;=1,N179&lt;=5,MONTH(DATE(Übersicht!$B$4,J179,1)+MOD(M179-WEEKDAY(DATE(Übersicht!$B$4,J179,1),2),7)+7*(N179-1))=J179,K179="",L179=""),DATE(Übersicht!$B$4,J179,1)+MOD(M179-WEEKDAY(DATE(Übersicht!$B$4,J179,1),2),7)+7*(N179-1),NA()),IF(I179="nthWeekdayOffsetDays",IF(AND(ISNUMBER(J179),J179=INT(J179),J179&gt;=1,J179&lt;=12,ISNUMBER(M179),M179=INT(M179),M179&gt;=1,M179&lt;=7,ISNUMBER(N179),N179=INT(N179),N179&gt;=1,N179&lt;=5,MONTH(DATE(Übersicht!$B$4,J179,1)+MOD(M179-WEEKDAY(DATE(Übersicht!$B$4,J179,1),2),7)+7*(N179-1))=J179,K179="",ISNUMBER(L179),L179=INT(L179),L179&gt;=-366,L179&lt;=366),DATE(Übersicht!$B$4,J179,1)+MOD(M179-WEEKDAY(DATE(Übersicht!$B$4,J179,1),2),7)+7*(N179-1)+L179,NA()),NA())))),NA())</f>
        <v>46692</v>
      </c>
      <c r="X179" s="14">
        <f t="shared" si="5"/>
        <v>46692</v>
      </c>
      <c r="Y179" s="10" t="s">
        <v>572</v>
      </c>
      <c r="Z179" s="10" t="s">
        <v>573</v>
      </c>
      <c r="AA179" s="24" t="s">
        <v>413</v>
      </c>
    </row>
    <row r="180" spans="1:27" ht="44" customHeight="1">
      <c r="A180" s="11" t="s">
        <v>258</v>
      </c>
      <c r="B180" s="11" t="s">
        <v>244</v>
      </c>
      <c r="C180" s="11" t="s">
        <v>571</v>
      </c>
      <c r="D180" s="26" t="s">
        <v>448</v>
      </c>
      <c r="E180" s="26" t="s">
        <v>449</v>
      </c>
      <c r="F180" s="27" t="s">
        <v>527</v>
      </c>
      <c r="G180" s="27" t="s">
        <v>528</v>
      </c>
      <c r="H180" s="11" t="s">
        <v>406</v>
      </c>
      <c r="I180" s="11" t="s">
        <v>407</v>
      </c>
      <c r="J180" s="30">
        <v>12</v>
      </c>
      <c r="K180" s="30">
        <v>25</v>
      </c>
      <c r="L180" s="26"/>
      <c r="M180" s="26"/>
      <c r="N180" s="26"/>
      <c r="O180" s="31">
        <v>46023</v>
      </c>
      <c r="P180" s="31"/>
      <c r="Q180" s="26">
        <v>100</v>
      </c>
      <c r="R180" s="26" t="s">
        <v>69</v>
      </c>
      <c r="S180" s="11"/>
      <c r="T180" s="11" t="s">
        <v>409</v>
      </c>
      <c r="U180" s="11"/>
      <c r="V180" s="11" t="s">
        <v>469</v>
      </c>
      <c r="W180" s="15">
        <f>IF(AND(ISNUMBER(Übersicht!$B$4),Übersicht!$B$4=INT(Übersicht!$B$4),Übersicht!$B$4&gt;=2026,Übersicht!$B$4&lt;=2028),IF(I180="fixedMonthDay",IF(AND(ISNUMBER(J180),J180=INT(J180),J180&gt;=1,J180&lt;=12,ISNUMBER(K180),K180=INT(K180),K180&gt;=1,K180&lt;=31,MONTH(DATE(Übersicht!$B$4,J180,K180))=J180,DAY(DATE(Übersicht!$B$4,J180,K180))=K180,L180="",M180="",N180=""),DATE(Übersicht!$B$4,J180,K180),NA()),IF(I180="easterOffsetDays",IF(AND(ISNUMBER(L180),L180=INT(L180),L180&gt;=-366,L180&lt;=366,J180="",K180="",M180="",N180=""),$AD$23+L180,NA()),IF(I180="nthWeekdayOfMonth",IF(AND(ISNUMBER(J180),J180=INT(J180),J180&gt;=1,J180&lt;=12,ISNUMBER(M180),M180=INT(M180),M180&gt;=1,M180&lt;=7,ISNUMBER(N180),N180=INT(N180),N180&gt;=1,N180&lt;=5,MONTH(DATE(Übersicht!$B$4,J180,1)+MOD(M180-WEEKDAY(DATE(Übersicht!$B$4,J180,1),2),7)+7*(N180-1))=J180,K180="",L180=""),DATE(Übersicht!$B$4,J180,1)+MOD(M180-WEEKDAY(DATE(Übersicht!$B$4,J180,1),2),7)+7*(N180-1),NA()),IF(I180="nthWeekdayOffsetDays",IF(AND(ISNUMBER(J180),J180=INT(J180),J180&gt;=1,J180&lt;=12,ISNUMBER(M180),M180=INT(M180),M180&gt;=1,M180&lt;=7,ISNUMBER(N180),N180=INT(N180),N180&gt;=1,N180&lt;=5,MONTH(DATE(Übersicht!$B$4,J180,1)+MOD(M180-WEEKDAY(DATE(Übersicht!$B$4,J180,1),2),7)+7*(N180-1))=J180,K180="",ISNUMBER(L180),L180=INT(L180),L180&gt;=-366,L180&lt;=366),DATE(Übersicht!$B$4,J180,1)+MOD(M180-WEEKDAY(DATE(Übersicht!$B$4,J180,1),2),7)+7*(N180-1)+L180,NA()),NA())))),NA())</f>
        <v>46746</v>
      </c>
      <c r="X180" s="15">
        <f t="shared" si="5"/>
        <v>46746</v>
      </c>
      <c r="Y180" s="11" t="s">
        <v>572</v>
      </c>
      <c r="Z180" s="11" t="s">
        <v>574</v>
      </c>
      <c r="AA180" s="26" t="s">
        <v>413</v>
      </c>
    </row>
    <row r="181" spans="1:27" ht="44" customHeight="1">
      <c r="A181" s="10" t="s">
        <v>260</v>
      </c>
      <c r="B181" s="10" t="s">
        <v>244</v>
      </c>
      <c r="C181" s="10" t="s">
        <v>580</v>
      </c>
      <c r="D181" s="24" t="s">
        <v>416</v>
      </c>
      <c r="E181" s="24" t="s">
        <v>417</v>
      </c>
      <c r="F181" s="25" t="s">
        <v>494</v>
      </c>
      <c r="G181" s="25" t="s">
        <v>495</v>
      </c>
      <c r="H181" s="10" t="s">
        <v>406</v>
      </c>
      <c r="I181" s="10" t="s">
        <v>407</v>
      </c>
      <c r="J181" s="28">
        <v>1</v>
      </c>
      <c r="K181" s="28">
        <v>1</v>
      </c>
      <c r="L181" s="24"/>
      <c r="M181" s="24"/>
      <c r="N181" s="24"/>
      <c r="O181" s="29">
        <v>46023</v>
      </c>
      <c r="P181" s="29"/>
      <c r="Q181" s="24">
        <v>100</v>
      </c>
      <c r="R181" s="24" t="s">
        <v>69</v>
      </c>
      <c r="S181" s="10"/>
      <c r="T181" s="10" t="s">
        <v>409</v>
      </c>
      <c r="U181" s="10"/>
      <c r="V181" s="10" t="s">
        <v>469</v>
      </c>
      <c r="W181" s="14">
        <f>IF(AND(ISNUMBER(Übersicht!$B$4),Übersicht!$B$4=INT(Übersicht!$B$4),Übersicht!$B$4&gt;=2026,Übersicht!$B$4&lt;=2028),IF(I181="fixedMonthDay",IF(AND(ISNUMBER(J181),J181=INT(J181),J181&gt;=1,J181&lt;=12,ISNUMBER(K181),K181=INT(K181),K181&gt;=1,K181&lt;=31,MONTH(DATE(Übersicht!$B$4,J181,K181))=J181,DAY(DATE(Übersicht!$B$4,J181,K181))=K181,L181="",M181="",N181=""),DATE(Übersicht!$B$4,J181,K181),NA()),IF(I181="easterOffsetDays",IF(AND(ISNUMBER(L181),L181=INT(L181),L181&gt;=-366,L181&lt;=366,J181="",K181="",M181="",N181=""),$AD$23+L181,NA()),IF(I181="nthWeekdayOfMonth",IF(AND(ISNUMBER(J181),J181=INT(J181),J181&gt;=1,J181&lt;=12,ISNUMBER(M181),M181=INT(M181),M181&gt;=1,M181&lt;=7,ISNUMBER(N181),N181=INT(N181),N181&gt;=1,N181&lt;=5,MONTH(DATE(Übersicht!$B$4,J181,1)+MOD(M181-WEEKDAY(DATE(Übersicht!$B$4,J181,1),2),7)+7*(N181-1))=J181,K181="",L181=""),DATE(Übersicht!$B$4,J181,1)+MOD(M181-WEEKDAY(DATE(Übersicht!$B$4,J181,1),2),7)+7*(N181-1),NA()),IF(I181="nthWeekdayOffsetDays",IF(AND(ISNUMBER(J181),J181=INT(J181),J181&gt;=1,J181&lt;=12,ISNUMBER(M181),M181=INT(M181),M181&gt;=1,M181&lt;=7,ISNUMBER(N181),N181=INT(N181),N181&gt;=1,N181&lt;=5,MONTH(DATE(Übersicht!$B$4,J181,1)+MOD(M181-WEEKDAY(DATE(Übersicht!$B$4,J181,1),2),7)+7*(N181-1))=J181,K181="",ISNUMBER(L181),L181=INT(L181),L181&gt;=-366,L181&lt;=366),DATE(Übersicht!$B$4,J181,1)+MOD(M181-WEEKDAY(DATE(Übersicht!$B$4,J181,1),2),7)+7*(N181-1)+L181,NA()),NA())))),NA())</f>
        <v>46388</v>
      </c>
      <c r="X181" s="14">
        <f t="shared" si="5"/>
        <v>46388</v>
      </c>
      <c r="Y181" s="10" t="s">
        <v>572</v>
      </c>
      <c r="Z181" s="10" t="s">
        <v>573</v>
      </c>
      <c r="AA181" s="24" t="s">
        <v>413</v>
      </c>
    </row>
    <row r="182" spans="1:27" ht="44" customHeight="1">
      <c r="A182" s="11" t="s">
        <v>261</v>
      </c>
      <c r="B182" s="11" t="s">
        <v>244</v>
      </c>
      <c r="C182" s="11" t="s">
        <v>580</v>
      </c>
      <c r="D182" s="26" t="s">
        <v>424</v>
      </c>
      <c r="E182" s="26" t="s">
        <v>425</v>
      </c>
      <c r="F182" s="27" t="s">
        <v>534</v>
      </c>
      <c r="G182" s="27" t="s">
        <v>535</v>
      </c>
      <c r="H182" s="11" t="s">
        <v>406</v>
      </c>
      <c r="I182" s="11" t="s">
        <v>426</v>
      </c>
      <c r="J182" s="30"/>
      <c r="K182" s="30"/>
      <c r="L182" s="26">
        <v>-2</v>
      </c>
      <c r="M182" s="26"/>
      <c r="N182" s="26"/>
      <c r="O182" s="31">
        <v>46023</v>
      </c>
      <c r="P182" s="31"/>
      <c r="Q182" s="26">
        <v>100</v>
      </c>
      <c r="R182" s="26" t="s">
        <v>69</v>
      </c>
      <c r="S182" s="11"/>
      <c r="T182" s="11" t="s">
        <v>409</v>
      </c>
      <c r="U182" s="11"/>
      <c r="V182" s="11" t="s">
        <v>469</v>
      </c>
      <c r="W182" s="15">
        <f>IF(AND(ISNUMBER(Übersicht!$B$4),Übersicht!$B$4=INT(Übersicht!$B$4),Übersicht!$B$4&gt;=2026,Übersicht!$B$4&lt;=2028),IF(I182="fixedMonthDay",IF(AND(ISNUMBER(J182),J182=INT(J182),J182&gt;=1,J182&lt;=12,ISNUMBER(K182),K182=INT(K182),K182&gt;=1,K182&lt;=31,MONTH(DATE(Übersicht!$B$4,J182,K182))=J182,DAY(DATE(Übersicht!$B$4,J182,K182))=K182,L182="",M182="",N182=""),DATE(Übersicht!$B$4,J182,K182),NA()),IF(I182="easterOffsetDays",IF(AND(ISNUMBER(L182),L182=INT(L182),L182&gt;=-366,L182&lt;=366,J182="",K182="",M182="",N182=""),$AD$23+L182,NA()),IF(I182="nthWeekdayOfMonth",IF(AND(ISNUMBER(J182),J182=INT(J182),J182&gt;=1,J182&lt;=12,ISNUMBER(M182),M182=INT(M182),M182&gt;=1,M182&lt;=7,ISNUMBER(N182),N182=INT(N182),N182&gt;=1,N182&lt;=5,MONTH(DATE(Übersicht!$B$4,J182,1)+MOD(M182-WEEKDAY(DATE(Übersicht!$B$4,J182,1),2),7)+7*(N182-1))=J182,K182="",L182=""),DATE(Übersicht!$B$4,J182,1)+MOD(M182-WEEKDAY(DATE(Übersicht!$B$4,J182,1),2),7)+7*(N182-1),NA()),IF(I182="nthWeekdayOffsetDays",IF(AND(ISNUMBER(J182),J182=INT(J182),J182&gt;=1,J182&lt;=12,ISNUMBER(M182),M182=INT(M182),M182&gt;=1,M182&lt;=7,ISNUMBER(N182),N182=INT(N182),N182&gt;=1,N182&lt;=5,MONTH(DATE(Übersicht!$B$4,J182,1)+MOD(M182-WEEKDAY(DATE(Übersicht!$B$4,J182,1),2),7)+7*(N182-1))=J182,K182="",ISNUMBER(L182),L182=INT(L182),L182&gt;=-366,L182&lt;=366),DATE(Übersicht!$B$4,J182,1)+MOD(M182-WEEKDAY(DATE(Übersicht!$B$4,J182,1),2),7)+7*(N182-1)+L182,NA()),NA())))),NA())</f>
        <v>46472</v>
      </c>
      <c r="X182" s="15">
        <f t="shared" si="5"/>
        <v>46472</v>
      </c>
      <c r="Y182" s="11" t="s">
        <v>572</v>
      </c>
      <c r="Z182" s="11" t="s">
        <v>574</v>
      </c>
      <c r="AA182" s="26" t="s">
        <v>413</v>
      </c>
    </row>
    <row r="183" spans="1:27" ht="44" customHeight="1">
      <c r="A183" s="10" t="s">
        <v>262</v>
      </c>
      <c r="B183" s="10" t="s">
        <v>244</v>
      </c>
      <c r="C183" s="10" t="s">
        <v>580</v>
      </c>
      <c r="D183" s="24" t="s">
        <v>429</v>
      </c>
      <c r="E183" s="24" t="s">
        <v>430</v>
      </c>
      <c r="F183" s="25" t="s">
        <v>537</v>
      </c>
      <c r="G183" s="25" t="s">
        <v>538</v>
      </c>
      <c r="H183" s="10" t="s">
        <v>406</v>
      </c>
      <c r="I183" s="10" t="s">
        <v>426</v>
      </c>
      <c r="J183" s="28"/>
      <c r="K183" s="28"/>
      <c r="L183" s="24">
        <v>0</v>
      </c>
      <c r="M183" s="24"/>
      <c r="N183" s="24"/>
      <c r="O183" s="29">
        <v>46023</v>
      </c>
      <c r="P183" s="29"/>
      <c r="Q183" s="24">
        <v>100</v>
      </c>
      <c r="R183" s="24" t="s">
        <v>69</v>
      </c>
      <c r="S183" s="10"/>
      <c r="T183" s="10" t="s">
        <v>409</v>
      </c>
      <c r="U183" s="10"/>
      <c r="V183" s="10" t="s">
        <v>469</v>
      </c>
      <c r="W183" s="14">
        <f>IF(AND(ISNUMBER(Übersicht!$B$4),Übersicht!$B$4=INT(Übersicht!$B$4),Übersicht!$B$4&gt;=2026,Übersicht!$B$4&lt;=2028),IF(I183="fixedMonthDay",IF(AND(ISNUMBER(J183),J183=INT(J183),J183&gt;=1,J183&lt;=12,ISNUMBER(K183),K183=INT(K183),K183&gt;=1,K183&lt;=31,MONTH(DATE(Übersicht!$B$4,J183,K183))=J183,DAY(DATE(Übersicht!$B$4,J183,K183))=K183,L183="",M183="",N183=""),DATE(Übersicht!$B$4,J183,K183),NA()),IF(I183="easterOffsetDays",IF(AND(ISNUMBER(L183),L183=INT(L183),L183&gt;=-366,L183&lt;=366,J183="",K183="",M183="",N183=""),$AD$23+L183,NA()),IF(I183="nthWeekdayOfMonth",IF(AND(ISNUMBER(J183),J183=INT(J183),J183&gt;=1,J183&lt;=12,ISNUMBER(M183),M183=INT(M183),M183&gt;=1,M183&lt;=7,ISNUMBER(N183),N183=INT(N183),N183&gt;=1,N183&lt;=5,MONTH(DATE(Übersicht!$B$4,J183,1)+MOD(M183-WEEKDAY(DATE(Übersicht!$B$4,J183,1),2),7)+7*(N183-1))=J183,K183="",L183=""),DATE(Übersicht!$B$4,J183,1)+MOD(M183-WEEKDAY(DATE(Übersicht!$B$4,J183,1),2),7)+7*(N183-1),NA()),IF(I183="nthWeekdayOffsetDays",IF(AND(ISNUMBER(J183),J183=INT(J183),J183&gt;=1,J183&lt;=12,ISNUMBER(M183),M183=INT(M183),M183&gt;=1,M183&lt;=7,ISNUMBER(N183),N183=INT(N183),N183&gt;=1,N183&lt;=5,MONTH(DATE(Übersicht!$B$4,J183,1)+MOD(M183-WEEKDAY(DATE(Übersicht!$B$4,J183,1),2),7)+7*(N183-1))=J183,K183="",ISNUMBER(L183),L183=INT(L183),L183&gt;=-366,L183&lt;=366),DATE(Übersicht!$B$4,J183,1)+MOD(M183-WEEKDAY(DATE(Übersicht!$B$4,J183,1),2),7)+7*(N183-1)+L183,NA()),NA())))),NA())</f>
        <v>46474</v>
      </c>
      <c r="X183" s="14">
        <f t="shared" si="5"/>
        <v>46474</v>
      </c>
      <c r="Y183" s="10" t="s">
        <v>572</v>
      </c>
      <c r="Z183" s="10" t="s">
        <v>574</v>
      </c>
      <c r="AA183" s="24" t="s">
        <v>413</v>
      </c>
    </row>
    <row r="184" spans="1:27" ht="44" customHeight="1">
      <c r="A184" s="11" t="s">
        <v>263</v>
      </c>
      <c r="B184" s="11" t="s">
        <v>244</v>
      </c>
      <c r="C184" s="11" t="s">
        <v>580</v>
      </c>
      <c r="D184" s="26" t="s">
        <v>575</v>
      </c>
      <c r="E184" s="26" t="s">
        <v>576</v>
      </c>
      <c r="F184" s="27" t="s">
        <v>507</v>
      </c>
      <c r="G184" s="27" t="s">
        <v>577</v>
      </c>
      <c r="H184" s="11" t="s">
        <v>406</v>
      </c>
      <c r="I184" s="11" t="s">
        <v>407</v>
      </c>
      <c r="J184" s="30">
        <v>5</v>
      </c>
      <c r="K184" s="30">
        <v>1</v>
      </c>
      <c r="L184" s="26"/>
      <c r="M184" s="26"/>
      <c r="N184" s="26"/>
      <c r="O184" s="31">
        <v>46023</v>
      </c>
      <c r="P184" s="31"/>
      <c r="Q184" s="26">
        <v>100</v>
      </c>
      <c r="R184" s="26" t="s">
        <v>69</v>
      </c>
      <c r="S184" s="11"/>
      <c r="T184" s="11" t="s">
        <v>409</v>
      </c>
      <c r="U184" s="11"/>
      <c r="V184" s="11" t="s">
        <v>469</v>
      </c>
      <c r="W184" s="15">
        <f>IF(AND(ISNUMBER(Übersicht!$B$4),Übersicht!$B$4=INT(Übersicht!$B$4),Übersicht!$B$4&gt;=2026,Übersicht!$B$4&lt;=2028),IF(I184="fixedMonthDay",IF(AND(ISNUMBER(J184),J184=INT(J184),J184&gt;=1,J184&lt;=12,ISNUMBER(K184),K184=INT(K184),K184&gt;=1,K184&lt;=31,MONTH(DATE(Übersicht!$B$4,J184,K184))=J184,DAY(DATE(Übersicht!$B$4,J184,K184))=K184,L184="",M184="",N184=""),DATE(Übersicht!$B$4,J184,K184),NA()),IF(I184="easterOffsetDays",IF(AND(ISNUMBER(L184),L184=INT(L184),L184&gt;=-366,L184&lt;=366,J184="",K184="",M184="",N184=""),$AD$23+L184,NA()),IF(I184="nthWeekdayOfMonth",IF(AND(ISNUMBER(J184),J184=INT(J184),J184&gt;=1,J184&lt;=12,ISNUMBER(M184),M184=INT(M184),M184&gt;=1,M184&lt;=7,ISNUMBER(N184),N184=INT(N184),N184&gt;=1,N184&lt;=5,MONTH(DATE(Übersicht!$B$4,J184,1)+MOD(M184-WEEKDAY(DATE(Übersicht!$B$4,J184,1),2),7)+7*(N184-1))=J184,K184="",L184=""),DATE(Übersicht!$B$4,J184,1)+MOD(M184-WEEKDAY(DATE(Übersicht!$B$4,J184,1),2),7)+7*(N184-1),NA()),IF(I184="nthWeekdayOffsetDays",IF(AND(ISNUMBER(J184),J184=INT(J184),J184&gt;=1,J184&lt;=12,ISNUMBER(M184),M184=INT(M184),M184&gt;=1,M184&lt;=7,ISNUMBER(N184),N184=INT(N184),N184&gt;=1,N184&lt;=5,MONTH(DATE(Übersicht!$B$4,J184,1)+MOD(M184-WEEKDAY(DATE(Übersicht!$B$4,J184,1),2),7)+7*(N184-1))=J184,K184="",ISNUMBER(L184),L184=INT(L184),L184&gt;=-366,L184&lt;=366),DATE(Übersicht!$B$4,J184,1)+MOD(M184-WEEKDAY(DATE(Übersicht!$B$4,J184,1),2),7)+7*(N184-1)+L184,NA()),NA())))),NA())</f>
        <v>46508</v>
      </c>
      <c r="X184" s="15">
        <f t="shared" si="5"/>
        <v>46508</v>
      </c>
      <c r="Y184" s="11" t="s">
        <v>572</v>
      </c>
      <c r="Z184" s="11" t="s">
        <v>578</v>
      </c>
      <c r="AA184" s="26" t="s">
        <v>579</v>
      </c>
    </row>
    <row r="185" spans="1:27" ht="44" customHeight="1">
      <c r="A185" s="10" t="s">
        <v>264</v>
      </c>
      <c r="B185" s="10" t="s">
        <v>244</v>
      </c>
      <c r="C185" s="10" t="s">
        <v>580</v>
      </c>
      <c r="D185" s="24" t="s">
        <v>435</v>
      </c>
      <c r="E185" s="24" t="s">
        <v>436</v>
      </c>
      <c r="F185" s="25" t="s">
        <v>509</v>
      </c>
      <c r="G185" s="25" t="s">
        <v>510</v>
      </c>
      <c r="H185" s="10" t="s">
        <v>406</v>
      </c>
      <c r="I185" s="10" t="s">
        <v>426</v>
      </c>
      <c r="J185" s="28"/>
      <c r="K185" s="28"/>
      <c r="L185" s="24">
        <v>39</v>
      </c>
      <c r="M185" s="24"/>
      <c r="N185" s="24"/>
      <c r="O185" s="29">
        <v>46023</v>
      </c>
      <c r="P185" s="29"/>
      <c r="Q185" s="24">
        <v>100</v>
      </c>
      <c r="R185" s="24" t="s">
        <v>69</v>
      </c>
      <c r="S185" s="10"/>
      <c r="T185" s="10" t="s">
        <v>409</v>
      </c>
      <c r="U185" s="10"/>
      <c r="V185" s="10" t="s">
        <v>469</v>
      </c>
      <c r="W185" s="14">
        <f>IF(AND(ISNUMBER(Übersicht!$B$4),Übersicht!$B$4=INT(Übersicht!$B$4),Übersicht!$B$4&gt;=2026,Übersicht!$B$4&lt;=2028),IF(I185="fixedMonthDay",IF(AND(ISNUMBER(J185),J185=INT(J185),J185&gt;=1,J185&lt;=12,ISNUMBER(K185),K185=INT(K185),K185&gt;=1,K185&lt;=31,MONTH(DATE(Übersicht!$B$4,J185,K185))=J185,DAY(DATE(Übersicht!$B$4,J185,K185))=K185,L185="",M185="",N185=""),DATE(Übersicht!$B$4,J185,K185),NA()),IF(I185="easterOffsetDays",IF(AND(ISNUMBER(L185),L185=INT(L185),L185&gt;=-366,L185&lt;=366,J185="",K185="",M185="",N185=""),$AD$23+L185,NA()),IF(I185="nthWeekdayOfMonth",IF(AND(ISNUMBER(J185),J185=INT(J185),J185&gt;=1,J185&lt;=12,ISNUMBER(M185),M185=INT(M185),M185&gt;=1,M185&lt;=7,ISNUMBER(N185),N185=INT(N185),N185&gt;=1,N185&lt;=5,MONTH(DATE(Übersicht!$B$4,J185,1)+MOD(M185-WEEKDAY(DATE(Übersicht!$B$4,J185,1),2),7)+7*(N185-1))=J185,K185="",L185=""),DATE(Übersicht!$B$4,J185,1)+MOD(M185-WEEKDAY(DATE(Übersicht!$B$4,J185,1),2),7)+7*(N185-1),NA()),IF(I185="nthWeekdayOffsetDays",IF(AND(ISNUMBER(J185),J185=INT(J185),J185&gt;=1,J185&lt;=12,ISNUMBER(M185),M185=INT(M185),M185&gt;=1,M185&lt;=7,ISNUMBER(N185),N185=INT(N185),N185&gt;=1,N185&lt;=5,MONTH(DATE(Übersicht!$B$4,J185,1)+MOD(M185-WEEKDAY(DATE(Übersicht!$B$4,J185,1),2),7)+7*(N185-1))=J185,K185="",ISNUMBER(L185),L185=INT(L185),L185&gt;=-366,L185&lt;=366),DATE(Übersicht!$B$4,J185,1)+MOD(M185-WEEKDAY(DATE(Übersicht!$B$4,J185,1),2),7)+7*(N185-1)+L185,NA()),NA())))),NA())</f>
        <v>46513</v>
      </c>
      <c r="X185" s="14">
        <f t="shared" si="5"/>
        <v>46513</v>
      </c>
      <c r="Y185" s="10" t="s">
        <v>572</v>
      </c>
      <c r="Z185" s="10" t="s">
        <v>573</v>
      </c>
      <c r="AA185" s="24" t="s">
        <v>413</v>
      </c>
    </row>
    <row r="186" spans="1:27" ht="44" customHeight="1">
      <c r="A186" s="11" t="s">
        <v>265</v>
      </c>
      <c r="B186" s="11" t="s">
        <v>244</v>
      </c>
      <c r="C186" s="11" t="s">
        <v>580</v>
      </c>
      <c r="D186" s="26" t="s">
        <v>438</v>
      </c>
      <c r="E186" s="26" t="s">
        <v>439</v>
      </c>
      <c r="F186" s="27" t="s">
        <v>541</v>
      </c>
      <c r="G186" s="27" t="s">
        <v>542</v>
      </c>
      <c r="H186" s="11" t="s">
        <v>406</v>
      </c>
      <c r="I186" s="11" t="s">
        <v>426</v>
      </c>
      <c r="J186" s="30"/>
      <c r="K186" s="30"/>
      <c r="L186" s="26">
        <v>49</v>
      </c>
      <c r="M186" s="26"/>
      <c r="N186" s="26"/>
      <c r="O186" s="31">
        <v>46023</v>
      </c>
      <c r="P186" s="31"/>
      <c r="Q186" s="26">
        <v>100</v>
      </c>
      <c r="R186" s="26" t="s">
        <v>69</v>
      </c>
      <c r="S186" s="11"/>
      <c r="T186" s="11" t="s">
        <v>409</v>
      </c>
      <c r="U186" s="11"/>
      <c r="V186" s="11" t="s">
        <v>469</v>
      </c>
      <c r="W186" s="15">
        <f>IF(AND(ISNUMBER(Übersicht!$B$4),Übersicht!$B$4=INT(Übersicht!$B$4),Übersicht!$B$4&gt;=2026,Übersicht!$B$4&lt;=2028),IF(I186="fixedMonthDay",IF(AND(ISNUMBER(J186),J186=INT(J186),J186&gt;=1,J186&lt;=12,ISNUMBER(K186),K186=INT(K186),K186&gt;=1,K186&lt;=31,MONTH(DATE(Übersicht!$B$4,J186,K186))=J186,DAY(DATE(Übersicht!$B$4,J186,K186))=K186,L186="",M186="",N186=""),DATE(Übersicht!$B$4,J186,K186),NA()),IF(I186="easterOffsetDays",IF(AND(ISNUMBER(L186),L186=INT(L186),L186&gt;=-366,L186&lt;=366,J186="",K186="",M186="",N186=""),$AD$23+L186,NA()),IF(I186="nthWeekdayOfMonth",IF(AND(ISNUMBER(J186),J186=INT(J186),J186&gt;=1,J186&lt;=12,ISNUMBER(M186),M186=INT(M186),M186&gt;=1,M186&lt;=7,ISNUMBER(N186),N186=INT(N186),N186&gt;=1,N186&lt;=5,MONTH(DATE(Übersicht!$B$4,J186,1)+MOD(M186-WEEKDAY(DATE(Übersicht!$B$4,J186,1),2),7)+7*(N186-1))=J186,K186="",L186=""),DATE(Übersicht!$B$4,J186,1)+MOD(M186-WEEKDAY(DATE(Übersicht!$B$4,J186,1),2),7)+7*(N186-1),NA()),IF(I186="nthWeekdayOffsetDays",IF(AND(ISNUMBER(J186),J186=INT(J186),J186&gt;=1,J186&lt;=12,ISNUMBER(M186),M186=INT(M186),M186&gt;=1,M186&lt;=7,ISNUMBER(N186),N186=INT(N186),N186&gt;=1,N186&lt;=5,MONTH(DATE(Übersicht!$B$4,J186,1)+MOD(M186-WEEKDAY(DATE(Übersicht!$B$4,J186,1),2),7)+7*(N186-1))=J186,K186="",ISNUMBER(L186),L186=INT(L186),L186&gt;=-366,L186&lt;=366),DATE(Übersicht!$B$4,J186,1)+MOD(M186-WEEKDAY(DATE(Übersicht!$B$4,J186,1),2),7)+7*(N186-1)+L186,NA()),NA())))),NA())</f>
        <v>46523</v>
      </c>
      <c r="X186" s="15">
        <f t="shared" si="5"/>
        <v>46523</v>
      </c>
      <c r="Y186" s="11" t="s">
        <v>572</v>
      </c>
      <c r="Z186" s="11" t="s">
        <v>574</v>
      </c>
      <c r="AA186" s="26" t="s">
        <v>413</v>
      </c>
    </row>
    <row r="187" spans="1:27" ht="44" customHeight="1">
      <c r="A187" s="10" t="s">
        <v>266</v>
      </c>
      <c r="B187" s="10" t="s">
        <v>244</v>
      </c>
      <c r="C187" s="10" t="s">
        <v>580</v>
      </c>
      <c r="D187" s="24" t="s">
        <v>404</v>
      </c>
      <c r="E187" s="24" t="s">
        <v>405</v>
      </c>
      <c r="F187" s="25" t="s">
        <v>519</v>
      </c>
      <c r="G187" s="25" t="s">
        <v>520</v>
      </c>
      <c r="H187" s="10" t="s">
        <v>406</v>
      </c>
      <c r="I187" s="10" t="s">
        <v>407</v>
      </c>
      <c r="J187" s="28">
        <v>8</v>
      </c>
      <c r="K187" s="28">
        <v>1</v>
      </c>
      <c r="L187" s="24"/>
      <c r="M187" s="24"/>
      <c r="N187" s="24"/>
      <c r="O187" s="29">
        <v>46023</v>
      </c>
      <c r="P187" s="29"/>
      <c r="Q187" s="24">
        <v>100</v>
      </c>
      <c r="R187" s="24" t="s">
        <v>69</v>
      </c>
      <c r="S187" s="10"/>
      <c r="T187" s="10" t="s">
        <v>409</v>
      </c>
      <c r="U187" s="10"/>
      <c r="V187" s="10" t="s">
        <v>469</v>
      </c>
      <c r="W187" s="14">
        <f>IF(AND(ISNUMBER(Übersicht!$B$4),Übersicht!$B$4=INT(Übersicht!$B$4),Übersicht!$B$4&gt;=2026,Übersicht!$B$4&lt;=2028),IF(I187="fixedMonthDay",IF(AND(ISNUMBER(J187),J187=INT(J187),J187&gt;=1,J187&lt;=12,ISNUMBER(K187),K187=INT(K187),K187&gt;=1,K187&lt;=31,MONTH(DATE(Übersicht!$B$4,J187,K187))=J187,DAY(DATE(Übersicht!$B$4,J187,K187))=K187,L187="",M187="",N187=""),DATE(Übersicht!$B$4,J187,K187),NA()),IF(I187="easterOffsetDays",IF(AND(ISNUMBER(L187),L187=INT(L187),L187&gt;=-366,L187&lt;=366,J187="",K187="",M187="",N187=""),$AD$23+L187,NA()),IF(I187="nthWeekdayOfMonth",IF(AND(ISNUMBER(J187),J187=INT(J187),J187&gt;=1,J187&lt;=12,ISNUMBER(M187),M187=INT(M187),M187&gt;=1,M187&lt;=7,ISNUMBER(N187),N187=INT(N187),N187&gt;=1,N187&lt;=5,MONTH(DATE(Übersicht!$B$4,J187,1)+MOD(M187-WEEKDAY(DATE(Übersicht!$B$4,J187,1),2),7)+7*(N187-1))=J187,K187="",L187=""),DATE(Übersicht!$B$4,J187,1)+MOD(M187-WEEKDAY(DATE(Übersicht!$B$4,J187,1),2),7)+7*(N187-1),NA()),IF(I187="nthWeekdayOffsetDays",IF(AND(ISNUMBER(J187),J187=INT(J187),J187&gt;=1,J187&lt;=12,ISNUMBER(M187),M187=INT(M187),M187&gt;=1,M187&lt;=7,ISNUMBER(N187),N187=INT(N187),N187&gt;=1,N187&lt;=5,MONTH(DATE(Übersicht!$B$4,J187,1)+MOD(M187-WEEKDAY(DATE(Übersicht!$B$4,J187,1),2),7)+7*(N187-1))=J187,K187="",ISNUMBER(L187),L187=INT(L187),L187&gt;=-366,L187&lt;=366),DATE(Übersicht!$B$4,J187,1)+MOD(M187-WEEKDAY(DATE(Übersicht!$B$4,J187,1),2),7)+7*(N187-1)+L187,NA()),NA())))),NA())</f>
        <v>46600</v>
      </c>
      <c r="X187" s="14">
        <f t="shared" si="5"/>
        <v>46600</v>
      </c>
      <c r="Y187" s="10" t="s">
        <v>411</v>
      </c>
      <c r="Z187" s="10" t="s">
        <v>561</v>
      </c>
      <c r="AA187" s="24" t="s">
        <v>413</v>
      </c>
    </row>
    <row r="188" spans="1:27" ht="44" customHeight="1">
      <c r="A188" s="11" t="s">
        <v>267</v>
      </c>
      <c r="B188" s="11" t="s">
        <v>244</v>
      </c>
      <c r="C188" s="11" t="s">
        <v>580</v>
      </c>
      <c r="D188" s="26" t="s">
        <v>444</v>
      </c>
      <c r="E188" s="26" t="s">
        <v>445</v>
      </c>
      <c r="F188" s="27" t="s">
        <v>544</v>
      </c>
      <c r="G188" s="27" t="s">
        <v>545</v>
      </c>
      <c r="H188" s="11" t="s">
        <v>406</v>
      </c>
      <c r="I188" s="11" t="s">
        <v>446</v>
      </c>
      <c r="J188" s="30">
        <v>9</v>
      </c>
      <c r="K188" s="30"/>
      <c r="L188" s="26"/>
      <c r="M188" s="26">
        <v>7</v>
      </c>
      <c r="N188" s="26">
        <v>3</v>
      </c>
      <c r="O188" s="31">
        <v>46023</v>
      </c>
      <c r="P188" s="31"/>
      <c r="Q188" s="26">
        <v>100</v>
      </c>
      <c r="R188" s="26" t="s">
        <v>69</v>
      </c>
      <c r="S188" s="11"/>
      <c r="T188" s="11" t="s">
        <v>409</v>
      </c>
      <c r="U188" s="11"/>
      <c r="V188" s="11" t="s">
        <v>469</v>
      </c>
      <c r="W188" s="15">
        <f>IF(AND(ISNUMBER(Übersicht!$B$4),Übersicht!$B$4=INT(Übersicht!$B$4),Übersicht!$B$4&gt;=2026,Übersicht!$B$4&lt;=2028),IF(I188="fixedMonthDay",IF(AND(ISNUMBER(J188),J188=INT(J188),J188&gt;=1,J188&lt;=12,ISNUMBER(K188),K188=INT(K188),K188&gt;=1,K188&lt;=31,MONTH(DATE(Übersicht!$B$4,J188,K188))=J188,DAY(DATE(Übersicht!$B$4,J188,K188))=K188,L188="",M188="",N188=""),DATE(Übersicht!$B$4,J188,K188),NA()),IF(I188="easterOffsetDays",IF(AND(ISNUMBER(L188),L188=INT(L188),L188&gt;=-366,L188&lt;=366,J188="",K188="",M188="",N188=""),$AD$23+L188,NA()),IF(I188="nthWeekdayOfMonth",IF(AND(ISNUMBER(J188),J188=INT(J188),J188&gt;=1,J188&lt;=12,ISNUMBER(M188),M188=INT(M188),M188&gt;=1,M188&lt;=7,ISNUMBER(N188),N188=INT(N188),N188&gt;=1,N188&lt;=5,MONTH(DATE(Übersicht!$B$4,J188,1)+MOD(M188-WEEKDAY(DATE(Übersicht!$B$4,J188,1),2),7)+7*(N188-1))=J188,K188="",L188=""),DATE(Übersicht!$B$4,J188,1)+MOD(M188-WEEKDAY(DATE(Übersicht!$B$4,J188,1),2),7)+7*(N188-1),NA()),IF(I188="nthWeekdayOffsetDays",IF(AND(ISNUMBER(J188),J188=INT(J188),J188&gt;=1,J188&lt;=12,ISNUMBER(M188),M188=INT(M188),M188&gt;=1,M188&lt;=7,ISNUMBER(N188),N188=INT(N188),N188&gt;=1,N188&lt;=5,MONTH(DATE(Übersicht!$B$4,J188,1)+MOD(M188-WEEKDAY(DATE(Übersicht!$B$4,J188,1),2),7)+7*(N188-1))=J188,K188="",ISNUMBER(L188),L188=INT(L188),L188&gt;=-366,L188&lt;=366),DATE(Übersicht!$B$4,J188,1)+MOD(M188-WEEKDAY(DATE(Übersicht!$B$4,J188,1),2),7)+7*(N188-1)+L188,NA()),NA())))),NA())</f>
        <v>46649</v>
      </c>
      <c r="X188" s="15">
        <f t="shared" si="5"/>
        <v>46649</v>
      </c>
      <c r="Y188" s="11" t="s">
        <v>572</v>
      </c>
      <c r="Z188" s="11" t="s">
        <v>573</v>
      </c>
      <c r="AA188" s="26" t="s">
        <v>413</v>
      </c>
    </row>
    <row r="189" spans="1:27" ht="44" customHeight="1">
      <c r="A189" s="10" t="s">
        <v>268</v>
      </c>
      <c r="B189" s="10" t="s">
        <v>244</v>
      </c>
      <c r="C189" s="10" t="s">
        <v>580</v>
      </c>
      <c r="D189" s="24" t="s">
        <v>448</v>
      </c>
      <c r="E189" s="24" t="s">
        <v>449</v>
      </c>
      <c r="F189" s="25" t="s">
        <v>527</v>
      </c>
      <c r="G189" s="25" t="s">
        <v>528</v>
      </c>
      <c r="H189" s="10" t="s">
        <v>406</v>
      </c>
      <c r="I189" s="10" t="s">
        <v>407</v>
      </c>
      <c r="J189" s="28">
        <v>12</v>
      </c>
      <c r="K189" s="28">
        <v>25</v>
      </c>
      <c r="L189" s="24"/>
      <c r="M189" s="24"/>
      <c r="N189" s="24"/>
      <c r="O189" s="29">
        <v>46023</v>
      </c>
      <c r="P189" s="29"/>
      <c r="Q189" s="24">
        <v>100</v>
      </c>
      <c r="R189" s="24" t="s">
        <v>69</v>
      </c>
      <c r="S189" s="10"/>
      <c r="T189" s="10" t="s">
        <v>409</v>
      </c>
      <c r="U189" s="10"/>
      <c r="V189" s="10" t="s">
        <v>469</v>
      </c>
      <c r="W189" s="14">
        <f>IF(AND(ISNUMBER(Übersicht!$B$4),Übersicht!$B$4=INT(Übersicht!$B$4),Übersicht!$B$4&gt;=2026,Übersicht!$B$4&lt;=2028),IF(I189="fixedMonthDay",IF(AND(ISNUMBER(J189),J189=INT(J189),J189&gt;=1,J189&lt;=12,ISNUMBER(K189),K189=INT(K189),K189&gt;=1,K189&lt;=31,MONTH(DATE(Übersicht!$B$4,J189,K189))=J189,DAY(DATE(Übersicht!$B$4,J189,K189))=K189,L189="",M189="",N189=""),DATE(Übersicht!$B$4,J189,K189),NA()),IF(I189="easterOffsetDays",IF(AND(ISNUMBER(L189),L189=INT(L189),L189&gt;=-366,L189&lt;=366,J189="",K189="",M189="",N189=""),$AD$23+L189,NA()),IF(I189="nthWeekdayOfMonth",IF(AND(ISNUMBER(J189),J189=INT(J189),J189&gt;=1,J189&lt;=12,ISNUMBER(M189),M189=INT(M189),M189&gt;=1,M189&lt;=7,ISNUMBER(N189),N189=INT(N189),N189&gt;=1,N189&lt;=5,MONTH(DATE(Übersicht!$B$4,J189,1)+MOD(M189-WEEKDAY(DATE(Übersicht!$B$4,J189,1),2),7)+7*(N189-1))=J189,K189="",L189=""),DATE(Übersicht!$B$4,J189,1)+MOD(M189-WEEKDAY(DATE(Übersicht!$B$4,J189,1),2),7)+7*(N189-1),NA()),IF(I189="nthWeekdayOffsetDays",IF(AND(ISNUMBER(J189),J189=INT(J189),J189&gt;=1,J189&lt;=12,ISNUMBER(M189),M189=INT(M189),M189&gt;=1,M189&lt;=7,ISNUMBER(N189),N189=INT(N189),N189&gt;=1,N189&lt;=5,MONTH(DATE(Übersicht!$B$4,J189,1)+MOD(M189-WEEKDAY(DATE(Übersicht!$B$4,J189,1),2),7)+7*(N189-1))=J189,K189="",ISNUMBER(L189),L189=INT(L189),L189&gt;=-366,L189&lt;=366),DATE(Übersicht!$B$4,J189,1)+MOD(M189-WEEKDAY(DATE(Übersicht!$B$4,J189,1),2),7)+7*(N189-1)+L189,NA()),NA())))),NA())</f>
        <v>46746</v>
      </c>
      <c r="X189" s="14">
        <f t="shared" si="5"/>
        <v>46746</v>
      </c>
      <c r="Y189" s="10" t="s">
        <v>572</v>
      </c>
      <c r="Z189" s="10" t="s">
        <v>574</v>
      </c>
      <c r="AA189" s="24" t="s">
        <v>413</v>
      </c>
    </row>
    <row r="190" spans="1:27" ht="44" customHeight="1">
      <c r="A190" s="11" t="s">
        <v>271</v>
      </c>
      <c r="B190" s="11" t="s">
        <v>269</v>
      </c>
      <c r="C190" s="11" t="s">
        <v>581</v>
      </c>
      <c r="D190" s="26" t="s">
        <v>416</v>
      </c>
      <c r="E190" s="26" t="s">
        <v>417</v>
      </c>
      <c r="F190" s="27" t="s">
        <v>494</v>
      </c>
      <c r="G190" s="27" t="s">
        <v>495</v>
      </c>
      <c r="H190" s="11" t="s">
        <v>406</v>
      </c>
      <c r="I190" s="11" t="s">
        <v>407</v>
      </c>
      <c r="J190" s="30">
        <v>1</v>
      </c>
      <c r="K190" s="30">
        <v>1</v>
      </c>
      <c r="L190" s="26"/>
      <c r="M190" s="26"/>
      <c r="N190" s="26"/>
      <c r="O190" s="31">
        <v>46023</v>
      </c>
      <c r="P190" s="31"/>
      <c r="Q190" s="26">
        <v>100</v>
      </c>
      <c r="R190" s="26" t="s">
        <v>69</v>
      </c>
      <c r="S190" s="11"/>
      <c r="T190" s="11" t="s">
        <v>409</v>
      </c>
      <c r="U190" s="11"/>
      <c r="V190" s="11" t="s">
        <v>469</v>
      </c>
      <c r="W190" s="15">
        <f>IF(AND(ISNUMBER(Übersicht!$B$4),Übersicht!$B$4=INT(Übersicht!$B$4),Übersicht!$B$4&gt;=2026,Übersicht!$B$4&lt;=2028),IF(I190="fixedMonthDay",IF(AND(ISNUMBER(J190),J190=INT(J190),J190&gt;=1,J190&lt;=12,ISNUMBER(K190),K190=INT(K190),K190&gt;=1,K190&lt;=31,MONTH(DATE(Übersicht!$B$4,J190,K190))=J190,DAY(DATE(Übersicht!$B$4,J190,K190))=K190,L190="",M190="",N190=""),DATE(Übersicht!$B$4,J190,K190),NA()),IF(I190="easterOffsetDays",IF(AND(ISNUMBER(L190),L190=INT(L190),L190&gt;=-366,L190&lt;=366,J190="",K190="",M190="",N190=""),$AD$23+L190,NA()),IF(I190="nthWeekdayOfMonth",IF(AND(ISNUMBER(J190),J190=INT(J190),J190&gt;=1,J190&lt;=12,ISNUMBER(M190),M190=INT(M190),M190&gt;=1,M190&lt;=7,ISNUMBER(N190),N190=INT(N190),N190&gt;=1,N190&lt;=5,MONTH(DATE(Übersicht!$B$4,J190,1)+MOD(M190-WEEKDAY(DATE(Übersicht!$B$4,J190,1),2),7)+7*(N190-1))=J190,K190="",L190=""),DATE(Übersicht!$B$4,J190,1)+MOD(M190-WEEKDAY(DATE(Übersicht!$B$4,J190,1),2),7)+7*(N190-1),NA()),IF(I190="nthWeekdayOffsetDays",IF(AND(ISNUMBER(J190),J190=INT(J190),J190&gt;=1,J190&lt;=12,ISNUMBER(M190),M190=INT(M190),M190&gt;=1,M190&lt;=7,ISNUMBER(N190),N190=INT(N190),N190&gt;=1,N190&lt;=5,MONTH(DATE(Übersicht!$B$4,J190,1)+MOD(M190-WEEKDAY(DATE(Übersicht!$B$4,J190,1),2),7)+7*(N190-1))=J190,K190="",ISNUMBER(L190),L190=INT(L190),L190&gt;=-366,L190&lt;=366),DATE(Übersicht!$B$4,J190,1)+MOD(M190-WEEKDAY(DATE(Übersicht!$B$4,J190,1),2),7)+7*(N190-1)+L190,NA()),NA())))),NA())</f>
        <v>46388</v>
      </c>
      <c r="X190" s="15">
        <f t="shared" si="5"/>
        <v>46388</v>
      </c>
      <c r="Y190" s="11" t="s">
        <v>582</v>
      </c>
      <c r="Z190" s="11" t="s">
        <v>583</v>
      </c>
      <c r="AA190" s="26" t="s">
        <v>413</v>
      </c>
    </row>
    <row r="191" spans="1:27" ht="44" customHeight="1">
      <c r="A191" s="10" t="s">
        <v>272</v>
      </c>
      <c r="B191" s="10" t="s">
        <v>269</v>
      </c>
      <c r="C191" s="10" t="s">
        <v>581</v>
      </c>
      <c r="D191" s="24" t="s">
        <v>424</v>
      </c>
      <c r="E191" s="24" t="s">
        <v>425</v>
      </c>
      <c r="F191" s="25" t="s">
        <v>534</v>
      </c>
      <c r="G191" s="25" t="s">
        <v>535</v>
      </c>
      <c r="H191" s="10" t="s">
        <v>406</v>
      </c>
      <c r="I191" s="10" t="s">
        <v>426</v>
      </c>
      <c r="J191" s="28"/>
      <c r="K191" s="28"/>
      <c r="L191" s="24">
        <v>-2</v>
      </c>
      <c r="M191" s="24"/>
      <c r="N191" s="24"/>
      <c r="O191" s="29">
        <v>46023</v>
      </c>
      <c r="P191" s="29"/>
      <c r="Q191" s="24">
        <v>100</v>
      </c>
      <c r="R191" s="24" t="s">
        <v>69</v>
      </c>
      <c r="S191" s="10"/>
      <c r="T191" s="10" t="s">
        <v>409</v>
      </c>
      <c r="U191" s="10"/>
      <c r="V191" s="10" t="s">
        <v>469</v>
      </c>
      <c r="W191" s="14">
        <f>IF(AND(ISNUMBER(Übersicht!$B$4),Übersicht!$B$4=INT(Übersicht!$B$4),Übersicht!$B$4&gt;=2026,Übersicht!$B$4&lt;=2028),IF(I191="fixedMonthDay",IF(AND(ISNUMBER(J191),J191=INT(J191),J191&gt;=1,J191&lt;=12,ISNUMBER(K191),K191=INT(K191),K191&gt;=1,K191&lt;=31,MONTH(DATE(Übersicht!$B$4,J191,K191))=J191,DAY(DATE(Übersicht!$B$4,J191,K191))=K191,L191="",M191="",N191=""),DATE(Übersicht!$B$4,J191,K191),NA()),IF(I191="easterOffsetDays",IF(AND(ISNUMBER(L191),L191=INT(L191),L191&gt;=-366,L191&lt;=366,J191="",K191="",M191="",N191=""),$AD$23+L191,NA()),IF(I191="nthWeekdayOfMonth",IF(AND(ISNUMBER(J191),J191=INT(J191),J191&gt;=1,J191&lt;=12,ISNUMBER(M191),M191=INT(M191),M191&gt;=1,M191&lt;=7,ISNUMBER(N191),N191=INT(N191),N191&gt;=1,N191&lt;=5,MONTH(DATE(Übersicht!$B$4,J191,1)+MOD(M191-WEEKDAY(DATE(Übersicht!$B$4,J191,1),2),7)+7*(N191-1))=J191,K191="",L191=""),DATE(Übersicht!$B$4,J191,1)+MOD(M191-WEEKDAY(DATE(Übersicht!$B$4,J191,1),2),7)+7*(N191-1),NA()),IF(I191="nthWeekdayOffsetDays",IF(AND(ISNUMBER(J191),J191=INT(J191),J191&gt;=1,J191&lt;=12,ISNUMBER(M191),M191=INT(M191),M191&gt;=1,M191&lt;=7,ISNUMBER(N191),N191=INT(N191),N191&gt;=1,N191&lt;=5,MONTH(DATE(Übersicht!$B$4,J191,1)+MOD(M191-WEEKDAY(DATE(Übersicht!$B$4,J191,1),2),7)+7*(N191-1))=J191,K191="",ISNUMBER(L191),L191=INT(L191),L191&gt;=-366,L191&lt;=366),DATE(Übersicht!$B$4,J191,1)+MOD(M191-WEEKDAY(DATE(Übersicht!$B$4,J191,1),2),7)+7*(N191-1)+L191,NA()),NA())))),NA())</f>
        <v>46472</v>
      </c>
      <c r="X191" s="14">
        <f t="shared" si="5"/>
        <v>46472</v>
      </c>
      <c r="Y191" s="10" t="s">
        <v>582</v>
      </c>
      <c r="Z191" s="10" t="s">
        <v>584</v>
      </c>
      <c r="AA191" s="24" t="s">
        <v>413</v>
      </c>
    </row>
    <row r="192" spans="1:27" ht="44" customHeight="1">
      <c r="A192" s="11" t="s">
        <v>273</v>
      </c>
      <c r="B192" s="11" t="s">
        <v>269</v>
      </c>
      <c r="C192" s="11" t="s">
        <v>581</v>
      </c>
      <c r="D192" s="26" t="s">
        <v>432</v>
      </c>
      <c r="E192" s="26" t="s">
        <v>433</v>
      </c>
      <c r="F192" s="27" t="s">
        <v>505</v>
      </c>
      <c r="G192" s="27" t="s">
        <v>506</v>
      </c>
      <c r="H192" s="11" t="s">
        <v>406</v>
      </c>
      <c r="I192" s="11" t="s">
        <v>426</v>
      </c>
      <c r="J192" s="30"/>
      <c r="K192" s="30"/>
      <c r="L192" s="26">
        <v>1</v>
      </c>
      <c r="M192" s="26"/>
      <c r="N192" s="26"/>
      <c r="O192" s="31">
        <v>46023</v>
      </c>
      <c r="P192" s="31"/>
      <c r="Q192" s="26">
        <v>100</v>
      </c>
      <c r="R192" s="26" t="s">
        <v>69</v>
      </c>
      <c r="S192" s="11"/>
      <c r="T192" s="11" t="s">
        <v>409</v>
      </c>
      <c r="U192" s="11"/>
      <c r="V192" s="11" t="s">
        <v>469</v>
      </c>
      <c r="W192" s="15">
        <f>IF(AND(ISNUMBER(Übersicht!$B$4),Übersicht!$B$4=INT(Übersicht!$B$4),Übersicht!$B$4&gt;=2026,Übersicht!$B$4&lt;=2028),IF(I192="fixedMonthDay",IF(AND(ISNUMBER(J192),J192=INT(J192),J192&gt;=1,J192&lt;=12,ISNUMBER(K192),K192=INT(K192),K192&gt;=1,K192&lt;=31,MONTH(DATE(Übersicht!$B$4,J192,K192))=J192,DAY(DATE(Übersicht!$B$4,J192,K192))=K192,L192="",M192="",N192=""),DATE(Übersicht!$B$4,J192,K192),NA()),IF(I192="easterOffsetDays",IF(AND(ISNUMBER(L192),L192=INT(L192),L192&gt;=-366,L192&lt;=366,J192="",K192="",M192="",N192=""),$AD$23+L192,NA()),IF(I192="nthWeekdayOfMonth",IF(AND(ISNUMBER(J192),J192=INT(J192),J192&gt;=1,J192&lt;=12,ISNUMBER(M192),M192=INT(M192),M192&gt;=1,M192&lt;=7,ISNUMBER(N192),N192=INT(N192),N192&gt;=1,N192&lt;=5,MONTH(DATE(Übersicht!$B$4,J192,1)+MOD(M192-WEEKDAY(DATE(Übersicht!$B$4,J192,1),2),7)+7*(N192-1))=J192,K192="",L192=""),DATE(Übersicht!$B$4,J192,1)+MOD(M192-WEEKDAY(DATE(Übersicht!$B$4,J192,1),2),7)+7*(N192-1),NA()),IF(I192="nthWeekdayOffsetDays",IF(AND(ISNUMBER(J192),J192=INT(J192),J192&gt;=1,J192&lt;=12,ISNUMBER(M192),M192=INT(M192),M192&gt;=1,M192&lt;=7,ISNUMBER(N192),N192=INT(N192),N192&gt;=1,N192&lt;=5,MONTH(DATE(Übersicht!$B$4,J192,1)+MOD(M192-WEEKDAY(DATE(Übersicht!$B$4,J192,1),2),7)+7*(N192-1))=J192,K192="",ISNUMBER(L192),L192=INT(L192),L192&gt;=-366,L192&lt;=366),DATE(Übersicht!$B$4,J192,1)+MOD(M192-WEEKDAY(DATE(Übersicht!$B$4,J192,1),2),7)+7*(N192-1)+L192,NA()),NA())))),NA())</f>
        <v>46475</v>
      </c>
      <c r="X192" s="15">
        <f t="shared" si="5"/>
        <v>46475</v>
      </c>
      <c r="Y192" s="11" t="s">
        <v>582</v>
      </c>
      <c r="Z192" s="11" t="s">
        <v>585</v>
      </c>
      <c r="AA192" s="26" t="s">
        <v>413</v>
      </c>
    </row>
    <row r="193" spans="1:27" ht="44" customHeight="1">
      <c r="A193" s="10" t="s">
        <v>274</v>
      </c>
      <c r="B193" s="10" t="s">
        <v>269</v>
      </c>
      <c r="C193" s="10" t="s">
        <v>581</v>
      </c>
      <c r="D193" s="24" t="s">
        <v>435</v>
      </c>
      <c r="E193" s="24" t="s">
        <v>436</v>
      </c>
      <c r="F193" s="25" t="s">
        <v>509</v>
      </c>
      <c r="G193" s="25" t="s">
        <v>510</v>
      </c>
      <c r="H193" s="10" t="s">
        <v>406</v>
      </c>
      <c r="I193" s="10" t="s">
        <v>426</v>
      </c>
      <c r="J193" s="28"/>
      <c r="K193" s="28"/>
      <c r="L193" s="24">
        <v>39</v>
      </c>
      <c r="M193" s="24"/>
      <c r="N193" s="24"/>
      <c r="O193" s="29">
        <v>46023</v>
      </c>
      <c r="P193" s="29"/>
      <c r="Q193" s="24">
        <v>100</v>
      </c>
      <c r="R193" s="24" t="s">
        <v>69</v>
      </c>
      <c r="S193" s="10"/>
      <c r="T193" s="10" t="s">
        <v>409</v>
      </c>
      <c r="U193" s="10"/>
      <c r="V193" s="10" t="s">
        <v>469</v>
      </c>
      <c r="W193" s="14">
        <f>IF(AND(ISNUMBER(Übersicht!$B$4),Übersicht!$B$4=INT(Übersicht!$B$4),Übersicht!$B$4&gt;=2026,Übersicht!$B$4&lt;=2028),IF(I193="fixedMonthDay",IF(AND(ISNUMBER(J193),J193=INT(J193),J193&gt;=1,J193&lt;=12,ISNUMBER(K193),K193=INT(K193),K193&gt;=1,K193&lt;=31,MONTH(DATE(Übersicht!$B$4,J193,K193))=J193,DAY(DATE(Übersicht!$B$4,J193,K193))=K193,L193="",M193="",N193=""),DATE(Übersicht!$B$4,J193,K193),NA()),IF(I193="easterOffsetDays",IF(AND(ISNUMBER(L193),L193=INT(L193),L193&gt;=-366,L193&lt;=366,J193="",K193="",M193="",N193=""),$AD$23+L193,NA()),IF(I193="nthWeekdayOfMonth",IF(AND(ISNUMBER(J193),J193=INT(J193),J193&gt;=1,J193&lt;=12,ISNUMBER(M193),M193=INT(M193),M193&gt;=1,M193&lt;=7,ISNUMBER(N193),N193=INT(N193),N193&gt;=1,N193&lt;=5,MONTH(DATE(Übersicht!$B$4,J193,1)+MOD(M193-WEEKDAY(DATE(Übersicht!$B$4,J193,1),2),7)+7*(N193-1))=J193,K193="",L193=""),DATE(Übersicht!$B$4,J193,1)+MOD(M193-WEEKDAY(DATE(Übersicht!$B$4,J193,1),2),7)+7*(N193-1),NA()),IF(I193="nthWeekdayOffsetDays",IF(AND(ISNUMBER(J193),J193=INT(J193),J193&gt;=1,J193&lt;=12,ISNUMBER(M193),M193=INT(M193),M193&gt;=1,M193&lt;=7,ISNUMBER(N193),N193=INT(N193),N193&gt;=1,N193&lt;=5,MONTH(DATE(Übersicht!$B$4,J193,1)+MOD(M193-WEEKDAY(DATE(Übersicht!$B$4,J193,1),2),7)+7*(N193-1))=J193,K193="",ISNUMBER(L193),L193=INT(L193),L193&gt;=-366,L193&lt;=366),DATE(Übersicht!$B$4,J193,1)+MOD(M193-WEEKDAY(DATE(Übersicht!$B$4,J193,1),2),7)+7*(N193-1)+L193,NA()),NA())))),NA())</f>
        <v>46513</v>
      </c>
      <c r="X193" s="14">
        <f t="shared" si="5"/>
        <v>46513</v>
      </c>
      <c r="Y193" s="10" t="s">
        <v>582</v>
      </c>
      <c r="Z193" s="10" t="s">
        <v>586</v>
      </c>
      <c r="AA193" s="24" t="s">
        <v>413</v>
      </c>
    </row>
    <row r="194" spans="1:27" ht="44" customHeight="1">
      <c r="A194" s="11" t="s">
        <v>275</v>
      </c>
      <c r="B194" s="11" t="s">
        <v>269</v>
      </c>
      <c r="C194" s="11" t="s">
        <v>581</v>
      </c>
      <c r="D194" s="26" t="s">
        <v>441</v>
      </c>
      <c r="E194" s="26" t="s">
        <v>442</v>
      </c>
      <c r="F194" s="27" t="s">
        <v>511</v>
      </c>
      <c r="G194" s="27" t="s">
        <v>512</v>
      </c>
      <c r="H194" s="11" t="s">
        <v>406</v>
      </c>
      <c r="I194" s="11" t="s">
        <v>426</v>
      </c>
      <c r="J194" s="30"/>
      <c r="K194" s="30"/>
      <c r="L194" s="26">
        <v>50</v>
      </c>
      <c r="M194" s="26"/>
      <c r="N194" s="26"/>
      <c r="O194" s="31">
        <v>46023</v>
      </c>
      <c r="P194" s="31"/>
      <c r="Q194" s="26">
        <v>100</v>
      </c>
      <c r="R194" s="26" t="s">
        <v>69</v>
      </c>
      <c r="S194" s="11"/>
      <c r="T194" s="11" t="s">
        <v>409</v>
      </c>
      <c r="U194" s="11"/>
      <c r="V194" s="11" t="s">
        <v>469</v>
      </c>
      <c r="W194" s="15">
        <f>IF(AND(ISNUMBER(Übersicht!$B$4),Übersicht!$B$4=INT(Übersicht!$B$4),Übersicht!$B$4&gt;=2026,Übersicht!$B$4&lt;=2028),IF(I194="fixedMonthDay",IF(AND(ISNUMBER(J194),J194=INT(J194),J194&gt;=1,J194&lt;=12,ISNUMBER(K194),K194=INT(K194),K194&gt;=1,K194&lt;=31,MONTH(DATE(Übersicht!$B$4,J194,K194))=J194,DAY(DATE(Übersicht!$B$4,J194,K194))=K194,L194="",M194="",N194=""),DATE(Übersicht!$B$4,J194,K194),NA()),IF(I194="easterOffsetDays",IF(AND(ISNUMBER(L194),L194=INT(L194),L194&gt;=-366,L194&lt;=366,J194="",K194="",M194="",N194=""),$AD$23+L194,NA()),IF(I194="nthWeekdayOfMonth",IF(AND(ISNUMBER(J194),J194=INT(J194),J194&gt;=1,J194&lt;=12,ISNUMBER(M194),M194=INT(M194),M194&gt;=1,M194&lt;=7,ISNUMBER(N194),N194=INT(N194),N194&gt;=1,N194&lt;=5,MONTH(DATE(Übersicht!$B$4,J194,1)+MOD(M194-WEEKDAY(DATE(Übersicht!$B$4,J194,1),2),7)+7*(N194-1))=J194,K194="",L194=""),DATE(Übersicht!$B$4,J194,1)+MOD(M194-WEEKDAY(DATE(Übersicht!$B$4,J194,1),2),7)+7*(N194-1),NA()),IF(I194="nthWeekdayOffsetDays",IF(AND(ISNUMBER(J194),J194=INT(J194),J194&gt;=1,J194&lt;=12,ISNUMBER(M194),M194=INT(M194),M194&gt;=1,M194&lt;=7,ISNUMBER(N194),N194=INT(N194),N194&gt;=1,N194&lt;=5,MONTH(DATE(Übersicht!$B$4,J194,1)+MOD(M194-WEEKDAY(DATE(Übersicht!$B$4,J194,1),2),7)+7*(N194-1))=J194,K194="",ISNUMBER(L194),L194=INT(L194),L194&gt;=-366,L194&lt;=366),DATE(Übersicht!$B$4,J194,1)+MOD(M194-WEEKDAY(DATE(Übersicht!$B$4,J194,1),2),7)+7*(N194-1)+L194,NA()),NA())))),NA())</f>
        <v>46524</v>
      </c>
      <c r="X194" s="15">
        <f t="shared" si="5"/>
        <v>46524</v>
      </c>
      <c r="Y194" s="11" t="s">
        <v>582</v>
      </c>
      <c r="Z194" s="11" t="s">
        <v>587</v>
      </c>
      <c r="AA194" s="26" t="s">
        <v>413</v>
      </c>
    </row>
    <row r="195" spans="1:27" ht="44" customHeight="1">
      <c r="A195" s="10" t="s">
        <v>276</v>
      </c>
      <c r="B195" s="10" t="s">
        <v>269</v>
      </c>
      <c r="C195" s="10" t="s">
        <v>581</v>
      </c>
      <c r="D195" s="24" t="s">
        <v>404</v>
      </c>
      <c r="E195" s="24" t="s">
        <v>405</v>
      </c>
      <c r="F195" s="25" t="s">
        <v>519</v>
      </c>
      <c r="G195" s="25" t="s">
        <v>520</v>
      </c>
      <c r="H195" s="10" t="s">
        <v>406</v>
      </c>
      <c r="I195" s="10" t="s">
        <v>407</v>
      </c>
      <c r="J195" s="28">
        <v>8</v>
      </c>
      <c r="K195" s="28">
        <v>1</v>
      </c>
      <c r="L195" s="24"/>
      <c r="M195" s="24"/>
      <c r="N195" s="24"/>
      <c r="O195" s="29">
        <v>46023</v>
      </c>
      <c r="P195" s="29"/>
      <c r="Q195" s="24">
        <v>100</v>
      </c>
      <c r="R195" s="24" t="s">
        <v>69</v>
      </c>
      <c r="S195" s="10"/>
      <c r="T195" s="10" t="s">
        <v>409</v>
      </c>
      <c r="U195" s="10"/>
      <c r="V195" s="10" t="s">
        <v>469</v>
      </c>
      <c r="W195" s="14">
        <f>IF(AND(ISNUMBER(Übersicht!$B$4),Übersicht!$B$4=INT(Übersicht!$B$4),Übersicht!$B$4&gt;=2026,Übersicht!$B$4&lt;=2028),IF(I195="fixedMonthDay",IF(AND(ISNUMBER(J195),J195=INT(J195),J195&gt;=1,J195&lt;=12,ISNUMBER(K195),K195=INT(K195),K195&gt;=1,K195&lt;=31,MONTH(DATE(Übersicht!$B$4,J195,K195))=J195,DAY(DATE(Übersicht!$B$4,J195,K195))=K195,L195="",M195="",N195=""),DATE(Übersicht!$B$4,J195,K195),NA()),IF(I195="easterOffsetDays",IF(AND(ISNUMBER(L195),L195=INT(L195),L195&gt;=-366,L195&lt;=366,J195="",K195="",M195="",N195=""),$AD$23+L195,NA()),IF(I195="nthWeekdayOfMonth",IF(AND(ISNUMBER(J195),J195=INT(J195),J195&gt;=1,J195&lt;=12,ISNUMBER(M195),M195=INT(M195),M195&gt;=1,M195&lt;=7,ISNUMBER(N195),N195=INT(N195),N195&gt;=1,N195&lt;=5,MONTH(DATE(Übersicht!$B$4,J195,1)+MOD(M195-WEEKDAY(DATE(Übersicht!$B$4,J195,1),2),7)+7*(N195-1))=J195,K195="",L195=""),DATE(Übersicht!$B$4,J195,1)+MOD(M195-WEEKDAY(DATE(Übersicht!$B$4,J195,1),2),7)+7*(N195-1),NA()),IF(I195="nthWeekdayOffsetDays",IF(AND(ISNUMBER(J195),J195=INT(J195),J195&gt;=1,J195&lt;=12,ISNUMBER(M195),M195=INT(M195),M195&gt;=1,M195&lt;=7,ISNUMBER(N195),N195=INT(N195),N195&gt;=1,N195&lt;=5,MONTH(DATE(Übersicht!$B$4,J195,1)+MOD(M195-WEEKDAY(DATE(Übersicht!$B$4,J195,1),2),7)+7*(N195-1))=J195,K195="",ISNUMBER(L195),L195=INT(L195),L195&gt;=-366,L195&lt;=366),DATE(Übersicht!$B$4,J195,1)+MOD(M195-WEEKDAY(DATE(Übersicht!$B$4,J195,1),2),7)+7*(N195-1)+L195,NA()),NA())))),NA())</f>
        <v>46600</v>
      </c>
      <c r="X195" s="14">
        <f t="shared" si="5"/>
        <v>46600</v>
      </c>
      <c r="Y195" s="10" t="s">
        <v>582</v>
      </c>
      <c r="Z195" s="10" t="s">
        <v>588</v>
      </c>
      <c r="AA195" s="24" t="s">
        <v>413</v>
      </c>
    </row>
    <row r="196" spans="1:27" ht="44" customHeight="1">
      <c r="A196" s="11" t="s">
        <v>277</v>
      </c>
      <c r="B196" s="11" t="s">
        <v>269</v>
      </c>
      <c r="C196" s="11" t="s">
        <v>581</v>
      </c>
      <c r="D196" s="26" t="s">
        <v>589</v>
      </c>
      <c r="E196" s="26" t="s">
        <v>590</v>
      </c>
      <c r="F196" s="27"/>
      <c r="G196" s="27"/>
      <c r="H196" s="11" t="s">
        <v>406</v>
      </c>
      <c r="I196" s="11" t="s">
        <v>591</v>
      </c>
      <c r="J196" s="30">
        <v>9</v>
      </c>
      <c r="K196" s="30"/>
      <c r="L196" s="26">
        <v>4</v>
      </c>
      <c r="M196" s="26">
        <v>7</v>
      </c>
      <c r="N196" s="26">
        <v>1</v>
      </c>
      <c r="O196" s="31">
        <v>46023</v>
      </c>
      <c r="P196" s="31"/>
      <c r="Q196" s="26">
        <v>100</v>
      </c>
      <c r="R196" s="26" t="s">
        <v>69</v>
      </c>
      <c r="S196" s="11"/>
      <c r="T196" s="11" t="s">
        <v>409</v>
      </c>
      <c r="U196" s="11"/>
      <c r="V196" s="11" t="s">
        <v>469</v>
      </c>
      <c r="W196" s="15">
        <f>IF(AND(ISNUMBER(Übersicht!$B$4),Übersicht!$B$4=INT(Übersicht!$B$4),Übersicht!$B$4&gt;=2026,Übersicht!$B$4&lt;=2028),IF(I196="fixedMonthDay",IF(AND(ISNUMBER(J196),J196=INT(J196),J196&gt;=1,J196&lt;=12,ISNUMBER(K196),K196=INT(K196),K196&gt;=1,K196&lt;=31,MONTH(DATE(Übersicht!$B$4,J196,K196))=J196,DAY(DATE(Übersicht!$B$4,J196,K196))=K196,L196="",M196="",N196=""),DATE(Übersicht!$B$4,J196,K196),NA()),IF(I196="easterOffsetDays",IF(AND(ISNUMBER(L196),L196=INT(L196),L196&gt;=-366,L196&lt;=366,J196="",K196="",M196="",N196=""),$AD$23+L196,NA()),IF(I196="nthWeekdayOfMonth",IF(AND(ISNUMBER(J196),J196=INT(J196),J196&gt;=1,J196&lt;=12,ISNUMBER(M196),M196=INT(M196),M196&gt;=1,M196&lt;=7,ISNUMBER(N196),N196=INT(N196),N196&gt;=1,N196&lt;=5,MONTH(DATE(Übersicht!$B$4,J196,1)+MOD(M196-WEEKDAY(DATE(Übersicht!$B$4,J196,1),2),7)+7*(N196-1))=J196,K196="",L196=""),DATE(Übersicht!$B$4,J196,1)+MOD(M196-WEEKDAY(DATE(Übersicht!$B$4,J196,1),2),7)+7*(N196-1),NA()),IF(I196="nthWeekdayOffsetDays",IF(AND(ISNUMBER(J196),J196=INT(J196),J196&gt;=1,J196&lt;=12,ISNUMBER(M196),M196=INT(M196),M196&gt;=1,M196&lt;=7,ISNUMBER(N196),N196=INT(N196),N196&gt;=1,N196&lt;=5,MONTH(DATE(Übersicht!$B$4,J196,1)+MOD(M196-WEEKDAY(DATE(Übersicht!$B$4,J196,1),2),7)+7*(N196-1))=J196,K196="",ISNUMBER(L196),L196=INT(L196),L196&gt;=-366,L196&lt;=366),DATE(Übersicht!$B$4,J196,1)+MOD(M196-WEEKDAY(DATE(Übersicht!$B$4,J196,1),2),7)+7*(N196-1)+L196,NA()),NA())))),NA())</f>
        <v>46639</v>
      </c>
      <c r="X196" s="15">
        <f t="shared" si="5"/>
        <v>46639</v>
      </c>
      <c r="Y196" s="11" t="s">
        <v>582</v>
      </c>
      <c r="Z196" s="11" t="s">
        <v>592</v>
      </c>
      <c r="AA196" s="26" t="s">
        <v>413</v>
      </c>
    </row>
    <row r="197" spans="1:27" ht="44" customHeight="1">
      <c r="A197" s="10" t="s">
        <v>278</v>
      </c>
      <c r="B197" s="10" t="s">
        <v>269</v>
      </c>
      <c r="C197" s="10" t="s">
        <v>581</v>
      </c>
      <c r="D197" s="24" t="s">
        <v>448</v>
      </c>
      <c r="E197" s="24" t="s">
        <v>449</v>
      </c>
      <c r="F197" s="25" t="s">
        <v>527</v>
      </c>
      <c r="G197" s="25" t="s">
        <v>528</v>
      </c>
      <c r="H197" s="10" t="s">
        <v>406</v>
      </c>
      <c r="I197" s="10" t="s">
        <v>407</v>
      </c>
      <c r="J197" s="28">
        <v>12</v>
      </c>
      <c r="K197" s="28">
        <v>25</v>
      </c>
      <c r="L197" s="24"/>
      <c r="M197" s="24"/>
      <c r="N197" s="24"/>
      <c r="O197" s="29">
        <v>46023</v>
      </c>
      <c r="P197" s="29"/>
      <c r="Q197" s="24">
        <v>100</v>
      </c>
      <c r="R197" s="24" t="s">
        <v>69</v>
      </c>
      <c r="S197" s="10"/>
      <c r="T197" s="10" t="s">
        <v>409</v>
      </c>
      <c r="U197" s="10"/>
      <c r="V197" s="10" t="s">
        <v>469</v>
      </c>
      <c r="W197" s="14">
        <f>IF(AND(ISNUMBER(Übersicht!$B$4),Übersicht!$B$4=INT(Übersicht!$B$4),Übersicht!$B$4&gt;=2026,Übersicht!$B$4&lt;=2028),IF(I197="fixedMonthDay",IF(AND(ISNUMBER(J197),J197=INT(J197),J197&gt;=1,J197&lt;=12,ISNUMBER(K197),K197=INT(K197),K197&gt;=1,K197&lt;=31,MONTH(DATE(Übersicht!$B$4,J197,K197))=J197,DAY(DATE(Übersicht!$B$4,J197,K197))=K197,L197="",M197="",N197=""),DATE(Übersicht!$B$4,J197,K197),NA()),IF(I197="easterOffsetDays",IF(AND(ISNUMBER(L197),L197=INT(L197),L197&gt;=-366,L197&lt;=366,J197="",K197="",M197="",N197=""),$AD$23+L197,NA()),IF(I197="nthWeekdayOfMonth",IF(AND(ISNUMBER(J197),J197=INT(J197),J197&gt;=1,J197&lt;=12,ISNUMBER(M197),M197=INT(M197),M197&gt;=1,M197&lt;=7,ISNUMBER(N197),N197=INT(N197),N197&gt;=1,N197&lt;=5,MONTH(DATE(Übersicht!$B$4,J197,1)+MOD(M197-WEEKDAY(DATE(Übersicht!$B$4,J197,1),2),7)+7*(N197-1))=J197,K197="",L197=""),DATE(Übersicht!$B$4,J197,1)+MOD(M197-WEEKDAY(DATE(Übersicht!$B$4,J197,1),2),7)+7*(N197-1),NA()),IF(I197="nthWeekdayOffsetDays",IF(AND(ISNUMBER(J197),J197=INT(J197),J197&gt;=1,J197&lt;=12,ISNUMBER(M197),M197=INT(M197),M197&gt;=1,M197&lt;=7,ISNUMBER(N197),N197=INT(N197),N197&gt;=1,N197&lt;=5,MONTH(DATE(Übersicht!$B$4,J197,1)+MOD(M197-WEEKDAY(DATE(Übersicht!$B$4,J197,1),2),7)+7*(N197-1))=J197,K197="",ISNUMBER(L197),L197=INT(L197),L197&gt;=-366,L197&lt;=366),DATE(Übersicht!$B$4,J197,1)+MOD(M197-WEEKDAY(DATE(Übersicht!$B$4,J197,1),2),7)+7*(N197-1)+L197,NA()),NA())))),NA())</f>
        <v>46746</v>
      </c>
      <c r="X197" s="14">
        <f t="shared" si="5"/>
        <v>46746</v>
      </c>
      <c r="Y197" s="10" t="s">
        <v>582</v>
      </c>
      <c r="Z197" s="10" t="s">
        <v>593</v>
      </c>
      <c r="AA197" s="24" t="s">
        <v>413</v>
      </c>
    </row>
    <row r="198" spans="1:27" ht="44" customHeight="1">
      <c r="A198" s="11" t="s">
        <v>279</v>
      </c>
      <c r="B198" s="11" t="s">
        <v>269</v>
      </c>
      <c r="C198" s="11" t="s">
        <v>581</v>
      </c>
      <c r="D198" s="26" t="s">
        <v>594</v>
      </c>
      <c r="E198" s="26" t="s">
        <v>595</v>
      </c>
      <c r="F198" s="27"/>
      <c r="G198" s="27"/>
      <c r="H198" s="11" t="s">
        <v>406</v>
      </c>
      <c r="I198" s="11" t="s">
        <v>407</v>
      </c>
      <c r="J198" s="30">
        <v>12</v>
      </c>
      <c r="K198" s="30">
        <v>31</v>
      </c>
      <c r="L198" s="26"/>
      <c r="M198" s="26"/>
      <c r="N198" s="26"/>
      <c r="O198" s="31">
        <v>46023</v>
      </c>
      <c r="P198" s="31"/>
      <c r="Q198" s="26">
        <v>100</v>
      </c>
      <c r="R198" s="26" t="s">
        <v>69</v>
      </c>
      <c r="S198" s="11"/>
      <c r="T198" s="11" t="s">
        <v>409</v>
      </c>
      <c r="U198" s="11"/>
      <c r="V198" s="11" t="s">
        <v>469</v>
      </c>
      <c r="W198" s="15">
        <f>IF(AND(ISNUMBER(Übersicht!$B$4),Übersicht!$B$4=INT(Übersicht!$B$4),Übersicht!$B$4&gt;=2026,Übersicht!$B$4&lt;=2028),IF(I198="fixedMonthDay",IF(AND(ISNUMBER(J198),J198=INT(J198),J198&gt;=1,J198&lt;=12,ISNUMBER(K198),K198=INT(K198),K198&gt;=1,K198&lt;=31,MONTH(DATE(Übersicht!$B$4,J198,K198))=J198,DAY(DATE(Übersicht!$B$4,J198,K198))=K198,L198="",M198="",N198=""),DATE(Übersicht!$B$4,J198,K198),NA()),IF(I198="easterOffsetDays",IF(AND(ISNUMBER(L198),L198=INT(L198),L198&gt;=-366,L198&lt;=366,J198="",K198="",M198="",N198=""),$AD$23+L198,NA()),IF(I198="nthWeekdayOfMonth",IF(AND(ISNUMBER(J198),J198=INT(J198),J198&gt;=1,J198&lt;=12,ISNUMBER(M198),M198=INT(M198),M198&gt;=1,M198&lt;=7,ISNUMBER(N198),N198=INT(N198),N198&gt;=1,N198&lt;=5,MONTH(DATE(Übersicht!$B$4,J198,1)+MOD(M198-WEEKDAY(DATE(Übersicht!$B$4,J198,1),2),7)+7*(N198-1))=J198,K198="",L198=""),DATE(Übersicht!$B$4,J198,1)+MOD(M198-WEEKDAY(DATE(Übersicht!$B$4,J198,1),2),7)+7*(N198-1),NA()),IF(I198="nthWeekdayOffsetDays",IF(AND(ISNUMBER(J198),J198=INT(J198),J198&gt;=1,J198&lt;=12,ISNUMBER(M198),M198=INT(M198),M198&gt;=1,M198&lt;=7,ISNUMBER(N198),N198=INT(N198),N198&gt;=1,N198&lt;=5,MONTH(DATE(Übersicht!$B$4,J198,1)+MOD(M198-WEEKDAY(DATE(Übersicht!$B$4,J198,1),2),7)+7*(N198-1))=J198,K198="",ISNUMBER(L198),L198=INT(L198),L198&gt;=-366,L198&lt;=366),DATE(Übersicht!$B$4,J198,1)+MOD(M198-WEEKDAY(DATE(Übersicht!$B$4,J198,1),2),7)+7*(N198-1)+L198,NA()),NA())))),NA())</f>
        <v>46752</v>
      </c>
      <c r="X198" s="15">
        <f t="shared" si="5"/>
        <v>46752</v>
      </c>
      <c r="Y198" s="11" t="s">
        <v>582</v>
      </c>
      <c r="Z198" s="11" t="s">
        <v>596</v>
      </c>
      <c r="AA198" s="26" t="s">
        <v>413</v>
      </c>
    </row>
  </sheetData>
  <sheetProtection sheet="1" objects="1" scenarios="1" sort="0" autoFilter="0"/>
  <conditionalFormatting sqref="F7:F198">
    <cfRule type="containsBlanks" dxfId="19" priority="3"/>
  </conditionalFormatting>
  <conditionalFormatting sqref="G7:G198">
    <cfRule type="containsBlanks" dxfId="18" priority="4"/>
  </conditionalFormatting>
  <conditionalFormatting sqref="R7:R198">
    <cfRule type="containsText" dxfId="17" priority="1" operator="containsText" text="open"/>
    <cfRule type="containsText" dxfId="16" priority="2" operator="containsText" text="blocked"/>
  </conditionalFormatting>
  <dataValidations count="7">
    <dataValidation type="list" sqref="R7:R198" xr:uid="{00000000-0002-0000-0300-000000000000}">
      <formula1>"approved,open,blocked"</formula1>
    </dataValidation>
    <dataValidation type="list" sqref="H7:H198" xr:uid="{00000000-0002-0000-0300-000001000000}">
      <formula1>"publicHoliday,labourLawHoliday,proceduralEquivalentDay"</formula1>
    </dataValidation>
    <dataValidation type="list" showErrorMessage="1" errorTitle="Ungültige Eingabe" error="Bitte einen unterstützten Regeltyp wählen." sqref="I7:I198" xr:uid="{00000000-0002-0000-0300-000002000000}">
      <formula1>"fixedMonthDay,easterOffsetDays,nthWeekdayOfMonth,nthWeekdayOffsetDays"</formula1>
    </dataValidation>
    <dataValidation type="whole" showErrorMessage="1" errorTitle="Ungültige Eingabe" error="Der Monat muss eine ganze Zahl von 1 bis 12 sein." sqref="J7:J198" xr:uid="{00000000-0002-0000-0300-000003000000}">
      <formula1>1</formula1>
      <formula2>12</formula2>
    </dataValidation>
    <dataValidation type="whole" showErrorMessage="1" errorTitle="Ungültige Eingabe" error="Der Tag muss eine ganze Zahl von 1 bis 31 sein." sqref="K7:K198" xr:uid="{00000000-0002-0000-0300-000004000000}">
      <formula1>1</formula1>
      <formula2>31</formula2>
    </dataValidation>
    <dataValidation type="whole" showErrorMessage="1" errorTitle="Ungültige Eingabe" error="Der Tagesabstand muss eine ganze Zahl von −366 bis 366 sein." sqref="L7:L198" xr:uid="{00000000-0002-0000-0300-000005000000}">
      <formula1>-366</formula1>
      <formula2>366</formula2>
    </dataValidation>
    <dataValidation type="list" showErrorMessage="1" errorTitle="Ungültige Eingabe" error="Bitte den Tagesumfang ausdrücklich wählen." sqref="AA7:AA198" xr:uid="{00000000-0002-0000-0300-000006000000}">
      <formula1>"Ganztägig,Ab 12.00 Uhr"</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32"/>
  <sheetViews>
    <sheetView showGridLines="0" workbookViewId="0">
      <pane xSplit="1" ySplit="6" topLeftCell="B7" activePane="bottomRight" state="frozen"/>
      <selection pane="topRight"/>
      <selection pane="bottomLeft"/>
      <selection pane="bottomRight" activeCell="B7" sqref="B7"/>
    </sheetView>
  </sheetViews>
  <sheetFormatPr baseColWidth="10" defaultColWidth="8.83203125" defaultRowHeight="14"/>
  <cols>
    <col min="1" max="1" width="31" customWidth="1"/>
    <col min="2" max="2" width="16" customWidth="1"/>
    <col min="3" max="3" width="38" customWidth="1"/>
    <col min="4" max="6" width="32" customWidth="1"/>
    <col min="7" max="7" width="22" customWidth="1"/>
    <col min="8" max="8" width="62" customWidth="1"/>
    <col min="9" max="9" width="40" customWidth="1"/>
    <col min="10" max="10" width="35" customWidth="1"/>
    <col min="11" max="13" width="16" customWidth="1"/>
  </cols>
  <sheetData>
    <row r="1" spans="1:13" ht="24" customHeight="1">
      <c r="A1" s="2"/>
      <c r="B1" s="2"/>
      <c r="C1" s="2"/>
      <c r="G1" s="2"/>
      <c r="H1" s="2"/>
      <c r="I1" s="2"/>
      <c r="J1" s="2"/>
      <c r="K1" s="2"/>
      <c r="L1" s="2"/>
      <c r="M1" s="2"/>
    </row>
    <row r="2" spans="1:13" ht="24" customHeight="1">
      <c r="A2" s="3" t="s">
        <v>597</v>
      </c>
      <c r="B2" s="2"/>
      <c r="C2" s="2"/>
      <c r="G2" s="2"/>
      <c r="H2" s="2"/>
      <c r="I2" s="2"/>
      <c r="J2" s="2"/>
      <c r="K2" s="2"/>
      <c r="L2" s="2"/>
      <c r="M2" s="2"/>
    </row>
    <row r="3" spans="1:13" ht="24" customHeight="1">
      <c r="A3" s="4"/>
      <c r="B3" s="4"/>
      <c r="C3" s="4"/>
      <c r="G3" s="4"/>
      <c r="H3" s="4"/>
      <c r="I3" s="4"/>
      <c r="J3" s="4"/>
      <c r="K3" s="4"/>
      <c r="L3" s="4"/>
      <c r="M3" s="4"/>
    </row>
    <row r="4" spans="1:13" ht="24" customHeight="1">
      <c r="A4" s="8" t="s">
        <v>598</v>
      </c>
      <c r="B4" s="2"/>
      <c r="C4" s="2"/>
      <c r="G4" s="2"/>
      <c r="H4" s="2"/>
      <c r="I4" s="2"/>
      <c r="J4" s="2"/>
      <c r="K4" s="2"/>
      <c r="L4" s="2"/>
      <c r="M4" s="2"/>
    </row>
    <row r="5" spans="1:13" ht="24" customHeight="1">
      <c r="A5" s="2"/>
      <c r="B5" s="2"/>
      <c r="C5" s="2"/>
      <c r="G5" s="2"/>
      <c r="H5" s="2"/>
      <c r="I5" s="2"/>
      <c r="J5" s="2"/>
      <c r="K5" s="2"/>
      <c r="L5" s="2"/>
      <c r="M5" s="2"/>
    </row>
    <row r="6" spans="1:13" ht="42" customHeight="1">
      <c r="A6" s="9" t="s">
        <v>385</v>
      </c>
      <c r="B6" s="9" t="s">
        <v>19</v>
      </c>
      <c r="C6" s="9" t="s">
        <v>599</v>
      </c>
      <c r="D6" s="20" t="s">
        <v>39</v>
      </c>
      <c r="E6" s="20" t="s">
        <v>40</v>
      </c>
      <c r="F6" s="20" t="s">
        <v>41</v>
      </c>
      <c r="G6" s="9" t="s">
        <v>600</v>
      </c>
      <c r="H6" s="9" t="s">
        <v>601</v>
      </c>
      <c r="I6" s="9" t="s">
        <v>45</v>
      </c>
      <c r="J6" s="9" t="s">
        <v>46</v>
      </c>
      <c r="K6" s="9" t="s">
        <v>43</v>
      </c>
      <c r="L6" s="9" t="s">
        <v>602</v>
      </c>
      <c r="M6" s="9" t="s">
        <v>603</v>
      </c>
    </row>
    <row r="7" spans="1:13" ht="38" customHeight="1">
      <c r="A7" s="10" t="s">
        <v>403</v>
      </c>
      <c r="B7" s="10" t="s">
        <v>49</v>
      </c>
      <c r="C7" s="10" t="s">
        <v>50</v>
      </c>
      <c r="D7" s="25"/>
      <c r="E7" s="25"/>
      <c r="F7" s="25"/>
      <c r="G7" s="10" t="s">
        <v>604</v>
      </c>
      <c r="H7" s="10" t="s">
        <v>50</v>
      </c>
      <c r="I7" s="10" t="s">
        <v>411</v>
      </c>
      <c r="J7" s="10" t="s">
        <v>412</v>
      </c>
      <c r="K7" s="10" t="s">
        <v>290</v>
      </c>
      <c r="L7" s="14">
        <v>34516</v>
      </c>
      <c r="M7" s="14"/>
    </row>
    <row r="8" spans="1:13" ht="38" customHeight="1">
      <c r="A8" s="11" t="s">
        <v>415</v>
      </c>
      <c r="B8" s="11" t="s">
        <v>53</v>
      </c>
      <c r="C8" s="11" t="s">
        <v>54</v>
      </c>
      <c r="D8" s="27"/>
      <c r="E8" s="27"/>
      <c r="F8" s="27"/>
      <c r="G8" s="11" t="s">
        <v>605</v>
      </c>
      <c r="H8" s="11" t="s">
        <v>606</v>
      </c>
      <c r="I8" s="11" t="s">
        <v>418</v>
      </c>
      <c r="J8" s="11" t="s">
        <v>607</v>
      </c>
      <c r="K8" s="11" t="s">
        <v>290</v>
      </c>
      <c r="L8" s="15">
        <v>46023</v>
      </c>
      <c r="M8" s="15"/>
    </row>
    <row r="9" spans="1:13" ht="38" customHeight="1">
      <c r="A9" s="10" t="s">
        <v>454</v>
      </c>
      <c r="B9" s="10" t="s">
        <v>67</v>
      </c>
      <c r="C9" s="10" t="s">
        <v>68</v>
      </c>
      <c r="D9" s="25"/>
      <c r="E9" s="25"/>
      <c r="F9" s="25"/>
      <c r="G9" s="10" t="s">
        <v>608</v>
      </c>
      <c r="H9" s="10" t="s">
        <v>609</v>
      </c>
      <c r="I9" s="10" t="s">
        <v>459</v>
      </c>
      <c r="J9" s="10" t="s">
        <v>460</v>
      </c>
      <c r="K9" s="10" t="s">
        <v>69</v>
      </c>
      <c r="L9" s="14">
        <v>46023</v>
      </c>
      <c r="M9" s="14"/>
    </row>
    <row r="10" spans="1:13" ht="38" customHeight="1">
      <c r="A10" s="11" t="s">
        <v>462</v>
      </c>
      <c r="B10" s="11" t="s">
        <v>67</v>
      </c>
      <c r="C10" s="11" t="s">
        <v>72</v>
      </c>
      <c r="D10" s="27"/>
      <c r="E10" s="27"/>
      <c r="F10" s="27"/>
      <c r="G10" s="11" t="s">
        <v>610</v>
      </c>
      <c r="H10" s="11" t="s">
        <v>611</v>
      </c>
      <c r="I10" s="11" t="s">
        <v>459</v>
      </c>
      <c r="J10" s="11" t="s">
        <v>463</v>
      </c>
      <c r="K10" s="11" t="s">
        <v>69</v>
      </c>
      <c r="L10" s="15">
        <v>46023</v>
      </c>
      <c r="M10" s="15"/>
    </row>
    <row r="11" spans="1:13" ht="38" customHeight="1">
      <c r="A11" s="10" t="s">
        <v>465</v>
      </c>
      <c r="B11" s="10" t="s">
        <v>67</v>
      </c>
      <c r="C11" s="10" t="s">
        <v>74</v>
      </c>
      <c r="D11" s="25"/>
      <c r="E11" s="25"/>
      <c r="F11" s="25"/>
      <c r="G11" s="10" t="s">
        <v>605</v>
      </c>
      <c r="H11" s="10" t="s">
        <v>612</v>
      </c>
      <c r="I11" s="10" t="s">
        <v>470</v>
      </c>
      <c r="J11" s="10" t="s">
        <v>471</v>
      </c>
      <c r="K11" s="10" t="s">
        <v>69</v>
      </c>
      <c r="L11" s="14">
        <v>46023</v>
      </c>
      <c r="M11" s="14"/>
    </row>
    <row r="12" spans="1:13" ht="68" customHeight="1">
      <c r="A12" s="11" t="s">
        <v>473</v>
      </c>
      <c r="B12" s="11" t="s">
        <v>67</v>
      </c>
      <c r="C12" s="11" t="s">
        <v>76</v>
      </c>
      <c r="D12" s="27"/>
      <c r="E12" s="27"/>
      <c r="F12" s="27"/>
      <c r="G12" s="11" t="s">
        <v>613</v>
      </c>
      <c r="H12" s="11" t="s">
        <v>614</v>
      </c>
      <c r="I12" s="11" t="s">
        <v>459</v>
      </c>
      <c r="J12" s="11" t="s">
        <v>474</v>
      </c>
      <c r="K12" s="11" t="s">
        <v>69</v>
      </c>
      <c r="L12" s="15">
        <v>46023</v>
      </c>
      <c r="M12" s="15"/>
    </row>
    <row r="13" spans="1:13" ht="68" customHeight="1">
      <c r="A13" s="10" t="s">
        <v>477</v>
      </c>
      <c r="B13" s="10" t="s">
        <v>67</v>
      </c>
      <c r="C13" s="10" t="s">
        <v>99</v>
      </c>
      <c r="D13" s="25"/>
      <c r="E13" s="25"/>
      <c r="F13" s="25"/>
      <c r="G13" s="10" t="s">
        <v>615</v>
      </c>
      <c r="H13" s="10" t="s">
        <v>616</v>
      </c>
      <c r="I13" s="10" t="s">
        <v>459</v>
      </c>
      <c r="J13" s="10" t="s">
        <v>478</v>
      </c>
      <c r="K13" s="10" t="s">
        <v>69</v>
      </c>
      <c r="L13" s="14">
        <v>46023</v>
      </c>
      <c r="M13" s="14"/>
    </row>
    <row r="14" spans="1:13" ht="68" customHeight="1">
      <c r="A14" s="11" t="s">
        <v>481</v>
      </c>
      <c r="B14" s="11" t="s">
        <v>67</v>
      </c>
      <c r="C14" s="11" t="s">
        <v>108</v>
      </c>
      <c r="D14" s="27"/>
      <c r="E14" s="27"/>
      <c r="F14" s="27"/>
      <c r="G14" s="11" t="s">
        <v>613</v>
      </c>
      <c r="H14" s="11" t="s">
        <v>617</v>
      </c>
      <c r="I14" s="11" t="s">
        <v>459</v>
      </c>
      <c r="J14" s="11" t="s">
        <v>482</v>
      </c>
      <c r="K14" s="11" t="s">
        <v>69</v>
      </c>
      <c r="L14" s="15">
        <v>46023</v>
      </c>
      <c r="M14" s="15"/>
    </row>
    <row r="15" spans="1:13" ht="68" customHeight="1">
      <c r="A15" s="10" t="s">
        <v>485</v>
      </c>
      <c r="B15" s="10" t="s">
        <v>67</v>
      </c>
      <c r="C15" s="10" t="s">
        <v>618</v>
      </c>
      <c r="D15" s="25"/>
      <c r="E15" s="25"/>
      <c r="F15" s="25"/>
      <c r="G15" s="10" t="s">
        <v>613</v>
      </c>
      <c r="H15" s="10" t="s">
        <v>619</v>
      </c>
      <c r="I15" s="10" t="s">
        <v>459</v>
      </c>
      <c r="J15" s="10" t="s">
        <v>486</v>
      </c>
      <c r="K15" s="10" t="s">
        <v>69</v>
      </c>
      <c r="L15" s="14">
        <v>46023</v>
      </c>
      <c r="M15" s="14"/>
    </row>
    <row r="16" spans="1:13" ht="68" customHeight="1">
      <c r="A16" s="11" t="s">
        <v>487</v>
      </c>
      <c r="B16" s="11" t="s">
        <v>67</v>
      </c>
      <c r="C16" s="11" t="s">
        <v>620</v>
      </c>
      <c r="D16" s="27"/>
      <c r="E16" s="27"/>
      <c r="F16" s="27"/>
      <c r="G16" s="11" t="s">
        <v>613</v>
      </c>
      <c r="H16" s="11" t="s">
        <v>621</v>
      </c>
      <c r="I16" s="11" t="s">
        <v>459</v>
      </c>
      <c r="J16" s="11" t="s">
        <v>488</v>
      </c>
      <c r="K16" s="11" t="s">
        <v>69</v>
      </c>
      <c r="L16" s="15">
        <v>46023</v>
      </c>
      <c r="M16" s="15"/>
    </row>
    <row r="17" spans="1:13" ht="68" customHeight="1">
      <c r="A17" s="10" t="s">
        <v>489</v>
      </c>
      <c r="B17" s="10" t="s">
        <v>67</v>
      </c>
      <c r="C17" s="10" t="s">
        <v>135</v>
      </c>
      <c r="D17" s="25"/>
      <c r="E17" s="25"/>
      <c r="F17" s="25"/>
      <c r="G17" s="10" t="s">
        <v>615</v>
      </c>
      <c r="H17" s="10" t="s">
        <v>622</v>
      </c>
      <c r="I17" s="10" t="s">
        <v>459</v>
      </c>
      <c r="J17" s="10" t="s">
        <v>490</v>
      </c>
      <c r="K17" s="10" t="s">
        <v>69</v>
      </c>
      <c r="L17" s="14">
        <v>46023</v>
      </c>
      <c r="M17" s="14"/>
    </row>
    <row r="18" spans="1:13" ht="82" customHeight="1">
      <c r="A18" s="11" t="s">
        <v>493</v>
      </c>
      <c r="B18" s="11" t="s">
        <v>157</v>
      </c>
      <c r="C18" s="11" t="s">
        <v>158</v>
      </c>
      <c r="D18" s="27" t="s">
        <v>623</v>
      </c>
      <c r="E18" s="27" t="s">
        <v>624</v>
      </c>
      <c r="F18" s="27" t="s">
        <v>625</v>
      </c>
      <c r="G18" s="11" t="s">
        <v>605</v>
      </c>
      <c r="H18" s="11" t="s">
        <v>626</v>
      </c>
      <c r="I18" s="11" t="s">
        <v>496</v>
      </c>
      <c r="J18" s="11" t="s">
        <v>412</v>
      </c>
      <c r="K18" s="11" t="s">
        <v>69</v>
      </c>
      <c r="L18" s="15">
        <v>46023</v>
      </c>
      <c r="M18" s="15"/>
    </row>
    <row r="19" spans="1:13" ht="82" customHeight="1">
      <c r="A19" s="10" t="s">
        <v>531</v>
      </c>
      <c r="B19" s="10" t="s">
        <v>176</v>
      </c>
      <c r="C19" s="10" t="s">
        <v>177</v>
      </c>
      <c r="D19" s="25" t="s">
        <v>627</v>
      </c>
      <c r="E19" s="25" t="s">
        <v>628</v>
      </c>
      <c r="F19" s="25" t="s">
        <v>629</v>
      </c>
      <c r="G19" s="10" t="s">
        <v>605</v>
      </c>
      <c r="H19" s="10" t="s">
        <v>630</v>
      </c>
      <c r="I19" s="10" t="s">
        <v>533</v>
      </c>
      <c r="J19" s="10" t="s">
        <v>631</v>
      </c>
      <c r="K19" s="10" t="s">
        <v>69</v>
      </c>
      <c r="L19" s="14">
        <v>46023</v>
      </c>
      <c r="M19" s="14"/>
    </row>
    <row r="20" spans="1:13" ht="88" customHeight="1">
      <c r="A20" s="11" t="s">
        <v>548</v>
      </c>
      <c r="B20" s="11" t="s">
        <v>190</v>
      </c>
      <c r="C20" s="11" t="s">
        <v>191</v>
      </c>
      <c r="D20" s="27" t="s">
        <v>632</v>
      </c>
      <c r="E20" s="27"/>
      <c r="F20" s="27"/>
      <c r="G20" s="11" t="s">
        <v>605</v>
      </c>
      <c r="H20" s="11" t="s">
        <v>633</v>
      </c>
      <c r="I20" s="11" t="s">
        <v>549</v>
      </c>
      <c r="J20" s="11" t="s">
        <v>412</v>
      </c>
      <c r="K20" s="11" t="s">
        <v>69</v>
      </c>
      <c r="L20" s="15">
        <v>46023</v>
      </c>
      <c r="M20" s="15"/>
    </row>
    <row r="21" spans="1:13" ht="88" customHeight="1">
      <c r="A21" s="10" t="s">
        <v>550</v>
      </c>
      <c r="B21" s="10" t="s">
        <v>190</v>
      </c>
      <c r="C21" s="10" t="s">
        <v>202</v>
      </c>
      <c r="D21" s="25" t="s">
        <v>634</v>
      </c>
      <c r="E21" s="25"/>
      <c r="F21" s="25"/>
      <c r="G21" s="10" t="s">
        <v>605</v>
      </c>
      <c r="H21" s="10" t="s">
        <v>635</v>
      </c>
      <c r="I21" s="10" t="s">
        <v>553</v>
      </c>
      <c r="J21" s="10" t="s">
        <v>636</v>
      </c>
      <c r="K21" s="10" t="s">
        <v>69</v>
      </c>
      <c r="L21" s="14">
        <v>46023</v>
      </c>
      <c r="M21" s="14"/>
    </row>
    <row r="22" spans="1:13" ht="88" customHeight="1">
      <c r="A22" s="11" t="s">
        <v>581</v>
      </c>
      <c r="B22" s="11" t="s">
        <v>269</v>
      </c>
      <c r="C22" s="11" t="s">
        <v>270</v>
      </c>
      <c r="D22" s="27" t="s">
        <v>637</v>
      </c>
      <c r="E22" s="27"/>
      <c r="F22" s="27"/>
      <c r="G22" s="11" t="s">
        <v>605</v>
      </c>
      <c r="H22" s="11" t="s">
        <v>638</v>
      </c>
      <c r="I22" s="11" t="s">
        <v>582</v>
      </c>
      <c r="J22" s="11" t="s">
        <v>639</v>
      </c>
      <c r="K22" s="11" t="s">
        <v>69</v>
      </c>
      <c r="L22" s="15">
        <v>46023</v>
      </c>
      <c r="M22" s="15"/>
    </row>
    <row r="23" spans="1:13" ht="88" customHeight="1">
      <c r="A23" s="10" t="s">
        <v>557</v>
      </c>
      <c r="B23" s="10" t="s">
        <v>207</v>
      </c>
      <c r="C23" s="10" t="s">
        <v>208</v>
      </c>
      <c r="D23" s="25" t="s">
        <v>640</v>
      </c>
      <c r="E23" s="25" t="s">
        <v>641</v>
      </c>
      <c r="F23" s="25" t="s">
        <v>642</v>
      </c>
      <c r="G23" s="10" t="s">
        <v>613</v>
      </c>
      <c r="H23" s="10" t="s">
        <v>643</v>
      </c>
      <c r="I23" s="10" t="s">
        <v>558</v>
      </c>
      <c r="J23" s="10" t="s">
        <v>644</v>
      </c>
      <c r="K23" s="10" t="s">
        <v>69</v>
      </c>
      <c r="L23" s="14">
        <v>46023</v>
      </c>
      <c r="M23" s="14"/>
    </row>
    <row r="24" spans="1:13" ht="88" customHeight="1">
      <c r="A24" s="11" t="s">
        <v>562</v>
      </c>
      <c r="B24" s="11" t="s">
        <v>207</v>
      </c>
      <c r="C24" s="11" t="s">
        <v>218</v>
      </c>
      <c r="D24" s="27" t="s">
        <v>645</v>
      </c>
      <c r="E24" s="27" t="s">
        <v>646</v>
      </c>
      <c r="F24" s="27" t="s">
        <v>647</v>
      </c>
      <c r="G24" s="11" t="s">
        <v>613</v>
      </c>
      <c r="H24" s="11" t="s">
        <v>648</v>
      </c>
      <c r="I24" s="11" t="s">
        <v>558</v>
      </c>
      <c r="J24" s="11" t="s">
        <v>649</v>
      </c>
      <c r="K24" s="11" t="s">
        <v>69</v>
      </c>
      <c r="L24" s="15">
        <v>46023</v>
      </c>
      <c r="M24" s="15"/>
    </row>
    <row r="25" spans="1:13" ht="88" customHeight="1">
      <c r="A25" s="10" t="s">
        <v>568</v>
      </c>
      <c r="B25" s="10" t="s">
        <v>207</v>
      </c>
      <c r="C25" s="10" t="s">
        <v>228</v>
      </c>
      <c r="D25" s="25" t="s">
        <v>650</v>
      </c>
      <c r="E25" s="25" t="s">
        <v>651</v>
      </c>
      <c r="F25" s="25" t="s">
        <v>652</v>
      </c>
      <c r="G25" s="10" t="s">
        <v>605</v>
      </c>
      <c r="H25" s="10" t="s">
        <v>653</v>
      </c>
      <c r="I25" s="10" t="s">
        <v>569</v>
      </c>
      <c r="J25" s="10" t="s">
        <v>654</v>
      </c>
      <c r="K25" s="10" t="s">
        <v>69</v>
      </c>
      <c r="L25" s="14">
        <v>46023</v>
      </c>
      <c r="M25" s="14"/>
    </row>
    <row r="26" spans="1:13" ht="88" customHeight="1">
      <c r="A26" s="11" t="s">
        <v>571</v>
      </c>
      <c r="B26" s="11" t="s">
        <v>244</v>
      </c>
      <c r="C26" s="11" t="s">
        <v>245</v>
      </c>
      <c r="D26" s="27" t="s">
        <v>655</v>
      </c>
      <c r="E26" s="27" t="s">
        <v>656</v>
      </c>
      <c r="F26" s="27" t="s">
        <v>657</v>
      </c>
      <c r="G26" s="11" t="s">
        <v>613</v>
      </c>
      <c r="H26" s="11" t="s">
        <v>658</v>
      </c>
      <c r="I26" s="11" t="s">
        <v>572</v>
      </c>
      <c r="J26" s="11" t="s">
        <v>659</v>
      </c>
      <c r="K26" s="11" t="s">
        <v>69</v>
      </c>
      <c r="L26" s="15">
        <v>46023</v>
      </c>
      <c r="M26" s="15"/>
    </row>
    <row r="27" spans="1:13" ht="88" customHeight="1">
      <c r="A27" s="10" t="s">
        <v>580</v>
      </c>
      <c r="B27" s="10" t="s">
        <v>244</v>
      </c>
      <c r="C27" s="10" t="s">
        <v>259</v>
      </c>
      <c r="D27" s="25" t="s">
        <v>660</v>
      </c>
      <c r="E27" s="25" t="s">
        <v>661</v>
      </c>
      <c r="F27" s="25" t="s">
        <v>662</v>
      </c>
      <c r="G27" s="10" t="s">
        <v>615</v>
      </c>
      <c r="H27" s="10" t="s">
        <v>663</v>
      </c>
      <c r="I27" s="10" t="s">
        <v>572</v>
      </c>
      <c r="J27" s="10" t="s">
        <v>659</v>
      </c>
      <c r="K27" s="10" t="s">
        <v>69</v>
      </c>
      <c r="L27" s="14">
        <v>46023</v>
      </c>
      <c r="M27" s="14"/>
    </row>
    <row r="28" spans="1:13" ht="24" customHeight="1">
      <c r="A28" s="2"/>
      <c r="B28" s="2"/>
      <c r="C28" s="2"/>
      <c r="G28" s="2"/>
      <c r="H28" s="2"/>
      <c r="I28" s="2"/>
      <c r="J28" s="2"/>
      <c r="K28" s="2"/>
      <c r="L28" s="2"/>
      <c r="M28" s="2"/>
    </row>
    <row r="29" spans="1:13" ht="24" customHeight="1">
      <c r="A29" s="2"/>
      <c r="B29" s="2"/>
      <c r="C29" s="2"/>
      <c r="G29" s="2"/>
      <c r="H29" s="2"/>
      <c r="I29" s="2"/>
      <c r="J29" s="2"/>
      <c r="K29" s="2"/>
      <c r="L29" s="2"/>
      <c r="M29" s="2"/>
    </row>
    <row r="30" spans="1:13" ht="24" customHeight="1">
      <c r="A30" s="2"/>
      <c r="B30" s="2"/>
      <c r="C30" s="2"/>
      <c r="G30" s="2"/>
      <c r="H30" s="2"/>
      <c r="I30" s="2"/>
      <c r="J30" s="2"/>
      <c r="K30" s="2"/>
      <c r="L30" s="2"/>
      <c r="M30" s="2"/>
    </row>
    <row r="31" spans="1:13" ht="24" customHeight="1">
      <c r="A31" s="2"/>
      <c r="B31" s="2"/>
      <c r="C31" s="2"/>
      <c r="G31" s="2"/>
      <c r="H31" s="2"/>
      <c r="I31" s="2"/>
      <c r="J31" s="2"/>
      <c r="K31" s="2"/>
      <c r="L31" s="2"/>
      <c r="M31" s="2"/>
    </row>
    <row r="32" spans="1:13" ht="24" customHeight="1">
      <c r="A32" s="2"/>
      <c r="B32" s="2"/>
      <c r="C32" s="2"/>
      <c r="G32" s="2"/>
      <c r="H32" s="2"/>
      <c r="I32" s="2"/>
      <c r="J32" s="2"/>
      <c r="K32" s="2"/>
      <c r="L32" s="2"/>
      <c r="M32" s="2"/>
    </row>
  </sheetData>
  <sheetProtection sheet="1" objects="1" scenarios="1" sort="0" autoFilter="0"/>
  <conditionalFormatting sqref="D7:D27">
    <cfRule type="containsBlanks" dxfId="15" priority="3"/>
  </conditionalFormatting>
  <conditionalFormatting sqref="E7:E27">
    <cfRule type="containsBlanks" dxfId="14" priority="4"/>
  </conditionalFormatting>
  <conditionalFormatting sqref="F7:F27">
    <cfRule type="containsBlanks" dxfId="13" priority="5"/>
  </conditionalFormatting>
  <conditionalFormatting sqref="K7:K27">
    <cfRule type="containsText" dxfId="12" priority="1" operator="containsText" text="open"/>
    <cfRule type="containsText" dxfId="11" priority="2" operator="containsText" text="blocked"/>
  </conditionalFormatting>
  <dataValidations count="1">
    <dataValidation type="list" sqref="K7:K27" xr:uid="{00000000-0002-0000-0400-000000000000}">
      <formula1>"approved,open,blocked"</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77"/>
  <sheetViews>
    <sheetView showGridLines="0" workbookViewId="0">
      <pane xSplit="1" ySplit="6" topLeftCell="B7" activePane="bottomRight" state="frozen"/>
      <selection pane="topRight"/>
      <selection pane="bottomLeft"/>
      <selection pane="bottomRight" activeCell="B7" sqref="B7"/>
    </sheetView>
  </sheetViews>
  <sheetFormatPr baseColWidth="10" defaultColWidth="8.83203125" defaultRowHeight="14"/>
  <cols>
    <col min="1" max="2" width="31" customWidth="1"/>
    <col min="3" max="4" width="33" customWidth="1"/>
    <col min="5" max="7" width="32" customWidth="1"/>
    <col min="8" max="8" width="18" customWidth="1"/>
    <col min="9" max="9" width="33" customWidth="1"/>
    <col min="10" max="10" width="15" customWidth="1"/>
    <col min="11" max="11" width="22" customWidth="1"/>
    <col min="12" max="12" width="23" customWidth="1"/>
    <col min="13" max="14" width="16" customWidth="1"/>
    <col min="15" max="15" width="42" customWidth="1"/>
    <col min="16" max="16" width="32" customWidth="1"/>
    <col min="17" max="17" width="16" customWidth="1"/>
    <col min="18" max="18" width="59" customWidth="1"/>
  </cols>
  <sheetData>
    <row r="1" spans="1:18" ht="24" customHeight="1">
      <c r="A1" s="32"/>
      <c r="B1" s="32"/>
      <c r="C1" s="32"/>
      <c r="D1" s="32"/>
      <c r="E1" s="32"/>
      <c r="F1" s="32"/>
      <c r="G1" s="32"/>
      <c r="H1" s="32"/>
      <c r="I1" s="32"/>
      <c r="J1" s="32"/>
      <c r="K1" s="32"/>
      <c r="L1" s="32"/>
      <c r="M1" s="32"/>
      <c r="N1" s="32"/>
      <c r="O1" s="32"/>
      <c r="P1" s="32"/>
      <c r="Q1" s="32"/>
      <c r="R1" s="32"/>
    </row>
    <row r="2" spans="1:18" ht="24" customHeight="1">
      <c r="A2" s="33" t="s">
        <v>664</v>
      </c>
      <c r="B2" s="32"/>
      <c r="C2" s="32"/>
      <c r="D2" s="32"/>
      <c r="E2" s="32"/>
      <c r="F2" s="32"/>
      <c r="G2" s="32"/>
      <c r="H2" s="32"/>
      <c r="I2" s="32"/>
      <c r="J2" s="32"/>
      <c r="K2" s="32"/>
      <c r="L2" s="32"/>
      <c r="M2" s="32"/>
      <c r="N2" s="32"/>
      <c r="O2" s="32"/>
      <c r="P2" s="32"/>
      <c r="Q2" s="32"/>
      <c r="R2" s="32"/>
    </row>
    <row r="3" spans="1:18" ht="24" customHeight="1">
      <c r="A3" s="34"/>
      <c r="B3" s="34"/>
      <c r="C3" s="34"/>
      <c r="D3" s="34"/>
      <c r="E3" s="34"/>
      <c r="F3" s="34"/>
      <c r="G3" s="34"/>
      <c r="H3" s="34"/>
      <c r="I3" s="34"/>
      <c r="J3" s="34"/>
      <c r="K3" s="34"/>
      <c r="L3" s="34"/>
      <c r="M3" s="34"/>
      <c r="N3" s="34"/>
      <c r="O3" s="34"/>
      <c r="P3" s="34"/>
      <c r="Q3" s="34"/>
      <c r="R3" s="34"/>
    </row>
    <row r="4" spans="1:18" ht="24" customHeight="1">
      <c r="A4" s="35" t="s">
        <v>665</v>
      </c>
      <c r="B4" s="32"/>
      <c r="C4" s="32"/>
      <c r="D4" s="32"/>
      <c r="E4" s="32"/>
      <c r="F4" s="32"/>
      <c r="G4" s="32"/>
      <c r="H4" s="32"/>
      <c r="I4" s="32"/>
      <c r="J4" s="32"/>
      <c r="K4" s="32"/>
      <c r="L4" s="32"/>
      <c r="M4" s="32"/>
      <c r="N4" s="32"/>
      <c r="O4" s="32"/>
      <c r="P4" s="32"/>
      <c r="Q4" s="32"/>
      <c r="R4" s="32"/>
    </row>
    <row r="5" spans="1:18" ht="24" customHeight="1">
      <c r="A5" s="32"/>
      <c r="B5" s="32"/>
      <c r="C5" s="32"/>
      <c r="D5" s="32"/>
      <c r="E5" s="32"/>
      <c r="F5" s="32"/>
      <c r="G5" s="32"/>
      <c r="H5" s="32"/>
      <c r="I5" s="32"/>
      <c r="J5" s="32"/>
      <c r="K5" s="32"/>
      <c r="L5" s="32"/>
      <c r="M5" s="32"/>
      <c r="N5" s="32"/>
      <c r="O5" s="32"/>
      <c r="P5" s="32"/>
      <c r="Q5" s="32"/>
      <c r="R5" s="32"/>
    </row>
    <row r="6" spans="1:18" ht="42" customHeight="1">
      <c r="A6" s="36" t="s">
        <v>666</v>
      </c>
      <c r="B6" s="36" t="s">
        <v>385</v>
      </c>
      <c r="C6" s="36" t="s">
        <v>667</v>
      </c>
      <c r="D6" s="36" t="s">
        <v>283</v>
      </c>
      <c r="E6" s="36" t="s">
        <v>39</v>
      </c>
      <c r="F6" s="36" t="s">
        <v>40</v>
      </c>
      <c r="G6" s="36" t="s">
        <v>41</v>
      </c>
      <c r="H6" s="36" t="s">
        <v>600</v>
      </c>
      <c r="I6" s="36" t="s">
        <v>668</v>
      </c>
      <c r="J6" s="36" t="s">
        <v>669</v>
      </c>
      <c r="K6" s="36" t="s">
        <v>670</v>
      </c>
      <c r="L6" s="36" t="s">
        <v>671</v>
      </c>
      <c r="M6" s="36" t="s">
        <v>392</v>
      </c>
      <c r="N6" s="36" t="s">
        <v>393</v>
      </c>
      <c r="O6" s="36" t="s">
        <v>45</v>
      </c>
      <c r="P6" s="36" t="s">
        <v>46</v>
      </c>
      <c r="Q6" s="36" t="s">
        <v>43</v>
      </c>
      <c r="R6" s="36" t="s">
        <v>672</v>
      </c>
    </row>
    <row r="7" spans="1:18" ht="58" customHeight="1">
      <c r="A7" s="37" t="s">
        <v>673</v>
      </c>
      <c r="B7" s="37" t="s">
        <v>403</v>
      </c>
      <c r="C7" s="37" t="s">
        <v>674</v>
      </c>
      <c r="D7" s="37" t="s">
        <v>287</v>
      </c>
      <c r="E7" s="37" t="s">
        <v>288</v>
      </c>
      <c r="F7" s="37"/>
      <c r="G7" s="37"/>
      <c r="H7" s="37" t="s">
        <v>287</v>
      </c>
      <c r="I7" s="37"/>
      <c r="J7" s="37" t="s">
        <v>675</v>
      </c>
      <c r="K7" s="37"/>
      <c r="L7" s="37"/>
      <c r="M7" s="38">
        <v>34516</v>
      </c>
      <c r="N7" s="38"/>
      <c r="O7" s="37" t="s">
        <v>411</v>
      </c>
      <c r="P7" s="37" t="s">
        <v>412</v>
      </c>
      <c r="Q7" s="37" t="s">
        <v>69</v>
      </c>
      <c r="R7" s="37" t="s">
        <v>676</v>
      </c>
    </row>
    <row r="8" spans="1:18" ht="58" customHeight="1">
      <c r="A8" s="39" t="s">
        <v>677</v>
      </c>
      <c r="B8" s="39" t="s">
        <v>415</v>
      </c>
      <c r="C8" s="39" t="s">
        <v>678</v>
      </c>
      <c r="D8" s="39" t="s">
        <v>297</v>
      </c>
      <c r="E8" s="39" t="s">
        <v>298</v>
      </c>
      <c r="F8" s="39"/>
      <c r="G8" s="39"/>
      <c r="H8" s="39" t="s">
        <v>605</v>
      </c>
      <c r="I8" s="39" t="s">
        <v>674</v>
      </c>
      <c r="J8" s="39" t="s">
        <v>675</v>
      </c>
      <c r="K8" s="39"/>
      <c r="L8" s="39"/>
      <c r="M8" s="40">
        <v>46023</v>
      </c>
      <c r="N8" s="40"/>
      <c r="O8" s="39" t="s">
        <v>418</v>
      </c>
      <c r="P8" s="39" t="s">
        <v>607</v>
      </c>
      <c r="Q8" s="39" t="s">
        <v>69</v>
      </c>
      <c r="R8" s="39" t="s">
        <v>676</v>
      </c>
    </row>
    <row r="9" spans="1:18" ht="58" customHeight="1">
      <c r="A9" s="37" t="s">
        <v>679</v>
      </c>
      <c r="B9" s="37" t="s">
        <v>454</v>
      </c>
      <c r="C9" s="37" t="s">
        <v>680</v>
      </c>
      <c r="D9" s="37" t="s">
        <v>681</v>
      </c>
      <c r="E9" s="37"/>
      <c r="F9" s="37"/>
      <c r="G9" s="37"/>
      <c r="H9" s="37" t="s">
        <v>615</v>
      </c>
      <c r="I9" s="37" t="s">
        <v>682</v>
      </c>
      <c r="J9" s="37" t="s">
        <v>675</v>
      </c>
      <c r="K9" s="37"/>
      <c r="L9" s="37"/>
      <c r="M9" s="38">
        <v>46023</v>
      </c>
      <c r="N9" s="38"/>
      <c r="O9" s="37" t="s">
        <v>459</v>
      </c>
      <c r="P9" s="37" t="s">
        <v>460</v>
      </c>
      <c r="Q9" s="37" t="s">
        <v>69</v>
      </c>
      <c r="R9" s="37" t="s">
        <v>676</v>
      </c>
    </row>
    <row r="10" spans="1:18" ht="58" customHeight="1">
      <c r="A10" s="39" t="s">
        <v>683</v>
      </c>
      <c r="B10" s="39" t="s">
        <v>454</v>
      </c>
      <c r="C10" s="39" t="s">
        <v>684</v>
      </c>
      <c r="D10" s="39" t="s">
        <v>72</v>
      </c>
      <c r="E10" s="39"/>
      <c r="F10" s="39"/>
      <c r="G10" s="39"/>
      <c r="H10" s="39" t="s">
        <v>610</v>
      </c>
      <c r="I10" s="39" t="s">
        <v>680</v>
      </c>
      <c r="J10" s="39" t="s">
        <v>685</v>
      </c>
      <c r="K10" s="39"/>
      <c r="L10" s="39"/>
      <c r="M10" s="40">
        <v>46023</v>
      </c>
      <c r="N10" s="40"/>
      <c r="O10" s="39" t="s">
        <v>459</v>
      </c>
      <c r="P10" s="39" t="s">
        <v>460</v>
      </c>
      <c r="Q10" s="39" t="s">
        <v>69</v>
      </c>
      <c r="R10" s="39" t="s">
        <v>676</v>
      </c>
    </row>
    <row r="11" spans="1:18" ht="58" customHeight="1">
      <c r="A11" s="37" t="s">
        <v>686</v>
      </c>
      <c r="B11" s="37" t="s">
        <v>462</v>
      </c>
      <c r="C11" s="37" t="s">
        <v>684</v>
      </c>
      <c r="D11" s="37" t="s">
        <v>72</v>
      </c>
      <c r="E11" s="37"/>
      <c r="F11" s="37"/>
      <c r="G11" s="37"/>
      <c r="H11" s="37" t="s">
        <v>610</v>
      </c>
      <c r="I11" s="37" t="s">
        <v>680</v>
      </c>
      <c r="J11" s="37" t="s">
        <v>675</v>
      </c>
      <c r="K11" s="37"/>
      <c r="L11" s="37"/>
      <c r="M11" s="38">
        <v>46023</v>
      </c>
      <c r="N11" s="38"/>
      <c r="O11" s="37" t="s">
        <v>459</v>
      </c>
      <c r="P11" s="37" t="s">
        <v>463</v>
      </c>
      <c r="Q11" s="37" t="s">
        <v>69</v>
      </c>
      <c r="R11" s="37" t="s">
        <v>676</v>
      </c>
    </row>
    <row r="12" spans="1:18" ht="58" customHeight="1">
      <c r="A12" s="39" t="s">
        <v>687</v>
      </c>
      <c r="B12" s="39" t="s">
        <v>465</v>
      </c>
      <c r="C12" s="39" t="s">
        <v>682</v>
      </c>
      <c r="D12" s="39" t="s">
        <v>355</v>
      </c>
      <c r="E12" s="39" t="s">
        <v>356</v>
      </c>
      <c r="F12" s="39"/>
      <c r="G12" s="39"/>
      <c r="H12" s="39" t="s">
        <v>605</v>
      </c>
      <c r="I12" s="39" t="s">
        <v>674</v>
      </c>
      <c r="J12" s="39" t="s">
        <v>675</v>
      </c>
      <c r="K12" s="39"/>
      <c r="L12" s="39"/>
      <c r="M12" s="40">
        <v>46023</v>
      </c>
      <c r="N12" s="40"/>
      <c r="O12" s="39" t="s">
        <v>470</v>
      </c>
      <c r="P12" s="39" t="s">
        <v>471</v>
      </c>
      <c r="Q12" s="39" t="s">
        <v>69</v>
      </c>
      <c r="R12" s="39" t="s">
        <v>676</v>
      </c>
    </row>
    <row r="13" spans="1:18" ht="58" customHeight="1">
      <c r="A13" s="37" t="s">
        <v>688</v>
      </c>
      <c r="B13" s="37" t="s">
        <v>473</v>
      </c>
      <c r="C13" s="37" t="s">
        <v>689</v>
      </c>
      <c r="D13" s="37" t="s">
        <v>690</v>
      </c>
      <c r="E13" s="37"/>
      <c r="F13" s="37"/>
      <c r="G13" s="37"/>
      <c r="H13" s="37" t="s">
        <v>615</v>
      </c>
      <c r="I13" s="37" t="s">
        <v>682</v>
      </c>
      <c r="J13" s="37" t="s">
        <v>675</v>
      </c>
      <c r="K13" s="37"/>
      <c r="L13" s="37"/>
      <c r="M13" s="38">
        <v>46023</v>
      </c>
      <c r="N13" s="38"/>
      <c r="O13" s="37" t="s">
        <v>459</v>
      </c>
      <c r="P13" s="37" t="s">
        <v>474</v>
      </c>
      <c r="Q13" s="37" t="s">
        <v>69</v>
      </c>
      <c r="R13" s="37" t="s">
        <v>691</v>
      </c>
    </row>
    <row r="14" spans="1:18" ht="58" customHeight="1">
      <c r="A14" s="39" t="s">
        <v>692</v>
      </c>
      <c r="B14" s="39" t="s">
        <v>473</v>
      </c>
      <c r="C14" s="39" t="s">
        <v>693</v>
      </c>
      <c r="D14" s="39" t="s">
        <v>694</v>
      </c>
      <c r="E14" s="39"/>
      <c r="F14" s="39"/>
      <c r="G14" s="39"/>
      <c r="H14" s="39" t="s">
        <v>615</v>
      </c>
      <c r="I14" s="39" t="s">
        <v>682</v>
      </c>
      <c r="J14" s="39" t="s">
        <v>675</v>
      </c>
      <c r="K14" s="39"/>
      <c r="L14" s="39"/>
      <c r="M14" s="40">
        <v>46023</v>
      </c>
      <c r="N14" s="40"/>
      <c r="O14" s="39" t="s">
        <v>459</v>
      </c>
      <c r="P14" s="39" t="s">
        <v>474</v>
      </c>
      <c r="Q14" s="39" t="s">
        <v>69</v>
      </c>
      <c r="R14" s="39" t="s">
        <v>691</v>
      </c>
    </row>
    <row r="15" spans="1:18" ht="58" customHeight="1">
      <c r="A15" s="37" t="s">
        <v>695</v>
      </c>
      <c r="B15" s="37" t="s">
        <v>473</v>
      </c>
      <c r="C15" s="37" t="s">
        <v>696</v>
      </c>
      <c r="D15" s="37" t="s">
        <v>697</v>
      </c>
      <c r="E15" s="37"/>
      <c r="F15" s="37"/>
      <c r="G15" s="37"/>
      <c r="H15" s="37" t="s">
        <v>615</v>
      </c>
      <c r="I15" s="37" t="s">
        <v>682</v>
      </c>
      <c r="J15" s="37" t="s">
        <v>675</v>
      </c>
      <c r="K15" s="37"/>
      <c r="L15" s="37"/>
      <c r="M15" s="38">
        <v>46023</v>
      </c>
      <c r="N15" s="38"/>
      <c r="O15" s="37" t="s">
        <v>459</v>
      </c>
      <c r="P15" s="37" t="s">
        <v>474</v>
      </c>
      <c r="Q15" s="37" t="s">
        <v>69</v>
      </c>
      <c r="R15" s="37" t="s">
        <v>691</v>
      </c>
    </row>
    <row r="16" spans="1:18" ht="58" customHeight="1">
      <c r="A16" s="39" t="s">
        <v>698</v>
      </c>
      <c r="B16" s="39" t="s">
        <v>473</v>
      </c>
      <c r="C16" s="39" t="s">
        <v>699</v>
      </c>
      <c r="D16" s="39" t="s">
        <v>700</v>
      </c>
      <c r="E16" s="39"/>
      <c r="F16" s="39"/>
      <c r="G16" s="39"/>
      <c r="H16" s="39" t="s">
        <v>615</v>
      </c>
      <c r="I16" s="39" t="s">
        <v>682</v>
      </c>
      <c r="J16" s="39" t="s">
        <v>675</v>
      </c>
      <c r="K16" s="39"/>
      <c r="L16" s="39"/>
      <c r="M16" s="40">
        <v>46023</v>
      </c>
      <c r="N16" s="40"/>
      <c r="O16" s="39" t="s">
        <v>459</v>
      </c>
      <c r="P16" s="39" t="s">
        <v>474</v>
      </c>
      <c r="Q16" s="39" t="s">
        <v>69</v>
      </c>
      <c r="R16" s="39" t="s">
        <v>691</v>
      </c>
    </row>
    <row r="17" spans="1:18" ht="58" customHeight="1">
      <c r="A17" s="37" t="s">
        <v>701</v>
      </c>
      <c r="B17" s="37" t="s">
        <v>473</v>
      </c>
      <c r="C17" s="37" t="s">
        <v>702</v>
      </c>
      <c r="D17" s="37" t="s">
        <v>703</v>
      </c>
      <c r="E17" s="37"/>
      <c r="F17" s="37"/>
      <c r="G17" s="37"/>
      <c r="H17" s="37" t="s">
        <v>615</v>
      </c>
      <c r="I17" s="37" t="s">
        <v>682</v>
      </c>
      <c r="J17" s="37" t="s">
        <v>675</v>
      </c>
      <c r="K17" s="37"/>
      <c r="L17" s="37"/>
      <c r="M17" s="38">
        <v>46023</v>
      </c>
      <c r="N17" s="38"/>
      <c r="O17" s="37" t="s">
        <v>459</v>
      </c>
      <c r="P17" s="37" t="s">
        <v>474</v>
      </c>
      <c r="Q17" s="37" t="s">
        <v>69</v>
      </c>
      <c r="R17" s="37" t="s">
        <v>691</v>
      </c>
    </row>
    <row r="18" spans="1:18" ht="58" customHeight="1">
      <c r="A18" s="39" t="s">
        <v>704</v>
      </c>
      <c r="B18" s="39" t="s">
        <v>477</v>
      </c>
      <c r="C18" s="39" t="s">
        <v>705</v>
      </c>
      <c r="D18" s="39" t="s">
        <v>99</v>
      </c>
      <c r="E18" s="39"/>
      <c r="F18" s="39"/>
      <c r="G18" s="39"/>
      <c r="H18" s="39" t="s">
        <v>615</v>
      </c>
      <c r="I18" s="39" t="s">
        <v>682</v>
      </c>
      <c r="J18" s="39" t="s">
        <v>675</v>
      </c>
      <c r="K18" s="39"/>
      <c r="L18" s="39"/>
      <c r="M18" s="40">
        <v>46023</v>
      </c>
      <c r="N18" s="40"/>
      <c r="O18" s="39" t="s">
        <v>459</v>
      </c>
      <c r="P18" s="39" t="s">
        <v>478</v>
      </c>
      <c r="Q18" s="39" t="s">
        <v>69</v>
      </c>
      <c r="R18" s="39" t="s">
        <v>691</v>
      </c>
    </row>
    <row r="19" spans="1:18" ht="58" customHeight="1">
      <c r="A19" s="37" t="s">
        <v>706</v>
      </c>
      <c r="B19" s="37" t="s">
        <v>481</v>
      </c>
      <c r="C19" s="37" t="s">
        <v>707</v>
      </c>
      <c r="D19" s="37" t="s">
        <v>708</v>
      </c>
      <c r="E19" s="37"/>
      <c r="F19" s="37"/>
      <c r="G19" s="37"/>
      <c r="H19" s="37" t="s">
        <v>615</v>
      </c>
      <c r="I19" s="37" t="s">
        <v>682</v>
      </c>
      <c r="J19" s="37" t="s">
        <v>675</v>
      </c>
      <c r="K19" s="37"/>
      <c r="L19" s="37"/>
      <c r="M19" s="38">
        <v>46023</v>
      </c>
      <c r="N19" s="38"/>
      <c r="O19" s="37" t="s">
        <v>459</v>
      </c>
      <c r="P19" s="37" t="s">
        <v>482</v>
      </c>
      <c r="Q19" s="37" t="s">
        <v>69</v>
      </c>
      <c r="R19" s="37" t="s">
        <v>691</v>
      </c>
    </row>
    <row r="20" spans="1:18" ht="58" customHeight="1">
      <c r="A20" s="39" t="s">
        <v>709</v>
      </c>
      <c r="B20" s="39" t="s">
        <v>481</v>
      </c>
      <c r="C20" s="39" t="s">
        <v>710</v>
      </c>
      <c r="D20" s="39" t="s">
        <v>711</v>
      </c>
      <c r="E20" s="39"/>
      <c r="F20" s="39"/>
      <c r="G20" s="39"/>
      <c r="H20" s="39" t="s">
        <v>615</v>
      </c>
      <c r="I20" s="39" t="s">
        <v>682</v>
      </c>
      <c r="J20" s="39" t="s">
        <v>675</v>
      </c>
      <c r="K20" s="39"/>
      <c r="L20" s="39"/>
      <c r="M20" s="40">
        <v>46023</v>
      </c>
      <c r="N20" s="40"/>
      <c r="O20" s="39" t="s">
        <v>459</v>
      </c>
      <c r="P20" s="39" t="s">
        <v>482</v>
      </c>
      <c r="Q20" s="39" t="s">
        <v>69</v>
      </c>
      <c r="R20" s="39" t="s">
        <v>691</v>
      </c>
    </row>
    <row r="21" spans="1:18" ht="58" customHeight="1">
      <c r="A21" s="37" t="s">
        <v>712</v>
      </c>
      <c r="B21" s="37" t="s">
        <v>485</v>
      </c>
      <c r="C21" s="37" t="s">
        <v>713</v>
      </c>
      <c r="D21" s="37" t="s">
        <v>714</v>
      </c>
      <c r="E21" s="37"/>
      <c r="F21" s="37"/>
      <c r="G21" s="37"/>
      <c r="H21" s="37" t="s">
        <v>610</v>
      </c>
      <c r="I21" s="37" t="s">
        <v>682</v>
      </c>
      <c r="J21" s="37" t="s">
        <v>675</v>
      </c>
      <c r="K21" s="37"/>
      <c r="L21" s="37"/>
      <c r="M21" s="38">
        <v>46023</v>
      </c>
      <c r="N21" s="38"/>
      <c r="O21" s="37" t="s">
        <v>459</v>
      </c>
      <c r="P21" s="37" t="s">
        <v>486</v>
      </c>
      <c r="Q21" s="37" t="s">
        <v>69</v>
      </c>
      <c r="R21" s="37" t="s">
        <v>691</v>
      </c>
    </row>
    <row r="22" spans="1:18" ht="58" customHeight="1">
      <c r="A22" s="39" t="s">
        <v>715</v>
      </c>
      <c r="B22" s="39" t="s">
        <v>485</v>
      </c>
      <c r="C22" s="39" t="s">
        <v>716</v>
      </c>
      <c r="D22" s="39" t="s">
        <v>717</v>
      </c>
      <c r="E22" s="39"/>
      <c r="F22" s="39"/>
      <c r="G22" s="39"/>
      <c r="H22" s="39" t="s">
        <v>610</v>
      </c>
      <c r="I22" s="39" t="s">
        <v>682</v>
      </c>
      <c r="J22" s="39" t="s">
        <v>675</v>
      </c>
      <c r="K22" s="39"/>
      <c r="L22" s="39"/>
      <c r="M22" s="40">
        <v>46023</v>
      </c>
      <c r="N22" s="40"/>
      <c r="O22" s="39" t="s">
        <v>459</v>
      </c>
      <c r="P22" s="39" t="s">
        <v>486</v>
      </c>
      <c r="Q22" s="39" t="s">
        <v>69</v>
      </c>
      <c r="R22" s="39" t="s">
        <v>691</v>
      </c>
    </row>
    <row r="23" spans="1:18" ht="58" customHeight="1">
      <c r="A23" s="37" t="s">
        <v>718</v>
      </c>
      <c r="B23" s="37" t="s">
        <v>485</v>
      </c>
      <c r="C23" s="37" t="s">
        <v>719</v>
      </c>
      <c r="D23" s="37" t="s">
        <v>720</v>
      </c>
      <c r="E23" s="37"/>
      <c r="F23" s="37"/>
      <c r="G23" s="37"/>
      <c r="H23" s="37" t="s">
        <v>610</v>
      </c>
      <c r="I23" s="37" t="s">
        <v>682</v>
      </c>
      <c r="J23" s="37" t="s">
        <v>675</v>
      </c>
      <c r="K23" s="37"/>
      <c r="L23" s="37"/>
      <c r="M23" s="38">
        <v>46023</v>
      </c>
      <c r="N23" s="38"/>
      <c r="O23" s="37" t="s">
        <v>459</v>
      </c>
      <c r="P23" s="37" t="s">
        <v>486</v>
      </c>
      <c r="Q23" s="37" t="s">
        <v>69</v>
      </c>
      <c r="R23" s="37" t="s">
        <v>691</v>
      </c>
    </row>
    <row r="24" spans="1:18" ht="58" customHeight="1">
      <c r="A24" s="39" t="s">
        <v>721</v>
      </c>
      <c r="B24" s="39" t="s">
        <v>485</v>
      </c>
      <c r="C24" s="39" t="s">
        <v>722</v>
      </c>
      <c r="D24" s="39" t="s">
        <v>723</v>
      </c>
      <c r="E24" s="39"/>
      <c r="F24" s="39"/>
      <c r="G24" s="39"/>
      <c r="H24" s="39" t="s">
        <v>610</v>
      </c>
      <c r="I24" s="39" t="s">
        <v>682</v>
      </c>
      <c r="J24" s="39" t="s">
        <v>675</v>
      </c>
      <c r="K24" s="39"/>
      <c r="L24" s="39"/>
      <c r="M24" s="40">
        <v>46023</v>
      </c>
      <c r="N24" s="40"/>
      <c r="O24" s="39" t="s">
        <v>459</v>
      </c>
      <c r="P24" s="39" t="s">
        <v>486</v>
      </c>
      <c r="Q24" s="39" t="s">
        <v>69</v>
      </c>
      <c r="R24" s="39" t="s">
        <v>691</v>
      </c>
    </row>
    <row r="25" spans="1:18" ht="58" customHeight="1">
      <c r="A25" s="37" t="s">
        <v>724</v>
      </c>
      <c r="B25" s="37" t="s">
        <v>485</v>
      </c>
      <c r="C25" s="37" t="s">
        <v>725</v>
      </c>
      <c r="D25" s="37" t="s">
        <v>726</v>
      </c>
      <c r="E25" s="37"/>
      <c r="F25" s="37"/>
      <c r="G25" s="37"/>
      <c r="H25" s="37" t="s">
        <v>610</v>
      </c>
      <c r="I25" s="37" t="s">
        <v>682</v>
      </c>
      <c r="J25" s="37" t="s">
        <v>675</v>
      </c>
      <c r="K25" s="37"/>
      <c r="L25" s="37"/>
      <c r="M25" s="38">
        <v>46023</v>
      </c>
      <c r="N25" s="38"/>
      <c r="O25" s="37" t="s">
        <v>459</v>
      </c>
      <c r="P25" s="37" t="s">
        <v>486</v>
      </c>
      <c r="Q25" s="37" t="s">
        <v>69</v>
      </c>
      <c r="R25" s="37" t="s">
        <v>691</v>
      </c>
    </row>
    <row r="26" spans="1:18" ht="58" customHeight="1">
      <c r="A26" s="39" t="s">
        <v>727</v>
      </c>
      <c r="B26" s="39" t="s">
        <v>485</v>
      </c>
      <c r="C26" s="39" t="s">
        <v>728</v>
      </c>
      <c r="D26" s="39" t="s">
        <v>729</v>
      </c>
      <c r="E26" s="39"/>
      <c r="F26" s="39"/>
      <c r="G26" s="39"/>
      <c r="H26" s="39" t="s">
        <v>610</v>
      </c>
      <c r="I26" s="39" t="s">
        <v>682</v>
      </c>
      <c r="J26" s="39" t="s">
        <v>675</v>
      </c>
      <c r="K26" s="39"/>
      <c r="L26" s="39"/>
      <c r="M26" s="40">
        <v>46023</v>
      </c>
      <c r="N26" s="40"/>
      <c r="O26" s="39" t="s">
        <v>459</v>
      </c>
      <c r="P26" s="39" t="s">
        <v>486</v>
      </c>
      <c r="Q26" s="39" t="s">
        <v>69</v>
      </c>
      <c r="R26" s="39" t="s">
        <v>691</v>
      </c>
    </row>
    <row r="27" spans="1:18" ht="58" customHeight="1">
      <c r="A27" s="37" t="s">
        <v>730</v>
      </c>
      <c r="B27" s="37" t="s">
        <v>487</v>
      </c>
      <c r="C27" s="37" t="s">
        <v>731</v>
      </c>
      <c r="D27" s="37" t="s">
        <v>732</v>
      </c>
      <c r="E27" s="37"/>
      <c r="F27" s="37"/>
      <c r="G27" s="37"/>
      <c r="H27" s="37" t="s">
        <v>610</v>
      </c>
      <c r="I27" s="37" t="s">
        <v>682</v>
      </c>
      <c r="J27" s="37" t="s">
        <v>675</v>
      </c>
      <c r="K27" s="37"/>
      <c r="L27" s="37"/>
      <c r="M27" s="38">
        <v>46023</v>
      </c>
      <c r="N27" s="38"/>
      <c r="O27" s="37" t="s">
        <v>459</v>
      </c>
      <c r="P27" s="37" t="s">
        <v>488</v>
      </c>
      <c r="Q27" s="37" t="s">
        <v>69</v>
      </c>
      <c r="R27" s="37" t="s">
        <v>691</v>
      </c>
    </row>
    <row r="28" spans="1:18" ht="58" customHeight="1">
      <c r="A28" s="39" t="s">
        <v>733</v>
      </c>
      <c r="B28" s="39" t="s">
        <v>487</v>
      </c>
      <c r="C28" s="39" t="s">
        <v>734</v>
      </c>
      <c r="D28" s="39" t="s">
        <v>735</v>
      </c>
      <c r="E28" s="39"/>
      <c r="F28" s="39"/>
      <c r="G28" s="39"/>
      <c r="H28" s="39" t="s">
        <v>610</v>
      </c>
      <c r="I28" s="39" t="s">
        <v>682</v>
      </c>
      <c r="J28" s="39" t="s">
        <v>675</v>
      </c>
      <c r="K28" s="39"/>
      <c r="L28" s="39"/>
      <c r="M28" s="40">
        <v>46023</v>
      </c>
      <c r="N28" s="40"/>
      <c r="O28" s="39" t="s">
        <v>459</v>
      </c>
      <c r="P28" s="39" t="s">
        <v>488</v>
      </c>
      <c r="Q28" s="39" t="s">
        <v>69</v>
      </c>
      <c r="R28" s="39" t="s">
        <v>691</v>
      </c>
    </row>
    <row r="29" spans="1:18" ht="58" customHeight="1">
      <c r="A29" s="37" t="s">
        <v>736</v>
      </c>
      <c r="B29" s="37" t="s">
        <v>487</v>
      </c>
      <c r="C29" s="37" t="s">
        <v>737</v>
      </c>
      <c r="D29" s="37" t="s">
        <v>738</v>
      </c>
      <c r="E29" s="37"/>
      <c r="F29" s="37"/>
      <c r="G29" s="37"/>
      <c r="H29" s="37" t="s">
        <v>610</v>
      </c>
      <c r="I29" s="37" t="s">
        <v>682</v>
      </c>
      <c r="J29" s="37" t="s">
        <v>675</v>
      </c>
      <c r="K29" s="37"/>
      <c r="L29" s="37"/>
      <c r="M29" s="38">
        <v>46023</v>
      </c>
      <c r="N29" s="38"/>
      <c r="O29" s="37" t="s">
        <v>459</v>
      </c>
      <c r="P29" s="37" t="s">
        <v>488</v>
      </c>
      <c r="Q29" s="37" t="s">
        <v>69</v>
      </c>
      <c r="R29" s="37" t="s">
        <v>691</v>
      </c>
    </row>
    <row r="30" spans="1:18" ht="58" customHeight="1">
      <c r="A30" s="39" t="s">
        <v>739</v>
      </c>
      <c r="B30" s="39" t="s">
        <v>487</v>
      </c>
      <c r="C30" s="39" t="s">
        <v>740</v>
      </c>
      <c r="D30" s="39" t="s">
        <v>741</v>
      </c>
      <c r="E30" s="39"/>
      <c r="F30" s="39"/>
      <c r="G30" s="39"/>
      <c r="H30" s="39" t="s">
        <v>610</v>
      </c>
      <c r="I30" s="39" t="s">
        <v>682</v>
      </c>
      <c r="J30" s="39" t="s">
        <v>675</v>
      </c>
      <c r="K30" s="39"/>
      <c r="L30" s="39"/>
      <c r="M30" s="40">
        <v>46023</v>
      </c>
      <c r="N30" s="40"/>
      <c r="O30" s="39" t="s">
        <v>459</v>
      </c>
      <c r="P30" s="39" t="s">
        <v>488</v>
      </c>
      <c r="Q30" s="39" t="s">
        <v>69</v>
      </c>
      <c r="R30" s="39" t="s">
        <v>691</v>
      </c>
    </row>
    <row r="31" spans="1:18" ht="58" customHeight="1">
      <c r="A31" s="37" t="s">
        <v>742</v>
      </c>
      <c r="B31" s="37" t="s">
        <v>487</v>
      </c>
      <c r="C31" s="37" t="s">
        <v>743</v>
      </c>
      <c r="D31" s="37" t="s">
        <v>744</v>
      </c>
      <c r="E31" s="37"/>
      <c r="F31" s="37"/>
      <c r="G31" s="37"/>
      <c r="H31" s="37" t="s">
        <v>610</v>
      </c>
      <c r="I31" s="37" t="s">
        <v>682</v>
      </c>
      <c r="J31" s="37" t="s">
        <v>675</v>
      </c>
      <c r="K31" s="37"/>
      <c r="L31" s="37"/>
      <c r="M31" s="38">
        <v>46023</v>
      </c>
      <c r="N31" s="38"/>
      <c r="O31" s="37" t="s">
        <v>459</v>
      </c>
      <c r="P31" s="37" t="s">
        <v>488</v>
      </c>
      <c r="Q31" s="37" t="s">
        <v>69</v>
      </c>
      <c r="R31" s="37" t="s">
        <v>691</v>
      </c>
    </row>
    <row r="32" spans="1:18" ht="58" customHeight="1">
      <c r="A32" s="39" t="s">
        <v>745</v>
      </c>
      <c r="B32" s="39" t="s">
        <v>487</v>
      </c>
      <c r="C32" s="39" t="s">
        <v>746</v>
      </c>
      <c r="D32" s="39" t="s">
        <v>747</v>
      </c>
      <c r="E32" s="39"/>
      <c r="F32" s="39"/>
      <c r="G32" s="39"/>
      <c r="H32" s="39" t="s">
        <v>610</v>
      </c>
      <c r="I32" s="39" t="s">
        <v>682</v>
      </c>
      <c r="J32" s="39" t="s">
        <v>675</v>
      </c>
      <c r="K32" s="39"/>
      <c r="L32" s="39"/>
      <c r="M32" s="40">
        <v>46023</v>
      </c>
      <c r="N32" s="40"/>
      <c r="O32" s="39" t="s">
        <v>459</v>
      </c>
      <c r="P32" s="39" t="s">
        <v>488</v>
      </c>
      <c r="Q32" s="39" t="s">
        <v>69</v>
      </c>
      <c r="R32" s="39" t="s">
        <v>691</v>
      </c>
    </row>
    <row r="33" spans="1:18" ht="58" customHeight="1">
      <c r="A33" s="37" t="s">
        <v>748</v>
      </c>
      <c r="B33" s="37" t="s">
        <v>487</v>
      </c>
      <c r="C33" s="37" t="s">
        <v>749</v>
      </c>
      <c r="D33" s="37" t="s">
        <v>750</v>
      </c>
      <c r="E33" s="37"/>
      <c r="F33" s="37"/>
      <c r="G33" s="37"/>
      <c r="H33" s="37" t="s">
        <v>610</v>
      </c>
      <c r="I33" s="37" t="s">
        <v>682</v>
      </c>
      <c r="J33" s="37" t="s">
        <v>675</v>
      </c>
      <c r="K33" s="37"/>
      <c r="L33" s="37"/>
      <c r="M33" s="38">
        <v>46023</v>
      </c>
      <c r="N33" s="38"/>
      <c r="O33" s="37" t="s">
        <v>459</v>
      </c>
      <c r="P33" s="37" t="s">
        <v>488</v>
      </c>
      <c r="Q33" s="37" t="s">
        <v>69</v>
      </c>
      <c r="R33" s="37" t="s">
        <v>691</v>
      </c>
    </row>
    <row r="34" spans="1:18" ht="58" customHeight="1">
      <c r="A34" s="39" t="s">
        <v>751</v>
      </c>
      <c r="B34" s="39" t="s">
        <v>487</v>
      </c>
      <c r="C34" s="39" t="s">
        <v>752</v>
      </c>
      <c r="D34" s="39" t="s">
        <v>753</v>
      </c>
      <c r="E34" s="39"/>
      <c r="F34" s="39"/>
      <c r="G34" s="39"/>
      <c r="H34" s="39" t="s">
        <v>610</v>
      </c>
      <c r="I34" s="39" t="s">
        <v>682</v>
      </c>
      <c r="J34" s="39" t="s">
        <v>675</v>
      </c>
      <c r="K34" s="39"/>
      <c r="L34" s="39"/>
      <c r="M34" s="40">
        <v>46023</v>
      </c>
      <c r="N34" s="40"/>
      <c r="O34" s="39" t="s">
        <v>459</v>
      </c>
      <c r="P34" s="39" t="s">
        <v>488</v>
      </c>
      <c r="Q34" s="39" t="s">
        <v>69</v>
      </c>
      <c r="R34" s="39" t="s">
        <v>691</v>
      </c>
    </row>
    <row r="35" spans="1:18" ht="58" customHeight="1">
      <c r="A35" s="37" t="s">
        <v>754</v>
      </c>
      <c r="B35" s="37" t="s">
        <v>489</v>
      </c>
      <c r="C35" s="37" t="s">
        <v>755</v>
      </c>
      <c r="D35" s="37" t="s">
        <v>135</v>
      </c>
      <c r="E35" s="37"/>
      <c r="F35" s="37"/>
      <c r="G35" s="37"/>
      <c r="H35" s="37" t="s">
        <v>615</v>
      </c>
      <c r="I35" s="37" t="s">
        <v>682</v>
      </c>
      <c r="J35" s="37" t="s">
        <v>675</v>
      </c>
      <c r="K35" s="37"/>
      <c r="L35" s="37"/>
      <c r="M35" s="38">
        <v>46023</v>
      </c>
      <c r="N35" s="38"/>
      <c r="O35" s="37" t="s">
        <v>459</v>
      </c>
      <c r="P35" s="37" t="s">
        <v>490</v>
      </c>
      <c r="Q35" s="37" t="s">
        <v>69</v>
      </c>
      <c r="R35" s="37" t="s">
        <v>691</v>
      </c>
    </row>
    <row r="36" spans="1:18" ht="82" customHeight="1">
      <c r="A36" s="39" t="s">
        <v>756</v>
      </c>
      <c r="B36" s="39" t="s">
        <v>493</v>
      </c>
      <c r="C36" s="39" t="s">
        <v>757</v>
      </c>
      <c r="D36" s="39" t="s">
        <v>362</v>
      </c>
      <c r="E36" s="39" t="s">
        <v>362</v>
      </c>
      <c r="F36" s="39" t="s">
        <v>363</v>
      </c>
      <c r="G36" s="39" t="s">
        <v>362</v>
      </c>
      <c r="H36" s="39" t="s">
        <v>605</v>
      </c>
      <c r="I36" s="39" t="s">
        <v>674</v>
      </c>
      <c r="J36" s="39" t="s">
        <v>675</v>
      </c>
      <c r="K36" s="39"/>
      <c r="L36" s="39"/>
      <c r="M36" s="40">
        <v>46023</v>
      </c>
      <c r="N36" s="40"/>
      <c r="O36" s="39" t="s">
        <v>496</v>
      </c>
      <c r="P36" s="39" t="s">
        <v>412</v>
      </c>
      <c r="Q36" s="39" t="s">
        <v>69</v>
      </c>
      <c r="R36" s="39" t="s">
        <v>758</v>
      </c>
    </row>
    <row r="37" spans="1:18" ht="82" customHeight="1">
      <c r="A37" s="37" t="s">
        <v>759</v>
      </c>
      <c r="B37" s="37" t="s">
        <v>531</v>
      </c>
      <c r="C37" s="37" t="s">
        <v>760</v>
      </c>
      <c r="D37" s="37" t="s">
        <v>349</v>
      </c>
      <c r="E37" s="37" t="s">
        <v>350</v>
      </c>
      <c r="F37" s="37" t="s">
        <v>351</v>
      </c>
      <c r="G37" s="37" t="s">
        <v>352</v>
      </c>
      <c r="H37" s="37" t="s">
        <v>605</v>
      </c>
      <c r="I37" s="37" t="s">
        <v>674</v>
      </c>
      <c r="J37" s="37" t="s">
        <v>675</v>
      </c>
      <c r="K37" s="37"/>
      <c r="L37" s="37"/>
      <c r="M37" s="38">
        <v>46023</v>
      </c>
      <c r="N37" s="38"/>
      <c r="O37" s="37" t="s">
        <v>533</v>
      </c>
      <c r="P37" s="37" t="s">
        <v>631</v>
      </c>
      <c r="Q37" s="37" t="s">
        <v>69</v>
      </c>
      <c r="R37" s="37" t="s">
        <v>761</v>
      </c>
    </row>
    <row r="38" spans="1:18" ht="88" customHeight="1">
      <c r="A38" s="39" t="s">
        <v>762</v>
      </c>
      <c r="B38" s="39" t="s">
        <v>548</v>
      </c>
      <c r="C38" s="39" t="s">
        <v>763</v>
      </c>
      <c r="D38" s="39" t="s">
        <v>368</v>
      </c>
      <c r="E38" s="39" t="s">
        <v>369</v>
      </c>
      <c r="F38" s="39" t="s">
        <v>370</v>
      </c>
      <c r="G38" s="39" t="s">
        <v>371</v>
      </c>
      <c r="H38" s="39" t="s">
        <v>605</v>
      </c>
      <c r="I38" s="39" t="s">
        <v>674</v>
      </c>
      <c r="J38" s="39" t="s">
        <v>675</v>
      </c>
      <c r="K38" s="39"/>
      <c r="L38" s="39"/>
      <c r="M38" s="40">
        <v>46023</v>
      </c>
      <c r="N38" s="40"/>
      <c r="O38" s="39" t="s">
        <v>549</v>
      </c>
      <c r="P38" s="39" t="s">
        <v>412</v>
      </c>
      <c r="Q38" s="39" t="s">
        <v>69</v>
      </c>
      <c r="R38" s="39" t="s">
        <v>764</v>
      </c>
    </row>
    <row r="39" spans="1:18" ht="88" customHeight="1">
      <c r="A39" s="37" t="s">
        <v>765</v>
      </c>
      <c r="B39" s="37" t="s">
        <v>550</v>
      </c>
      <c r="C39" s="37" t="s">
        <v>763</v>
      </c>
      <c r="D39" s="37" t="s">
        <v>368</v>
      </c>
      <c r="E39" s="37" t="s">
        <v>369</v>
      </c>
      <c r="F39" s="37" t="s">
        <v>370</v>
      </c>
      <c r="G39" s="37" t="s">
        <v>371</v>
      </c>
      <c r="H39" s="37" t="s">
        <v>605</v>
      </c>
      <c r="I39" s="37" t="s">
        <v>674</v>
      </c>
      <c r="J39" s="37" t="s">
        <v>675</v>
      </c>
      <c r="K39" s="37"/>
      <c r="L39" s="37"/>
      <c r="M39" s="38">
        <v>46023</v>
      </c>
      <c r="N39" s="38"/>
      <c r="O39" s="37" t="s">
        <v>553</v>
      </c>
      <c r="P39" s="37" t="s">
        <v>636</v>
      </c>
      <c r="Q39" s="37" t="s">
        <v>69</v>
      </c>
      <c r="R39" s="37" t="s">
        <v>764</v>
      </c>
    </row>
    <row r="40" spans="1:18" ht="88" customHeight="1">
      <c r="A40" s="39" t="s">
        <v>766</v>
      </c>
      <c r="B40" s="39" t="s">
        <v>581</v>
      </c>
      <c r="C40" s="39" t="s">
        <v>767</v>
      </c>
      <c r="D40" s="39" t="s">
        <v>376</v>
      </c>
      <c r="E40" s="39" t="s">
        <v>377</v>
      </c>
      <c r="F40" s="39" t="s">
        <v>378</v>
      </c>
      <c r="G40" s="39" t="s">
        <v>379</v>
      </c>
      <c r="H40" s="39" t="s">
        <v>605</v>
      </c>
      <c r="I40" s="39" t="s">
        <v>674</v>
      </c>
      <c r="J40" s="39" t="s">
        <v>675</v>
      </c>
      <c r="K40" s="39"/>
      <c r="L40" s="39"/>
      <c r="M40" s="40">
        <v>46023</v>
      </c>
      <c r="N40" s="40"/>
      <c r="O40" s="39" t="s">
        <v>582</v>
      </c>
      <c r="P40" s="39" t="s">
        <v>639</v>
      </c>
      <c r="Q40" s="39" t="s">
        <v>69</v>
      </c>
      <c r="R40" s="39" t="s">
        <v>764</v>
      </c>
    </row>
    <row r="41" spans="1:18" ht="88" customHeight="1">
      <c r="A41" s="37" t="s">
        <v>768</v>
      </c>
      <c r="B41" s="37" t="s">
        <v>557</v>
      </c>
      <c r="C41" s="37" t="s">
        <v>769</v>
      </c>
      <c r="D41" s="37" t="s">
        <v>320</v>
      </c>
      <c r="E41" s="37" t="s">
        <v>321</v>
      </c>
      <c r="F41" s="37" t="s">
        <v>322</v>
      </c>
      <c r="G41" s="37" t="s">
        <v>323</v>
      </c>
      <c r="H41" s="37" t="s">
        <v>605</v>
      </c>
      <c r="I41" s="37" t="s">
        <v>674</v>
      </c>
      <c r="J41" s="37" t="s">
        <v>675</v>
      </c>
      <c r="K41" s="37"/>
      <c r="L41" s="37"/>
      <c r="M41" s="38">
        <v>46023</v>
      </c>
      <c r="N41" s="38"/>
      <c r="O41" s="37" t="s">
        <v>558</v>
      </c>
      <c r="P41" s="37" t="s">
        <v>770</v>
      </c>
      <c r="Q41" s="37" t="s">
        <v>69</v>
      </c>
      <c r="R41" s="37" t="s">
        <v>771</v>
      </c>
    </row>
    <row r="42" spans="1:18" ht="88" customHeight="1">
      <c r="A42" s="39" t="s">
        <v>772</v>
      </c>
      <c r="B42" s="39" t="s">
        <v>568</v>
      </c>
      <c r="C42" s="39" t="s">
        <v>769</v>
      </c>
      <c r="D42" s="39" t="s">
        <v>320</v>
      </c>
      <c r="E42" s="39" t="s">
        <v>321</v>
      </c>
      <c r="F42" s="39" t="s">
        <v>322</v>
      </c>
      <c r="G42" s="39" t="s">
        <v>323</v>
      </c>
      <c r="H42" s="39" t="s">
        <v>605</v>
      </c>
      <c r="I42" s="39" t="s">
        <v>674</v>
      </c>
      <c r="J42" s="39" t="s">
        <v>675</v>
      </c>
      <c r="K42" s="39"/>
      <c r="L42" s="39"/>
      <c r="M42" s="40">
        <v>46023</v>
      </c>
      <c r="N42" s="40"/>
      <c r="O42" s="39" t="s">
        <v>569</v>
      </c>
      <c r="P42" s="39" t="s">
        <v>570</v>
      </c>
      <c r="Q42" s="39" t="s">
        <v>69</v>
      </c>
      <c r="R42" s="39" t="s">
        <v>773</v>
      </c>
    </row>
    <row r="43" spans="1:18" ht="88" customHeight="1">
      <c r="A43" s="37" t="s">
        <v>774</v>
      </c>
      <c r="B43" s="37" t="s">
        <v>557</v>
      </c>
      <c r="C43" s="37" t="s">
        <v>775</v>
      </c>
      <c r="D43" s="37" t="s">
        <v>776</v>
      </c>
      <c r="E43" s="37" t="s">
        <v>776</v>
      </c>
      <c r="F43" s="37" t="s">
        <v>776</v>
      </c>
      <c r="G43" s="37" t="s">
        <v>776</v>
      </c>
      <c r="H43" s="37" t="s">
        <v>610</v>
      </c>
      <c r="I43" s="37" t="s">
        <v>769</v>
      </c>
      <c r="J43" s="37" t="s">
        <v>675</v>
      </c>
      <c r="K43" s="37"/>
      <c r="L43" s="37"/>
      <c r="M43" s="38">
        <v>46023</v>
      </c>
      <c r="N43" s="38"/>
      <c r="O43" s="37" t="s">
        <v>777</v>
      </c>
      <c r="P43" s="37" t="s">
        <v>778</v>
      </c>
      <c r="Q43" s="37" t="s">
        <v>69</v>
      </c>
      <c r="R43" s="37" t="s">
        <v>779</v>
      </c>
    </row>
    <row r="44" spans="1:18" ht="88" customHeight="1">
      <c r="A44" s="39" t="s">
        <v>780</v>
      </c>
      <c r="B44" s="39" t="s">
        <v>557</v>
      </c>
      <c r="C44" s="39" t="s">
        <v>781</v>
      </c>
      <c r="D44" s="39" t="s">
        <v>782</v>
      </c>
      <c r="E44" s="39" t="s">
        <v>782</v>
      </c>
      <c r="F44" s="39" t="s">
        <v>782</v>
      </c>
      <c r="G44" s="39" t="s">
        <v>782</v>
      </c>
      <c r="H44" s="39" t="s">
        <v>610</v>
      </c>
      <c r="I44" s="39" t="s">
        <v>769</v>
      </c>
      <c r="J44" s="39" t="s">
        <v>685</v>
      </c>
      <c r="K44" s="39"/>
      <c r="L44" s="39"/>
      <c r="M44" s="40">
        <v>46023</v>
      </c>
      <c r="N44" s="40"/>
      <c r="O44" s="39" t="s">
        <v>777</v>
      </c>
      <c r="P44" s="39" t="s">
        <v>778</v>
      </c>
      <c r="Q44" s="39" t="s">
        <v>69</v>
      </c>
      <c r="R44" s="39" t="s">
        <v>783</v>
      </c>
    </row>
    <row r="45" spans="1:18" ht="88" customHeight="1">
      <c r="A45" s="37" t="s">
        <v>784</v>
      </c>
      <c r="B45" s="37" t="s">
        <v>562</v>
      </c>
      <c r="C45" s="37" t="s">
        <v>781</v>
      </c>
      <c r="D45" s="37" t="s">
        <v>782</v>
      </c>
      <c r="E45" s="37" t="s">
        <v>782</v>
      </c>
      <c r="F45" s="37" t="s">
        <v>782</v>
      </c>
      <c r="G45" s="37" t="s">
        <v>782</v>
      </c>
      <c r="H45" s="37" t="s">
        <v>610</v>
      </c>
      <c r="I45" s="37" t="s">
        <v>769</v>
      </c>
      <c r="J45" s="37" t="s">
        <v>675</v>
      </c>
      <c r="K45" s="37"/>
      <c r="L45" s="37"/>
      <c r="M45" s="38">
        <v>46023</v>
      </c>
      <c r="N45" s="38"/>
      <c r="O45" s="37" t="s">
        <v>777</v>
      </c>
      <c r="P45" s="37" t="s">
        <v>778</v>
      </c>
      <c r="Q45" s="37" t="s">
        <v>69</v>
      </c>
      <c r="R45" s="37" t="s">
        <v>783</v>
      </c>
    </row>
    <row r="46" spans="1:18" ht="88" customHeight="1">
      <c r="A46" s="39" t="s">
        <v>785</v>
      </c>
      <c r="B46" s="39" t="s">
        <v>557</v>
      </c>
      <c r="C46" s="39" t="s">
        <v>786</v>
      </c>
      <c r="D46" s="39" t="s">
        <v>787</v>
      </c>
      <c r="E46" s="39" t="s">
        <v>787</v>
      </c>
      <c r="F46" s="39" t="s">
        <v>787</v>
      </c>
      <c r="G46" s="39" t="s">
        <v>787</v>
      </c>
      <c r="H46" s="39" t="s">
        <v>610</v>
      </c>
      <c r="I46" s="39" t="s">
        <v>769</v>
      </c>
      <c r="J46" s="39" t="s">
        <v>685</v>
      </c>
      <c r="K46" s="39"/>
      <c r="L46" s="39"/>
      <c r="M46" s="40">
        <v>46023</v>
      </c>
      <c r="N46" s="40"/>
      <c r="O46" s="39" t="s">
        <v>777</v>
      </c>
      <c r="P46" s="39" t="s">
        <v>778</v>
      </c>
      <c r="Q46" s="39" t="s">
        <v>69</v>
      </c>
      <c r="R46" s="39" t="s">
        <v>783</v>
      </c>
    </row>
    <row r="47" spans="1:18" ht="88" customHeight="1">
      <c r="A47" s="37" t="s">
        <v>788</v>
      </c>
      <c r="B47" s="37" t="s">
        <v>562</v>
      </c>
      <c r="C47" s="37" t="s">
        <v>786</v>
      </c>
      <c r="D47" s="37" t="s">
        <v>787</v>
      </c>
      <c r="E47" s="37" t="s">
        <v>787</v>
      </c>
      <c r="F47" s="37" t="s">
        <v>787</v>
      </c>
      <c r="G47" s="37" t="s">
        <v>787</v>
      </c>
      <c r="H47" s="37" t="s">
        <v>610</v>
      </c>
      <c r="I47" s="37" t="s">
        <v>769</v>
      </c>
      <c r="J47" s="37" t="s">
        <v>675</v>
      </c>
      <c r="K47" s="37"/>
      <c r="L47" s="37"/>
      <c r="M47" s="38">
        <v>46023</v>
      </c>
      <c r="N47" s="38"/>
      <c r="O47" s="37" t="s">
        <v>777</v>
      </c>
      <c r="P47" s="37" t="s">
        <v>778</v>
      </c>
      <c r="Q47" s="37" t="s">
        <v>69</v>
      </c>
      <c r="R47" s="37" t="s">
        <v>783</v>
      </c>
    </row>
    <row r="48" spans="1:18" ht="88" customHeight="1">
      <c r="A48" s="39" t="s">
        <v>789</v>
      </c>
      <c r="B48" s="39" t="s">
        <v>557</v>
      </c>
      <c r="C48" s="39" t="s">
        <v>790</v>
      </c>
      <c r="D48" s="39" t="s">
        <v>791</v>
      </c>
      <c r="E48" s="39" t="s">
        <v>791</v>
      </c>
      <c r="F48" s="39" t="s">
        <v>791</v>
      </c>
      <c r="G48" s="39" t="s">
        <v>791</v>
      </c>
      <c r="H48" s="39" t="s">
        <v>610</v>
      </c>
      <c r="I48" s="39" t="s">
        <v>769</v>
      </c>
      <c r="J48" s="39" t="s">
        <v>685</v>
      </c>
      <c r="K48" s="39"/>
      <c r="L48" s="39"/>
      <c r="M48" s="40">
        <v>46023</v>
      </c>
      <c r="N48" s="40"/>
      <c r="O48" s="39" t="s">
        <v>777</v>
      </c>
      <c r="P48" s="39" t="s">
        <v>778</v>
      </c>
      <c r="Q48" s="39" t="s">
        <v>69</v>
      </c>
      <c r="R48" s="39" t="s">
        <v>783</v>
      </c>
    </row>
    <row r="49" spans="1:18" ht="88" customHeight="1">
      <c r="A49" s="37" t="s">
        <v>792</v>
      </c>
      <c r="B49" s="37" t="s">
        <v>562</v>
      </c>
      <c r="C49" s="37" t="s">
        <v>790</v>
      </c>
      <c r="D49" s="37" t="s">
        <v>791</v>
      </c>
      <c r="E49" s="37" t="s">
        <v>791</v>
      </c>
      <c r="F49" s="37" t="s">
        <v>791</v>
      </c>
      <c r="G49" s="37" t="s">
        <v>791</v>
      </c>
      <c r="H49" s="37" t="s">
        <v>610</v>
      </c>
      <c r="I49" s="37" t="s">
        <v>769</v>
      </c>
      <c r="J49" s="37" t="s">
        <v>675</v>
      </c>
      <c r="K49" s="37"/>
      <c r="L49" s="37"/>
      <c r="M49" s="38">
        <v>46023</v>
      </c>
      <c r="N49" s="38"/>
      <c r="O49" s="37" t="s">
        <v>777</v>
      </c>
      <c r="P49" s="37" t="s">
        <v>778</v>
      </c>
      <c r="Q49" s="37" t="s">
        <v>69</v>
      </c>
      <c r="R49" s="37" t="s">
        <v>783</v>
      </c>
    </row>
    <row r="50" spans="1:18" ht="88" customHeight="1">
      <c r="A50" s="39" t="s">
        <v>793</v>
      </c>
      <c r="B50" s="39" t="s">
        <v>557</v>
      </c>
      <c r="C50" s="39" t="s">
        <v>794</v>
      </c>
      <c r="D50" s="39" t="s">
        <v>795</v>
      </c>
      <c r="E50" s="39" t="s">
        <v>795</v>
      </c>
      <c r="F50" s="39" t="s">
        <v>795</v>
      </c>
      <c r="G50" s="39" t="s">
        <v>795</v>
      </c>
      <c r="H50" s="39" t="s">
        <v>610</v>
      </c>
      <c r="I50" s="39" t="s">
        <v>769</v>
      </c>
      <c r="J50" s="39" t="s">
        <v>685</v>
      </c>
      <c r="K50" s="39"/>
      <c r="L50" s="39"/>
      <c r="M50" s="40">
        <v>46023</v>
      </c>
      <c r="N50" s="40"/>
      <c r="O50" s="39" t="s">
        <v>777</v>
      </c>
      <c r="P50" s="39" t="s">
        <v>778</v>
      </c>
      <c r="Q50" s="39" t="s">
        <v>69</v>
      </c>
      <c r="R50" s="39" t="s">
        <v>783</v>
      </c>
    </row>
    <row r="51" spans="1:18" ht="88" customHeight="1">
      <c r="A51" s="37" t="s">
        <v>796</v>
      </c>
      <c r="B51" s="37" t="s">
        <v>562</v>
      </c>
      <c r="C51" s="37" t="s">
        <v>794</v>
      </c>
      <c r="D51" s="37" t="s">
        <v>795</v>
      </c>
      <c r="E51" s="37" t="s">
        <v>795</v>
      </c>
      <c r="F51" s="37" t="s">
        <v>795</v>
      </c>
      <c r="G51" s="37" t="s">
        <v>795</v>
      </c>
      <c r="H51" s="37" t="s">
        <v>610</v>
      </c>
      <c r="I51" s="37" t="s">
        <v>769</v>
      </c>
      <c r="J51" s="37" t="s">
        <v>675</v>
      </c>
      <c r="K51" s="37"/>
      <c r="L51" s="37"/>
      <c r="M51" s="38">
        <v>46023</v>
      </c>
      <c r="N51" s="38"/>
      <c r="O51" s="37" t="s">
        <v>777</v>
      </c>
      <c r="P51" s="37" t="s">
        <v>778</v>
      </c>
      <c r="Q51" s="37" t="s">
        <v>69</v>
      </c>
      <c r="R51" s="37" t="s">
        <v>783</v>
      </c>
    </row>
    <row r="52" spans="1:18" ht="88" customHeight="1">
      <c r="A52" s="39" t="s">
        <v>797</v>
      </c>
      <c r="B52" s="39" t="s">
        <v>557</v>
      </c>
      <c r="C52" s="39" t="s">
        <v>798</v>
      </c>
      <c r="D52" s="39" t="s">
        <v>799</v>
      </c>
      <c r="E52" s="39" t="s">
        <v>799</v>
      </c>
      <c r="F52" s="39" t="s">
        <v>799</v>
      </c>
      <c r="G52" s="39" t="s">
        <v>799</v>
      </c>
      <c r="H52" s="39" t="s">
        <v>610</v>
      </c>
      <c r="I52" s="39" t="s">
        <v>769</v>
      </c>
      <c r="J52" s="39" t="s">
        <v>685</v>
      </c>
      <c r="K52" s="39"/>
      <c r="L52" s="39"/>
      <c r="M52" s="40">
        <v>46023</v>
      </c>
      <c r="N52" s="40"/>
      <c r="O52" s="39" t="s">
        <v>777</v>
      </c>
      <c r="P52" s="39" t="s">
        <v>778</v>
      </c>
      <c r="Q52" s="39" t="s">
        <v>69</v>
      </c>
      <c r="R52" s="39" t="s">
        <v>783</v>
      </c>
    </row>
    <row r="53" spans="1:18" ht="88" customHeight="1">
      <c r="A53" s="37" t="s">
        <v>800</v>
      </c>
      <c r="B53" s="37" t="s">
        <v>562</v>
      </c>
      <c r="C53" s="37" t="s">
        <v>798</v>
      </c>
      <c r="D53" s="37" t="s">
        <v>799</v>
      </c>
      <c r="E53" s="37" t="s">
        <v>799</v>
      </c>
      <c r="F53" s="37" t="s">
        <v>799</v>
      </c>
      <c r="G53" s="37" t="s">
        <v>799</v>
      </c>
      <c r="H53" s="37" t="s">
        <v>610</v>
      </c>
      <c r="I53" s="37" t="s">
        <v>769</v>
      </c>
      <c r="J53" s="37" t="s">
        <v>675</v>
      </c>
      <c r="K53" s="37"/>
      <c r="L53" s="37"/>
      <c r="M53" s="38">
        <v>46023</v>
      </c>
      <c r="N53" s="38"/>
      <c r="O53" s="37" t="s">
        <v>777</v>
      </c>
      <c r="P53" s="37" t="s">
        <v>778</v>
      </c>
      <c r="Q53" s="37" t="s">
        <v>69</v>
      </c>
      <c r="R53" s="37" t="s">
        <v>783</v>
      </c>
    </row>
    <row r="54" spans="1:18" ht="88" customHeight="1">
      <c r="A54" s="39" t="s">
        <v>801</v>
      </c>
      <c r="B54" s="39" t="s">
        <v>557</v>
      </c>
      <c r="C54" s="39" t="s">
        <v>802</v>
      </c>
      <c r="D54" s="39" t="s">
        <v>803</v>
      </c>
      <c r="E54" s="39" t="s">
        <v>803</v>
      </c>
      <c r="F54" s="39" t="s">
        <v>803</v>
      </c>
      <c r="G54" s="39" t="s">
        <v>803</v>
      </c>
      <c r="H54" s="39" t="s">
        <v>610</v>
      </c>
      <c r="I54" s="39" t="s">
        <v>769</v>
      </c>
      <c r="J54" s="39" t="s">
        <v>685</v>
      </c>
      <c r="K54" s="39"/>
      <c r="L54" s="39"/>
      <c r="M54" s="40">
        <v>46023</v>
      </c>
      <c r="N54" s="40"/>
      <c r="O54" s="39" t="s">
        <v>777</v>
      </c>
      <c r="P54" s="39" t="s">
        <v>778</v>
      </c>
      <c r="Q54" s="39" t="s">
        <v>69</v>
      </c>
      <c r="R54" s="39" t="s">
        <v>783</v>
      </c>
    </row>
    <row r="55" spans="1:18" ht="88" customHeight="1">
      <c r="A55" s="37" t="s">
        <v>804</v>
      </c>
      <c r="B55" s="37" t="s">
        <v>562</v>
      </c>
      <c r="C55" s="37" t="s">
        <v>802</v>
      </c>
      <c r="D55" s="37" t="s">
        <v>803</v>
      </c>
      <c r="E55" s="37" t="s">
        <v>803</v>
      </c>
      <c r="F55" s="37" t="s">
        <v>803</v>
      </c>
      <c r="G55" s="37" t="s">
        <v>803</v>
      </c>
      <c r="H55" s="37" t="s">
        <v>610</v>
      </c>
      <c r="I55" s="37" t="s">
        <v>769</v>
      </c>
      <c r="J55" s="37" t="s">
        <v>675</v>
      </c>
      <c r="K55" s="37"/>
      <c r="L55" s="37"/>
      <c r="M55" s="38">
        <v>46023</v>
      </c>
      <c r="N55" s="38"/>
      <c r="O55" s="37" t="s">
        <v>777</v>
      </c>
      <c r="P55" s="37" t="s">
        <v>778</v>
      </c>
      <c r="Q55" s="37" t="s">
        <v>69</v>
      </c>
      <c r="R55" s="37" t="s">
        <v>783</v>
      </c>
    </row>
    <row r="56" spans="1:18" ht="88" customHeight="1">
      <c r="A56" s="39" t="s">
        <v>805</v>
      </c>
      <c r="B56" s="39" t="s">
        <v>557</v>
      </c>
      <c r="C56" s="39" t="s">
        <v>806</v>
      </c>
      <c r="D56" s="39" t="s">
        <v>807</v>
      </c>
      <c r="E56" s="39" t="s">
        <v>807</v>
      </c>
      <c r="F56" s="39" t="s">
        <v>807</v>
      </c>
      <c r="G56" s="39" t="s">
        <v>807</v>
      </c>
      <c r="H56" s="39" t="s">
        <v>610</v>
      </c>
      <c r="I56" s="39" t="s">
        <v>769</v>
      </c>
      <c r="J56" s="39" t="s">
        <v>685</v>
      </c>
      <c r="K56" s="39"/>
      <c r="L56" s="39"/>
      <c r="M56" s="40">
        <v>46023</v>
      </c>
      <c r="N56" s="40"/>
      <c r="O56" s="39" t="s">
        <v>777</v>
      </c>
      <c r="P56" s="39" t="s">
        <v>778</v>
      </c>
      <c r="Q56" s="39" t="s">
        <v>69</v>
      </c>
      <c r="R56" s="39" t="s">
        <v>783</v>
      </c>
    </row>
    <row r="57" spans="1:18" ht="88" customHeight="1">
      <c r="A57" s="37" t="s">
        <v>808</v>
      </c>
      <c r="B57" s="37" t="s">
        <v>562</v>
      </c>
      <c r="C57" s="37" t="s">
        <v>806</v>
      </c>
      <c r="D57" s="37" t="s">
        <v>807</v>
      </c>
      <c r="E57" s="37" t="s">
        <v>807</v>
      </c>
      <c r="F57" s="37" t="s">
        <v>807</v>
      </c>
      <c r="G57" s="37" t="s">
        <v>807</v>
      </c>
      <c r="H57" s="37" t="s">
        <v>610</v>
      </c>
      <c r="I57" s="37" t="s">
        <v>769</v>
      </c>
      <c r="J57" s="37" t="s">
        <v>675</v>
      </c>
      <c r="K57" s="37"/>
      <c r="L57" s="37"/>
      <c r="M57" s="38">
        <v>46023</v>
      </c>
      <c r="N57" s="38"/>
      <c r="O57" s="37" t="s">
        <v>777</v>
      </c>
      <c r="P57" s="37" t="s">
        <v>778</v>
      </c>
      <c r="Q57" s="37" t="s">
        <v>69</v>
      </c>
      <c r="R57" s="37" t="s">
        <v>783</v>
      </c>
    </row>
    <row r="58" spans="1:18" ht="88" customHeight="1">
      <c r="A58" s="39" t="s">
        <v>809</v>
      </c>
      <c r="B58" s="39" t="s">
        <v>557</v>
      </c>
      <c r="C58" s="39" t="s">
        <v>810</v>
      </c>
      <c r="D58" s="39" t="s">
        <v>811</v>
      </c>
      <c r="E58" s="39" t="s">
        <v>811</v>
      </c>
      <c r="F58" s="39" t="s">
        <v>811</v>
      </c>
      <c r="G58" s="39" t="s">
        <v>811</v>
      </c>
      <c r="H58" s="39" t="s">
        <v>610</v>
      </c>
      <c r="I58" s="39" t="s">
        <v>769</v>
      </c>
      <c r="J58" s="39" t="s">
        <v>685</v>
      </c>
      <c r="K58" s="39"/>
      <c r="L58" s="39"/>
      <c r="M58" s="40">
        <v>46023</v>
      </c>
      <c r="N58" s="40"/>
      <c r="O58" s="39" t="s">
        <v>777</v>
      </c>
      <c r="P58" s="39" t="s">
        <v>778</v>
      </c>
      <c r="Q58" s="39" t="s">
        <v>69</v>
      </c>
      <c r="R58" s="39" t="s">
        <v>783</v>
      </c>
    </row>
    <row r="59" spans="1:18" ht="88" customHeight="1">
      <c r="A59" s="37" t="s">
        <v>812</v>
      </c>
      <c r="B59" s="37" t="s">
        <v>562</v>
      </c>
      <c r="C59" s="37" t="s">
        <v>810</v>
      </c>
      <c r="D59" s="37" t="s">
        <v>811</v>
      </c>
      <c r="E59" s="37" t="s">
        <v>811</v>
      </c>
      <c r="F59" s="37" t="s">
        <v>811</v>
      </c>
      <c r="G59" s="37" t="s">
        <v>811</v>
      </c>
      <c r="H59" s="37" t="s">
        <v>610</v>
      </c>
      <c r="I59" s="37" t="s">
        <v>769</v>
      </c>
      <c r="J59" s="37" t="s">
        <v>675</v>
      </c>
      <c r="K59" s="37"/>
      <c r="L59" s="37"/>
      <c r="M59" s="38">
        <v>46023</v>
      </c>
      <c r="N59" s="38"/>
      <c r="O59" s="37" t="s">
        <v>777</v>
      </c>
      <c r="P59" s="37" t="s">
        <v>778</v>
      </c>
      <c r="Q59" s="37" t="s">
        <v>69</v>
      </c>
      <c r="R59" s="37" t="s">
        <v>783</v>
      </c>
    </row>
    <row r="60" spans="1:18" ht="88" customHeight="1">
      <c r="A60" s="39" t="s">
        <v>813</v>
      </c>
      <c r="B60" s="39" t="s">
        <v>557</v>
      </c>
      <c r="C60" s="39" t="s">
        <v>814</v>
      </c>
      <c r="D60" s="39" t="s">
        <v>815</v>
      </c>
      <c r="E60" s="39" t="s">
        <v>815</v>
      </c>
      <c r="F60" s="39" t="s">
        <v>815</v>
      </c>
      <c r="G60" s="39" t="s">
        <v>815</v>
      </c>
      <c r="H60" s="39" t="s">
        <v>610</v>
      </c>
      <c r="I60" s="39" t="s">
        <v>769</v>
      </c>
      <c r="J60" s="39" t="s">
        <v>685</v>
      </c>
      <c r="K60" s="39"/>
      <c r="L60" s="39"/>
      <c r="M60" s="40">
        <v>46023</v>
      </c>
      <c r="N60" s="40"/>
      <c r="O60" s="39" t="s">
        <v>777</v>
      </c>
      <c r="P60" s="39" t="s">
        <v>778</v>
      </c>
      <c r="Q60" s="39" t="s">
        <v>69</v>
      </c>
      <c r="R60" s="39" t="s">
        <v>783</v>
      </c>
    </row>
    <row r="61" spans="1:18" ht="88" customHeight="1">
      <c r="A61" s="37" t="s">
        <v>816</v>
      </c>
      <c r="B61" s="37" t="s">
        <v>562</v>
      </c>
      <c r="C61" s="37" t="s">
        <v>814</v>
      </c>
      <c r="D61" s="37" t="s">
        <v>815</v>
      </c>
      <c r="E61" s="37" t="s">
        <v>815</v>
      </c>
      <c r="F61" s="37" t="s">
        <v>815</v>
      </c>
      <c r="G61" s="37" t="s">
        <v>815</v>
      </c>
      <c r="H61" s="37" t="s">
        <v>610</v>
      </c>
      <c r="I61" s="37" t="s">
        <v>769</v>
      </c>
      <c r="J61" s="37" t="s">
        <v>675</v>
      </c>
      <c r="K61" s="37"/>
      <c r="L61" s="37"/>
      <c r="M61" s="38">
        <v>46023</v>
      </c>
      <c r="N61" s="38"/>
      <c r="O61" s="37" t="s">
        <v>777</v>
      </c>
      <c r="P61" s="37" t="s">
        <v>778</v>
      </c>
      <c r="Q61" s="37" t="s">
        <v>69</v>
      </c>
      <c r="R61" s="37" t="s">
        <v>783</v>
      </c>
    </row>
    <row r="62" spans="1:18" ht="88" customHeight="1">
      <c r="A62" s="39" t="s">
        <v>817</v>
      </c>
      <c r="B62" s="39" t="s">
        <v>557</v>
      </c>
      <c r="C62" s="39" t="s">
        <v>818</v>
      </c>
      <c r="D62" s="39" t="s">
        <v>819</v>
      </c>
      <c r="E62" s="39" t="s">
        <v>819</v>
      </c>
      <c r="F62" s="39" t="s">
        <v>819</v>
      </c>
      <c r="G62" s="39" t="s">
        <v>819</v>
      </c>
      <c r="H62" s="39" t="s">
        <v>610</v>
      </c>
      <c r="I62" s="39" t="s">
        <v>769</v>
      </c>
      <c r="J62" s="39" t="s">
        <v>685</v>
      </c>
      <c r="K62" s="39"/>
      <c r="L62" s="39"/>
      <c r="M62" s="40">
        <v>46023</v>
      </c>
      <c r="N62" s="40"/>
      <c r="O62" s="39" t="s">
        <v>777</v>
      </c>
      <c r="P62" s="39" t="s">
        <v>778</v>
      </c>
      <c r="Q62" s="39" t="s">
        <v>69</v>
      </c>
      <c r="R62" s="39" t="s">
        <v>783</v>
      </c>
    </row>
    <row r="63" spans="1:18" ht="88" customHeight="1">
      <c r="A63" s="37" t="s">
        <v>820</v>
      </c>
      <c r="B63" s="37" t="s">
        <v>562</v>
      </c>
      <c r="C63" s="37" t="s">
        <v>818</v>
      </c>
      <c r="D63" s="37" t="s">
        <v>819</v>
      </c>
      <c r="E63" s="37" t="s">
        <v>819</v>
      </c>
      <c r="F63" s="37" t="s">
        <v>819</v>
      </c>
      <c r="G63" s="37" t="s">
        <v>819</v>
      </c>
      <c r="H63" s="37" t="s">
        <v>610</v>
      </c>
      <c r="I63" s="37" t="s">
        <v>769</v>
      </c>
      <c r="J63" s="37" t="s">
        <v>675</v>
      </c>
      <c r="K63" s="37"/>
      <c r="L63" s="37"/>
      <c r="M63" s="38">
        <v>46023</v>
      </c>
      <c r="N63" s="38"/>
      <c r="O63" s="37" t="s">
        <v>777</v>
      </c>
      <c r="P63" s="37" t="s">
        <v>778</v>
      </c>
      <c r="Q63" s="37" t="s">
        <v>69</v>
      </c>
      <c r="R63" s="37" t="s">
        <v>783</v>
      </c>
    </row>
    <row r="64" spans="1:18" ht="88" customHeight="1">
      <c r="A64" s="39" t="s">
        <v>821</v>
      </c>
      <c r="B64" s="39" t="s">
        <v>557</v>
      </c>
      <c r="C64" s="39" t="s">
        <v>822</v>
      </c>
      <c r="D64" s="39" t="s">
        <v>823</v>
      </c>
      <c r="E64" s="39" t="s">
        <v>823</v>
      </c>
      <c r="F64" s="39" t="s">
        <v>823</v>
      </c>
      <c r="G64" s="39" t="s">
        <v>823</v>
      </c>
      <c r="H64" s="39" t="s">
        <v>824</v>
      </c>
      <c r="I64" s="39" t="s">
        <v>775</v>
      </c>
      <c r="J64" s="39" t="s">
        <v>685</v>
      </c>
      <c r="K64" s="39"/>
      <c r="L64" s="39"/>
      <c r="M64" s="40">
        <v>46023</v>
      </c>
      <c r="N64" s="40"/>
      <c r="O64" s="39" t="s">
        <v>777</v>
      </c>
      <c r="P64" s="39" t="s">
        <v>778</v>
      </c>
      <c r="Q64" s="39" t="s">
        <v>69</v>
      </c>
      <c r="R64" s="39" t="s">
        <v>783</v>
      </c>
    </row>
    <row r="65" spans="1:18" ht="88" customHeight="1">
      <c r="A65" s="37" t="s">
        <v>825</v>
      </c>
      <c r="B65" s="37" t="s">
        <v>562</v>
      </c>
      <c r="C65" s="37" t="s">
        <v>822</v>
      </c>
      <c r="D65" s="37" t="s">
        <v>823</v>
      </c>
      <c r="E65" s="37" t="s">
        <v>823</v>
      </c>
      <c r="F65" s="37" t="s">
        <v>823</v>
      </c>
      <c r="G65" s="37" t="s">
        <v>823</v>
      </c>
      <c r="H65" s="37" t="s">
        <v>824</v>
      </c>
      <c r="I65" s="37" t="s">
        <v>775</v>
      </c>
      <c r="J65" s="37" t="s">
        <v>675</v>
      </c>
      <c r="K65" s="37"/>
      <c r="L65" s="37"/>
      <c r="M65" s="38">
        <v>46023</v>
      </c>
      <c r="N65" s="38"/>
      <c r="O65" s="37" t="s">
        <v>777</v>
      </c>
      <c r="P65" s="37" t="s">
        <v>778</v>
      </c>
      <c r="Q65" s="37" t="s">
        <v>69</v>
      </c>
      <c r="R65" s="37" t="s">
        <v>783</v>
      </c>
    </row>
    <row r="66" spans="1:18" ht="88" customHeight="1">
      <c r="A66" s="39" t="s">
        <v>826</v>
      </c>
      <c r="B66" s="39" t="s">
        <v>557</v>
      </c>
      <c r="C66" s="39" t="s">
        <v>827</v>
      </c>
      <c r="D66" s="39" t="s">
        <v>828</v>
      </c>
      <c r="E66" s="39" t="s">
        <v>828</v>
      </c>
      <c r="F66" s="39" t="s">
        <v>828</v>
      </c>
      <c r="G66" s="39" t="s">
        <v>828</v>
      </c>
      <c r="H66" s="39" t="s">
        <v>824</v>
      </c>
      <c r="I66" s="39" t="s">
        <v>775</v>
      </c>
      <c r="J66" s="39" t="s">
        <v>685</v>
      </c>
      <c r="K66" s="39"/>
      <c r="L66" s="39"/>
      <c r="M66" s="40">
        <v>46023</v>
      </c>
      <c r="N66" s="40"/>
      <c r="O66" s="39" t="s">
        <v>777</v>
      </c>
      <c r="P66" s="39" t="s">
        <v>778</v>
      </c>
      <c r="Q66" s="39" t="s">
        <v>69</v>
      </c>
      <c r="R66" s="39" t="s">
        <v>783</v>
      </c>
    </row>
    <row r="67" spans="1:18" ht="88" customHeight="1">
      <c r="A67" s="37" t="s">
        <v>829</v>
      </c>
      <c r="B67" s="37" t="s">
        <v>562</v>
      </c>
      <c r="C67" s="37" t="s">
        <v>827</v>
      </c>
      <c r="D67" s="37" t="s">
        <v>828</v>
      </c>
      <c r="E67" s="37" t="s">
        <v>828</v>
      </c>
      <c r="F67" s="37" t="s">
        <v>828</v>
      </c>
      <c r="G67" s="37" t="s">
        <v>828</v>
      </c>
      <c r="H67" s="37" t="s">
        <v>824</v>
      </c>
      <c r="I67" s="37" t="s">
        <v>775</v>
      </c>
      <c r="J67" s="37" t="s">
        <v>675</v>
      </c>
      <c r="K67" s="37"/>
      <c r="L67" s="37"/>
      <c r="M67" s="38">
        <v>46023</v>
      </c>
      <c r="N67" s="38"/>
      <c r="O67" s="37" t="s">
        <v>777</v>
      </c>
      <c r="P67" s="37" t="s">
        <v>778</v>
      </c>
      <c r="Q67" s="37" t="s">
        <v>69</v>
      </c>
      <c r="R67" s="37" t="s">
        <v>783</v>
      </c>
    </row>
    <row r="68" spans="1:18" ht="88" customHeight="1">
      <c r="A68" s="39" t="s">
        <v>830</v>
      </c>
      <c r="B68" s="39" t="s">
        <v>571</v>
      </c>
      <c r="C68" s="39" t="s">
        <v>831</v>
      </c>
      <c r="D68" s="39" t="s">
        <v>326</v>
      </c>
      <c r="E68" s="39" t="s">
        <v>327</v>
      </c>
      <c r="F68" s="39" t="s">
        <v>328</v>
      </c>
      <c r="G68" s="39" t="s">
        <v>329</v>
      </c>
      <c r="H68" s="39" t="s">
        <v>605</v>
      </c>
      <c r="I68" s="39" t="s">
        <v>674</v>
      </c>
      <c r="J68" s="39" t="s">
        <v>675</v>
      </c>
      <c r="K68" s="39"/>
      <c r="L68" s="39"/>
      <c r="M68" s="40">
        <v>46023</v>
      </c>
      <c r="N68" s="40"/>
      <c r="O68" s="39" t="s">
        <v>572</v>
      </c>
      <c r="P68" s="39" t="s">
        <v>659</v>
      </c>
      <c r="Q68" s="39" t="s">
        <v>69</v>
      </c>
      <c r="R68" s="39" t="s">
        <v>832</v>
      </c>
    </row>
    <row r="69" spans="1:18" ht="88" customHeight="1">
      <c r="A69" s="37" t="s">
        <v>833</v>
      </c>
      <c r="B69" s="37" t="s">
        <v>571</v>
      </c>
      <c r="C69" s="37" t="s">
        <v>834</v>
      </c>
      <c r="D69" s="37" t="s">
        <v>835</v>
      </c>
      <c r="E69" s="37" t="s">
        <v>836</v>
      </c>
      <c r="F69" s="37" t="s">
        <v>837</v>
      </c>
      <c r="G69" s="37" t="s">
        <v>838</v>
      </c>
      <c r="H69" s="37" t="s">
        <v>615</v>
      </c>
      <c r="I69" s="37" t="s">
        <v>831</v>
      </c>
      <c r="J69" s="37" t="s">
        <v>685</v>
      </c>
      <c r="K69" s="37"/>
      <c r="L69" s="37"/>
      <c r="M69" s="38">
        <v>46023</v>
      </c>
      <c r="N69" s="38"/>
      <c r="O69" s="37" t="s">
        <v>572</v>
      </c>
      <c r="P69" s="37" t="s">
        <v>573</v>
      </c>
      <c r="Q69" s="37" t="s">
        <v>69</v>
      </c>
      <c r="R69" s="37" t="s">
        <v>839</v>
      </c>
    </row>
    <row r="70" spans="1:18" ht="88" customHeight="1">
      <c r="A70" s="39" t="s">
        <v>840</v>
      </c>
      <c r="B70" s="39" t="s">
        <v>580</v>
      </c>
      <c r="C70" s="39" t="s">
        <v>834</v>
      </c>
      <c r="D70" s="39" t="s">
        <v>835</v>
      </c>
      <c r="E70" s="39" t="s">
        <v>836</v>
      </c>
      <c r="F70" s="39" t="s">
        <v>837</v>
      </c>
      <c r="G70" s="39" t="s">
        <v>838</v>
      </c>
      <c r="H70" s="39" t="s">
        <v>615</v>
      </c>
      <c r="I70" s="39" t="s">
        <v>831</v>
      </c>
      <c r="J70" s="39" t="s">
        <v>675</v>
      </c>
      <c r="K70" s="39"/>
      <c r="L70" s="39"/>
      <c r="M70" s="40">
        <v>46023</v>
      </c>
      <c r="N70" s="40"/>
      <c r="O70" s="39" t="s">
        <v>572</v>
      </c>
      <c r="P70" s="39" t="s">
        <v>659</v>
      </c>
      <c r="Q70" s="39" t="s">
        <v>69</v>
      </c>
      <c r="R70" s="39" t="s">
        <v>841</v>
      </c>
    </row>
    <row r="73" spans="1:18">
      <c r="A73" s="32" t="s">
        <v>842</v>
      </c>
    </row>
    <row r="74" spans="1:18">
      <c r="A74" s="32" t="s">
        <v>843</v>
      </c>
    </row>
    <row r="75" spans="1:18">
      <c r="A75" s="32" t="s">
        <v>844</v>
      </c>
    </row>
    <row r="76" spans="1:18">
      <c r="A76" s="32" t="s">
        <v>845</v>
      </c>
    </row>
    <row r="77" spans="1:18">
      <c r="A77" s="32" t="s">
        <v>846</v>
      </c>
    </row>
  </sheetData>
  <sheetProtection sheet="1" objects="1" scenarios="1" sort="0" autoFilter="0"/>
  <conditionalFormatting sqref="E7:E70">
    <cfRule type="containsBlanks" dxfId="10" priority="1"/>
  </conditionalFormatting>
  <conditionalFormatting sqref="F7:F70">
    <cfRule type="containsBlanks" dxfId="9" priority="2"/>
  </conditionalFormatting>
  <conditionalFormatting sqref="G7:G70">
    <cfRule type="containsBlanks" dxfId="8" priority="3"/>
  </conditionalFormatting>
  <conditionalFormatting sqref="K7:K70">
    <cfRule type="containsBlanks" dxfId="7" priority="4"/>
  </conditionalFormatting>
  <conditionalFormatting sqref="L7:L70">
    <cfRule type="containsBlanks" dxfId="6" priority="5"/>
  </conditionalFormatting>
  <conditionalFormatting sqref="Q7:Q70">
    <cfRule type="containsText" dxfId="5" priority="6" operator="containsText" text="open"/>
    <cfRule type="containsText" dxfId="4" priority="7" operator="containsText" text="blocked"/>
  </conditionalFormatting>
  <dataValidations count="3">
    <dataValidation type="list" sqref="H7:H70" xr:uid="{00000000-0002-0000-0500-000000000000}">
      <formula1>"Bund,Kanton,Bezirk,Gemeinde,Ortsteil,Gebietsgruppe"</formula1>
    </dataValidation>
    <dataValidation type="list" sqref="J7:J70" xr:uid="{00000000-0002-0000-0500-000001000000}">
      <formula1>"include,exclude"</formula1>
    </dataValidation>
    <dataValidation type="list" sqref="Q7:Q70" xr:uid="{00000000-0002-0000-0500-000002000000}">
      <formula1>"open,blocked"</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43"/>
  <sheetViews>
    <sheetView showGridLines="0" workbookViewId="0">
      <pane xSplit="1" ySplit="6" topLeftCell="B7" activePane="bottomRight" state="frozen"/>
      <selection pane="topRight"/>
      <selection pane="bottomLeft"/>
      <selection pane="bottomRight" activeCell="B7" sqref="B7"/>
    </sheetView>
  </sheetViews>
  <sheetFormatPr baseColWidth="10" defaultColWidth="8.83203125" defaultRowHeight="14"/>
  <cols>
    <col min="1" max="1" width="42" customWidth="1"/>
    <col min="2" max="2" width="16" customWidth="1"/>
    <col min="3" max="3" width="66" customWidth="1"/>
    <col min="4" max="4" width="39" customWidth="1"/>
    <col min="5" max="5" width="28" customWidth="1"/>
    <col min="6" max="7" width="17" customWidth="1"/>
    <col min="8" max="8" width="59" customWidth="1"/>
    <col min="9" max="9" width="16" customWidth="1"/>
    <col min="10" max="10" width="41" customWidth="1"/>
    <col min="11" max="11" width="90" customWidth="1"/>
  </cols>
  <sheetData>
    <row r="1" spans="1:11" ht="24" customHeight="1">
      <c r="A1" s="2"/>
      <c r="B1" s="2"/>
      <c r="C1" s="2"/>
      <c r="D1" s="2"/>
      <c r="E1" s="2"/>
      <c r="F1" s="2"/>
      <c r="G1" s="2"/>
      <c r="H1" s="2"/>
      <c r="I1" s="2"/>
      <c r="J1" s="2"/>
      <c r="K1" s="2"/>
    </row>
    <row r="2" spans="1:11" ht="24" customHeight="1">
      <c r="A2" s="3" t="s">
        <v>847</v>
      </c>
      <c r="B2" s="2"/>
      <c r="C2" s="2"/>
      <c r="D2" s="2"/>
      <c r="E2" s="2"/>
      <c r="F2" s="2"/>
      <c r="G2" s="2"/>
      <c r="H2" s="2"/>
      <c r="I2" s="2"/>
      <c r="J2" s="2"/>
      <c r="K2" s="2"/>
    </row>
    <row r="3" spans="1:11" ht="24" customHeight="1">
      <c r="A3" s="4"/>
      <c r="B3" s="4"/>
      <c r="C3" s="4"/>
      <c r="D3" s="4"/>
      <c r="E3" s="4"/>
      <c r="F3" s="4"/>
      <c r="G3" s="4"/>
      <c r="H3" s="4"/>
      <c r="I3" s="4"/>
      <c r="J3" s="4"/>
      <c r="K3" s="4"/>
    </row>
    <row r="4" spans="1:11" ht="24" customHeight="1">
      <c r="A4" s="8" t="s">
        <v>848</v>
      </c>
      <c r="B4" s="2"/>
      <c r="C4" s="2"/>
      <c r="D4" s="2"/>
      <c r="E4" s="2"/>
      <c r="F4" s="2"/>
      <c r="G4" s="2"/>
      <c r="H4" s="2"/>
      <c r="I4" s="2"/>
      <c r="J4" s="2"/>
      <c r="K4" s="2"/>
    </row>
    <row r="5" spans="1:11" ht="24" customHeight="1">
      <c r="A5" s="2"/>
      <c r="B5" s="2"/>
      <c r="C5" s="2"/>
      <c r="D5" s="2"/>
      <c r="E5" s="2"/>
      <c r="F5" s="2"/>
      <c r="G5" s="2"/>
      <c r="H5" s="2"/>
      <c r="I5" s="2"/>
      <c r="J5" s="2"/>
      <c r="K5" s="2"/>
    </row>
    <row r="6" spans="1:11" ht="42" customHeight="1">
      <c r="A6" s="9" t="s">
        <v>45</v>
      </c>
      <c r="B6" s="9" t="s">
        <v>19</v>
      </c>
      <c r="C6" s="9" t="s">
        <v>849</v>
      </c>
      <c r="D6" s="9" t="s">
        <v>46</v>
      </c>
      <c r="E6" s="9" t="s">
        <v>850</v>
      </c>
      <c r="F6" s="9" t="s">
        <v>851</v>
      </c>
      <c r="G6" s="9" t="s">
        <v>852</v>
      </c>
      <c r="H6" s="9" t="s">
        <v>672</v>
      </c>
      <c r="I6" s="9" t="s">
        <v>43</v>
      </c>
      <c r="J6" s="9" t="s">
        <v>853</v>
      </c>
      <c r="K6" s="9" t="s">
        <v>854</v>
      </c>
    </row>
    <row r="7" spans="1:11" ht="38" customHeight="1">
      <c r="A7" s="10" t="s">
        <v>411</v>
      </c>
      <c r="B7" s="10" t="s">
        <v>49</v>
      </c>
      <c r="C7" s="10" t="s">
        <v>855</v>
      </c>
      <c r="D7" s="10" t="s">
        <v>856</v>
      </c>
      <c r="E7" s="18" t="s">
        <v>857</v>
      </c>
      <c r="F7" s="14">
        <v>34516</v>
      </c>
      <c r="G7" s="14">
        <v>46278</v>
      </c>
      <c r="H7" s="10" t="s">
        <v>858</v>
      </c>
      <c r="I7" s="10" t="s">
        <v>290</v>
      </c>
      <c r="J7" s="10" t="s">
        <v>408</v>
      </c>
      <c r="K7" s="10" t="s">
        <v>291</v>
      </c>
    </row>
    <row r="8" spans="1:11" ht="38" customHeight="1">
      <c r="A8" s="11" t="s">
        <v>418</v>
      </c>
      <c r="B8" s="11" t="s">
        <v>53</v>
      </c>
      <c r="C8" s="11" t="s">
        <v>859</v>
      </c>
      <c r="D8" s="11" t="s">
        <v>860</v>
      </c>
      <c r="E8" s="19" t="s">
        <v>857</v>
      </c>
      <c r="F8" s="15">
        <v>44287</v>
      </c>
      <c r="G8" s="15">
        <v>46278</v>
      </c>
      <c r="H8" s="11" t="s">
        <v>858</v>
      </c>
      <c r="I8" s="11" t="s">
        <v>290</v>
      </c>
      <c r="J8" s="11" t="s">
        <v>408</v>
      </c>
      <c r="K8" s="11" t="s">
        <v>299</v>
      </c>
    </row>
    <row r="9" spans="1:11" ht="38" customHeight="1">
      <c r="A9" s="10" t="s">
        <v>459</v>
      </c>
      <c r="B9" s="24" t="s">
        <v>67</v>
      </c>
      <c r="C9" s="24" t="s">
        <v>861</v>
      </c>
      <c r="D9" s="24" t="s">
        <v>862</v>
      </c>
      <c r="E9" s="18" t="s">
        <v>857</v>
      </c>
      <c r="F9" s="29">
        <v>45901</v>
      </c>
      <c r="G9" s="29">
        <v>46278</v>
      </c>
      <c r="H9" s="24" t="s">
        <v>863</v>
      </c>
      <c r="I9" s="24" t="s">
        <v>69</v>
      </c>
      <c r="J9" s="24"/>
      <c r="K9" s="10" t="s">
        <v>358</v>
      </c>
    </row>
    <row r="10" spans="1:11" ht="38" customHeight="1">
      <c r="A10" s="11" t="s">
        <v>470</v>
      </c>
      <c r="B10" s="26" t="s">
        <v>67</v>
      </c>
      <c r="C10" s="26" t="s">
        <v>864</v>
      </c>
      <c r="D10" s="26" t="s">
        <v>865</v>
      </c>
      <c r="E10" s="19" t="s">
        <v>857</v>
      </c>
      <c r="F10" s="31">
        <v>44562</v>
      </c>
      <c r="G10" s="31">
        <v>46278</v>
      </c>
      <c r="H10" s="26" t="s">
        <v>866</v>
      </c>
      <c r="I10" s="26" t="s">
        <v>69</v>
      </c>
      <c r="J10" s="26"/>
      <c r="K10" s="11" t="s">
        <v>867</v>
      </c>
    </row>
    <row r="11" spans="1:11" ht="38" customHeight="1">
      <c r="A11" s="10" t="s">
        <v>868</v>
      </c>
      <c r="B11" s="24" t="s">
        <v>49</v>
      </c>
      <c r="C11" s="24" t="s">
        <v>869</v>
      </c>
      <c r="D11" s="24" t="s">
        <v>870</v>
      </c>
      <c r="E11" s="18" t="s">
        <v>857</v>
      </c>
      <c r="F11" s="29">
        <v>41260</v>
      </c>
      <c r="G11" s="29">
        <v>46278</v>
      </c>
      <c r="H11" s="24" t="s">
        <v>871</v>
      </c>
      <c r="I11" s="24" t="s">
        <v>69</v>
      </c>
      <c r="J11" s="24"/>
      <c r="K11" s="10" t="s">
        <v>872</v>
      </c>
    </row>
    <row r="12" spans="1:11" ht="68" customHeight="1">
      <c r="A12" s="11" t="s">
        <v>873</v>
      </c>
      <c r="B12" s="26" t="s">
        <v>67</v>
      </c>
      <c r="C12" s="26" t="s">
        <v>874</v>
      </c>
      <c r="D12" s="26" t="s">
        <v>875</v>
      </c>
      <c r="E12" s="19" t="s">
        <v>857</v>
      </c>
      <c r="F12" s="31"/>
      <c r="G12" s="31">
        <v>46278</v>
      </c>
      <c r="H12" s="26" t="s">
        <v>876</v>
      </c>
      <c r="I12" s="26" t="s">
        <v>69</v>
      </c>
      <c r="J12" s="26"/>
      <c r="K12" s="11" t="s">
        <v>877</v>
      </c>
    </row>
    <row r="13" spans="1:11" ht="82" customHeight="1">
      <c r="A13" s="10" t="s">
        <v>496</v>
      </c>
      <c r="B13" s="24" t="s">
        <v>157</v>
      </c>
      <c r="C13" s="24" t="s">
        <v>878</v>
      </c>
      <c r="D13" s="24" t="s">
        <v>879</v>
      </c>
      <c r="E13" s="18" t="s">
        <v>857</v>
      </c>
      <c r="F13" s="29"/>
      <c r="G13" s="29">
        <v>46278</v>
      </c>
      <c r="H13" s="24" t="s">
        <v>880</v>
      </c>
      <c r="I13" s="24" t="s">
        <v>69</v>
      </c>
      <c r="J13" s="24"/>
      <c r="K13" s="10" t="s">
        <v>364</v>
      </c>
    </row>
    <row r="14" spans="1:11" ht="82" customHeight="1">
      <c r="A14" s="11" t="s">
        <v>881</v>
      </c>
      <c r="B14" s="26" t="s">
        <v>157</v>
      </c>
      <c r="C14" s="26" t="s">
        <v>882</v>
      </c>
      <c r="D14" s="26" t="s">
        <v>883</v>
      </c>
      <c r="E14" s="19" t="s">
        <v>857</v>
      </c>
      <c r="F14" s="31"/>
      <c r="G14" s="31">
        <v>46278</v>
      </c>
      <c r="H14" s="26" t="s">
        <v>884</v>
      </c>
      <c r="I14" s="26" t="s">
        <v>69</v>
      </c>
      <c r="J14" s="26"/>
      <c r="K14" s="11" t="s">
        <v>885</v>
      </c>
    </row>
    <row r="15" spans="1:11" ht="82" customHeight="1">
      <c r="A15" s="10" t="s">
        <v>886</v>
      </c>
      <c r="B15" s="24" t="s">
        <v>157</v>
      </c>
      <c r="C15" s="24" t="s">
        <v>887</v>
      </c>
      <c r="D15" s="24" t="s">
        <v>888</v>
      </c>
      <c r="E15" s="18" t="s">
        <v>857</v>
      </c>
      <c r="F15" s="29">
        <v>45809</v>
      </c>
      <c r="G15" s="29">
        <v>46278</v>
      </c>
      <c r="H15" s="24" t="s">
        <v>889</v>
      </c>
      <c r="I15" s="24" t="s">
        <v>69</v>
      </c>
      <c r="J15" s="24"/>
      <c r="K15" s="10" t="s">
        <v>890</v>
      </c>
    </row>
    <row r="16" spans="1:11" ht="82" customHeight="1">
      <c r="A16" s="11" t="s">
        <v>533</v>
      </c>
      <c r="B16" s="26" t="s">
        <v>176</v>
      </c>
      <c r="C16" s="26" t="s">
        <v>891</v>
      </c>
      <c r="D16" s="26" t="s">
        <v>892</v>
      </c>
      <c r="E16" s="19" t="s">
        <v>857</v>
      </c>
      <c r="F16" s="31">
        <v>42370</v>
      </c>
      <c r="G16" s="31">
        <v>46278</v>
      </c>
      <c r="H16" s="26" t="s">
        <v>893</v>
      </c>
      <c r="I16" s="26" t="s">
        <v>69</v>
      </c>
      <c r="J16" s="26"/>
      <c r="K16" s="11" t="s">
        <v>354</v>
      </c>
    </row>
    <row r="17" spans="1:11" ht="82" customHeight="1">
      <c r="A17" s="10" t="s">
        <v>894</v>
      </c>
      <c r="B17" s="24" t="s">
        <v>176</v>
      </c>
      <c r="C17" s="24" t="s">
        <v>895</v>
      </c>
      <c r="D17" s="24" t="s">
        <v>896</v>
      </c>
      <c r="E17" s="18" t="s">
        <v>857</v>
      </c>
      <c r="F17" s="29">
        <v>45658</v>
      </c>
      <c r="G17" s="29">
        <v>46278</v>
      </c>
      <c r="H17" s="24" t="s">
        <v>897</v>
      </c>
      <c r="I17" s="24" t="s">
        <v>69</v>
      </c>
      <c r="J17" s="24"/>
      <c r="K17" s="10" t="s">
        <v>898</v>
      </c>
    </row>
    <row r="18" spans="1:11" ht="82" customHeight="1">
      <c r="A18" s="11" t="s">
        <v>899</v>
      </c>
      <c r="B18" s="26" t="s">
        <v>176</v>
      </c>
      <c r="C18" s="26" t="s">
        <v>900</v>
      </c>
      <c r="D18" s="26" t="s">
        <v>901</v>
      </c>
      <c r="E18" s="19" t="s">
        <v>857</v>
      </c>
      <c r="F18" s="31">
        <v>42370</v>
      </c>
      <c r="G18" s="31">
        <v>46278</v>
      </c>
      <c r="H18" s="26" t="s">
        <v>902</v>
      </c>
      <c r="I18" s="26" t="s">
        <v>69</v>
      </c>
      <c r="J18" s="26"/>
      <c r="K18" s="11" t="s">
        <v>903</v>
      </c>
    </row>
    <row r="19" spans="1:11" ht="82" customHeight="1">
      <c r="A19" s="10" t="s">
        <v>904</v>
      </c>
      <c r="B19" s="24" t="s">
        <v>176</v>
      </c>
      <c r="C19" s="24" t="s">
        <v>905</v>
      </c>
      <c r="D19" s="24" t="s">
        <v>906</v>
      </c>
      <c r="E19" s="18" t="s">
        <v>857</v>
      </c>
      <c r="F19" s="29">
        <v>42370</v>
      </c>
      <c r="G19" s="29">
        <v>46278</v>
      </c>
      <c r="H19" s="24" t="s">
        <v>907</v>
      </c>
      <c r="I19" s="24" t="s">
        <v>69</v>
      </c>
      <c r="J19" s="24"/>
      <c r="K19" s="10" t="s">
        <v>908</v>
      </c>
    </row>
    <row r="20" spans="1:11" ht="82" customHeight="1">
      <c r="A20" s="11" t="s">
        <v>909</v>
      </c>
      <c r="B20" s="26" t="s">
        <v>176</v>
      </c>
      <c r="C20" s="26" t="s">
        <v>910</v>
      </c>
      <c r="D20" s="26" t="s">
        <v>911</v>
      </c>
      <c r="E20" s="19" t="s">
        <v>857</v>
      </c>
      <c r="F20" s="31">
        <v>45658</v>
      </c>
      <c r="G20" s="31">
        <v>46278</v>
      </c>
      <c r="H20" s="26" t="s">
        <v>912</v>
      </c>
      <c r="I20" s="26" t="s">
        <v>69</v>
      </c>
      <c r="J20" s="26"/>
      <c r="K20" s="11" t="s">
        <v>913</v>
      </c>
    </row>
    <row r="21" spans="1:11" ht="82" customHeight="1">
      <c r="A21" s="10" t="s">
        <v>914</v>
      </c>
      <c r="B21" s="24" t="s">
        <v>157</v>
      </c>
      <c r="C21" s="24" t="s">
        <v>915</v>
      </c>
      <c r="D21" s="24" t="s">
        <v>916</v>
      </c>
      <c r="E21" s="18" t="s">
        <v>857</v>
      </c>
      <c r="F21" s="29"/>
      <c r="G21" s="29">
        <v>46278</v>
      </c>
      <c r="H21" s="24" t="s">
        <v>917</v>
      </c>
      <c r="I21" s="24" t="s">
        <v>69</v>
      </c>
      <c r="J21" s="24"/>
      <c r="K21" s="10" t="s">
        <v>918</v>
      </c>
    </row>
    <row r="22" spans="1:11" ht="82" customHeight="1">
      <c r="A22" s="11" t="s">
        <v>919</v>
      </c>
      <c r="B22" s="26" t="s">
        <v>49</v>
      </c>
      <c r="C22" s="26" t="s">
        <v>920</v>
      </c>
      <c r="D22" s="26" t="s">
        <v>921</v>
      </c>
      <c r="E22" s="19" t="s">
        <v>857</v>
      </c>
      <c r="F22" s="31"/>
      <c r="G22" s="31">
        <v>46278</v>
      </c>
      <c r="H22" s="26" t="s">
        <v>922</v>
      </c>
      <c r="I22" s="26" t="s">
        <v>69</v>
      </c>
      <c r="J22" s="26"/>
      <c r="K22" s="11" t="s">
        <v>923</v>
      </c>
    </row>
    <row r="23" spans="1:11" ht="82" customHeight="1">
      <c r="A23" s="10" t="s">
        <v>924</v>
      </c>
      <c r="B23" s="24" t="s">
        <v>157</v>
      </c>
      <c r="C23" s="24" t="s">
        <v>925</v>
      </c>
      <c r="D23" s="24" t="s">
        <v>926</v>
      </c>
      <c r="E23" s="18" t="s">
        <v>857</v>
      </c>
      <c r="F23" s="29"/>
      <c r="G23" s="29">
        <v>46278</v>
      </c>
      <c r="H23" s="24" t="s">
        <v>927</v>
      </c>
      <c r="I23" s="24" t="s">
        <v>69</v>
      </c>
      <c r="J23" s="24"/>
      <c r="K23" s="10" t="s">
        <v>928</v>
      </c>
    </row>
    <row r="24" spans="1:11" ht="88" customHeight="1">
      <c r="A24" s="11" t="s">
        <v>929</v>
      </c>
      <c r="B24" s="26" t="s">
        <v>190</v>
      </c>
      <c r="C24" s="26" t="s">
        <v>930</v>
      </c>
      <c r="D24" s="26" t="s">
        <v>931</v>
      </c>
      <c r="E24" s="19" t="s">
        <v>857</v>
      </c>
      <c r="F24" s="31">
        <v>41334</v>
      </c>
      <c r="G24" s="31">
        <v>46278</v>
      </c>
      <c r="H24" s="26" t="s">
        <v>932</v>
      </c>
      <c r="I24" s="26" t="s">
        <v>69</v>
      </c>
      <c r="J24" s="26"/>
      <c r="K24" s="11" t="s">
        <v>372</v>
      </c>
    </row>
    <row r="25" spans="1:11" ht="88" customHeight="1">
      <c r="A25" s="10" t="s">
        <v>549</v>
      </c>
      <c r="B25" s="24" t="s">
        <v>190</v>
      </c>
      <c r="C25" s="24" t="s">
        <v>933</v>
      </c>
      <c r="D25" s="24" t="s">
        <v>934</v>
      </c>
      <c r="E25" s="18" t="s">
        <v>857</v>
      </c>
      <c r="F25" s="29">
        <v>24443</v>
      </c>
      <c r="G25" s="29">
        <v>46278</v>
      </c>
      <c r="H25" s="24" t="s">
        <v>935</v>
      </c>
      <c r="I25" s="24" t="s">
        <v>69</v>
      </c>
      <c r="J25" s="24"/>
      <c r="K25" s="10" t="s">
        <v>936</v>
      </c>
    </row>
    <row r="26" spans="1:11" ht="88" customHeight="1">
      <c r="A26" s="11" t="s">
        <v>937</v>
      </c>
      <c r="B26" s="26" t="s">
        <v>190</v>
      </c>
      <c r="C26" s="26" t="s">
        <v>938</v>
      </c>
      <c r="D26" s="26" t="s">
        <v>939</v>
      </c>
      <c r="E26" s="19" t="s">
        <v>857</v>
      </c>
      <c r="F26" s="31">
        <v>42644</v>
      </c>
      <c r="G26" s="31">
        <v>46278</v>
      </c>
      <c r="H26" s="26" t="s">
        <v>940</v>
      </c>
      <c r="I26" s="26" t="s">
        <v>69</v>
      </c>
      <c r="J26" s="26"/>
      <c r="K26" s="11" t="s">
        <v>941</v>
      </c>
    </row>
    <row r="27" spans="1:11" ht="88" customHeight="1">
      <c r="A27" s="10" t="s">
        <v>553</v>
      </c>
      <c r="B27" s="24" t="s">
        <v>190</v>
      </c>
      <c r="C27" s="24" t="s">
        <v>942</v>
      </c>
      <c r="D27" s="24" t="s">
        <v>943</v>
      </c>
      <c r="E27" s="18" t="s">
        <v>857</v>
      </c>
      <c r="F27" s="29">
        <v>45292</v>
      </c>
      <c r="G27" s="29">
        <v>46278</v>
      </c>
      <c r="H27" s="24" t="s">
        <v>944</v>
      </c>
      <c r="I27" s="24" t="s">
        <v>69</v>
      </c>
      <c r="J27" s="24"/>
      <c r="K27" s="10" t="s">
        <v>945</v>
      </c>
    </row>
    <row r="28" spans="1:11" ht="88" customHeight="1">
      <c r="A28" s="11" t="s">
        <v>946</v>
      </c>
      <c r="B28" s="26" t="s">
        <v>190</v>
      </c>
      <c r="C28" s="26" t="s">
        <v>947</v>
      </c>
      <c r="D28" s="26" t="s">
        <v>948</v>
      </c>
      <c r="E28" s="19" t="s">
        <v>857</v>
      </c>
      <c r="F28" s="31">
        <v>46143</v>
      </c>
      <c r="G28" s="31">
        <v>46278</v>
      </c>
      <c r="H28" s="26" t="s">
        <v>949</v>
      </c>
      <c r="I28" s="26" t="s">
        <v>69</v>
      </c>
      <c r="J28" s="26"/>
      <c r="K28" s="11" t="s">
        <v>950</v>
      </c>
    </row>
    <row r="29" spans="1:11" ht="88" customHeight="1">
      <c r="A29" s="10" t="s">
        <v>582</v>
      </c>
      <c r="B29" s="24" t="s">
        <v>269</v>
      </c>
      <c r="C29" s="24" t="s">
        <v>951</v>
      </c>
      <c r="D29" s="24" t="s">
        <v>952</v>
      </c>
      <c r="E29" s="18" t="s">
        <v>857</v>
      </c>
      <c r="F29" s="29">
        <v>33239</v>
      </c>
      <c r="G29" s="29">
        <v>46278</v>
      </c>
      <c r="H29" s="24" t="s">
        <v>953</v>
      </c>
      <c r="I29" s="24" t="s">
        <v>69</v>
      </c>
      <c r="J29" s="24"/>
      <c r="K29" s="10" t="s">
        <v>380</v>
      </c>
    </row>
    <row r="30" spans="1:11" ht="88" customHeight="1">
      <c r="A30" s="11" t="s">
        <v>954</v>
      </c>
      <c r="B30" s="26" t="s">
        <v>269</v>
      </c>
      <c r="C30" s="26" t="s">
        <v>955</v>
      </c>
      <c r="D30" s="26" t="s">
        <v>956</v>
      </c>
      <c r="E30" s="19" t="s">
        <v>857</v>
      </c>
      <c r="F30" s="31">
        <v>46141</v>
      </c>
      <c r="G30" s="31">
        <v>46278</v>
      </c>
      <c r="H30" s="26" t="s">
        <v>957</v>
      </c>
      <c r="I30" s="26" t="s">
        <v>69</v>
      </c>
      <c r="J30" s="26"/>
      <c r="K30" s="11" t="s">
        <v>958</v>
      </c>
    </row>
    <row r="31" spans="1:11" ht="88" customHeight="1">
      <c r="A31" s="10" t="s">
        <v>959</v>
      </c>
      <c r="B31" s="24" t="s">
        <v>49</v>
      </c>
      <c r="C31" s="24" t="s">
        <v>960</v>
      </c>
      <c r="D31" s="24" t="s">
        <v>961</v>
      </c>
      <c r="E31" s="18" t="s">
        <v>857</v>
      </c>
      <c r="F31" s="29">
        <v>45175</v>
      </c>
      <c r="G31" s="29">
        <v>46278</v>
      </c>
      <c r="H31" s="24" t="s">
        <v>962</v>
      </c>
      <c r="I31" s="24" t="s">
        <v>69</v>
      </c>
      <c r="J31" s="24"/>
      <c r="K31" s="10" t="s">
        <v>963</v>
      </c>
    </row>
    <row r="32" spans="1:11" ht="88" customHeight="1">
      <c r="A32" s="11" t="s">
        <v>964</v>
      </c>
      <c r="B32" s="26" t="s">
        <v>49</v>
      </c>
      <c r="C32" s="26" t="s">
        <v>965</v>
      </c>
      <c r="D32" s="26" t="s">
        <v>966</v>
      </c>
      <c r="E32" s="19" t="s">
        <v>857</v>
      </c>
      <c r="F32" s="31">
        <v>45299</v>
      </c>
      <c r="G32" s="31">
        <v>46278</v>
      </c>
      <c r="H32" s="26" t="s">
        <v>967</v>
      </c>
      <c r="I32" s="26" t="s">
        <v>69</v>
      </c>
      <c r="J32" s="26"/>
      <c r="K32" s="11" t="s">
        <v>968</v>
      </c>
    </row>
    <row r="33" spans="1:11" ht="88" customHeight="1">
      <c r="A33" s="10" t="s">
        <v>969</v>
      </c>
      <c r="B33" s="24" t="s">
        <v>176</v>
      </c>
      <c r="C33" s="24" t="s">
        <v>970</v>
      </c>
      <c r="D33" s="24" t="s">
        <v>971</v>
      </c>
      <c r="E33" s="18" t="s">
        <v>857</v>
      </c>
      <c r="F33" s="29"/>
      <c r="G33" s="29">
        <v>46278</v>
      </c>
      <c r="H33" s="24" t="s">
        <v>972</v>
      </c>
      <c r="I33" s="24" t="s">
        <v>69</v>
      </c>
      <c r="J33" s="24"/>
      <c r="K33" s="10" t="s">
        <v>973</v>
      </c>
    </row>
    <row r="34" spans="1:11" ht="88" customHeight="1">
      <c r="A34" s="11" t="s">
        <v>558</v>
      </c>
      <c r="B34" s="26" t="s">
        <v>207</v>
      </c>
      <c r="C34" s="26" t="s">
        <v>974</v>
      </c>
      <c r="D34" s="26" t="s">
        <v>975</v>
      </c>
      <c r="E34" s="19" t="s">
        <v>857</v>
      </c>
      <c r="F34" s="31">
        <v>43831</v>
      </c>
      <c r="G34" s="31">
        <v>46278</v>
      </c>
      <c r="H34" s="26" t="s">
        <v>976</v>
      </c>
      <c r="I34" s="26" t="s">
        <v>69</v>
      </c>
      <c r="J34" s="26"/>
      <c r="K34" s="11" t="s">
        <v>325</v>
      </c>
    </row>
    <row r="35" spans="1:11" ht="88" customHeight="1">
      <c r="A35" s="10" t="s">
        <v>977</v>
      </c>
      <c r="B35" s="24" t="s">
        <v>207</v>
      </c>
      <c r="C35" s="24" t="s">
        <v>978</v>
      </c>
      <c r="D35" s="24" t="s">
        <v>979</v>
      </c>
      <c r="E35" s="18" t="s">
        <v>857</v>
      </c>
      <c r="F35" s="29">
        <v>43831</v>
      </c>
      <c r="G35" s="29">
        <v>46278</v>
      </c>
      <c r="H35" s="24" t="s">
        <v>980</v>
      </c>
      <c r="I35" s="24" t="s">
        <v>69</v>
      </c>
      <c r="J35" s="24"/>
      <c r="K35" s="10" t="s">
        <v>981</v>
      </c>
    </row>
    <row r="36" spans="1:11" ht="88" customHeight="1">
      <c r="A36" s="11" t="s">
        <v>569</v>
      </c>
      <c r="B36" s="26" t="s">
        <v>207</v>
      </c>
      <c r="C36" s="26" t="s">
        <v>982</v>
      </c>
      <c r="D36" s="26" t="s">
        <v>983</v>
      </c>
      <c r="E36" s="19" t="s">
        <v>857</v>
      </c>
      <c r="F36" s="31">
        <v>45292</v>
      </c>
      <c r="G36" s="31">
        <v>46278</v>
      </c>
      <c r="H36" s="26" t="s">
        <v>984</v>
      </c>
      <c r="I36" s="26" t="s">
        <v>69</v>
      </c>
      <c r="J36" s="26"/>
      <c r="K36" s="11" t="s">
        <v>985</v>
      </c>
    </row>
    <row r="37" spans="1:11" ht="88" customHeight="1">
      <c r="A37" s="10" t="s">
        <v>986</v>
      </c>
      <c r="B37" s="24" t="s">
        <v>207</v>
      </c>
      <c r="C37" s="24" t="s">
        <v>987</v>
      </c>
      <c r="D37" s="24" t="s">
        <v>988</v>
      </c>
      <c r="E37" s="18" t="s">
        <v>857</v>
      </c>
      <c r="F37" s="29">
        <v>45292</v>
      </c>
      <c r="G37" s="29">
        <v>46278</v>
      </c>
      <c r="H37" s="24" t="s">
        <v>989</v>
      </c>
      <c r="I37" s="24" t="s">
        <v>69</v>
      </c>
      <c r="J37" s="24"/>
      <c r="K37" s="10" t="s">
        <v>990</v>
      </c>
    </row>
    <row r="38" spans="1:11" ht="88" customHeight="1">
      <c r="A38" s="11" t="s">
        <v>777</v>
      </c>
      <c r="B38" s="26" t="s">
        <v>207</v>
      </c>
      <c r="C38" s="26" t="s">
        <v>991</v>
      </c>
      <c r="D38" s="26" t="s">
        <v>778</v>
      </c>
      <c r="E38" s="19" t="s">
        <v>857</v>
      </c>
      <c r="F38" s="31"/>
      <c r="G38" s="31">
        <v>46278</v>
      </c>
      <c r="H38" s="26" t="s">
        <v>992</v>
      </c>
      <c r="I38" s="26" t="s">
        <v>69</v>
      </c>
      <c r="J38" s="26"/>
      <c r="K38" s="11" t="s">
        <v>993</v>
      </c>
    </row>
    <row r="39" spans="1:11" ht="88" customHeight="1">
      <c r="A39" s="10" t="s">
        <v>572</v>
      </c>
      <c r="B39" s="24" t="s">
        <v>244</v>
      </c>
      <c r="C39" s="24" t="s">
        <v>994</v>
      </c>
      <c r="D39" s="24" t="s">
        <v>995</v>
      </c>
      <c r="E39" s="18" t="s">
        <v>857</v>
      </c>
      <c r="F39" s="29">
        <v>41883</v>
      </c>
      <c r="G39" s="29">
        <v>46278</v>
      </c>
      <c r="H39" s="24" t="s">
        <v>996</v>
      </c>
      <c r="I39" s="24" t="s">
        <v>69</v>
      </c>
      <c r="J39" s="24"/>
      <c r="K39" s="10" t="s">
        <v>330</v>
      </c>
    </row>
    <row r="40" spans="1:11" ht="88" customHeight="1">
      <c r="A40" s="11" t="s">
        <v>997</v>
      </c>
      <c r="B40" s="26" t="s">
        <v>244</v>
      </c>
      <c r="C40" s="26" t="s">
        <v>998</v>
      </c>
      <c r="D40" s="26" t="s">
        <v>999</v>
      </c>
      <c r="E40" s="19" t="s">
        <v>857</v>
      </c>
      <c r="F40" s="31"/>
      <c r="G40" s="31">
        <v>46278</v>
      </c>
      <c r="H40" s="26" t="s">
        <v>1000</v>
      </c>
      <c r="I40" s="26" t="s">
        <v>69</v>
      </c>
      <c r="J40" s="26"/>
      <c r="K40" s="11" t="s">
        <v>1001</v>
      </c>
    </row>
    <row r="41" spans="1:11" ht="88" customHeight="1">
      <c r="A41" s="10" t="s">
        <v>1002</v>
      </c>
      <c r="B41" s="24" t="s">
        <v>49</v>
      </c>
      <c r="C41" s="24" t="s">
        <v>1003</v>
      </c>
      <c r="D41" s="24" t="s">
        <v>1004</v>
      </c>
      <c r="E41" s="18" t="s">
        <v>857</v>
      </c>
      <c r="F41" s="29">
        <v>40544</v>
      </c>
      <c r="G41" s="29">
        <v>46278</v>
      </c>
      <c r="H41" s="24" t="s">
        <v>1005</v>
      </c>
      <c r="I41" s="24" t="s">
        <v>69</v>
      </c>
      <c r="J41" s="24"/>
      <c r="K41" s="10" t="s">
        <v>1006</v>
      </c>
    </row>
    <row r="42" spans="1:11" ht="88" customHeight="1">
      <c r="A42" s="11" t="s">
        <v>1007</v>
      </c>
      <c r="B42" s="26" t="s">
        <v>49</v>
      </c>
      <c r="C42" s="26" t="s">
        <v>1008</v>
      </c>
      <c r="D42" s="26" t="s">
        <v>1009</v>
      </c>
      <c r="E42" s="19" t="s">
        <v>857</v>
      </c>
      <c r="F42" s="31"/>
      <c r="G42" s="31">
        <v>46278</v>
      </c>
      <c r="H42" s="26" t="s">
        <v>1010</v>
      </c>
      <c r="I42" s="26" t="s">
        <v>69</v>
      </c>
      <c r="J42" s="26"/>
      <c r="K42" s="11" t="s">
        <v>1011</v>
      </c>
    </row>
    <row r="43" spans="1:11" ht="88" customHeight="1">
      <c r="A43" s="10" t="s">
        <v>1012</v>
      </c>
      <c r="B43" s="24" t="s">
        <v>49</v>
      </c>
      <c r="C43" s="24" t="s">
        <v>1013</v>
      </c>
      <c r="D43" s="24" t="s">
        <v>1014</v>
      </c>
      <c r="E43" s="18" t="s">
        <v>857</v>
      </c>
      <c r="F43" s="29"/>
      <c r="G43" s="29">
        <v>46278</v>
      </c>
      <c r="H43" s="24" t="s">
        <v>1015</v>
      </c>
      <c r="I43" s="24" t="s">
        <v>69</v>
      </c>
      <c r="J43" s="24"/>
      <c r="K43" s="10" t="s">
        <v>1016</v>
      </c>
    </row>
  </sheetData>
  <sheetProtection sheet="1" objects="1" scenarios="1" sort="0" autoFilter="0"/>
  <conditionalFormatting sqref="I7:I43">
    <cfRule type="containsText" dxfId="3" priority="1" operator="containsText" text="open"/>
    <cfRule type="containsText" dxfId="2" priority="2" operator="containsText" text="blocked"/>
  </conditionalFormatting>
  <dataValidations count="1">
    <dataValidation type="list" sqref="I7:I43" xr:uid="{00000000-0002-0000-0600-000000000000}">
      <formula1>"approved,open,blocked"</formula1>
    </dataValidation>
  </dataValidations>
  <hyperlinks>
    <hyperlink ref="E7" r:id="rId1" xr:uid="{00000000-0004-0000-0600-000000000000}"/>
    <hyperlink ref="E8" r:id="rId2" xr:uid="{00000000-0004-0000-0600-000001000000}"/>
    <hyperlink ref="E9" r:id="rId3" xr:uid="{00000000-0004-0000-0600-000002000000}"/>
    <hyperlink ref="E10" r:id="rId4" xr:uid="{00000000-0004-0000-0600-000003000000}"/>
    <hyperlink ref="E11" r:id="rId5" xr:uid="{00000000-0004-0000-0600-000004000000}"/>
    <hyperlink ref="E12" r:id="rId6" xr:uid="{00000000-0004-0000-0600-000005000000}"/>
    <hyperlink ref="E13" r:id="rId7" xr:uid="{00000000-0004-0000-0600-000006000000}"/>
    <hyperlink ref="E14" r:id="rId8" xr:uid="{00000000-0004-0000-0600-000007000000}"/>
    <hyperlink ref="E15" r:id="rId9" xr:uid="{00000000-0004-0000-0600-000008000000}"/>
    <hyperlink ref="E16" r:id="rId10" xr:uid="{00000000-0004-0000-0600-000009000000}"/>
    <hyperlink ref="E17" r:id="rId11" xr:uid="{00000000-0004-0000-0600-00000A000000}"/>
    <hyperlink ref="E18" r:id="rId12" xr:uid="{00000000-0004-0000-0600-00000B000000}"/>
    <hyperlink ref="E19" r:id="rId13" xr:uid="{00000000-0004-0000-0600-00000C000000}"/>
    <hyperlink ref="E20" r:id="rId14" xr:uid="{00000000-0004-0000-0600-00000D000000}"/>
    <hyperlink ref="E21" r:id="rId15" xr:uid="{00000000-0004-0000-0600-00000E000000}"/>
    <hyperlink ref="E22" r:id="rId16" xr:uid="{00000000-0004-0000-0600-00000F000000}"/>
    <hyperlink ref="E23" r:id="rId17" xr:uid="{00000000-0004-0000-0600-000010000000}"/>
    <hyperlink ref="E24" r:id="rId18" xr:uid="{00000000-0004-0000-0600-000011000000}"/>
    <hyperlink ref="E25" r:id="rId19" xr:uid="{00000000-0004-0000-0600-000012000000}"/>
    <hyperlink ref="E26" r:id="rId20" xr:uid="{00000000-0004-0000-0600-000013000000}"/>
    <hyperlink ref="E27" r:id="rId21" xr:uid="{00000000-0004-0000-0600-000014000000}"/>
    <hyperlink ref="E28" r:id="rId22" xr:uid="{00000000-0004-0000-0600-000015000000}"/>
    <hyperlink ref="E29" r:id="rId23" xr:uid="{00000000-0004-0000-0600-000016000000}"/>
    <hyperlink ref="E30" r:id="rId24" xr:uid="{00000000-0004-0000-0600-000017000000}"/>
    <hyperlink ref="E31" r:id="rId25" xr:uid="{00000000-0004-0000-0600-000018000000}"/>
    <hyperlink ref="E32" r:id="rId26" xr:uid="{00000000-0004-0000-0600-000019000000}"/>
    <hyperlink ref="E33" r:id="rId27" xr:uid="{00000000-0004-0000-0600-00001A000000}"/>
    <hyperlink ref="E34" r:id="rId28" xr:uid="{00000000-0004-0000-0600-00001B000000}"/>
    <hyperlink ref="E35" r:id="rId29" xr:uid="{00000000-0004-0000-0600-00001C000000}"/>
    <hyperlink ref="E36" r:id="rId30" xr:uid="{00000000-0004-0000-0600-00001D000000}"/>
    <hyperlink ref="E37" r:id="rId31" xr:uid="{00000000-0004-0000-0600-00001E000000}"/>
    <hyperlink ref="E38" r:id="rId32" xr:uid="{00000000-0004-0000-0600-00001F000000}"/>
    <hyperlink ref="E39" r:id="rId33" xr:uid="{00000000-0004-0000-0600-000020000000}"/>
    <hyperlink ref="E40" r:id="rId34" xr:uid="{00000000-0004-0000-0600-000021000000}"/>
    <hyperlink ref="E41" r:id="rId35" xr:uid="{00000000-0004-0000-0600-000022000000}"/>
    <hyperlink ref="E42" r:id="rId36" xr:uid="{00000000-0004-0000-0600-000023000000}"/>
    <hyperlink ref="E43" r:id="rId37" xr:uid="{00000000-0004-0000-0600-000024000000}"/>
  </hyperlinks>
  <pageMargins left="0.7" right="0.7" top="0.75" bottom="0.75" header="0.3" footer="0.3"/>
  <tableParts count="1">
    <tablePart r:id="rId38"/>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43"/>
  <sheetViews>
    <sheetView showGridLines="0" workbookViewId="0">
      <pane xSplit="1" ySplit="6" topLeftCell="B7" activePane="bottomRight" state="frozen"/>
      <selection pane="topRight"/>
      <selection pane="bottomLeft"/>
      <selection pane="bottomRight" activeCell="B7" sqref="B7"/>
    </sheetView>
  </sheetViews>
  <sheetFormatPr baseColWidth="10" defaultColWidth="8.83203125" defaultRowHeight="14"/>
  <cols>
    <col min="1" max="1" width="28" customWidth="1"/>
    <col min="2" max="2" width="31" customWidth="1"/>
    <col min="3" max="3" width="29" customWidth="1"/>
    <col min="4" max="4" width="42" customWidth="1"/>
    <col min="5" max="5" width="65" customWidth="1"/>
    <col min="6" max="6" width="49" customWidth="1"/>
    <col min="7" max="7" width="16" customWidth="1"/>
    <col min="8" max="8" width="41" customWidth="1"/>
  </cols>
  <sheetData>
    <row r="1" spans="1:8" ht="24" customHeight="1">
      <c r="A1" s="2"/>
      <c r="B1" s="2"/>
      <c r="C1" s="2"/>
      <c r="D1" s="2"/>
      <c r="E1" s="2"/>
      <c r="F1" s="2"/>
      <c r="G1" s="2"/>
      <c r="H1" s="2"/>
    </row>
    <row r="2" spans="1:8" ht="24" customHeight="1">
      <c r="A2" s="3" t="s">
        <v>1017</v>
      </c>
      <c r="B2" s="2"/>
      <c r="C2" s="2"/>
      <c r="D2" s="2"/>
      <c r="E2" s="2"/>
      <c r="F2" s="2"/>
      <c r="G2" s="2"/>
      <c r="H2" s="2"/>
    </row>
    <row r="3" spans="1:8" ht="24" customHeight="1">
      <c r="A3" s="4"/>
      <c r="B3" s="4"/>
      <c r="C3" s="4"/>
      <c r="D3" s="4"/>
      <c r="E3" s="4"/>
      <c r="F3" s="4"/>
      <c r="G3" s="4"/>
      <c r="H3" s="4"/>
    </row>
    <row r="4" spans="1:8" ht="24" customHeight="1">
      <c r="A4" s="8" t="s">
        <v>1018</v>
      </c>
      <c r="B4" s="2"/>
      <c r="C4" s="2"/>
      <c r="D4" s="2"/>
      <c r="E4" s="2"/>
      <c r="F4" s="2"/>
      <c r="G4" s="2"/>
      <c r="H4" s="2"/>
    </row>
    <row r="5" spans="1:8" ht="24" customHeight="1">
      <c r="A5" s="2"/>
      <c r="B5" s="2"/>
      <c r="C5" s="2"/>
      <c r="D5" s="2"/>
      <c r="E5" s="2"/>
      <c r="F5" s="2"/>
      <c r="G5" s="2"/>
      <c r="H5" s="2"/>
    </row>
    <row r="6" spans="1:8" ht="42" customHeight="1">
      <c r="A6" s="9" t="s">
        <v>666</v>
      </c>
      <c r="B6" s="9" t="s">
        <v>385</v>
      </c>
      <c r="C6" s="9" t="s">
        <v>42</v>
      </c>
      <c r="D6" s="9" t="s">
        <v>1019</v>
      </c>
      <c r="E6" s="9" t="s">
        <v>1020</v>
      </c>
      <c r="F6" s="9" t="s">
        <v>1021</v>
      </c>
      <c r="G6" s="9" t="s">
        <v>43</v>
      </c>
      <c r="H6" s="9" t="s">
        <v>395</v>
      </c>
    </row>
    <row r="7" spans="1:8" ht="38" customHeight="1">
      <c r="A7" s="10" t="s">
        <v>1022</v>
      </c>
      <c r="B7" s="10" t="s">
        <v>415</v>
      </c>
      <c r="C7" s="10" t="s">
        <v>406</v>
      </c>
      <c r="D7" s="10" t="s">
        <v>1023</v>
      </c>
      <c r="E7" s="10" t="s">
        <v>1024</v>
      </c>
      <c r="F7" s="10" t="s">
        <v>1025</v>
      </c>
      <c r="G7" s="10" t="s">
        <v>290</v>
      </c>
      <c r="H7" s="10" t="s">
        <v>408</v>
      </c>
    </row>
    <row r="8" spans="1:8" ht="38" customHeight="1">
      <c r="A8" s="11" t="s">
        <v>1026</v>
      </c>
      <c r="B8" s="11" t="s">
        <v>403</v>
      </c>
      <c r="C8" s="11" t="s">
        <v>406</v>
      </c>
      <c r="D8" s="11" t="s">
        <v>1023</v>
      </c>
      <c r="E8" s="11" t="s">
        <v>1027</v>
      </c>
      <c r="F8" s="11" t="s">
        <v>1028</v>
      </c>
      <c r="G8" s="11" t="s">
        <v>290</v>
      </c>
      <c r="H8" s="11" t="s">
        <v>408</v>
      </c>
    </row>
    <row r="9" spans="1:8" ht="38" customHeight="1">
      <c r="A9" s="10" t="s">
        <v>1029</v>
      </c>
      <c r="B9" s="10" t="s">
        <v>454</v>
      </c>
      <c r="C9" s="10" t="s">
        <v>457</v>
      </c>
      <c r="D9" s="10" t="s">
        <v>1030</v>
      </c>
      <c r="E9" s="10" t="s">
        <v>1031</v>
      </c>
      <c r="F9" s="10" t="s">
        <v>1032</v>
      </c>
      <c r="G9" s="10" t="s">
        <v>1033</v>
      </c>
      <c r="H9" s="10"/>
    </row>
    <row r="10" spans="1:8" ht="38" customHeight="1">
      <c r="A10" s="11" t="s">
        <v>1034</v>
      </c>
      <c r="B10" s="11" t="s">
        <v>465</v>
      </c>
      <c r="C10" s="11" t="s">
        <v>468</v>
      </c>
      <c r="D10" s="11" t="s">
        <v>1035</v>
      </c>
      <c r="E10" s="11" t="s">
        <v>1036</v>
      </c>
      <c r="F10" s="11" t="s">
        <v>1037</v>
      </c>
      <c r="G10" s="11" t="s">
        <v>69</v>
      </c>
      <c r="H10" s="11"/>
    </row>
    <row r="11" spans="1:8" ht="68" customHeight="1">
      <c r="A11" s="10" t="s">
        <v>1038</v>
      </c>
      <c r="B11" s="10" t="s">
        <v>473</v>
      </c>
      <c r="C11" s="10" t="s">
        <v>457</v>
      </c>
      <c r="D11" s="10" t="s">
        <v>1030</v>
      </c>
      <c r="E11" s="10" t="s">
        <v>1031</v>
      </c>
      <c r="F11" s="10" t="s">
        <v>1039</v>
      </c>
      <c r="G11" s="10" t="s">
        <v>1033</v>
      </c>
      <c r="H11" s="10"/>
    </row>
    <row r="12" spans="1:8" ht="68" customHeight="1">
      <c r="A12" s="11" t="s">
        <v>1040</v>
      </c>
      <c r="B12" s="11" t="s">
        <v>462</v>
      </c>
      <c r="C12" s="11" t="s">
        <v>457</v>
      </c>
      <c r="D12" s="11" t="s">
        <v>1030</v>
      </c>
      <c r="E12" s="11" t="s">
        <v>1031</v>
      </c>
      <c r="F12" s="11" t="s">
        <v>1041</v>
      </c>
      <c r="G12" s="11" t="s">
        <v>1033</v>
      </c>
      <c r="H12" s="11"/>
    </row>
    <row r="13" spans="1:8" ht="68" customHeight="1">
      <c r="A13" s="10" t="s">
        <v>1042</v>
      </c>
      <c r="B13" s="10" t="s">
        <v>477</v>
      </c>
      <c r="C13" s="10" t="s">
        <v>457</v>
      </c>
      <c r="D13" s="10" t="s">
        <v>1030</v>
      </c>
      <c r="E13" s="10" t="s">
        <v>1031</v>
      </c>
      <c r="F13" s="10" t="s">
        <v>1043</v>
      </c>
      <c r="G13" s="10" t="s">
        <v>1033</v>
      </c>
      <c r="H13" s="10"/>
    </row>
    <row r="14" spans="1:8" ht="68" customHeight="1">
      <c r="A14" s="11" t="s">
        <v>1044</v>
      </c>
      <c r="B14" s="11" t="s">
        <v>481</v>
      </c>
      <c r="C14" s="11" t="s">
        <v>457</v>
      </c>
      <c r="D14" s="11" t="s">
        <v>1030</v>
      </c>
      <c r="E14" s="11" t="s">
        <v>1031</v>
      </c>
      <c r="F14" s="11" t="s">
        <v>1045</v>
      </c>
      <c r="G14" s="11" t="s">
        <v>1033</v>
      </c>
      <c r="H14" s="11"/>
    </row>
    <row r="15" spans="1:8" ht="68" customHeight="1">
      <c r="A15" s="10" t="s">
        <v>1046</v>
      </c>
      <c r="B15" s="10" t="s">
        <v>485</v>
      </c>
      <c r="C15" s="10" t="s">
        <v>457</v>
      </c>
      <c r="D15" s="10" t="s">
        <v>1030</v>
      </c>
      <c r="E15" s="10" t="s">
        <v>1031</v>
      </c>
      <c r="F15" s="10" t="s">
        <v>1047</v>
      </c>
      <c r="G15" s="10" t="s">
        <v>1033</v>
      </c>
      <c r="H15" s="10"/>
    </row>
    <row r="16" spans="1:8" ht="68" customHeight="1">
      <c r="A16" s="11" t="s">
        <v>1048</v>
      </c>
      <c r="B16" s="11" t="s">
        <v>487</v>
      </c>
      <c r="C16" s="11" t="s">
        <v>457</v>
      </c>
      <c r="D16" s="11" t="s">
        <v>1030</v>
      </c>
      <c r="E16" s="11" t="s">
        <v>1031</v>
      </c>
      <c r="F16" s="11" t="s">
        <v>1049</v>
      </c>
      <c r="G16" s="11" t="s">
        <v>1033</v>
      </c>
      <c r="H16" s="11"/>
    </row>
    <row r="17" spans="1:8" ht="68" customHeight="1">
      <c r="A17" s="10" t="s">
        <v>1050</v>
      </c>
      <c r="B17" s="10" t="s">
        <v>489</v>
      </c>
      <c r="C17" s="10" t="s">
        <v>457</v>
      </c>
      <c r="D17" s="10" t="s">
        <v>1030</v>
      </c>
      <c r="E17" s="10" t="s">
        <v>1031</v>
      </c>
      <c r="F17" s="10" t="s">
        <v>1051</v>
      </c>
      <c r="G17" s="10" t="s">
        <v>1033</v>
      </c>
      <c r="H17" s="10"/>
    </row>
    <row r="18" spans="1:8" ht="110" customHeight="1">
      <c r="A18" s="11" t="s">
        <v>1052</v>
      </c>
      <c r="B18" s="11" t="s">
        <v>493</v>
      </c>
      <c r="C18" s="11" t="s">
        <v>406</v>
      </c>
      <c r="D18" s="11" t="s">
        <v>1053</v>
      </c>
      <c r="E18" s="11" t="s">
        <v>1054</v>
      </c>
      <c r="F18" s="11" t="s">
        <v>1055</v>
      </c>
      <c r="G18" s="11" t="s">
        <v>69</v>
      </c>
      <c r="H18" s="11"/>
    </row>
    <row r="19" spans="1:8" ht="110" customHeight="1">
      <c r="A19" s="10" t="s">
        <v>1056</v>
      </c>
      <c r="B19" s="10" t="s">
        <v>493</v>
      </c>
      <c r="C19" s="10" t="s">
        <v>457</v>
      </c>
      <c r="D19" s="10" t="s">
        <v>1057</v>
      </c>
      <c r="E19" s="10" t="s">
        <v>1058</v>
      </c>
      <c r="F19" s="10" t="s">
        <v>1059</v>
      </c>
      <c r="G19" s="10" t="s">
        <v>1033</v>
      </c>
      <c r="H19" s="10"/>
    </row>
    <row r="20" spans="1:8" ht="110" customHeight="1">
      <c r="A20" s="11" t="s">
        <v>1060</v>
      </c>
      <c r="B20" s="11" t="s">
        <v>493</v>
      </c>
      <c r="C20" s="11" t="s">
        <v>406</v>
      </c>
      <c r="D20" s="11" t="s">
        <v>1061</v>
      </c>
      <c r="E20" s="11" t="s">
        <v>1062</v>
      </c>
      <c r="F20" s="11" t="s">
        <v>1063</v>
      </c>
      <c r="G20" s="11" t="s">
        <v>1033</v>
      </c>
      <c r="H20" s="11"/>
    </row>
    <row r="21" spans="1:8" ht="110" customHeight="1">
      <c r="A21" s="10" t="s">
        <v>1064</v>
      </c>
      <c r="B21" s="10" t="s">
        <v>493</v>
      </c>
      <c r="C21" s="10" t="s">
        <v>406</v>
      </c>
      <c r="D21" s="10" t="s">
        <v>1065</v>
      </c>
      <c r="E21" s="10" t="s">
        <v>1066</v>
      </c>
      <c r="F21" s="10" t="s">
        <v>1067</v>
      </c>
      <c r="G21" s="10" t="s">
        <v>1033</v>
      </c>
      <c r="H21" s="10"/>
    </row>
    <row r="22" spans="1:8" ht="110" customHeight="1">
      <c r="A22" s="11" t="s">
        <v>1068</v>
      </c>
      <c r="B22" s="11" t="s">
        <v>531</v>
      </c>
      <c r="C22" s="11" t="s">
        <v>406</v>
      </c>
      <c r="D22" s="11" t="s">
        <v>1069</v>
      </c>
      <c r="E22" s="11" t="s">
        <v>897</v>
      </c>
      <c r="F22" s="11" t="s">
        <v>1070</v>
      </c>
      <c r="G22" s="11" t="s">
        <v>69</v>
      </c>
      <c r="H22" s="11"/>
    </row>
    <row r="23" spans="1:8" ht="110" customHeight="1">
      <c r="A23" s="10" t="s">
        <v>1071</v>
      </c>
      <c r="B23" s="10" t="s">
        <v>531</v>
      </c>
      <c r="C23" s="10" t="s">
        <v>406</v>
      </c>
      <c r="D23" s="10" t="s">
        <v>1072</v>
      </c>
      <c r="E23" s="10" t="s">
        <v>1073</v>
      </c>
      <c r="F23" s="10" t="s">
        <v>1074</v>
      </c>
      <c r="G23" s="10" t="s">
        <v>1033</v>
      </c>
      <c r="H23" s="10"/>
    </row>
    <row r="24" spans="1:8" ht="110" customHeight="1">
      <c r="A24" s="11" t="s">
        <v>1075</v>
      </c>
      <c r="B24" s="11" t="s">
        <v>531</v>
      </c>
      <c r="C24" s="11" t="s">
        <v>406</v>
      </c>
      <c r="D24" s="11" t="s">
        <v>1076</v>
      </c>
      <c r="E24" s="11" t="s">
        <v>1077</v>
      </c>
      <c r="F24" s="11" t="s">
        <v>1078</v>
      </c>
      <c r="G24" s="11" t="s">
        <v>1033</v>
      </c>
      <c r="H24" s="11"/>
    </row>
    <row r="25" spans="1:8" ht="118" customHeight="1">
      <c r="A25" s="10" t="s">
        <v>1079</v>
      </c>
      <c r="B25" s="10" t="s">
        <v>548</v>
      </c>
      <c r="C25" s="10" t="s">
        <v>406</v>
      </c>
      <c r="D25" s="10" t="s">
        <v>1080</v>
      </c>
      <c r="E25" s="10" t="s">
        <v>1081</v>
      </c>
      <c r="F25" s="10" t="s">
        <v>1082</v>
      </c>
      <c r="G25" s="10" t="s">
        <v>69</v>
      </c>
      <c r="H25" s="10"/>
    </row>
    <row r="26" spans="1:8" ht="118" customHeight="1">
      <c r="A26" s="11" t="s">
        <v>1083</v>
      </c>
      <c r="B26" s="11" t="s">
        <v>548</v>
      </c>
      <c r="C26" s="11" t="s">
        <v>457</v>
      </c>
      <c r="D26" s="11" t="s">
        <v>1084</v>
      </c>
      <c r="E26" s="11" t="s">
        <v>1085</v>
      </c>
      <c r="F26" s="11" t="s">
        <v>1086</v>
      </c>
      <c r="G26" s="11" t="s">
        <v>1033</v>
      </c>
      <c r="H26" s="11"/>
    </row>
    <row r="27" spans="1:8" ht="118" customHeight="1">
      <c r="A27" s="10" t="s">
        <v>1087</v>
      </c>
      <c r="B27" s="10" t="s">
        <v>548</v>
      </c>
      <c r="C27" s="10" t="s">
        <v>406</v>
      </c>
      <c r="D27" s="10" t="s">
        <v>1088</v>
      </c>
      <c r="E27" s="10" t="s">
        <v>1089</v>
      </c>
      <c r="F27" s="10" t="s">
        <v>1090</v>
      </c>
      <c r="G27" s="10" t="s">
        <v>69</v>
      </c>
      <c r="H27" s="10"/>
    </row>
    <row r="28" spans="1:8" ht="118" customHeight="1">
      <c r="A28" s="11" t="s">
        <v>1091</v>
      </c>
      <c r="B28" s="11" t="s">
        <v>550</v>
      </c>
      <c r="C28" s="11" t="s">
        <v>468</v>
      </c>
      <c r="D28" s="11" t="s">
        <v>1092</v>
      </c>
      <c r="E28" s="11" t="s">
        <v>1093</v>
      </c>
      <c r="F28" s="11" t="s">
        <v>1094</v>
      </c>
      <c r="G28" s="11" t="s">
        <v>69</v>
      </c>
      <c r="H28" s="11"/>
    </row>
    <row r="29" spans="1:8" ht="118" customHeight="1">
      <c r="A29" s="10" t="s">
        <v>1095</v>
      </c>
      <c r="B29" s="10" t="s">
        <v>548</v>
      </c>
      <c r="C29" s="10" t="s">
        <v>406</v>
      </c>
      <c r="D29" s="10" t="s">
        <v>1096</v>
      </c>
      <c r="E29" s="10" t="s">
        <v>1097</v>
      </c>
      <c r="F29" s="10" t="s">
        <v>1098</v>
      </c>
      <c r="G29" s="10" t="s">
        <v>1033</v>
      </c>
      <c r="H29" s="10"/>
    </row>
    <row r="30" spans="1:8" ht="118" customHeight="1">
      <c r="A30" s="11" t="s">
        <v>1099</v>
      </c>
      <c r="B30" s="11" t="s">
        <v>581</v>
      </c>
      <c r="C30" s="11" t="s">
        <v>406</v>
      </c>
      <c r="D30" s="11" t="s">
        <v>1100</v>
      </c>
      <c r="E30" s="11" t="s">
        <v>1101</v>
      </c>
      <c r="F30" s="11" t="s">
        <v>1102</v>
      </c>
      <c r="G30" s="11" t="s">
        <v>69</v>
      </c>
      <c r="H30" s="11"/>
    </row>
    <row r="31" spans="1:8" ht="118" customHeight="1">
      <c r="A31" s="10" t="s">
        <v>1103</v>
      </c>
      <c r="B31" s="10" t="s">
        <v>581</v>
      </c>
      <c r="C31" s="10" t="s">
        <v>406</v>
      </c>
      <c r="D31" s="10" t="s">
        <v>1104</v>
      </c>
      <c r="E31" s="10" t="s">
        <v>1105</v>
      </c>
      <c r="F31" s="10" t="s">
        <v>1106</v>
      </c>
      <c r="G31" s="10" t="s">
        <v>1033</v>
      </c>
      <c r="H31" s="10"/>
    </row>
    <row r="32" spans="1:8" ht="118" customHeight="1">
      <c r="A32" s="11" t="s">
        <v>1107</v>
      </c>
      <c r="B32" s="11" t="s">
        <v>581</v>
      </c>
      <c r="C32" s="11" t="s">
        <v>406</v>
      </c>
      <c r="D32" s="11" t="s">
        <v>1108</v>
      </c>
      <c r="E32" s="11" t="s">
        <v>1109</v>
      </c>
      <c r="F32" s="11" t="s">
        <v>1110</v>
      </c>
      <c r="G32" s="11" t="s">
        <v>1033</v>
      </c>
      <c r="H32" s="11"/>
    </row>
    <row r="33" spans="1:8" ht="118" customHeight="1">
      <c r="A33" s="10" t="s">
        <v>1111</v>
      </c>
      <c r="B33" s="10" t="s">
        <v>557</v>
      </c>
      <c r="C33" s="10" t="s">
        <v>457</v>
      </c>
      <c r="D33" s="10" t="s">
        <v>1112</v>
      </c>
      <c r="E33" s="10" t="s">
        <v>1113</v>
      </c>
      <c r="F33" s="10" t="s">
        <v>1114</v>
      </c>
      <c r="G33" s="10" t="s">
        <v>1033</v>
      </c>
      <c r="H33" s="10"/>
    </row>
    <row r="34" spans="1:8" ht="118" customHeight="1">
      <c r="A34" s="11" t="s">
        <v>1115</v>
      </c>
      <c r="B34" s="11" t="s">
        <v>562</v>
      </c>
      <c r="C34" s="11" t="s">
        <v>457</v>
      </c>
      <c r="D34" s="11" t="s">
        <v>1112</v>
      </c>
      <c r="E34" s="11" t="s">
        <v>1113</v>
      </c>
      <c r="F34" s="11" t="s">
        <v>1114</v>
      </c>
      <c r="G34" s="11" t="s">
        <v>1033</v>
      </c>
      <c r="H34" s="11"/>
    </row>
    <row r="35" spans="1:8" ht="118" customHeight="1">
      <c r="A35" s="10" t="s">
        <v>1116</v>
      </c>
      <c r="B35" s="10" t="s">
        <v>568</v>
      </c>
      <c r="C35" s="10" t="s">
        <v>468</v>
      </c>
      <c r="D35" s="10" t="s">
        <v>1117</v>
      </c>
      <c r="E35" s="10" t="s">
        <v>1118</v>
      </c>
      <c r="F35" s="10" t="s">
        <v>1119</v>
      </c>
      <c r="G35" s="10" t="s">
        <v>69</v>
      </c>
      <c r="H35" s="10"/>
    </row>
    <row r="36" spans="1:8" ht="118" customHeight="1">
      <c r="A36" s="11" t="s">
        <v>1120</v>
      </c>
      <c r="B36" s="11" t="s">
        <v>568</v>
      </c>
      <c r="C36" s="11" t="s">
        <v>468</v>
      </c>
      <c r="D36" s="11" t="s">
        <v>1121</v>
      </c>
      <c r="E36" s="11" t="s">
        <v>1122</v>
      </c>
      <c r="F36" s="11" t="s">
        <v>1123</v>
      </c>
      <c r="G36" s="11" t="s">
        <v>1033</v>
      </c>
      <c r="H36" s="11"/>
    </row>
    <row r="37" spans="1:8" ht="118" customHeight="1">
      <c r="A37" s="10" t="s">
        <v>1124</v>
      </c>
      <c r="B37" s="10" t="s">
        <v>568</v>
      </c>
      <c r="C37" s="10" t="s">
        <v>468</v>
      </c>
      <c r="D37" s="10" t="s">
        <v>1125</v>
      </c>
      <c r="E37" s="10" t="s">
        <v>1126</v>
      </c>
      <c r="F37" s="10" t="s">
        <v>1127</v>
      </c>
      <c r="G37" s="10" t="s">
        <v>1033</v>
      </c>
      <c r="H37" s="10"/>
    </row>
    <row r="38" spans="1:8" ht="118" customHeight="1">
      <c r="A38" s="11" t="s">
        <v>1128</v>
      </c>
      <c r="B38" s="11" t="s">
        <v>571</v>
      </c>
      <c r="C38" s="11" t="s">
        <v>406</v>
      </c>
      <c r="D38" s="11" t="s">
        <v>1129</v>
      </c>
      <c r="E38" s="11" t="s">
        <v>1130</v>
      </c>
      <c r="F38" s="11" t="s">
        <v>1131</v>
      </c>
      <c r="G38" s="11" t="s">
        <v>1033</v>
      </c>
      <c r="H38" s="11"/>
    </row>
    <row r="39" spans="1:8" ht="118" customHeight="1">
      <c r="A39" s="10" t="s">
        <v>1132</v>
      </c>
      <c r="B39" s="10" t="s">
        <v>571</v>
      </c>
      <c r="C39" s="10" t="s">
        <v>406</v>
      </c>
      <c r="D39" s="10" t="s">
        <v>1133</v>
      </c>
      <c r="E39" s="10" t="s">
        <v>1134</v>
      </c>
      <c r="F39" s="10" t="s">
        <v>1135</v>
      </c>
      <c r="G39" s="10" t="s">
        <v>69</v>
      </c>
      <c r="H39" s="10"/>
    </row>
    <row r="40" spans="1:8" ht="118" customHeight="1">
      <c r="A40" s="11" t="s">
        <v>1136</v>
      </c>
      <c r="B40" s="11" t="s">
        <v>571</v>
      </c>
      <c r="C40" s="11" t="s">
        <v>406</v>
      </c>
      <c r="D40" s="11" t="s">
        <v>1137</v>
      </c>
      <c r="E40" s="11" t="s">
        <v>1138</v>
      </c>
      <c r="F40" s="11" t="s">
        <v>1139</v>
      </c>
      <c r="G40" s="11" t="s">
        <v>1033</v>
      </c>
      <c r="H40" s="11"/>
    </row>
    <row r="41" spans="1:8" ht="118" customHeight="1">
      <c r="A41" s="10" t="s">
        <v>1140</v>
      </c>
      <c r="B41" s="10" t="s">
        <v>580</v>
      </c>
      <c r="C41" s="10" t="s">
        <v>406</v>
      </c>
      <c r="D41" s="10" t="s">
        <v>1129</v>
      </c>
      <c r="E41" s="10" t="s">
        <v>1130</v>
      </c>
      <c r="F41" s="10" t="s">
        <v>1131</v>
      </c>
      <c r="G41" s="10" t="s">
        <v>1033</v>
      </c>
      <c r="H41" s="10"/>
    </row>
    <row r="42" spans="1:8" ht="118" customHeight="1">
      <c r="A42" s="11" t="s">
        <v>1141</v>
      </c>
      <c r="B42" s="11" t="s">
        <v>580</v>
      </c>
      <c r="C42" s="11" t="s">
        <v>406</v>
      </c>
      <c r="D42" s="11" t="s">
        <v>1133</v>
      </c>
      <c r="E42" s="11" t="s">
        <v>1134</v>
      </c>
      <c r="F42" s="11" t="s">
        <v>1135</v>
      </c>
      <c r="G42" s="11" t="s">
        <v>69</v>
      </c>
      <c r="H42" s="11"/>
    </row>
    <row r="43" spans="1:8" ht="118" customHeight="1">
      <c r="A43" s="10" t="s">
        <v>1142</v>
      </c>
      <c r="B43" s="10" t="s">
        <v>580</v>
      </c>
      <c r="C43" s="10" t="s">
        <v>406</v>
      </c>
      <c r="D43" s="10" t="s">
        <v>1137</v>
      </c>
      <c r="E43" s="10" t="s">
        <v>1138</v>
      </c>
      <c r="F43" s="10" t="s">
        <v>1139</v>
      </c>
      <c r="G43" s="10" t="s">
        <v>1033</v>
      </c>
      <c r="H43" s="10"/>
    </row>
  </sheetData>
  <sheetProtection sheet="1" objects="1" scenarios="1" sort="0" autoFilter="0"/>
  <conditionalFormatting sqref="G7:G43">
    <cfRule type="containsText" dxfId="1" priority="1" operator="containsText" text="open"/>
    <cfRule type="containsText" dxfId="0" priority="2" operator="containsText" text="blocked"/>
  </conditionalFormatting>
  <dataValidations count="1">
    <dataValidation type="list" sqref="G7:G43" xr:uid="{00000000-0002-0000-0700-000000000000}">
      <formula1>"approved,open,blocked"</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44"/>
  <sheetViews>
    <sheetView showGridLines="0" workbookViewId="0">
      <pane xSplit="1" ySplit="6" topLeftCell="B7" activePane="bottomRight" state="frozen"/>
      <selection pane="topRight"/>
      <selection pane="bottomLeft"/>
      <selection pane="bottomRight" activeCell="B7" sqref="B7"/>
    </sheetView>
  </sheetViews>
  <sheetFormatPr baseColWidth="10" defaultColWidth="8.83203125" defaultRowHeight="14"/>
  <cols>
    <col min="1" max="1" width="30" customWidth="1"/>
    <col min="2" max="2" width="42" customWidth="1"/>
    <col min="3" max="4" width="17" customWidth="1"/>
    <col min="5" max="5" width="18" customWidth="1"/>
    <col min="6" max="6" width="41" customWidth="1"/>
    <col min="7" max="7" width="65" customWidth="1"/>
    <col min="8" max="8" width="18" customWidth="1"/>
    <col min="9" max="9" width="25" customWidth="1"/>
    <col min="10" max="10" width="20" customWidth="1"/>
    <col min="11" max="11" width="47" customWidth="1"/>
  </cols>
  <sheetData>
    <row r="1" spans="1:11" ht="24" customHeight="1">
      <c r="A1" s="2"/>
      <c r="B1" s="2"/>
      <c r="C1" s="2"/>
      <c r="D1" s="2"/>
      <c r="E1" s="2"/>
      <c r="F1" s="2"/>
      <c r="G1" s="2"/>
      <c r="H1" s="2"/>
      <c r="I1" s="2"/>
      <c r="J1" s="2"/>
      <c r="K1" s="2"/>
    </row>
    <row r="2" spans="1:11" ht="24" customHeight="1">
      <c r="A2" s="3" t="s">
        <v>1143</v>
      </c>
      <c r="B2" s="2"/>
      <c r="C2" s="2"/>
      <c r="D2" s="2"/>
      <c r="E2" s="2"/>
      <c r="F2" s="2"/>
      <c r="G2" s="2"/>
      <c r="H2" s="2"/>
      <c r="I2" s="2"/>
      <c r="J2" s="2"/>
      <c r="K2" s="2"/>
    </row>
    <row r="3" spans="1:11" ht="24" customHeight="1">
      <c r="A3" s="4"/>
      <c r="B3" s="4"/>
      <c r="C3" s="4"/>
      <c r="D3" s="4"/>
      <c r="E3" s="4"/>
      <c r="F3" s="4"/>
      <c r="G3" s="4"/>
      <c r="H3" s="4"/>
      <c r="I3" s="4"/>
      <c r="J3" s="4"/>
      <c r="K3" s="4"/>
    </row>
    <row r="4" spans="1:11" ht="24" customHeight="1">
      <c r="A4" s="8" t="s">
        <v>1144</v>
      </c>
      <c r="B4" s="2"/>
      <c r="C4" s="2"/>
      <c r="D4" s="2"/>
      <c r="E4" s="2"/>
      <c r="F4" s="2"/>
      <c r="G4" s="2"/>
      <c r="H4" s="2"/>
      <c r="I4" s="2"/>
      <c r="J4" s="2"/>
      <c r="K4" s="2"/>
    </row>
    <row r="5" spans="1:11" ht="24" customHeight="1">
      <c r="A5" s="2"/>
      <c r="B5" s="2"/>
      <c r="C5" s="2"/>
      <c r="D5" s="2"/>
      <c r="E5" s="2"/>
      <c r="F5" s="2"/>
      <c r="G5" s="2"/>
      <c r="H5" s="2"/>
      <c r="I5" s="2"/>
      <c r="J5" s="2"/>
      <c r="K5" s="2"/>
    </row>
    <row r="6" spans="1:11" ht="42" customHeight="1">
      <c r="A6" s="9" t="s">
        <v>1145</v>
      </c>
      <c r="B6" s="9" t="s">
        <v>45</v>
      </c>
      <c r="C6" s="9" t="s">
        <v>1146</v>
      </c>
      <c r="D6" s="9" t="s">
        <v>35</v>
      </c>
      <c r="E6" s="9" t="s">
        <v>1147</v>
      </c>
      <c r="F6" s="9" t="s">
        <v>1148</v>
      </c>
      <c r="G6" s="9" t="s">
        <v>1149</v>
      </c>
      <c r="H6" s="9" t="s">
        <v>1150</v>
      </c>
      <c r="I6" s="9" t="s">
        <v>1151</v>
      </c>
      <c r="J6" s="9" t="s">
        <v>1152</v>
      </c>
      <c r="K6" s="9" t="s">
        <v>1153</v>
      </c>
    </row>
    <row r="7" spans="1:11" ht="38" customHeight="1">
      <c r="A7" s="10" t="s">
        <v>1154</v>
      </c>
      <c r="B7" s="24" t="s">
        <v>411</v>
      </c>
      <c r="C7" s="24" t="s">
        <v>1155</v>
      </c>
      <c r="D7" s="29">
        <v>46278</v>
      </c>
      <c r="E7" s="24" t="s">
        <v>1156</v>
      </c>
      <c r="F7" s="24" t="s">
        <v>408</v>
      </c>
      <c r="G7" s="24" t="s">
        <v>1157</v>
      </c>
      <c r="H7" s="24" t="s">
        <v>1158</v>
      </c>
      <c r="I7" s="24" t="s">
        <v>1159</v>
      </c>
      <c r="J7" s="24" t="s">
        <v>1160</v>
      </c>
      <c r="K7" s="24" t="s">
        <v>1161</v>
      </c>
    </row>
    <row r="8" spans="1:11" ht="38" customHeight="1">
      <c r="A8" s="11" t="s">
        <v>1162</v>
      </c>
      <c r="B8" s="26" t="s">
        <v>418</v>
      </c>
      <c r="C8" s="26" t="s">
        <v>1155</v>
      </c>
      <c r="D8" s="31">
        <v>46278</v>
      </c>
      <c r="E8" s="26" t="s">
        <v>1156</v>
      </c>
      <c r="F8" s="26" t="s">
        <v>408</v>
      </c>
      <c r="G8" s="26" t="s">
        <v>1163</v>
      </c>
      <c r="H8" s="26" t="s">
        <v>1158</v>
      </c>
      <c r="I8" s="26" t="s">
        <v>1159</v>
      </c>
      <c r="J8" s="26" t="s">
        <v>1160</v>
      </c>
      <c r="K8" s="26" t="s">
        <v>1161</v>
      </c>
    </row>
    <row r="9" spans="1:11" ht="38" customHeight="1">
      <c r="A9" s="10" t="s">
        <v>1164</v>
      </c>
      <c r="B9" s="24" t="s">
        <v>459</v>
      </c>
      <c r="C9" s="24" t="s">
        <v>1155</v>
      </c>
      <c r="D9" s="29">
        <v>46278</v>
      </c>
      <c r="E9" s="24" t="s">
        <v>1165</v>
      </c>
      <c r="F9" s="24"/>
      <c r="G9" s="24" t="s">
        <v>1166</v>
      </c>
      <c r="H9" s="24" t="s">
        <v>1158</v>
      </c>
      <c r="I9" s="24" t="s">
        <v>1159</v>
      </c>
      <c r="J9" s="24" t="s">
        <v>1160</v>
      </c>
      <c r="K9" s="24" t="s">
        <v>1167</v>
      </c>
    </row>
    <row r="10" spans="1:11" ht="38" customHeight="1">
      <c r="A10" s="11" t="s">
        <v>1168</v>
      </c>
      <c r="B10" s="26" t="s">
        <v>470</v>
      </c>
      <c r="C10" s="26" t="s">
        <v>1155</v>
      </c>
      <c r="D10" s="31">
        <v>46278</v>
      </c>
      <c r="E10" s="26" t="s">
        <v>1165</v>
      </c>
      <c r="F10" s="26"/>
      <c r="G10" s="26" t="s">
        <v>1169</v>
      </c>
      <c r="H10" s="26" t="s">
        <v>1158</v>
      </c>
      <c r="I10" s="26" t="s">
        <v>1159</v>
      </c>
      <c r="J10" s="26" t="s">
        <v>1160</v>
      </c>
      <c r="K10" s="26" t="s">
        <v>1170</v>
      </c>
    </row>
    <row r="11" spans="1:11" ht="68" customHeight="1">
      <c r="A11" s="10" t="s">
        <v>1171</v>
      </c>
      <c r="B11" s="24" t="s">
        <v>459</v>
      </c>
      <c r="C11" s="24" t="s">
        <v>1155</v>
      </c>
      <c r="D11" s="29">
        <v>46278</v>
      </c>
      <c r="E11" s="24" t="s">
        <v>1156</v>
      </c>
      <c r="F11" s="24"/>
      <c r="G11" s="24" t="s">
        <v>1172</v>
      </c>
      <c r="H11" s="24" t="s">
        <v>1158</v>
      </c>
      <c r="I11" s="24" t="s">
        <v>1159</v>
      </c>
      <c r="J11" s="24" t="s">
        <v>1160</v>
      </c>
      <c r="K11" s="24" t="s">
        <v>1173</v>
      </c>
    </row>
    <row r="12" spans="1:11" ht="68" customHeight="1">
      <c r="A12" s="11" t="s">
        <v>1174</v>
      </c>
      <c r="B12" s="26" t="s">
        <v>470</v>
      </c>
      <c r="C12" s="26" t="s">
        <v>1155</v>
      </c>
      <c r="D12" s="31">
        <v>46278</v>
      </c>
      <c r="E12" s="26" t="s">
        <v>1156</v>
      </c>
      <c r="F12" s="26"/>
      <c r="G12" s="26" t="s">
        <v>1175</v>
      </c>
      <c r="H12" s="26" t="s">
        <v>1158</v>
      </c>
      <c r="I12" s="26" t="s">
        <v>1159</v>
      </c>
      <c r="J12" s="26" t="s">
        <v>1160</v>
      </c>
      <c r="K12" s="26" t="s">
        <v>1176</v>
      </c>
    </row>
    <row r="13" spans="1:11" ht="68" customHeight="1">
      <c r="A13" s="10" t="s">
        <v>1177</v>
      </c>
      <c r="B13" s="24" t="s">
        <v>873</v>
      </c>
      <c r="C13" s="24" t="s">
        <v>1155</v>
      </c>
      <c r="D13" s="29">
        <v>46278</v>
      </c>
      <c r="E13" s="24" t="s">
        <v>1165</v>
      </c>
      <c r="F13" s="24"/>
      <c r="G13" s="24" t="s">
        <v>1178</v>
      </c>
      <c r="H13" s="24" t="s">
        <v>1158</v>
      </c>
      <c r="I13" s="24" t="s">
        <v>1159</v>
      </c>
      <c r="J13" s="24" t="s">
        <v>1160</v>
      </c>
      <c r="K13" s="24" t="s">
        <v>1179</v>
      </c>
    </row>
    <row r="14" spans="1:11" ht="82" customHeight="1">
      <c r="A14" s="11" t="s">
        <v>1180</v>
      </c>
      <c r="B14" s="26" t="s">
        <v>496</v>
      </c>
      <c r="C14" s="26" t="s">
        <v>1155</v>
      </c>
      <c r="D14" s="31">
        <v>46278</v>
      </c>
      <c r="E14" s="26" t="s">
        <v>1165</v>
      </c>
      <c r="F14" s="26"/>
      <c r="G14" s="26" t="s">
        <v>1181</v>
      </c>
      <c r="H14" s="26" t="s">
        <v>1158</v>
      </c>
      <c r="I14" s="26" t="s">
        <v>1159</v>
      </c>
      <c r="J14" s="26" t="s">
        <v>1160</v>
      </c>
      <c r="K14" s="26" t="s">
        <v>1182</v>
      </c>
    </row>
    <row r="15" spans="1:11" ht="82" customHeight="1">
      <c r="A15" s="10" t="s">
        <v>1183</v>
      </c>
      <c r="B15" s="24" t="s">
        <v>881</v>
      </c>
      <c r="C15" s="24" t="s">
        <v>1155</v>
      </c>
      <c r="D15" s="29">
        <v>46278</v>
      </c>
      <c r="E15" s="24" t="s">
        <v>1165</v>
      </c>
      <c r="F15" s="24"/>
      <c r="G15" s="24" t="s">
        <v>1184</v>
      </c>
      <c r="H15" s="24" t="s">
        <v>1158</v>
      </c>
      <c r="I15" s="24" t="s">
        <v>1159</v>
      </c>
      <c r="J15" s="24" t="s">
        <v>1160</v>
      </c>
      <c r="K15" s="24" t="s">
        <v>1182</v>
      </c>
    </row>
    <row r="16" spans="1:11" ht="82" customHeight="1">
      <c r="A16" s="11" t="s">
        <v>1185</v>
      </c>
      <c r="B16" s="26" t="s">
        <v>886</v>
      </c>
      <c r="C16" s="26" t="s">
        <v>1155</v>
      </c>
      <c r="D16" s="31">
        <v>46278</v>
      </c>
      <c r="E16" s="26" t="s">
        <v>1165</v>
      </c>
      <c r="F16" s="26"/>
      <c r="G16" s="26" t="s">
        <v>1186</v>
      </c>
      <c r="H16" s="26" t="s">
        <v>1158</v>
      </c>
      <c r="I16" s="26" t="s">
        <v>1159</v>
      </c>
      <c r="J16" s="26" t="s">
        <v>1160</v>
      </c>
      <c r="K16" s="26" t="s">
        <v>1182</v>
      </c>
    </row>
    <row r="17" spans="1:11" ht="82" customHeight="1">
      <c r="A17" s="10" t="s">
        <v>1187</v>
      </c>
      <c r="B17" s="24" t="s">
        <v>533</v>
      </c>
      <c r="C17" s="24" t="s">
        <v>1155</v>
      </c>
      <c r="D17" s="29">
        <v>46278</v>
      </c>
      <c r="E17" s="24" t="s">
        <v>1165</v>
      </c>
      <c r="F17" s="24"/>
      <c r="G17" s="24" t="s">
        <v>1188</v>
      </c>
      <c r="H17" s="24" t="s">
        <v>1158</v>
      </c>
      <c r="I17" s="24" t="s">
        <v>1159</v>
      </c>
      <c r="J17" s="24" t="s">
        <v>1160</v>
      </c>
      <c r="K17" s="24" t="s">
        <v>1182</v>
      </c>
    </row>
    <row r="18" spans="1:11" ht="82" customHeight="1">
      <c r="A18" s="11" t="s">
        <v>1189</v>
      </c>
      <c r="B18" s="26" t="s">
        <v>894</v>
      </c>
      <c r="C18" s="26" t="s">
        <v>1155</v>
      </c>
      <c r="D18" s="31">
        <v>46278</v>
      </c>
      <c r="E18" s="26" t="s">
        <v>1165</v>
      </c>
      <c r="F18" s="26"/>
      <c r="G18" s="26" t="s">
        <v>1190</v>
      </c>
      <c r="H18" s="26" t="s">
        <v>1158</v>
      </c>
      <c r="I18" s="26" t="s">
        <v>1159</v>
      </c>
      <c r="J18" s="26" t="s">
        <v>1160</v>
      </c>
      <c r="K18" s="26" t="s">
        <v>1182</v>
      </c>
    </row>
    <row r="19" spans="1:11" ht="82" customHeight="1">
      <c r="A19" s="10" t="s">
        <v>1191</v>
      </c>
      <c r="B19" s="24" t="s">
        <v>899</v>
      </c>
      <c r="C19" s="24" t="s">
        <v>1155</v>
      </c>
      <c r="D19" s="29">
        <v>46278</v>
      </c>
      <c r="E19" s="24" t="s">
        <v>1165</v>
      </c>
      <c r="F19" s="24"/>
      <c r="G19" s="24" t="s">
        <v>1192</v>
      </c>
      <c r="H19" s="24" t="s">
        <v>1158</v>
      </c>
      <c r="I19" s="24" t="s">
        <v>1159</v>
      </c>
      <c r="J19" s="24" t="s">
        <v>1160</v>
      </c>
      <c r="K19" s="24" t="s">
        <v>1182</v>
      </c>
    </row>
    <row r="20" spans="1:11" ht="82" customHeight="1">
      <c r="A20" s="11" t="s">
        <v>1193</v>
      </c>
      <c r="B20" s="26" t="s">
        <v>904</v>
      </c>
      <c r="C20" s="26" t="s">
        <v>1155</v>
      </c>
      <c r="D20" s="31">
        <v>46278</v>
      </c>
      <c r="E20" s="26" t="s">
        <v>1165</v>
      </c>
      <c r="F20" s="26"/>
      <c r="G20" s="26" t="s">
        <v>1194</v>
      </c>
      <c r="H20" s="26" t="s">
        <v>1158</v>
      </c>
      <c r="I20" s="26" t="s">
        <v>1159</v>
      </c>
      <c r="J20" s="26" t="s">
        <v>1160</v>
      </c>
      <c r="K20" s="26" t="s">
        <v>1182</v>
      </c>
    </row>
    <row r="21" spans="1:11" ht="82" customHeight="1">
      <c r="A21" s="10" t="s">
        <v>1195</v>
      </c>
      <c r="B21" s="24" t="s">
        <v>909</v>
      </c>
      <c r="C21" s="24" t="s">
        <v>1155</v>
      </c>
      <c r="D21" s="29">
        <v>46278</v>
      </c>
      <c r="E21" s="24" t="s">
        <v>1165</v>
      </c>
      <c r="F21" s="24"/>
      <c r="G21" s="24" t="s">
        <v>1196</v>
      </c>
      <c r="H21" s="24" t="s">
        <v>1158</v>
      </c>
      <c r="I21" s="24" t="s">
        <v>1159</v>
      </c>
      <c r="J21" s="24" t="s">
        <v>1160</v>
      </c>
      <c r="K21" s="24" t="s">
        <v>1182</v>
      </c>
    </row>
    <row r="22" spans="1:11" ht="82" customHeight="1">
      <c r="A22" s="11" t="s">
        <v>1197</v>
      </c>
      <c r="B22" s="26" t="s">
        <v>914</v>
      </c>
      <c r="C22" s="26" t="s">
        <v>1155</v>
      </c>
      <c r="D22" s="31">
        <v>46278</v>
      </c>
      <c r="E22" s="26" t="s">
        <v>1165</v>
      </c>
      <c r="F22" s="26"/>
      <c r="G22" s="26" t="s">
        <v>1198</v>
      </c>
      <c r="H22" s="26" t="s">
        <v>1158</v>
      </c>
      <c r="I22" s="26" t="s">
        <v>1159</v>
      </c>
      <c r="J22" s="26" t="s">
        <v>1160</v>
      </c>
      <c r="K22" s="26" t="s">
        <v>1182</v>
      </c>
    </row>
    <row r="23" spans="1:11" ht="82" customHeight="1">
      <c r="A23" s="10" t="s">
        <v>1199</v>
      </c>
      <c r="B23" s="24" t="s">
        <v>919</v>
      </c>
      <c r="C23" s="24" t="s">
        <v>1155</v>
      </c>
      <c r="D23" s="29">
        <v>46278</v>
      </c>
      <c r="E23" s="24" t="s">
        <v>1165</v>
      </c>
      <c r="F23" s="24"/>
      <c r="G23" s="24" t="s">
        <v>1200</v>
      </c>
      <c r="H23" s="24" t="s">
        <v>1158</v>
      </c>
      <c r="I23" s="24" t="s">
        <v>1159</v>
      </c>
      <c r="J23" s="24" t="s">
        <v>1160</v>
      </c>
      <c r="K23" s="24" t="s">
        <v>1182</v>
      </c>
    </row>
    <row r="24" spans="1:11" ht="82" customHeight="1">
      <c r="A24" s="11" t="s">
        <v>1201</v>
      </c>
      <c r="B24" s="26" t="s">
        <v>924</v>
      </c>
      <c r="C24" s="26" t="s">
        <v>1155</v>
      </c>
      <c r="D24" s="31">
        <v>46278</v>
      </c>
      <c r="E24" s="26" t="s">
        <v>1165</v>
      </c>
      <c r="F24" s="26"/>
      <c r="G24" s="26" t="s">
        <v>1202</v>
      </c>
      <c r="H24" s="26" t="s">
        <v>1158</v>
      </c>
      <c r="I24" s="26" t="s">
        <v>1159</v>
      </c>
      <c r="J24" s="26" t="s">
        <v>1160</v>
      </c>
      <c r="K24" s="26" t="s">
        <v>1182</v>
      </c>
    </row>
    <row r="25" spans="1:11" ht="88" customHeight="1">
      <c r="A25" s="10" t="s">
        <v>1203</v>
      </c>
      <c r="B25" s="24" t="s">
        <v>929</v>
      </c>
      <c r="C25" s="24" t="s">
        <v>1155</v>
      </c>
      <c r="D25" s="29">
        <v>46278</v>
      </c>
      <c r="E25" s="24" t="s">
        <v>1165</v>
      </c>
      <c r="F25" s="24"/>
      <c r="G25" s="24" t="s">
        <v>1204</v>
      </c>
      <c r="H25" s="24" t="s">
        <v>1158</v>
      </c>
      <c r="I25" s="24" t="s">
        <v>1159</v>
      </c>
      <c r="J25" s="24" t="s">
        <v>1160</v>
      </c>
      <c r="K25" s="24" t="s">
        <v>1205</v>
      </c>
    </row>
    <row r="26" spans="1:11" ht="88" customHeight="1">
      <c r="A26" s="11" t="s">
        <v>1206</v>
      </c>
      <c r="B26" s="26" t="s">
        <v>549</v>
      </c>
      <c r="C26" s="26" t="s">
        <v>1155</v>
      </c>
      <c r="D26" s="31">
        <v>46278</v>
      </c>
      <c r="E26" s="26" t="s">
        <v>1165</v>
      </c>
      <c r="F26" s="26"/>
      <c r="G26" s="26" t="s">
        <v>1207</v>
      </c>
      <c r="H26" s="26" t="s">
        <v>1158</v>
      </c>
      <c r="I26" s="26" t="s">
        <v>1159</v>
      </c>
      <c r="J26" s="26" t="s">
        <v>1160</v>
      </c>
      <c r="K26" s="26" t="s">
        <v>1205</v>
      </c>
    </row>
    <row r="27" spans="1:11" ht="88" customHeight="1">
      <c r="A27" s="10" t="s">
        <v>1208</v>
      </c>
      <c r="B27" s="24" t="s">
        <v>937</v>
      </c>
      <c r="C27" s="24" t="s">
        <v>1155</v>
      </c>
      <c r="D27" s="29">
        <v>46278</v>
      </c>
      <c r="E27" s="24" t="s">
        <v>1165</v>
      </c>
      <c r="F27" s="24"/>
      <c r="G27" s="24" t="s">
        <v>1209</v>
      </c>
      <c r="H27" s="24" t="s">
        <v>1158</v>
      </c>
      <c r="I27" s="24" t="s">
        <v>1159</v>
      </c>
      <c r="J27" s="24" t="s">
        <v>1160</v>
      </c>
      <c r="K27" s="24" t="s">
        <v>1205</v>
      </c>
    </row>
    <row r="28" spans="1:11" ht="88" customHeight="1">
      <c r="A28" s="11" t="s">
        <v>1210</v>
      </c>
      <c r="B28" s="26" t="s">
        <v>553</v>
      </c>
      <c r="C28" s="26" t="s">
        <v>1155</v>
      </c>
      <c r="D28" s="31">
        <v>46278</v>
      </c>
      <c r="E28" s="26" t="s">
        <v>1165</v>
      </c>
      <c r="F28" s="26"/>
      <c r="G28" s="26" t="s">
        <v>1211</v>
      </c>
      <c r="H28" s="26" t="s">
        <v>1158</v>
      </c>
      <c r="I28" s="26" t="s">
        <v>1159</v>
      </c>
      <c r="J28" s="26" t="s">
        <v>1160</v>
      </c>
      <c r="K28" s="26" t="s">
        <v>1205</v>
      </c>
    </row>
    <row r="29" spans="1:11" ht="88" customHeight="1">
      <c r="A29" s="10" t="s">
        <v>1212</v>
      </c>
      <c r="B29" s="24" t="s">
        <v>946</v>
      </c>
      <c r="C29" s="24" t="s">
        <v>1155</v>
      </c>
      <c r="D29" s="29">
        <v>46278</v>
      </c>
      <c r="E29" s="24" t="s">
        <v>1165</v>
      </c>
      <c r="F29" s="24"/>
      <c r="G29" s="24" t="s">
        <v>1213</v>
      </c>
      <c r="H29" s="24" t="s">
        <v>1158</v>
      </c>
      <c r="I29" s="24" t="s">
        <v>1159</v>
      </c>
      <c r="J29" s="24" t="s">
        <v>1160</v>
      </c>
      <c r="K29" s="24" t="s">
        <v>1205</v>
      </c>
    </row>
    <row r="30" spans="1:11" ht="88" customHeight="1">
      <c r="A30" s="11" t="s">
        <v>1214</v>
      </c>
      <c r="B30" s="26" t="s">
        <v>582</v>
      </c>
      <c r="C30" s="26" t="s">
        <v>1155</v>
      </c>
      <c r="D30" s="31">
        <v>46278</v>
      </c>
      <c r="E30" s="26" t="s">
        <v>1165</v>
      </c>
      <c r="F30" s="26"/>
      <c r="G30" s="26" t="s">
        <v>1215</v>
      </c>
      <c r="H30" s="26" t="s">
        <v>1158</v>
      </c>
      <c r="I30" s="26" t="s">
        <v>1159</v>
      </c>
      <c r="J30" s="26" t="s">
        <v>1160</v>
      </c>
      <c r="K30" s="26" t="s">
        <v>1205</v>
      </c>
    </row>
    <row r="31" spans="1:11" ht="88" customHeight="1">
      <c r="A31" s="10" t="s">
        <v>1216</v>
      </c>
      <c r="B31" s="24" t="s">
        <v>954</v>
      </c>
      <c r="C31" s="24" t="s">
        <v>1155</v>
      </c>
      <c r="D31" s="29">
        <v>46278</v>
      </c>
      <c r="E31" s="24" t="s">
        <v>1165</v>
      </c>
      <c r="F31" s="24"/>
      <c r="G31" s="24" t="s">
        <v>1217</v>
      </c>
      <c r="H31" s="24" t="s">
        <v>1158</v>
      </c>
      <c r="I31" s="24" t="s">
        <v>1159</v>
      </c>
      <c r="J31" s="24" t="s">
        <v>1160</v>
      </c>
      <c r="K31" s="24" t="s">
        <v>1205</v>
      </c>
    </row>
    <row r="32" spans="1:11" ht="88" customHeight="1">
      <c r="A32" s="11" t="s">
        <v>1218</v>
      </c>
      <c r="B32" s="26" t="s">
        <v>959</v>
      </c>
      <c r="C32" s="26" t="s">
        <v>1155</v>
      </c>
      <c r="D32" s="31">
        <v>46278</v>
      </c>
      <c r="E32" s="26" t="s">
        <v>1165</v>
      </c>
      <c r="F32" s="26"/>
      <c r="G32" s="26" t="s">
        <v>1219</v>
      </c>
      <c r="H32" s="26" t="s">
        <v>1158</v>
      </c>
      <c r="I32" s="26" t="s">
        <v>1159</v>
      </c>
      <c r="J32" s="26" t="s">
        <v>1160</v>
      </c>
      <c r="K32" s="26" t="s">
        <v>1205</v>
      </c>
    </row>
    <row r="33" spans="1:11" ht="88" customHeight="1">
      <c r="A33" s="10" t="s">
        <v>1220</v>
      </c>
      <c r="B33" s="24" t="s">
        <v>964</v>
      </c>
      <c r="C33" s="24" t="s">
        <v>1155</v>
      </c>
      <c r="D33" s="29">
        <v>46278</v>
      </c>
      <c r="E33" s="24" t="s">
        <v>1165</v>
      </c>
      <c r="F33" s="24"/>
      <c r="G33" s="24" t="s">
        <v>1221</v>
      </c>
      <c r="H33" s="24" t="s">
        <v>1158</v>
      </c>
      <c r="I33" s="24" t="s">
        <v>1159</v>
      </c>
      <c r="J33" s="24" t="s">
        <v>1160</v>
      </c>
      <c r="K33" s="24" t="s">
        <v>1205</v>
      </c>
    </row>
    <row r="34" spans="1:11" ht="88" customHeight="1">
      <c r="A34" s="11" t="s">
        <v>1222</v>
      </c>
      <c r="B34" s="26" t="s">
        <v>969</v>
      </c>
      <c r="C34" s="26" t="s">
        <v>1155</v>
      </c>
      <c r="D34" s="31">
        <v>46278</v>
      </c>
      <c r="E34" s="26" t="s">
        <v>1165</v>
      </c>
      <c r="F34" s="26"/>
      <c r="G34" s="26" t="s">
        <v>1223</v>
      </c>
      <c r="H34" s="26" t="s">
        <v>1158</v>
      </c>
      <c r="I34" s="26" t="s">
        <v>1159</v>
      </c>
      <c r="J34" s="26" t="s">
        <v>1160</v>
      </c>
      <c r="K34" s="26" t="s">
        <v>1205</v>
      </c>
    </row>
    <row r="35" spans="1:11" ht="88" customHeight="1">
      <c r="A35" s="10" t="s">
        <v>1224</v>
      </c>
      <c r="B35" s="24" t="s">
        <v>558</v>
      </c>
      <c r="C35" s="24" t="s">
        <v>1155</v>
      </c>
      <c r="D35" s="29">
        <v>46278</v>
      </c>
      <c r="E35" s="24" t="s">
        <v>1165</v>
      </c>
      <c r="F35" s="24"/>
      <c r="G35" s="24" t="s">
        <v>1225</v>
      </c>
      <c r="H35" s="24" t="s">
        <v>1158</v>
      </c>
      <c r="I35" s="24" t="s">
        <v>1159</v>
      </c>
      <c r="J35" s="24" t="s">
        <v>1160</v>
      </c>
      <c r="K35" s="24" t="s">
        <v>1226</v>
      </c>
    </row>
    <row r="36" spans="1:11" ht="88" customHeight="1">
      <c r="A36" s="11" t="s">
        <v>1227</v>
      </c>
      <c r="B36" s="26" t="s">
        <v>977</v>
      </c>
      <c r="C36" s="26" t="s">
        <v>1155</v>
      </c>
      <c r="D36" s="31">
        <v>46278</v>
      </c>
      <c r="E36" s="26" t="s">
        <v>1165</v>
      </c>
      <c r="F36" s="26"/>
      <c r="G36" s="26" t="s">
        <v>1228</v>
      </c>
      <c r="H36" s="26" t="s">
        <v>1158</v>
      </c>
      <c r="I36" s="26" t="s">
        <v>1159</v>
      </c>
      <c r="J36" s="26" t="s">
        <v>1160</v>
      </c>
      <c r="K36" s="26" t="s">
        <v>1226</v>
      </c>
    </row>
    <row r="37" spans="1:11" ht="88" customHeight="1">
      <c r="A37" s="10" t="s">
        <v>1229</v>
      </c>
      <c r="B37" s="24" t="s">
        <v>569</v>
      </c>
      <c r="C37" s="24" t="s">
        <v>1155</v>
      </c>
      <c r="D37" s="29">
        <v>46278</v>
      </c>
      <c r="E37" s="24" t="s">
        <v>1165</v>
      </c>
      <c r="F37" s="24"/>
      <c r="G37" s="24" t="s">
        <v>1230</v>
      </c>
      <c r="H37" s="24" t="s">
        <v>1158</v>
      </c>
      <c r="I37" s="24" t="s">
        <v>1159</v>
      </c>
      <c r="J37" s="24" t="s">
        <v>1160</v>
      </c>
      <c r="K37" s="24" t="s">
        <v>1226</v>
      </c>
    </row>
    <row r="38" spans="1:11" ht="88" customHeight="1">
      <c r="A38" s="11" t="s">
        <v>1231</v>
      </c>
      <c r="B38" s="26" t="s">
        <v>986</v>
      </c>
      <c r="C38" s="26" t="s">
        <v>1155</v>
      </c>
      <c r="D38" s="31">
        <v>46278</v>
      </c>
      <c r="E38" s="26" t="s">
        <v>1165</v>
      </c>
      <c r="F38" s="26"/>
      <c r="G38" s="26" t="s">
        <v>1232</v>
      </c>
      <c r="H38" s="26" t="s">
        <v>1158</v>
      </c>
      <c r="I38" s="26" t="s">
        <v>1159</v>
      </c>
      <c r="J38" s="26" t="s">
        <v>1160</v>
      </c>
      <c r="K38" s="26" t="s">
        <v>1226</v>
      </c>
    </row>
    <row r="39" spans="1:11" ht="88" customHeight="1">
      <c r="A39" s="10" t="s">
        <v>1233</v>
      </c>
      <c r="B39" s="24" t="s">
        <v>777</v>
      </c>
      <c r="C39" s="24" t="s">
        <v>1155</v>
      </c>
      <c r="D39" s="29">
        <v>46278</v>
      </c>
      <c r="E39" s="24" t="s">
        <v>1165</v>
      </c>
      <c r="F39" s="24"/>
      <c r="G39" s="24" t="s">
        <v>1234</v>
      </c>
      <c r="H39" s="24" t="s">
        <v>1158</v>
      </c>
      <c r="I39" s="24" t="s">
        <v>1159</v>
      </c>
      <c r="J39" s="24" t="s">
        <v>1160</v>
      </c>
      <c r="K39" s="24" t="s">
        <v>1226</v>
      </c>
    </row>
    <row r="40" spans="1:11" ht="88" customHeight="1">
      <c r="A40" s="11" t="s">
        <v>1235</v>
      </c>
      <c r="B40" s="26" t="s">
        <v>572</v>
      </c>
      <c r="C40" s="26" t="s">
        <v>1155</v>
      </c>
      <c r="D40" s="31">
        <v>46278</v>
      </c>
      <c r="E40" s="26" t="s">
        <v>1165</v>
      </c>
      <c r="F40" s="26"/>
      <c r="G40" s="26" t="s">
        <v>1236</v>
      </c>
      <c r="H40" s="26" t="s">
        <v>1158</v>
      </c>
      <c r="I40" s="26" t="s">
        <v>1159</v>
      </c>
      <c r="J40" s="26" t="s">
        <v>1160</v>
      </c>
      <c r="K40" s="26" t="s">
        <v>1226</v>
      </c>
    </row>
    <row r="41" spans="1:11" ht="88" customHeight="1">
      <c r="A41" s="10" t="s">
        <v>1237</v>
      </c>
      <c r="B41" s="24" t="s">
        <v>997</v>
      </c>
      <c r="C41" s="24" t="s">
        <v>1155</v>
      </c>
      <c r="D41" s="29">
        <v>46278</v>
      </c>
      <c r="E41" s="24" t="s">
        <v>1165</v>
      </c>
      <c r="F41" s="24"/>
      <c r="G41" s="24" t="s">
        <v>1238</v>
      </c>
      <c r="H41" s="24" t="s">
        <v>1158</v>
      </c>
      <c r="I41" s="24" t="s">
        <v>1159</v>
      </c>
      <c r="J41" s="24" t="s">
        <v>1160</v>
      </c>
      <c r="K41" s="24" t="s">
        <v>1226</v>
      </c>
    </row>
    <row r="42" spans="1:11" ht="88" customHeight="1">
      <c r="A42" s="11" t="s">
        <v>1239</v>
      </c>
      <c r="B42" s="26" t="s">
        <v>1002</v>
      </c>
      <c r="C42" s="26" t="s">
        <v>1155</v>
      </c>
      <c r="D42" s="31">
        <v>46278</v>
      </c>
      <c r="E42" s="26" t="s">
        <v>1165</v>
      </c>
      <c r="F42" s="26"/>
      <c r="G42" s="26" t="s">
        <v>1240</v>
      </c>
      <c r="H42" s="26" t="s">
        <v>1158</v>
      </c>
      <c r="I42" s="26" t="s">
        <v>1159</v>
      </c>
      <c r="J42" s="26" t="s">
        <v>1160</v>
      </c>
      <c r="K42" s="26" t="s">
        <v>1226</v>
      </c>
    </row>
    <row r="43" spans="1:11" ht="88" customHeight="1">
      <c r="A43" s="10" t="s">
        <v>1241</v>
      </c>
      <c r="B43" s="24" t="s">
        <v>1007</v>
      </c>
      <c r="C43" s="24" t="s">
        <v>1155</v>
      </c>
      <c r="D43" s="29">
        <v>46278</v>
      </c>
      <c r="E43" s="24" t="s">
        <v>1165</v>
      </c>
      <c r="F43" s="24"/>
      <c r="G43" s="24" t="s">
        <v>1242</v>
      </c>
      <c r="H43" s="24" t="s">
        <v>1158</v>
      </c>
      <c r="I43" s="24" t="s">
        <v>1159</v>
      </c>
      <c r="J43" s="24" t="s">
        <v>1160</v>
      </c>
      <c r="K43" s="24" t="s">
        <v>1226</v>
      </c>
    </row>
    <row r="44" spans="1:11" ht="88" customHeight="1">
      <c r="A44" s="11" t="s">
        <v>1243</v>
      </c>
      <c r="B44" s="26" t="s">
        <v>1012</v>
      </c>
      <c r="C44" s="26" t="s">
        <v>1155</v>
      </c>
      <c r="D44" s="31">
        <v>46278</v>
      </c>
      <c r="E44" s="26" t="s">
        <v>1165</v>
      </c>
      <c r="F44" s="26"/>
      <c r="G44" s="26" t="s">
        <v>1244</v>
      </c>
      <c r="H44" s="26" t="s">
        <v>1158</v>
      </c>
      <c r="I44" s="26" t="s">
        <v>1159</v>
      </c>
      <c r="J44" s="26" t="s">
        <v>1160</v>
      </c>
      <c r="K44" s="26" t="s">
        <v>1226</v>
      </c>
    </row>
  </sheetData>
  <sheetProtection sheet="1" objects="1" scenarios="1" sort="0" autoFilter="0"/>
  <dataValidations count="2">
    <dataValidation type="list" sqref="E7:E44" xr:uid="{00000000-0002-0000-0800-000000000000}">
      <formula1>"unchanged,changed,unclear,unavailable"</formula1>
    </dataValidation>
    <dataValidation type="list" sqref="H7:H44" xr:uid="{00000000-0002-0000-0800-000001000000}">
      <formula1>"candidate,approved,withdrawn"</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9</vt:i4>
      </vt:variant>
    </vt:vector>
  </HeadingPairs>
  <TitlesOfParts>
    <vt:vector size="9" baseType="lpstr">
      <vt:lpstr>Übersicht</vt:lpstr>
      <vt:lpstr>Feiertagskalender</vt:lpstr>
      <vt:lpstr>Gemeinwesen</vt:lpstr>
      <vt:lpstr>Feiertagsregeln</vt:lpstr>
      <vt:lpstr>Geltungsbereiche</vt:lpstr>
      <vt:lpstr>Gebietszuordnungen</vt:lpstr>
      <vt:lpstr>Rechtsquellen</vt:lpstr>
      <vt:lpstr>Verfahrensbezug</vt:lpstr>
      <vt:lpstr>Quellenprüfung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David Steimer</cp:lastModifiedBy>
  <dcterms:modified xsi:type="dcterms:W3CDTF">2026-09-16T16:31:09Z</dcterms:modified>
</cp:coreProperties>
</file>