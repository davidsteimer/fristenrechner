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xr:revisionPtr revIDLastSave="0" documentId="13_ncr:1_{B3968C11-20EA-BE46-8A1D-4297F4E1AC96}" xr6:coauthVersionLast="47" xr6:coauthVersionMax="47" xr10:uidLastSave="{00000000-0000-0000-0000-000000000000}"/>
  <bookViews>
    <workbookView xWindow="0" yWindow="680" windowWidth="34200" windowHeight="21460" activeTab="1" xr2:uid="{00000000-000D-0000-FFFF-FFFF00000000}"/>
  </bookViews>
  <sheets>
    <sheet name="Übersicht" sheetId="1" r:id="rId1"/>
    <sheet name="Feiertagskalender" sheetId="2" r:id="rId2"/>
    <sheet name="Gemeinwesen" sheetId="3" r:id="rId3"/>
    <sheet name="Feiertagsregeln" sheetId="4" r:id="rId4"/>
    <sheet name="Geltungsbereiche" sheetId="5" r:id="rId5"/>
    <sheet name="Gebietszuordnungen" sheetId="9" r:id="rId6"/>
    <sheet name="Rechtsquellen" sheetId="6" r:id="rId7"/>
    <sheet name="Verfahrensbezug" sheetId="7" r:id="rId8"/>
    <sheet name="Quellenprüfung" sheetId="8"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480" i="4" l="1"/>
  <c r="X480" i="4" s="1"/>
  <c r="A489" i="2" s="1"/>
  <c r="W479" i="4"/>
  <c r="X479" i="4" s="1"/>
  <c r="A488" i="2" s="1"/>
  <c r="W475" i="4"/>
  <c r="X475" i="4" s="1"/>
  <c r="A484" i="2" s="1"/>
  <c r="W472" i="4"/>
  <c r="X472" i="4" s="1"/>
  <c r="A481" i="2" s="1"/>
  <c r="W471" i="4"/>
  <c r="X471" i="4" s="1"/>
  <c r="A480" i="2" s="1"/>
  <c r="W470" i="4"/>
  <c r="X470" i="4" s="1"/>
  <c r="A479" i="2" s="1"/>
  <c r="W469" i="4"/>
  <c r="X469" i="4" s="1"/>
  <c r="A478" i="2" s="1"/>
  <c r="W468" i="4"/>
  <c r="X468" i="4" s="1"/>
  <c r="A477" i="2" s="1"/>
  <c r="W467" i="4"/>
  <c r="X467" i="4" s="1"/>
  <c r="A476" i="2" s="1"/>
  <c r="W462" i="4"/>
  <c r="X462" i="4" s="1"/>
  <c r="A471" i="2" s="1"/>
  <c r="W458" i="4"/>
  <c r="X458" i="4" s="1"/>
  <c r="A467" i="2" s="1"/>
  <c r="W457" i="4"/>
  <c r="X457" i="4" s="1"/>
  <c r="A466" i="2" s="1"/>
  <c r="W456" i="4"/>
  <c r="X456" i="4" s="1"/>
  <c r="A465" i="2" s="1"/>
  <c r="W455" i="4"/>
  <c r="X455" i="4" s="1"/>
  <c r="A464" i="2" s="1"/>
  <c r="W454" i="4"/>
  <c r="X454" i="4" s="1"/>
  <c r="A463" i="2" s="1"/>
  <c r="W453" i="4"/>
  <c r="X453" i="4" s="1"/>
  <c r="A462" i="2" s="1"/>
  <c r="W449" i="4"/>
  <c r="X449" i="4" s="1"/>
  <c r="A458" i="2" s="1"/>
  <c r="W447" i="4"/>
  <c r="X447" i="4" s="1"/>
  <c r="A456" i="2" s="1"/>
  <c r="W446" i="4"/>
  <c r="X446" i="4" s="1"/>
  <c r="A455" i="2" s="1"/>
  <c r="W444" i="4"/>
  <c r="X444" i="4" s="1"/>
  <c r="A453" i="2" s="1"/>
  <c r="W442" i="4"/>
  <c r="X442" i="4" s="1"/>
  <c r="A451" i="2" s="1"/>
  <c r="W441" i="4"/>
  <c r="X441" i="4" s="1"/>
  <c r="A450" i="2" s="1"/>
  <c r="W440" i="4"/>
  <c r="X440" i="4" s="1"/>
  <c r="A449" i="2" s="1"/>
  <c r="W439" i="4"/>
  <c r="X439" i="4" s="1"/>
  <c r="A448" i="2" s="1"/>
  <c r="W438" i="4"/>
  <c r="X438" i="4" s="1"/>
  <c r="A447" i="2" s="1"/>
  <c r="W433" i="4"/>
  <c r="X433" i="4" s="1"/>
  <c r="A442" i="2" s="1"/>
  <c r="W432" i="4"/>
  <c r="X432" i="4" s="1"/>
  <c r="A441" i="2" s="1"/>
  <c r="W431" i="4"/>
  <c r="X431" i="4" s="1"/>
  <c r="A440" i="2" s="1"/>
  <c r="W430" i="4"/>
  <c r="X430" i="4" s="1"/>
  <c r="A439" i="2" s="1"/>
  <c r="W429" i="4"/>
  <c r="X429" i="4" s="1"/>
  <c r="A438" i="2" s="1"/>
  <c r="W428" i="4"/>
  <c r="X428" i="4" s="1"/>
  <c r="A437" i="2" s="1"/>
  <c r="W424" i="4"/>
  <c r="X424" i="4" s="1"/>
  <c r="A433" i="2" s="1"/>
  <c r="W420" i="4"/>
  <c r="X420" i="4" s="1"/>
  <c r="A429" i="2" s="1"/>
  <c r="W419" i="4"/>
  <c r="X419" i="4" s="1"/>
  <c r="A428" i="2" s="1"/>
  <c r="W418" i="4"/>
  <c r="X418" i="4" s="1"/>
  <c r="A427" i="2" s="1"/>
  <c r="W417" i="4"/>
  <c r="X417" i="4" s="1"/>
  <c r="A426" i="2" s="1"/>
  <c r="W416" i="4"/>
  <c r="X416" i="4" s="1"/>
  <c r="A425" i="2" s="1"/>
  <c r="W412" i="4"/>
  <c r="X412" i="4" s="1"/>
  <c r="A421" i="2" s="1"/>
  <c r="W408" i="4"/>
  <c r="X408" i="4" s="1"/>
  <c r="A417" i="2" s="1"/>
  <c r="W407" i="4"/>
  <c r="X407" i="4" s="1"/>
  <c r="A416" i="2" s="1"/>
  <c r="W406" i="4"/>
  <c r="X406" i="4" s="1"/>
  <c r="A415" i="2" s="1"/>
  <c r="W405" i="4"/>
  <c r="X405" i="4" s="1"/>
  <c r="A414" i="2" s="1"/>
  <c r="W404" i="4"/>
  <c r="X404" i="4" s="1"/>
  <c r="A413" i="2" s="1"/>
  <c r="W403" i="4"/>
  <c r="X403" i="4" s="1"/>
  <c r="A412" i="2" s="1"/>
  <c r="W396" i="4"/>
  <c r="X396" i="4" s="1"/>
  <c r="A405" i="2" s="1"/>
  <c r="W395" i="4"/>
  <c r="X395" i="4" s="1"/>
  <c r="A404" i="2" s="1"/>
  <c r="W394" i="4"/>
  <c r="X394" i="4" s="1"/>
  <c r="A403" i="2" s="1"/>
  <c r="W393" i="4"/>
  <c r="X393" i="4" s="1"/>
  <c r="A402" i="2" s="1"/>
  <c r="W392" i="4"/>
  <c r="X392" i="4" s="1"/>
  <c r="A401" i="2" s="1"/>
  <c r="W391" i="4"/>
  <c r="X391" i="4" s="1"/>
  <c r="A400" i="2" s="1"/>
  <c r="W390" i="4"/>
  <c r="X390" i="4" s="1"/>
  <c r="A399" i="2" s="1"/>
  <c r="W389" i="4"/>
  <c r="X389" i="4" s="1"/>
  <c r="A398" i="2" s="1"/>
  <c r="W381" i="4"/>
  <c r="X381" i="4" s="1"/>
  <c r="A390" i="2" s="1"/>
  <c r="W380" i="4"/>
  <c r="X380" i="4" s="1"/>
  <c r="A389" i="2" s="1"/>
  <c r="W379" i="4"/>
  <c r="X379" i="4" s="1"/>
  <c r="A388" i="2" s="1"/>
  <c r="W376" i="4"/>
  <c r="X376" i="4" s="1"/>
  <c r="A385" i="2" s="1"/>
  <c r="W375" i="4"/>
  <c r="X375" i="4" s="1"/>
  <c r="A384" i="2" s="1"/>
  <c r="W374" i="4"/>
  <c r="X374" i="4" s="1"/>
  <c r="A383" i="2" s="1"/>
  <c r="W373" i="4"/>
  <c r="X373" i="4" s="1"/>
  <c r="A382" i="2" s="1"/>
  <c r="W372" i="4"/>
  <c r="X372" i="4" s="1"/>
  <c r="A381" i="2" s="1"/>
  <c r="W368" i="4"/>
  <c r="X368" i="4" s="1"/>
  <c r="A377" i="2" s="1"/>
  <c r="W367" i="4"/>
  <c r="X367" i="4" s="1"/>
  <c r="A376" i="2" s="1"/>
  <c r="W366" i="4"/>
  <c r="X366" i="4" s="1"/>
  <c r="A375" i="2" s="1"/>
  <c r="W365" i="4"/>
  <c r="X365" i="4" s="1"/>
  <c r="A374" i="2" s="1"/>
  <c r="W364" i="4"/>
  <c r="X364" i="4" s="1"/>
  <c r="A373" i="2" s="1"/>
  <c r="W363" i="4"/>
  <c r="X363" i="4" s="1"/>
  <c r="A372" i="2" s="1"/>
  <c r="W362" i="4"/>
  <c r="X362" i="4" s="1"/>
  <c r="A371" i="2" s="1"/>
  <c r="W356" i="4"/>
  <c r="X356" i="4" s="1"/>
  <c r="A365" i="2" s="1"/>
  <c r="W355" i="4"/>
  <c r="X355" i="4" s="1"/>
  <c r="A364" i="2" s="1"/>
  <c r="W354" i="4"/>
  <c r="X354" i="4" s="1"/>
  <c r="A363" i="2" s="1"/>
  <c r="W353" i="4"/>
  <c r="X353" i="4" s="1"/>
  <c r="A362" i="2" s="1"/>
  <c r="W352" i="4"/>
  <c r="X352" i="4" s="1"/>
  <c r="A361" i="2" s="1"/>
  <c r="W351" i="4"/>
  <c r="X351" i="4" s="1"/>
  <c r="A360" i="2" s="1"/>
  <c r="W350" i="4"/>
  <c r="X350" i="4" s="1"/>
  <c r="A359" i="2" s="1"/>
  <c r="W349" i="4"/>
  <c r="X349" i="4" s="1"/>
  <c r="A358" i="2" s="1"/>
  <c r="W348" i="4"/>
  <c r="X348" i="4" s="1"/>
  <c r="A357" i="2" s="1"/>
  <c r="W342" i="4"/>
  <c r="X342" i="4" s="1"/>
  <c r="A351" i="2" s="1"/>
  <c r="W341" i="4"/>
  <c r="X341" i="4" s="1"/>
  <c r="A350" i="2" s="1"/>
  <c r="W338" i="4"/>
  <c r="X338" i="4" s="1"/>
  <c r="A347" i="2" s="1"/>
  <c r="W337" i="4"/>
  <c r="X337" i="4" s="1"/>
  <c r="A346" i="2" s="1"/>
  <c r="W336" i="4"/>
  <c r="X336" i="4" s="1"/>
  <c r="A345" i="2" s="1"/>
  <c r="W335" i="4"/>
  <c r="X335" i="4" s="1"/>
  <c r="A344" i="2" s="1"/>
  <c r="W334" i="4"/>
  <c r="X334" i="4" s="1"/>
  <c r="A343" i="2" s="1"/>
  <c r="W333" i="4"/>
  <c r="X333" i="4" s="1"/>
  <c r="A342" i="2" s="1"/>
  <c r="W327" i="4"/>
  <c r="X327" i="4" s="1"/>
  <c r="A336" i="2" s="1"/>
  <c r="W326" i="4"/>
  <c r="X326" i="4" s="1"/>
  <c r="A335" i="2" s="1"/>
  <c r="W325" i="4"/>
  <c r="X325" i="4" s="1"/>
  <c r="A334" i="2" s="1"/>
  <c r="W324" i="4"/>
  <c r="X324" i="4" s="1"/>
  <c r="A333" i="2" s="1"/>
  <c r="W323" i="4"/>
  <c r="X323" i="4" s="1"/>
  <c r="A332" i="2" s="1"/>
  <c r="W322" i="4"/>
  <c r="X322" i="4" s="1"/>
  <c r="A331" i="2" s="1"/>
  <c r="W321" i="4"/>
  <c r="X321" i="4" s="1"/>
  <c r="A330" i="2" s="1"/>
  <c r="W320" i="4"/>
  <c r="X320" i="4" s="1"/>
  <c r="A329" i="2" s="1"/>
  <c r="W319" i="4"/>
  <c r="X319" i="4" s="1"/>
  <c r="A328" i="2" s="1"/>
  <c r="W313" i="4"/>
  <c r="X313" i="4" s="1"/>
  <c r="A322" i="2" s="1"/>
  <c r="W312" i="4"/>
  <c r="X312" i="4" s="1"/>
  <c r="A321" i="2" s="1"/>
  <c r="W311" i="4"/>
  <c r="X311" i="4" s="1"/>
  <c r="A320" i="2" s="1"/>
  <c r="W308" i="4"/>
  <c r="X308" i="4" s="1"/>
  <c r="A317" i="2" s="1"/>
  <c r="W307" i="4"/>
  <c r="X307" i="4" s="1"/>
  <c r="A316" i="2" s="1"/>
  <c r="W306" i="4"/>
  <c r="X306" i="4" s="1"/>
  <c r="A315" i="2" s="1"/>
  <c r="W305" i="4"/>
  <c r="X305" i="4" s="1"/>
  <c r="A314" i="2" s="1"/>
  <c r="W304" i="4"/>
  <c r="X304" i="4" s="1"/>
  <c r="A313" i="2" s="1"/>
  <c r="W303" i="4"/>
  <c r="X303" i="4" s="1"/>
  <c r="A312" i="2" s="1"/>
  <c r="W302" i="4"/>
  <c r="X302" i="4" s="1"/>
  <c r="A311" i="2" s="1"/>
  <c r="W296" i="4"/>
  <c r="X296" i="4" s="1"/>
  <c r="A305" i="2" s="1"/>
  <c r="W295" i="4"/>
  <c r="X295" i="4" s="1"/>
  <c r="A304" i="2" s="1"/>
  <c r="W294" i="4"/>
  <c r="X294" i="4" s="1"/>
  <c r="A303" i="2" s="1"/>
  <c r="W293" i="4"/>
  <c r="X293" i="4" s="1"/>
  <c r="A302" i="2" s="1"/>
  <c r="W292" i="4"/>
  <c r="X292" i="4" s="1"/>
  <c r="A301" i="2" s="1"/>
  <c r="W291" i="4"/>
  <c r="X291" i="4" s="1"/>
  <c r="A300" i="2" s="1"/>
  <c r="W290" i="4"/>
  <c r="X290" i="4" s="1"/>
  <c r="A299" i="2" s="1"/>
  <c r="W289" i="4"/>
  <c r="X289" i="4" s="1"/>
  <c r="A298" i="2" s="1"/>
  <c r="W288" i="4"/>
  <c r="X288" i="4" s="1"/>
  <c r="A297" i="2" s="1"/>
  <c r="W282" i="4"/>
  <c r="X282" i="4" s="1"/>
  <c r="A291" i="2" s="1"/>
  <c r="W281" i="4"/>
  <c r="X281" i="4" s="1"/>
  <c r="A290" i="2" s="1"/>
  <c r="W280" i="4"/>
  <c r="X280" i="4" s="1"/>
  <c r="A289" i="2" s="1"/>
  <c r="W277" i="4"/>
  <c r="X277" i="4" s="1"/>
  <c r="A286" i="2" s="1"/>
  <c r="W276" i="4"/>
  <c r="X276" i="4" s="1"/>
  <c r="A285" i="2" s="1"/>
  <c r="W275" i="4"/>
  <c r="X275" i="4" s="1"/>
  <c r="A284" i="2" s="1"/>
  <c r="W273" i="4"/>
  <c r="X273" i="4" s="1"/>
  <c r="A282" i="2" s="1"/>
  <c r="W272" i="4"/>
  <c r="X272" i="4" s="1"/>
  <c r="A281" i="2" s="1"/>
  <c r="W267" i="4"/>
  <c r="X267" i="4" s="1"/>
  <c r="A276" i="2" s="1"/>
  <c r="W266" i="4"/>
  <c r="X266" i="4" s="1"/>
  <c r="A275" i="2" s="1"/>
  <c r="W265" i="4"/>
  <c r="X265" i="4" s="1"/>
  <c r="A274" i="2" s="1"/>
  <c r="W260" i="4"/>
  <c r="X260" i="4" s="1"/>
  <c r="A269" i="2" s="1"/>
  <c r="W259" i="4"/>
  <c r="X259" i="4" s="1"/>
  <c r="A268" i="2" s="1"/>
  <c r="W258" i="4"/>
  <c r="X258" i="4" s="1"/>
  <c r="A267" i="2" s="1"/>
  <c r="W255" i="4"/>
  <c r="X255" i="4" s="1"/>
  <c r="A264" i="2" s="1"/>
  <c r="W254" i="4"/>
  <c r="X254" i="4" s="1"/>
  <c r="A263" i="2" s="1"/>
  <c r="W253" i="4"/>
  <c r="X253" i="4" s="1"/>
  <c r="A262" i="2" s="1"/>
  <c r="W252" i="4"/>
  <c r="X252" i="4" s="1"/>
  <c r="A261" i="2" s="1"/>
  <c r="W247" i="4"/>
  <c r="X247" i="4" s="1"/>
  <c r="A256" i="2" s="1"/>
  <c r="W246" i="4"/>
  <c r="X246" i="4" s="1"/>
  <c r="A255" i="2" s="1"/>
  <c r="W243" i="4"/>
  <c r="X243" i="4" s="1"/>
  <c r="A252" i="2" s="1"/>
  <c r="W242" i="4"/>
  <c r="X242" i="4" s="1"/>
  <c r="A251" i="2" s="1"/>
  <c r="W241" i="4"/>
  <c r="X241" i="4" s="1"/>
  <c r="A250" i="2" s="1"/>
  <c r="W240" i="4"/>
  <c r="X240" i="4" s="1"/>
  <c r="A249" i="2" s="1"/>
  <c r="W239" i="4"/>
  <c r="X239" i="4" s="1"/>
  <c r="A248" i="2" s="1"/>
  <c r="W234" i="4"/>
  <c r="X234" i="4" s="1"/>
  <c r="A243" i="2" s="1"/>
  <c r="W233" i="4"/>
  <c r="X233" i="4" s="1"/>
  <c r="A242" i="2" s="1"/>
  <c r="W232" i="4"/>
  <c r="X232" i="4" s="1"/>
  <c r="A241" i="2" s="1"/>
  <c r="W229" i="4"/>
  <c r="X229" i="4" s="1"/>
  <c r="A238" i="2" s="1"/>
  <c r="W228" i="4"/>
  <c r="X228" i="4" s="1"/>
  <c r="A237" i="2" s="1"/>
  <c r="W227" i="4"/>
  <c r="X227" i="4" s="1"/>
  <c r="A236" i="2" s="1"/>
  <c r="W226" i="4"/>
  <c r="X226" i="4" s="1"/>
  <c r="A235" i="2" s="1"/>
  <c r="W221" i="4"/>
  <c r="X221" i="4" s="1"/>
  <c r="A230" i="2" s="1"/>
  <c r="W220" i="4"/>
  <c r="X220" i="4" s="1"/>
  <c r="A229" i="2" s="1"/>
  <c r="W219" i="4"/>
  <c r="X219" i="4" s="1"/>
  <c r="A228" i="2" s="1"/>
  <c r="W218" i="4"/>
  <c r="X218" i="4" s="1"/>
  <c r="A227" i="2" s="1"/>
  <c r="W217" i="4"/>
  <c r="X217" i="4" s="1"/>
  <c r="A226" i="2" s="1"/>
  <c r="W216" i="4"/>
  <c r="X216" i="4" s="1"/>
  <c r="A225" i="2" s="1"/>
  <c r="W211" i="4"/>
  <c r="X211" i="4" s="1"/>
  <c r="A220" i="2" s="1"/>
  <c r="W210" i="4"/>
  <c r="X210" i="4" s="1"/>
  <c r="A219" i="2" s="1"/>
  <c r="W207" i="4"/>
  <c r="X207" i="4" s="1"/>
  <c r="A216" i="2" s="1"/>
  <c r="W206" i="4"/>
  <c r="X206" i="4" s="1"/>
  <c r="A215" i="2" s="1"/>
  <c r="W205" i="4"/>
  <c r="X205" i="4" s="1"/>
  <c r="A214" i="2" s="1"/>
  <c r="W204" i="4"/>
  <c r="X204" i="4" s="1"/>
  <c r="A213" i="2" s="1"/>
  <c r="W199" i="4"/>
  <c r="X199" i="4" s="1"/>
  <c r="A208" i="2" s="1"/>
  <c r="W198" i="4"/>
  <c r="X198" i="4" s="1"/>
  <c r="A207" i="2" s="1"/>
  <c r="W197" i="4"/>
  <c r="X197" i="4" s="1"/>
  <c r="A206" i="2" s="1"/>
  <c r="W196" i="4"/>
  <c r="X196" i="4" s="1"/>
  <c r="A205" i="2" s="1"/>
  <c r="W195" i="4"/>
  <c r="X195" i="4" s="1"/>
  <c r="A204" i="2" s="1"/>
  <c r="W190" i="4"/>
  <c r="X190" i="4" s="1"/>
  <c r="A199" i="2" s="1"/>
  <c r="W189" i="4"/>
  <c r="X189" i="4" s="1"/>
  <c r="A198" i="2" s="1"/>
  <c r="W188" i="4"/>
  <c r="X188" i="4" s="1"/>
  <c r="A197" i="2" s="1"/>
  <c r="W187" i="4"/>
  <c r="X187" i="4" s="1"/>
  <c r="A196" i="2" s="1"/>
  <c r="W184" i="4"/>
  <c r="X184" i="4" s="1"/>
  <c r="A193" i="2" s="1"/>
  <c r="W181" i="4"/>
  <c r="X181" i="4" s="1"/>
  <c r="A190" i="2" s="1"/>
  <c r="W180" i="4"/>
  <c r="X180" i="4" s="1"/>
  <c r="A189" i="2" s="1"/>
  <c r="W179" i="4"/>
  <c r="X179" i="4" s="1"/>
  <c r="A188" i="2" s="1"/>
  <c r="W178" i="4"/>
  <c r="X178" i="4" s="1"/>
  <c r="A187" i="2" s="1"/>
  <c r="W177" i="4"/>
  <c r="X177" i="4" s="1"/>
  <c r="A186" i="2" s="1"/>
  <c r="W176" i="4"/>
  <c r="X176" i="4" s="1"/>
  <c r="A185" i="2" s="1"/>
  <c r="W172" i="4"/>
  <c r="X172" i="4" s="1"/>
  <c r="A181" i="2" s="1"/>
  <c r="W169" i="4"/>
  <c r="X169" i="4" s="1"/>
  <c r="A178" i="2" s="1"/>
  <c r="W168" i="4"/>
  <c r="X168" i="4" s="1"/>
  <c r="A177" i="2" s="1"/>
  <c r="W167" i="4"/>
  <c r="X167" i="4" s="1"/>
  <c r="A176" i="2" s="1"/>
  <c r="W166" i="4"/>
  <c r="X166" i="4" s="1"/>
  <c r="A175" i="2" s="1"/>
  <c r="W165" i="4"/>
  <c r="X165" i="4" s="1"/>
  <c r="A174" i="2" s="1"/>
  <c r="W164" i="4"/>
  <c r="X164" i="4" s="1"/>
  <c r="A173" i="2" s="1"/>
  <c r="W163" i="4"/>
  <c r="X163" i="4" s="1"/>
  <c r="A172" i="2" s="1"/>
  <c r="W155" i="4"/>
  <c r="X155" i="4" s="1"/>
  <c r="A164" i="2" s="1"/>
  <c r="W154" i="4"/>
  <c r="X154" i="4" s="1"/>
  <c r="A163" i="2" s="1"/>
  <c r="W153" i="4"/>
  <c r="X153" i="4" s="1"/>
  <c r="A162" i="2" s="1"/>
  <c r="W152" i="4"/>
  <c r="X152" i="4" s="1"/>
  <c r="A161" i="2" s="1"/>
  <c r="W151" i="4"/>
  <c r="X151" i="4" s="1"/>
  <c r="A160" i="2" s="1"/>
  <c r="W146" i="4"/>
  <c r="X146" i="4" s="1"/>
  <c r="A155" i="2" s="1"/>
  <c r="W145" i="4"/>
  <c r="X145" i="4" s="1"/>
  <c r="A154" i="2" s="1"/>
  <c r="W144" i="4"/>
  <c r="X144" i="4" s="1"/>
  <c r="A153" i="2" s="1"/>
  <c r="W143" i="4"/>
  <c r="X143" i="4" s="1"/>
  <c r="A152" i="2" s="1"/>
  <c r="W142" i="4"/>
  <c r="X142" i="4" s="1"/>
  <c r="A151" i="2" s="1"/>
  <c r="W141" i="4"/>
  <c r="X141" i="4" s="1"/>
  <c r="A150" i="2" s="1"/>
  <c r="W140" i="4"/>
  <c r="X140" i="4" s="1"/>
  <c r="A149" i="2" s="1"/>
  <c r="W136" i="4"/>
  <c r="X136" i="4" s="1"/>
  <c r="A145" i="2" s="1"/>
  <c r="W135" i="4"/>
  <c r="X135" i="4" s="1"/>
  <c r="A144" i="2" s="1"/>
  <c r="W132" i="4"/>
  <c r="X132" i="4" s="1"/>
  <c r="A141" i="2" s="1"/>
  <c r="W131" i="4"/>
  <c r="X131" i="4" s="1"/>
  <c r="A140" i="2" s="1"/>
  <c r="W130" i="4"/>
  <c r="X130" i="4" s="1"/>
  <c r="A139" i="2" s="1"/>
  <c r="W129" i="4"/>
  <c r="X129" i="4" s="1"/>
  <c r="A138" i="2" s="1"/>
  <c r="W128" i="4"/>
  <c r="X128" i="4" s="1"/>
  <c r="A137" i="2" s="1"/>
  <c r="W127" i="4"/>
  <c r="X127" i="4" s="1"/>
  <c r="A136" i="2" s="1"/>
  <c r="W124" i="4"/>
  <c r="X124" i="4" s="1"/>
  <c r="A133" i="2" s="1"/>
  <c r="W123" i="4"/>
  <c r="X123" i="4" s="1"/>
  <c r="A132" i="2" s="1"/>
  <c r="W122" i="4"/>
  <c r="X122" i="4" s="1"/>
  <c r="A131" i="2" s="1"/>
  <c r="W121" i="4"/>
  <c r="X121" i="4" s="1"/>
  <c r="A130" i="2" s="1"/>
  <c r="W120" i="4"/>
  <c r="X120" i="4" s="1"/>
  <c r="A129" i="2" s="1"/>
  <c r="W119" i="4"/>
  <c r="X119" i="4" s="1"/>
  <c r="A128" i="2" s="1"/>
  <c r="W112" i="4"/>
  <c r="X112" i="4" s="1"/>
  <c r="A121" i="2" s="1"/>
  <c r="W111" i="4"/>
  <c r="X111" i="4" s="1"/>
  <c r="A120" i="2" s="1"/>
  <c r="W110" i="4"/>
  <c r="X110" i="4" s="1"/>
  <c r="A119" i="2" s="1"/>
  <c r="W109" i="4"/>
  <c r="X109" i="4" s="1"/>
  <c r="A118" i="2" s="1"/>
  <c r="W108" i="4"/>
  <c r="X108" i="4" s="1"/>
  <c r="A117" i="2" s="1"/>
  <c r="W107" i="4"/>
  <c r="X107" i="4" s="1"/>
  <c r="A116" i="2" s="1"/>
  <c r="W106" i="4"/>
  <c r="X106" i="4" s="1"/>
  <c r="A115" i="2" s="1"/>
  <c r="W105" i="4"/>
  <c r="X105" i="4" s="1"/>
  <c r="A114" i="2" s="1"/>
  <c r="W101" i="4"/>
  <c r="X101" i="4" s="1"/>
  <c r="A110" i="2" s="1"/>
  <c r="W99" i="4"/>
  <c r="X99" i="4" s="1"/>
  <c r="A108" i="2" s="1"/>
  <c r="W98" i="4"/>
  <c r="X98" i="4" s="1"/>
  <c r="A107" i="2" s="1"/>
  <c r="W97" i="4"/>
  <c r="X97" i="4" s="1"/>
  <c r="A106" i="2" s="1"/>
  <c r="W96" i="4"/>
  <c r="X96" i="4" s="1"/>
  <c r="A97" i="2" s="1"/>
  <c r="W95" i="4"/>
  <c r="X95" i="4" s="1"/>
  <c r="A96" i="2" s="1"/>
  <c r="W94" i="4"/>
  <c r="X94" i="4" s="1"/>
  <c r="A95" i="2" s="1"/>
  <c r="W93" i="4"/>
  <c r="X93" i="4" s="1"/>
  <c r="A94" i="2" s="1"/>
  <c r="W92" i="4"/>
  <c r="X92" i="4" s="1"/>
  <c r="A93" i="2" s="1"/>
  <c r="W88" i="4"/>
  <c r="X88" i="4" s="1"/>
  <c r="A89" i="2" s="1"/>
  <c r="W85" i="4"/>
  <c r="X85" i="4" s="1"/>
  <c r="A86" i="2" s="1"/>
  <c r="W84" i="4"/>
  <c r="X84" i="4" s="1"/>
  <c r="A85" i="2" s="1"/>
  <c r="W83" i="4"/>
  <c r="X83" i="4" s="1"/>
  <c r="A84" i="2" s="1"/>
  <c r="W82" i="4"/>
  <c r="X82" i="4" s="1"/>
  <c r="A83" i="2" s="1"/>
  <c r="W81" i="4"/>
  <c r="X81" i="4" s="1"/>
  <c r="A82" i="2" s="1"/>
  <c r="W77" i="4"/>
  <c r="X77" i="4" s="1"/>
  <c r="A78" i="2" s="1"/>
  <c r="W76" i="4"/>
  <c r="X76" i="4" s="1"/>
  <c r="A77" i="2" s="1"/>
  <c r="W75" i="4"/>
  <c r="X75" i="4" s="1"/>
  <c r="A76" i="2" s="1"/>
  <c r="W74" i="4"/>
  <c r="X74" i="4" s="1"/>
  <c r="A75" i="2" s="1"/>
  <c r="W73" i="4"/>
  <c r="X73" i="4" s="1"/>
  <c r="A74" i="2" s="1"/>
  <c r="W68" i="4"/>
  <c r="X68" i="4" s="1"/>
  <c r="A69" i="2" s="1"/>
  <c r="W67" i="4"/>
  <c r="X67" i="4" s="1"/>
  <c r="A68" i="2" s="1"/>
  <c r="W66" i="4"/>
  <c r="X66" i="4" s="1"/>
  <c r="A67" i="2" s="1"/>
  <c r="W65" i="4"/>
  <c r="X65" i="4" s="1"/>
  <c r="A66" i="2" s="1"/>
  <c r="W64" i="4"/>
  <c r="X64" i="4" s="1"/>
  <c r="A65" i="2" s="1"/>
  <c r="W60" i="4"/>
  <c r="X60" i="4" s="1"/>
  <c r="A61" i="2" s="1"/>
  <c r="W59" i="4"/>
  <c r="X59" i="4" s="1"/>
  <c r="A60" i="2" s="1"/>
  <c r="W58" i="4"/>
  <c r="X58" i="4" s="1"/>
  <c r="A59" i="2" s="1"/>
  <c r="W57" i="4"/>
  <c r="X57" i="4" s="1"/>
  <c r="A58" i="2" s="1"/>
  <c r="W56" i="4"/>
  <c r="X56" i="4" s="1"/>
  <c r="A57" i="2" s="1"/>
  <c r="W52" i="4"/>
  <c r="X52" i="4" s="1"/>
  <c r="A53" i="2" s="1"/>
  <c r="W51" i="4"/>
  <c r="X51" i="4" s="1"/>
  <c r="A52" i="2" s="1"/>
  <c r="W50" i="4"/>
  <c r="X50" i="4" s="1"/>
  <c r="A51" i="2" s="1"/>
  <c r="W49" i="4"/>
  <c r="X49" i="4" s="1"/>
  <c r="A50" i="2" s="1"/>
  <c r="W48" i="4"/>
  <c r="X48" i="4" s="1"/>
  <c r="A49" i="2" s="1"/>
  <c r="W44" i="4"/>
  <c r="X44" i="4" s="1"/>
  <c r="A45" i="2" s="1"/>
  <c r="W43" i="4"/>
  <c r="X43" i="4" s="1"/>
  <c r="A44" i="2" s="1"/>
  <c r="W42" i="4"/>
  <c r="X42" i="4" s="1"/>
  <c r="A43" i="2" s="1"/>
  <c r="W37" i="4"/>
  <c r="X37" i="4" s="1"/>
  <c r="A38" i="2" s="1"/>
  <c r="W36" i="4"/>
  <c r="X36" i="4" s="1"/>
  <c r="A37" i="2" s="1"/>
  <c r="W35" i="4"/>
  <c r="X35" i="4" s="1"/>
  <c r="A36" i="2" s="1"/>
  <c r="W30" i="4"/>
  <c r="X30" i="4" s="1"/>
  <c r="A31" i="2" s="1"/>
  <c r="W29" i="4"/>
  <c r="X29" i="4" s="1"/>
  <c r="A30" i="2" s="1"/>
  <c r="W28" i="4"/>
  <c r="X28" i="4" s="1"/>
  <c r="A29" i="2" s="1"/>
  <c r="W23" i="4"/>
  <c r="X23" i="4" s="1"/>
  <c r="A24" i="2" s="1"/>
  <c r="W22" i="4"/>
  <c r="X22" i="4" s="1"/>
  <c r="A23" i="2" s="1"/>
  <c r="W21" i="4"/>
  <c r="X21" i="4" s="1"/>
  <c r="A22" i="2" s="1"/>
  <c r="W20" i="4"/>
  <c r="X20" i="4" s="1"/>
  <c r="A21" i="2" s="1"/>
  <c r="W18" i="4"/>
  <c r="X18" i="4" s="1"/>
  <c r="A19" i="2" s="1"/>
  <c r="W17" i="4"/>
  <c r="X17" i="4" s="1"/>
  <c r="A18" i="2" s="1"/>
  <c r="W16" i="4"/>
  <c r="X16" i="4" s="1"/>
  <c r="A17" i="2" s="1"/>
  <c r="W9" i="4"/>
  <c r="X9" i="4" s="1"/>
  <c r="A10" i="2" s="1"/>
  <c r="W8" i="4"/>
  <c r="X8" i="4" s="1"/>
  <c r="A9" i="2" s="1"/>
  <c r="AD7" i="4"/>
  <c r="W7" i="4"/>
  <c r="X7" i="4" s="1"/>
  <c r="O489" i="2"/>
  <c r="M489" i="2"/>
  <c r="L489" i="2"/>
  <c r="I489" i="2"/>
  <c r="H489" i="2"/>
  <c r="G489" i="2"/>
  <c r="F489" i="2"/>
  <c r="E489" i="2"/>
  <c r="O488" i="2"/>
  <c r="M488" i="2"/>
  <c r="L488" i="2"/>
  <c r="I488" i="2"/>
  <c r="H488" i="2"/>
  <c r="G488" i="2"/>
  <c r="F488" i="2"/>
  <c r="E488" i="2"/>
  <c r="O487" i="2"/>
  <c r="M487" i="2"/>
  <c r="L487" i="2"/>
  <c r="I487" i="2"/>
  <c r="H487" i="2"/>
  <c r="G487" i="2"/>
  <c r="F487" i="2"/>
  <c r="E487" i="2"/>
  <c r="O486" i="2"/>
  <c r="M486" i="2"/>
  <c r="L486" i="2"/>
  <c r="I486" i="2"/>
  <c r="H486" i="2"/>
  <c r="G486" i="2"/>
  <c r="F486" i="2"/>
  <c r="E486" i="2"/>
  <c r="O485" i="2"/>
  <c r="M485" i="2"/>
  <c r="L485" i="2"/>
  <c r="I485" i="2"/>
  <c r="H485" i="2"/>
  <c r="G485" i="2"/>
  <c r="F485" i="2"/>
  <c r="E485" i="2"/>
  <c r="O484" i="2"/>
  <c r="M484" i="2"/>
  <c r="L484" i="2"/>
  <c r="I484" i="2"/>
  <c r="H484" i="2"/>
  <c r="G484" i="2"/>
  <c r="F484" i="2"/>
  <c r="E484" i="2"/>
  <c r="O483" i="2"/>
  <c r="M483" i="2"/>
  <c r="L483" i="2"/>
  <c r="I483" i="2"/>
  <c r="H483" i="2"/>
  <c r="G483" i="2"/>
  <c r="F483" i="2"/>
  <c r="E483" i="2"/>
  <c r="O482" i="2"/>
  <c r="M482" i="2"/>
  <c r="L482" i="2"/>
  <c r="I482" i="2"/>
  <c r="H482" i="2"/>
  <c r="G482" i="2"/>
  <c r="F482" i="2"/>
  <c r="E482" i="2"/>
  <c r="O481" i="2"/>
  <c r="M481" i="2"/>
  <c r="L481" i="2"/>
  <c r="I481" i="2"/>
  <c r="H481" i="2"/>
  <c r="G481" i="2"/>
  <c r="F481" i="2"/>
  <c r="E481" i="2"/>
  <c r="O480" i="2"/>
  <c r="M480" i="2"/>
  <c r="L480" i="2"/>
  <c r="I480" i="2"/>
  <c r="H480" i="2"/>
  <c r="G480" i="2"/>
  <c r="F480" i="2"/>
  <c r="E480" i="2"/>
  <c r="O479" i="2"/>
  <c r="M479" i="2"/>
  <c r="L479" i="2"/>
  <c r="I479" i="2"/>
  <c r="H479" i="2"/>
  <c r="G479" i="2"/>
  <c r="F479" i="2"/>
  <c r="E479" i="2"/>
  <c r="O478" i="2"/>
  <c r="M478" i="2"/>
  <c r="L478" i="2"/>
  <c r="I478" i="2"/>
  <c r="H478" i="2"/>
  <c r="G478" i="2"/>
  <c r="F478" i="2"/>
  <c r="E478" i="2"/>
  <c r="O477" i="2"/>
  <c r="M477" i="2"/>
  <c r="L477" i="2"/>
  <c r="I477" i="2"/>
  <c r="H477" i="2"/>
  <c r="G477" i="2"/>
  <c r="F477" i="2"/>
  <c r="E477" i="2"/>
  <c r="O476" i="2"/>
  <c r="M476" i="2"/>
  <c r="L476" i="2"/>
  <c r="I476" i="2"/>
  <c r="H476" i="2"/>
  <c r="G476" i="2"/>
  <c r="F476" i="2"/>
  <c r="E476" i="2"/>
  <c r="O475" i="2"/>
  <c r="M475" i="2"/>
  <c r="L475" i="2"/>
  <c r="I475" i="2"/>
  <c r="H475" i="2"/>
  <c r="G475" i="2"/>
  <c r="F475" i="2"/>
  <c r="E475" i="2"/>
  <c r="O474" i="2"/>
  <c r="M474" i="2"/>
  <c r="L474" i="2"/>
  <c r="I474" i="2"/>
  <c r="H474" i="2"/>
  <c r="G474" i="2"/>
  <c r="F474" i="2"/>
  <c r="E474" i="2"/>
  <c r="O473" i="2"/>
  <c r="M473" i="2"/>
  <c r="L473" i="2"/>
  <c r="I473" i="2"/>
  <c r="H473" i="2"/>
  <c r="G473" i="2"/>
  <c r="F473" i="2"/>
  <c r="E473" i="2"/>
  <c r="O472" i="2"/>
  <c r="M472" i="2"/>
  <c r="L472" i="2"/>
  <c r="I472" i="2"/>
  <c r="H472" i="2"/>
  <c r="G472" i="2"/>
  <c r="F472" i="2"/>
  <c r="E472" i="2"/>
  <c r="O471" i="2"/>
  <c r="M471" i="2"/>
  <c r="L471" i="2"/>
  <c r="I471" i="2"/>
  <c r="H471" i="2"/>
  <c r="G471" i="2"/>
  <c r="F471" i="2"/>
  <c r="E471" i="2"/>
  <c r="O470" i="2"/>
  <c r="M470" i="2"/>
  <c r="L470" i="2"/>
  <c r="I470" i="2"/>
  <c r="H470" i="2"/>
  <c r="G470" i="2"/>
  <c r="F470" i="2"/>
  <c r="E470" i="2"/>
  <c r="O469" i="2"/>
  <c r="M469" i="2"/>
  <c r="L469" i="2"/>
  <c r="I469" i="2"/>
  <c r="H469" i="2"/>
  <c r="G469" i="2"/>
  <c r="F469" i="2"/>
  <c r="E469" i="2"/>
  <c r="O468" i="2"/>
  <c r="M468" i="2"/>
  <c r="L468" i="2"/>
  <c r="I468" i="2"/>
  <c r="H468" i="2"/>
  <c r="G468" i="2"/>
  <c r="F468" i="2"/>
  <c r="E468" i="2"/>
  <c r="O467" i="2"/>
  <c r="M467" i="2"/>
  <c r="L467" i="2"/>
  <c r="I467" i="2"/>
  <c r="H467" i="2"/>
  <c r="G467" i="2"/>
  <c r="F467" i="2"/>
  <c r="E467" i="2"/>
  <c r="O466" i="2"/>
  <c r="M466" i="2"/>
  <c r="L466" i="2"/>
  <c r="I466" i="2"/>
  <c r="H466" i="2"/>
  <c r="G466" i="2"/>
  <c r="F466" i="2"/>
  <c r="E466" i="2"/>
  <c r="O465" i="2"/>
  <c r="M465" i="2"/>
  <c r="L465" i="2"/>
  <c r="I465" i="2"/>
  <c r="H465" i="2"/>
  <c r="G465" i="2"/>
  <c r="F465" i="2"/>
  <c r="E465" i="2"/>
  <c r="O464" i="2"/>
  <c r="M464" i="2"/>
  <c r="L464" i="2"/>
  <c r="I464" i="2"/>
  <c r="H464" i="2"/>
  <c r="G464" i="2"/>
  <c r="F464" i="2"/>
  <c r="E464" i="2"/>
  <c r="O463" i="2"/>
  <c r="M463" i="2"/>
  <c r="L463" i="2"/>
  <c r="I463" i="2"/>
  <c r="H463" i="2"/>
  <c r="G463" i="2"/>
  <c r="F463" i="2"/>
  <c r="E463" i="2"/>
  <c r="O462" i="2"/>
  <c r="M462" i="2"/>
  <c r="L462" i="2"/>
  <c r="I462" i="2"/>
  <c r="H462" i="2"/>
  <c r="G462" i="2"/>
  <c r="F462" i="2"/>
  <c r="E462" i="2"/>
  <c r="O461" i="2"/>
  <c r="M461" i="2"/>
  <c r="L461" i="2"/>
  <c r="I461" i="2"/>
  <c r="H461" i="2"/>
  <c r="G461" i="2"/>
  <c r="F461" i="2"/>
  <c r="E461" i="2"/>
  <c r="O460" i="2"/>
  <c r="M460" i="2"/>
  <c r="L460" i="2"/>
  <c r="I460" i="2"/>
  <c r="H460" i="2"/>
  <c r="G460" i="2"/>
  <c r="F460" i="2"/>
  <c r="E460" i="2"/>
  <c r="O459" i="2"/>
  <c r="M459" i="2"/>
  <c r="L459" i="2"/>
  <c r="I459" i="2"/>
  <c r="H459" i="2"/>
  <c r="G459" i="2"/>
  <c r="F459" i="2"/>
  <c r="E459" i="2"/>
  <c r="O458" i="2"/>
  <c r="M458" i="2"/>
  <c r="L458" i="2"/>
  <c r="I458" i="2"/>
  <c r="H458" i="2"/>
  <c r="G458" i="2"/>
  <c r="F458" i="2"/>
  <c r="E458" i="2"/>
  <c r="O457" i="2"/>
  <c r="M457" i="2"/>
  <c r="L457" i="2"/>
  <c r="I457" i="2"/>
  <c r="H457" i="2"/>
  <c r="G457" i="2"/>
  <c r="F457" i="2"/>
  <c r="E457" i="2"/>
  <c r="O456" i="2"/>
  <c r="M456" i="2"/>
  <c r="L456" i="2"/>
  <c r="I456" i="2"/>
  <c r="H456" i="2"/>
  <c r="G456" i="2"/>
  <c r="F456" i="2"/>
  <c r="E456" i="2"/>
  <c r="O455" i="2"/>
  <c r="M455" i="2"/>
  <c r="L455" i="2"/>
  <c r="I455" i="2"/>
  <c r="H455" i="2"/>
  <c r="G455" i="2"/>
  <c r="F455" i="2"/>
  <c r="E455" i="2"/>
  <c r="O454" i="2"/>
  <c r="M454" i="2"/>
  <c r="L454" i="2"/>
  <c r="I454" i="2"/>
  <c r="H454" i="2"/>
  <c r="G454" i="2"/>
  <c r="F454" i="2"/>
  <c r="E454" i="2"/>
  <c r="O453" i="2"/>
  <c r="M453" i="2"/>
  <c r="L453" i="2"/>
  <c r="I453" i="2"/>
  <c r="H453" i="2"/>
  <c r="G453" i="2"/>
  <c r="F453" i="2"/>
  <c r="E453" i="2"/>
  <c r="O452" i="2"/>
  <c r="M452" i="2"/>
  <c r="L452" i="2"/>
  <c r="I452" i="2"/>
  <c r="H452" i="2"/>
  <c r="G452" i="2"/>
  <c r="F452" i="2"/>
  <c r="E452" i="2"/>
  <c r="O451" i="2"/>
  <c r="M451" i="2"/>
  <c r="L451" i="2"/>
  <c r="I451" i="2"/>
  <c r="H451" i="2"/>
  <c r="G451" i="2"/>
  <c r="F451" i="2"/>
  <c r="E451" i="2"/>
  <c r="O450" i="2"/>
  <c r="M450" i="2"/>
  <c r="L450" i="2"/>
  <c r="I450" i="2"/>
  <c r="H450" i="2"/>
  <c r="G450" i="2"/>
  <c r="F450" i="2"/>
  <c r="E450" i="2"/>
  <c r="O449" i="2"/>
  <c r="M449" i="2"/>
  <c r="L449" i="2"/>
  <c r="I449" i="2"/>
  <c r="H449" i="2"/>
  <c r="G449" i="2"/>
  <c r="F449" i="2"/>
  <c r="E449" i="2"/>
  <c r="O448" i="2"/>
  <c r="M448" i="2"/>
  <c r="L448" i="2"/>
  <c r="I448" i="2"/>
  <c r="H448" i="2"/>
  <c r="G448" i="2"/>
  <c r="F448" i="2"/>
  <c r="E448" i="2"/>
  <c r="O447" i="2"/>
  <c r="M447" i="2"/>
  <c r="L447" i="2"/>
  <c r="I447" i="2"/>
  <c r="H447" i="2"/>
  <c r="G447" i="2"/>
  <c r="F447" i="2"/>
  <c r="E447" i="2"/>
  <c r="O446" i="2"/>
  <c r="M446" i="2"/>
  <c r="L446" i="2"/>
  <c r="I446" i="2"/>
  <c r="H446" i="2"/>
  <c r="G446" i="2"/>
  <c r="F446" i="2"/>
  <c r="E446" i="2"/>
  <c r="O445" i="2"/>
  <c r="M445" i="2"/>
  <c r="L445" i="2"/>
  <c r="I445" i="2"/>
  <c r="H445" i="2"/>
  <c r="G445" i="2"/>
  <c r="F445" i="2"/>
  <c r="E445" i="2"/>
  <c r="O444" i="2"/>
  <c r="M444" i="2"/>
  <c r="L444" i="2"/>
  <c r="I444" i="2"/>
  <c r="H444" i="2"/>
  <c r="G444" i="2"/>
  <c r="F444" i="2"/>
  <c r="E444" i="2"/>
  <c r="O443" i="2"/>
  <c r="M443" i="2"/>
  <c r="L443" i="2"/>
  <c r="I443" i="2"/>
  <c r="H443" i="2"/>
  <c r="G443" i="2"/>
  <c r="F443" i="2"/>
  <c r="E443" i="2"/>
  <c r="O442" i="2"/>
  <c r="M442" i="2"/>
  <c r="L442" i="2"/>
  <c r="I442" i="2"/>
  <c r="H442" i="2"/>
  <c r="G442" i="2"/>
  <c r="F442" i="2"/>
  <c r="E442" i="2"/>
  <c r="O441" i="2"/>
  <c r="M441" i="2"/>
  <c r="L441" i="2"/>
  <c r="I441" i="2"/>
  <c r="H441" i="2"/>
  <c r="G441" i="2"/>
  <c r="F441" i="2"/>
  <c r="E441" i="2"/>
  <c r="O440" i="2"/>
  <c r="M440" i="2"/>
  <c r="L440" i="2"/>
  <c r="I440" i="2"/>
  <c r="H440" i="2"/>
  <c r="G440" i="2"/>
  <c r="F440" i="2"/>
  <c r="E440" i="2"/>
  <c r="O439" i="2"/>
  <c r="M439" i="2"/>
  <c r="L439" i="2"/>
  <c r="I439" i="2"/>
  <c r="H439" i="2"/>
  <c r="G439" i="2"/>
  <c r="F439" i="2"/>
  <c r="E439" i="2"/>
  <c r="O438" i="2"/>
  <c r="M438" i="2"/>
  <c r="L438" i="2"/>
  <c r="I438" i="2"/>
  <c r="H438" i="2"/>
  <c r="G438" i="2"/>
  <c r="F438" i="2"/>
  <c r="E438" i="2"/>
  <c r="O437" i="2"/>
  <c r="M437" i="2"/>
  <c r="L437" i="2"/>
  <c r="I437" i="2"/>
  <c r="H437" i="2"/>
  <c r="G437" i="2"/>
  <c r="F437" i="2"/>
  <c r="E437" i="2"/>
  <c r="O436" i="2"/>
  <c r="M436" i="2"/>
  <c r="L436" i="2"/>
  <c r="I436" i="2"/>
  <c r="H436" i="2"/>
  <c r="G436" i="2"/>
  <c r="F436" i="2"/>
  <c r="E436" i="2"/>
  <c r="O435" i="2"/>
  <c r="M435" i="2"/>
  <c r="L435" i="2"/>
  <c r="I435" i="2"/>
  <c r="H435" i="2"/>
  <c r="G435" i="2"/>
  <c r="F435" i="2"/>
  <c r="E435" i="2"/>
  <c r="O434" i="2"/>
  <c r="M434" i="2"/>
  <c r="L434" i="2"/>
  <c r="I434" i="2"/>
  <c r="H434" i="2"/>
  <c r="G434" i="2"/>
  <c r="F434" i="2"/>
  <c r="E434" i="2"/>
  <c r="O433" i="2"/>
  <c r="M433" i="2"/>
  <c r="L433" i="2"/>
  <c r="I433" i="2"/>
  <c r="H433" i="2"/>
  <c r="G433" i="2"/>
  <c r="F433" i="2"/>
  <c r="E433" i="2"/>
  <c r="O432" i="2"/>
  <c r="M432" i="2"/>
  <c r="L432" i="2"/>
  <c r="I432" i="2"/>
  <c r="H432" i="2"/>
  <c r="G432" i="2"/>
  <c r="F432" i="2"/>
  <c r="E432" i="2"/>
  <c r="O431" i="2"/>
  <c r="M431" i="2"/>
  <c r="L431" i="2"/>
  <c r="I431" i="2"/>
  <c r="H431" i="2"/>
  <c r="G431" i="2"/>
  <c r="F431" i="2"/>
  <c r="E431" i="2"/>
  <c r="O430" i="2"/>
  <c r="M430" i="2"/>
  <c r="L430" i="2"/>
  <c r="I430" i="2"/>
  <c r="H430" i="2"/>
  <c r="G430" i="2"/>
  <c r="F430" i="2"/>
  <c r="E430" i="2"/>
  <c r="O429" i="2"/>
  <c r="M429" i="2"/>
  <c r="L429" i="2"/>
  <c r="I429" i="2"/>
  <c r="H429" i="2"/>
  <c r="G429" i="2"/>
  <c r="F429" i="2"/>
  <c r="E429" i="2"/>
  <c r="O428" i="2"/>
  <c r="M428" i="2"/>
  <c r="L428" i="2"/>
  <c r="I428" i="2"/>
  <c r="H428" i="2"/>
  <c r="G428" i="2"/>
  <c r="F428" i="2"/>
  <c r="E428" i="2"/>
  <c r="O427" i="2"/>
  <c r="M427" i="2"/>
  <c r="L427" i="2"/>
  <c r="I427" i="2"/>
  <c r="H427" i="2"/>
  <c r="G427" i="2"/>
  <c r="F427" i="2"/>
  <c r="E427" i="2"/>
  <c r="O426" i="2"/>
  <c r="M426" i="2"/>
  <c r="L426" i="2"/>
  <c r="I426" i="2"/>
  <c r="H426" i="2"/>
  <c r="G426" i="2"/>
  <c r="F426" i="2"/>
  <c r="E426" i="2"/>
  <c r="O425" i="2"/>
  <c r="M425" i="2"/>
  <c r="L425" i="2"/>
  <c r="I425" i="2"/>
  <c r="H425" i="2"/>
  <c r="G425" i="2"/>
  <c r="F425" i="2"/>
  <c r="E425" i="2"/>
  <c r="O424" i="2"/>
  <c r="M424" i="2"/>
  <c r="L424" i="2"/>
  <c r="I424" i="2"/>
  <c r="H424" i="2"/>
  <c r="G424" i="2"/>
  <c r="F424" i="2"/>
  <c r="E424" i="2"/>
  <c r="O423" i="2"/>
  <c r="M423" i="2"/>
  <c r="L423" i="2"/>
  <c r="I423" i="2"/>
  <c r="H423" i="2"/>
  <c r="G423" i="2"/>
  <c r="F423" i="2"/>
  <c r="E423" i="2"/>
  <c r="O422" i="2"/>
  <c r="M422" i="2"/>
  <c r="L422" i="2"/>
  <c r="I422" i="2"/>
  <c r="H422" i="2"/>
  <c r="G422" i="2"/>
  <c r="F422" i="2"/>
  <c r="E422" i="2"/>
  <c r="O421" i="2"/>
  <c r="M421" i="2"/>
  <c r="L421" i="2"/>
  <c r="I421" i="2"/>
  <c r="H421" i="2"/>
  <c r="G421" i="2"/>
  <c r="F421" i="2"/>
  <c r="E421" i="2"/>
  <c r="O420" i="2"/>
  <c r="M420" i="2"/>
  <c r="L420" i="2"/>
  <c r="I420" i="2"/>
  <c r="H420" i="2"/>
  <c r="G420" i="2"/>
  <c r="F420" i="2"/>
  <c r="E420" i="2"/>
  <c r="O419" i="2"/>
  <c r="M419" i="2"/>
  <c r="L419" i="2"/>
  <c r="I419" i="2"/>
  <c r="H419" i="2"/>
  <c r="G419" i="2"/>
  <c r="F419" i="2"/>
  <c r="E419" i="2"/>
  <c r="O418" i="2"/>
  <c r="M418" i="2"/>
  <c r="L418" i="2"/>
  <c r="I418" i="2"/>
  <c r="H418" i="2"/>
  <c r="G418" i="2"/>
  <c r="F418" i="2"/>
  <c r="E418" i="2"/>
  <c r="O417" i="2"/>
  <c r="M417" i="2"/>
  <c r="L417" i="2"/>
  <c r="I417" i="2"/>
  <c r="H417" i="2"/>
  <c r="G417" i="2"/>
  <c r="F417" i="2"/>
  <c r="E417" i="2"/>
  <c r="O416" i="2"/>
  <c r="M416" i="2"/>
  <c r="L416" i="2"/>
  <c r="I416" i="2"/>
  <c r="H416" i="2"/>
  <c r="G416" i="2"/>
  <c r="F416" i="2"/>
  <c r="E416" i="2"/>
  <c r="O415" i="2"/>
  <c r="M415" i="2"/>
  <c r="L415" i="2"/>
  <c r="I415" i="2"/>
  <c r="H415" i="2"/>
  <c r="G415" i="2"/>
  <c r="F415" i="2"/>
  <c r="E415" i="2"/>
  <c r="O414" i="2"/>
  <c r="M414" i="2"/>
  <c r="L414" i="2"/>
  <c r="I414" i="2"/>
  <c r="H414" i="2"/>
  <c r="G414" i="2"/>
  <c r="F414" i="2"/>
  <c r="E414" i="2"/>
  <c r="O413" i="2"/>
  <c r="M413" i="2"/>
  <c r="L413" i="2"/>
  <c r="I413" i="2"/>
  <c r="H413" i="2"/>
  <c r="G413" i="2"/>
  <c r="F413" i="2"/>
  <c r="E413" i="2"/>
  <c r="O412" i="2"/>
  <c r="M412" i="2"/>
  <c r="L412" i="2"/>
  <c r="I412" i="2"/>
  <c r="H412" i="2"/>
  <c r="G412" i="2"/>
  <c r="F412" i="2"/>
  <c r="E412" i="2"/>
  <c r="O411" i="2"/>
  <c r="M411" i="2"/>
  <c r="L411" i="2"/>
  <c r="I411" i="2"/>
  <c r="H411" i="2"/>
  <c r="G411" i="2"/>
  <c r="F411" i="2"/>
  <c r="E411" i="2"/>
  <c r="O410" i="2"/>
  <c r="M410" i="2"/>
  <c r="L410" i="2"/>
  <c r="I410" i="2"/>
  <c r="H410" i="2"/>
  <c r="G410" i="2"/>
  <c r="F410" i="2"/>
  <c r="E410" i="2"/>
  <c r="O409" i="2"/>
  <c r="M409" i="2"/>
  <c r="L409" i="2"/>
  <c r="I409" i="2"/>
  <c r="H409" i="2"/>
  <c r="G409" i="2"/>
  <c r="F409" i="2"/>
  <c r="E409" i="2"/>
  <c r="O408" i="2"/>
  <c r="M408" i="2"/>
  <c r="L408" i="2"/>
  <c r="I408" i="2"/>
  <c r="H408" i="2"/>
  <c r="G408" i="2"/>
  <c r="F408" i="2"/>
  <c r="E408" i="2"/>
  <c r="O407" i="2"/>
  <c r="M407" i="2"/>
  <c r="L407" i="2"/>
  <c r="I407" i="2"/>
  <c r="H407" i="2"/>
  <c r="G407" i="2"/>
  <c r="F407" i="2"/>
  <c r="E407" i="2"/>
  <c r="O406" i="2"/>
  <c r="M406" i="2"/>
  <c r="L406" i="2"/>
  <c r="I406" i="2"/>
  <c r="H406" i="2"/>
  <c r="G406" i="2"/>
  <c r="F406" i="2"/>
  <c r="E406" i="2"/>
  <c r="O405" i="2"/>
  <c r="M405" i="2"/>
  <c r="L405" i="2"/>
  <c r="I405" i="2"/>
  <c r="H405" i="2"/>
  <c r="G405" i="2"/>
  <c r="F405" i="2"/>
  <c r="E405" i="2"/>
  <c r="O404" i="2"/>
  <c r="M404" i="2"/>
  <c r="L404" i="2"/>
  <c r="I404" i="2"/>
  <c r="H404" i="2"/>
  <c r="G404" i="2"/>
  <c r="F404" i="2"/>
  <c r="E404" i="2"/>
  <c r="O403" i="2"/>
  <c r="M403" i="2"/>
  <c r="L403" i="2"/>
  <c r="I403" i="2"/>
  <c r="H403" i="2"/>
  <c r="G403" i="2"/>
  <c r="F403" i="2"/>
  <c r="E403" i="2"/>
  <c r="O402" i="2"/>
  <c r="M402" i="2"/>
  <c r="L402" i="2"/>
  <c r="I402" i="2"/>
  <c r="H402" i="2"/>
  <c r="G402" i="2"/>
  <c r="F402" i="2"/>
  <c r="E402" i="2"/>
  <c r="O401" i="2"/>
  <c r="M401" i="2"/>
  <c r="L401" i="2"/>
  <c r="I401" i="2"/>
  <c r="H401" i="2"/>
  <c r="G401" i="2"/>
  <c r="F401" i="2"/>
  <c r="E401" i="2"/>
  <c r="O400" i="2"/>
  <c r="M400" i="2"/>
  <c r="L400" i="2"/>
  <c r="I400" i="2"/>
  <c r="H400" i="2"/>
  <c r="G400" i="2"/>
  <c r="F400" i="2"/>
  <c r="E400" i="2"/>
  <c r="O399" i="2"/>
  <c r="M399" i="2"/>
  <c r="L399" i="2"/>
  <c r="I399" i="2"/>
  <c r="H399" i="2"/>
  <c r="G399" i="2"/>
  <c r="F399" i="2"/>
  <c r="E399" i="2"/>
  <c r="O398" i="2"/>
  <c r="M398" i="2"/>
  <c r="L398" i="2"/>
  <c r="I398" i="2"/>
  <c r="H398" i="2"/>
  <c r="G398" i="2"/>
  <c r="F398" i="2"/>
  <c r="E398" i="2"/>
  <c r="O397" i="2"/>
  <c r="M397" i="2"/>
  <c r="L397" i="2"/>
  <c r="I397" i="2"/>
  <c r="H397" i="2"/>
  <c r="G397" i="2"/>
  <c r="F397" i="2"/>
  <c r="E397" i="2"/>
  <c r="O396" i="2"/>
  <c r="M396" i="2"/>
  <c r="L396" i="2"/>
  <c r="I396" i="2"/>
  <c r="H396" i="2"/>
  <c r="G396" i="2"/>
  <c r="F396" i="2"/>
  <c r="E396" i="2"/>
  <c r="O395" i="2"/>
  <c r="M395" i="2"/>
  <c r="L395" i="2"/>
  <c r="I395" i="2"/>
  <c r="H395" i="2"/>
  <c r="G395" i="2"/>
  <c r="F395" i="2"/>
  <c r="E395" i="2"/>
  <c r="O394" i="2"/>
  <c r="M394" i="2"/>
  <c r="L394" i="2"/>
  <c r="I394" i="2"/>
  <c r="H394" i="2"/>
  <c r="G394" i="2"/>
  <c r="F394" i="2"/>
  <c r="E394" i="2"/>
  <c r="O393" i="2"/>
  <c r="M393" i="2"/>
  <c r="L393" i="2"/>
  <c r="I393" i="2"/>
  <c r="H393" i="2"/>
  <c r="G393" i="2"/>
  <c r="F393" i="2"/>
  <c r="E393" i="2"/>
  <c r="O392" i="2"/>
  <c r="M392" i="2"/>
  <c r="L392" i="2"/>
  <c r="I392" i="2"/>
  <c r="H392" i="2"/>
  <c r="G392" i="2"/>
  <c r="F392" i="2"/>
  <c r="E392" i="2"/>
  <c r="O391" i="2"/>
  <c r="M391" i="2"/>
  <c r="L391" i="2"/>
  <c r="I391" i="2"/>
  <c r="H391" i="2"/>
  <c r="G391" i="2"/>
  <c r="F391" i="2"/>
  <c r="E391" i="2"/>
  <c r="O390" i="2"/>
  <c r="M390" i="2"/>
  <c r="L390" i="2"/>
  <c r="I390" i="2"/>
  <c r="H390" i="2"/>
  <c r="G390" i="2"/>
  <c r="F390" i="2"/>
  <c r="E390" i="2"/>
  <c r="O389" i="2"/>
  <c r="M389" i="2"/>
  <c r="L389" i="2"/>
  <c r="I389" i="2"/>
  <c r="H389" i="2"/>
  <c r="G389" i="2"/>
  <c r="F389" i="2"/>
  <c r="E389" i="2"/>
  <c r="O388" i="2"/>
  <c r="M388" i="2"/>
  <c r="L388" i="2"/>
  <c r="I388" i="2"/>
  <c r="H388" i="2"/>
  <c r="G388" i="2"/>
  <c r="F388" i="2"/>
  <c r="E388" i="2"/>
  <c r="O387" i="2"/>
  <c r="M387" i="2"/>
  <c r="L387" i="2"/>
  <c r="I387" i="2"/>
  <c r="H387" i="2"/>
  <c r="G387" i="2"/>
  <c r="F387" i="2"/>
  <c r="E387" i="2"/>
  <c r="O386" i="2"/>
  <c r="M386" i="2"/>
  <c r="L386" i="2"/>
  <c r="I386" i="2"/>
  <c r="H386" i="2"/>
  <c r="G386" i="2"/>
  <c r="F386" i="2"/>
  <c r="E386" i="2"/>
  <c r="O385" i="2"/>
  <c r="M385" i="2"/>
  <c r="L385" i="2"/>
  <c r="I385" i="2"/>
  <c r="H385" i="2"/>
  <c r="G385" i="2"/>
  <c r="F385" i="2"/>
  <c r="E385" i="2"/>
  <c r="O384" i="2"/>
  <c r="M384" i="2"/>
  <c r="L384" i="2"/>
  <c r="I384" i="2"/>
  <c r="H384" i="2"/>
  <c r="G384" i="2"/>
  <c r="F384" i="2"/>
  <c r="E384" i="2"/>
  <c r="O383" i="2"/>
  <c r="M383" i="2"/>
  <c r="L383" i="2"/>
  <c r="I383" i="2"/>
  <c r="H383" i="2"/>
  <c r="G383" i="2"/>
  <c r="F383" i="2"/>
  <c r="E383" i="2"/>
  <c r="O382" i="2"/>
  <c r="M382" i="2"/>
  <c r="L382" i="2"/>
  <c r="I382" i="2"/>
  <c r="H382" i="2"/>
  <c r="G382" i="2"/>
  <c r="F382" i="2"/>
  <c r="E382" i="2"/>
  <c r="O381" i="2"/>
  <c r="M381" i="2"/>
  <c r="L381" i="2"/>
  <c r="I381" i="2"/>
  <c r="H381" i="2"/>
  <c r="G381" i="2"/>
  <c r="F381" i="2"/>
  <c r="E381" i="2"/>
  <c r="O380" i="2"/>
  <c r="M380" i="2"/>
  <c r="L380" i="2"/>
  <c r="I380" i="2"/>
  <c r="H380" i="2"/>
  <c r="G380" i="2"/>
  <c r="F380" i="2"/>
  <c r="E380" i="2"/>
  <c r="O379" i="2"/>
  <c r="M379" i="2"/>
  <c r="L379" i="2"/>
  <c r="I379" i="2"/>
  <c r="H379" i="2"/>
  <c r="G379" i="2"/>
  <c r="F379" i="2"/>
  <c r="E379" i="2"/>
  <c r="O378" i="2"/>
  <c r="M378" i="2"/>
  <c r="L378" i="2"/>
  <c r="I378" i="2"/>
  <c r="H378" i="2"/>
  <c r="G378" i="2"/>
  <c r="F378" i="2"/>
  <c r="E378" i="2"/>
  <c r="O377" i="2"/>
  <c r="M377" i="2"/>
  <c r="L377" i="2"/>
  <c r="I377" i="2"/>
  <c r="H377" i="2"/>
  <c r="G377" i="2"/>
  <c r="F377" i="2"/>
  <c r="E377" i="2"/>
  <c r="O376" i="2"/>
  <c r="M376" i="2"/>
  <c r="L376" i="2"/>
  <c r="I376" i="2"/>
  <c r="H376" i="2"/>
  <c r="G376" i="2"/>
  <c r="F376" i="2"/>
  <c r="E376" i="2"/>
  <c r="O375" i="2"/>
  <c r="M375" i="2"/>
  <c r="L375" i="2"/>
  <c r="I375" i="2"/>
  <c r="H375" i="2"/>
  <c r="G375" i="2"/>
  <c r="F375" i="2"/>
  <c r="E375" i="2"/>
  <c r="O374" i="2"/>
  <c r="M374" i="2"/>
  <c r="L374" i="2"/>
  <c r="I374" i="2"/>
  <c r="H374" i="2"/>
  <c r="G374" i="2"/>
  <c r="F374" i="2"/>
  <c r="E374" i="2"/>
  <c r="O373" i="2"/>
  <c r="M373" i="2"/>
  <c r="L373" i="2"/>
  <c r="I373" i="2"/>
  <c r="H373" i="2"/>
  <c r="G373" i="2"/>
  <c r="F373" i="2"/>
  <c r="E373" i="2"/>
  <c r="O372" i="2"/>
  <c r="M372" i="2"/>
  <c r="L372" i="2"/>
  <c r="I372" i="2"/>
  <c r="H372" i="2"/>
  <c r="G372" i="2"/>
  <c r="F372" i="2"/>
  <c r="E372" i="2"/>
  <c r="O371" i="2"/>
  <c r="M371" i="2"/>
  <c r="L371" i="2"/>
  <c r="I371" i="2"/>
  <c r="H371" i="2"/>
  <c r="G371" i="2"/>
  <c r="F371" i="2"/>
  <c r="E371" i="2"/>
  <c r="O370" i="2"/>
  <c r="M370" i="2"/>
  <c r="L370" i="2"/>
  <c r="I370" i="2"/>
  <c r="H370" i="2"/>
  <c r="G370" i="2"/>
  <c r="F370" i="2"/>
  <c r="E370" i="2"/>
  <c r="O369" i="2"/>
  <c r="M369" i="2"/>
  <c r="L369" i="2"/>
  <c r="I369" i="2"/>
  <c r="H369" i="2"/>
  <c r="G369" i="2"/>
  <c r="F369" i="2"/>
  <c r="E369" i="2"/>
  <c r="O368" i="2"/>
  <c r="M368" i="2"/>
  <c r="L368" i="2"/>
  <c r="I368" i="2"/>
  <c r="H368" i="2"/>
  <c r="G368" i="2"/>
  <c r="F368" i="2"/>
  <c r="E368" i="2"/>
  <c r="O367" i="2"/>
  <c r="M367" i="2"/>
  <c r="L367" i="2"/>
  <c r="I367" i="2"/>
  <c r="H367" i="2"/>
  <c r="G367" i="2"/>
  <c r="F367" i="2"/>
  <c r="E367" i="2"/>
  <c r="O366" i="2"/>
  <c r="M366" i="2"/>
  <c r="L366" i="2"/>
  <c r="I366" i="2"/>
  <c r="H366" i="2"/>
  <c r="G366" i="2"/>
  <c r="F366" i="2"/>
  <c r="E366" i="2"/>
  <c r="O365" i="2"/>
  <c r="M365" i="2"/>
  <c r="L365" i="2"/>
  <c r="I365" i="2"/>
  <c r="H365" i="2"/>
  <c r="G365" i="2"/>
  <c r="F365" i="2"/>
  <c r="E365" i="2"/>
  <c r="O364" i="2"/>
  <c r="M364" i="2"/>
  <c r="L364" i="2"/>
  <c r="I364" i="2"/>
  <c r="H364" i="2"/>
  <c r="G364" i="2"/>
  <c r="F364" i="2"/>
  <c r="E364" i="2"/>
  <c r="O363" i="2"/>
  <c r="M363" i="2"/>
  <c r="L363" i="2"/>
  <c r="I363" i="2"/>
  <c r="H363" i="2"/>
  <c r="G363" i="2"/>
  <c r="F363" i="2"/>
  <c r="E363" i="2"/>
  <c r="O362" i="2"/>
  <c r="M362" i="2"/>
  <c r="L362" i="2"/>
  <c r="I362" i="2"/>
  <c r="H362" i="2"/>
  <c r="G362" i="2"/>
  <c r="F362" i="2"/>
  <c r="E362" i="2"/>
  <c r="O361" i="2"/>
  <c r="M361" i="2"/>
  <c r="L361" i="2"/>
  <c r="I361" i="2"/>
  <c r="H361" i="2"/>
  <c r="G361" i="2"/>
  <c r="F361" i="2"/>
  <c r="E361" i="2"/>
  <c r="O360" i="2"/>
  <c r="M360" i="2"/>
  <c r="L360" i="2"/>
  <c r="I360" i="2"/>
  <c r="H360" i="2"/>
  <c r="G360" i="2"/>
  <c r="F360" i="2"/>
  <c r="E360" i="2"/>
  <c r="O359" i="2"/>
  <c r="M359" i="2"/>
  <c r="L359" i="2"/>
  <c r="I359" i="2"/>
  <c r="H359" i="2"/>
  <c r="G359" i="2"/>
  <c r="F359" i="2"/>
  <c r="E359" i="2"/>
  <c r="O358" i="2"/>
  <c r="M358" i="2"/>
  <c r="L358" i="2"/>
  <c r="I358" i="2"/>
  <c r="H358" i="2"/>
  <c r="G358" i="2"/>
  <c r="F358" i="2"/>
  <c r="E358" i="2"/>
  <c r="O357" i="2"/>
  <c r="M357" i="2"/>
  <c r="L357" i="2"/>
  <c r="I357" i="2"/>
  <c r="H357" i="2"/>
  <c r="G357" i="2"/>
  <c r="F357" i="2"/>
  <c r="E357" i="2"/>
  <c r="O356" i="2"/>
  <c r="M356" i="2"/>
  <c r="L356" i="2"/>
  <c r="I356" i="2"/>
  <c r="H356" i="2"/>
  <c r="G356" i="2"/>
  <c r="F356" i="2"/>
  <c r="E356" i="2"/>
  <c r="O355" i="2"/>
  <c r="M355" i="2"/>
  <c r="L355" i="2"/>
  <c r="I355" i="2"/>
  <c r="H355" i="2"/>
  <c r="G355" i="2"/>
  <c r="F355" i="2"/>
  <c r="E355" i="2"/>
  <c r="O354" i="2"/>
  <c r="M354" i="2"/>
  <c r="L354" i="2"/>
  <c r="I354" i="2"/>
  <c r="H354" i="2"/>
  <c r="G354" i="2"/>
  <c r="F354" i="2"/>
  <c r="E354" i="2"/>
  <c r="O353" i="2"/>
  <c r="M353" i="2"/>
  <c r="L353" i="2"/>
  <c r="I353" i="2"/>
  <c r="H353" i="2"/>
  <c r="G353" i="2"/>
  <c r="F353" i="2"/>
  <c r="E353" i="2"/>
  <c r="O352" i="2"/>
  <c r="M352" i="2"/>
  <c r="L352" i="2"/>
  <c r="I352" i="2"/>
  <c r="H352" i="2"/>
  <c r="G352" i="2"/>
  <c r="F352" i="2"/>
  <c r="E352" i="2"/>
  <c r="O351" i="2"/>
  <c r="M351" i="2"/>
  <c r="L351" i="2"/>
  <c r="I351" i="2"/>
  <c r="H351" i="2"/>
  <c r="G351" i="2"/>
  <c r="F351" i="2"/>
  <c r="E351" i="2"/>
  <c r="O350" i="2"/>
  <c r="M350" i="2"/>
  <c r="L350" i="2"/>
  <c r="I350" i="2"/>
  <c r="H350" i="2"/>
  <c r="G350" i="2"/>
  <c r="F350" i="2"/>
  <c r="E350" i="2"/>
  <c r="O349" i="2"/>
  <c r="M349" i="2"/>
  <c r="L349" i="2"/>
  <c r="I349" i="2"/>
  <c r="H349" i="2"/>
  <c r="G349" i="2"/>
  <c r="F349" i="2"/>
  <c r="E349" i="2"/>
  <c r="O348" i="2"/>
  <c r="M348" i="2"/>
  <c r="L348" i="2"/>
  <c r="I348" i="2"/>
  <c r="H348" i="2"/>
  <c r="G348" i="2"/>
  <c r="F348" i="2"/>
  <c r="E348" i="2"/>
  <c r="O347" i="2"/>
  <c r="M347" i="2"/>
  <c r="L347" i="2"/>
  <c r="I347" i="2"/>
  <c r="H347" i="2"/>
  <c r="G347" i="2"/>
  <c r="F347" i="2"/>
  <c r="E347" i="2"/>
  <c r="O346" i="2"/>
  <c r="M346" i="2"/>
  <c r="L346" i="2"/>
  <c r="I346" i="2"/>
  <c r="H346" i="2"/>
  <c r="G346" i="2"/>
  <c r="F346" i="2"/>
  <c r="E346" i="2"/>
  <c r="O345" i="2"/>
  <c r="M345" i="2"/>
  <c r="L345" i="2"/>
  <c r="I345" i="2"/>
  <c r="H345" i="2"/>
  <c r="G345" i="2"/>
  <c r="F345" i="2"/>
  <c r="E345" i="2"/>
  <c r="O344" i="2"/>
  <c r="M344" i="2"/>
  <c r="L344" i="2"/>
  <c r="I344" i="2"/>
  <c r="H344" i="2"/>
  <c r="G344" i="2"/>
  <c r="F344" i="2"/>
  <c r="E344" i="2"/>
  <c r="O343" i="2"/>
  <c r="M343" i="2"/>
  <c r="L343" i="2"/>
  <c r="I343" i="2"/>
  <c r="H343" i="2"/>
  <c r="G343" i="2"/>
  <c r="F343" i="2"/>
  <c r="E343" i="2"/>
  <c r="O342" i="2"/>
  <c r="M342" i="2"/>
  <c r="L342" i="2"/>
  <c r="I342" i="2"/>
  <c r="H342" i="2"/>
  <c r="G342" i="2"/>
  <c r="F342" i="2"/>
  <c r="E342" i="2"/>
  <c r="O341" i="2"/>
  <c r="M341" i="2"/>
  <c r="L341" i="2"/>
  <c r="I341" i="2"/>
  <c r="H341" i="2"/>
  <c r="G341" i="2"/>
  <c r="F341" i="2"/>
  <c r="E341" i="2"/>
  <c r="O340" i="2"/>
  <c r="M340" i="2"/>
  <c r="L340" i="2"/>
  <c r="I340" i="2"/>
  <c r="H340" i="2"/>
  <c r="G340" i="2"/>
  <c r="F340" i="2"/>
  <c r="E340" i="2"/>
  <c r="O339" i="2"/>
  <c r="M339" i="2"/>
  <c r="L339" i="2"/>
  <c r="I339" i="2"/>
  <c r="H339" i="2"/>
  <c r="G339" i="2"/>
  <c r="F339" i="2"/>
  <c r="E339" i="2"/>
  <c r="O338" i="2"/>
  <c r="M338" i="2"/>
  <c r="L338" i="2"/>
  <c r="I338" i="2"/>
  <c r="H338" i="2"/>
  <c r="G338" i="2"/>
  <c r="F338" i="2"/>
  <c r="E338" i="2"/>
  <c r="O337" i="2"/>
  <c r="M337" i="2"/>
  <c r="L337" i="2"/>
  <c r="I337" i="2"/>
  <c r="H337" i="2"/>
  <c r="G337" i="2"/>
  <c r="F337" i="2"/>
  <c r="E337" i="2"/>
  <c r="O336" i="2"/>
  <c r="M336" i="2"/>
  <c r="L336" i="2"/>
  <c r="I336" i="2"/>
  <c r="H336" i="2"/>
  <c r="G336" i="2"/>
  <c r="F336" i="2"/>
  <c r="E336" i="2"/>
  <c r="O335" i="2"/>
  <c r="M335" i="2"/>
  <c r="L335" i="2"/>
  <c r="I335" i="2"/>
  <c r="H335" i="2"/>
  <c r="G335" i="2"/>
  <c r="F335" i="2"/>
  <c r="E335" i="2"/>
  <c r="O334" i="2"/>
  <c r="M334" i="2"/>
  <c r="L334" i="2"/>
  <c r="I334" i="2"/>
  <c r="H334" i="2"/>
  <c r="G334" i="2"/>
  <c r="F334" i="2"/>
  <c r="E334" i="2"/>
  <c r="O333" i="2"/>
  <c r="M333" i="2"/>
  <c r="L333" i="2"/>
  <c r="I333" i="2"/>
  <c r="H333" i="2"/>
  <c r="G333" i="2"/>
  <c r="F333" i="2"/>
  <c r="E333" i="2"/>
  <c r="O332" i="2"/>
  <c r="M332" i="2"/>
  <c r="L332" i="2"/>
  <c r="I332" i="2"/>
  <c r="H332" i="2"/>
  <c r="G332" i="2"/>
  <c r="F332" i="2"/>
  <c r="E332" i="2"/>
  <c r="O331" i="2"/>
  <c r="M331" i="2"/>
  <c r="L331" i="2"/>
  <c r="I331" i="2"/>
  <c r="H331" i="2"/>
  <c r="G331" i="2"/>
  <c r="F331" i="2"/>
  <c r="E331" i="2"/>
  <c r="O330" i="2"/>
  <c r="M330" i="2"/>
  <c r="L330" i="2"/>
  <c r="I330" i="2"/>
  <c r="H330" i="2"/>
  <c r="G330" i="2"/>
  <c r="F330" i="2"/>
  <c r="E330" i="2"/>
  <c r="O329" i="2"/>
  <c r="M329" i="2"/>
  <c r="L329" i="2"/>
  <c r="I329" i="2"/>
  <c r="H329" i="2"/>
  <c r="G329" i="2"/>
  <c r="F329" i="2"/>
  <c r="E329" i="2"/>
  <c r="O328" i="2"/>
  <c r="M328" i="2"/>
  <c r="L328" i="2"/>
  <c r="I328" i="2"/>
  <c r="H328" i="2"/>
  <c r="G328" i="2"/>
  <c r="F328" i="2"/>
  <c r="E328" i="2"/>
  <c r="O327" i="2"/>
  <c r="M327" i="2"/>
  <c r="L327" i="2"/>
  <c r="I327" i="2"/>
  <c r="H327" i="2"/>
  <c r="G327" i="2"/>
  <c r="F327" i="2"/>
  <c r="E327" i="2"/>
  <c r="O326" i="2"/>
  <c r="M326" i="2"/>
  <c r="L326" i="2"/>
  <c r="I326" i="2"/>
  <c r="H326" i="2"/>
  <c r="G326" i="2"/>
  <c r="F326" i="2"/>
  <c r="E326" i="2"/>
  <c r="O325" i="2"/>
  <c r="M325" i="2"/>
  <c r="L325" i="2"/>
  <c r="I325" i="2"/>
  <c r="H325" i="2"/>
  <c r="G325" i="2"/>
  <c r="F325" i="2"/>
  <c r="E325" i="2"/>
  <c r="O324" i="2"/>
  <c r="M324" i="2"/>
  <c r="L324" i="2"/>
  <c r="I324" i="2"/>
  <c r="H324" i="2"/>
  <c r="G324" i="2"/>
  <c r="F324" i="2"/>
  <c r="E324" i="2"/>
  <c r="O323" i="2"/>
  <c r="M323" i="2"/>
  <c r="L323" i="2"/>
  <c r="I323" i="2"/>
  <c r="H323" i="2"/>
  <c r="G323" i="2"/>
  <c r="F323" i="2"/>
  <c r="E323" i="2"/>
  <c r="O322" i="2"/>
  <c r="M322" i="2"/>
  <c r="L322" i="2"/>
  <c r="I322" i="2"/>
  <c r="H322" i="2"/>
  <c r="G322" i="2"/>
  <c r="F322" i="2"/>
  <c r="E322" i="2"/>
  <c r="O321" i="2"/>
  <c r="M321" i="2"/>
  <c r="L321" i="2"/>
  <c r="I321" i="2"/>
  <c r="H321" i="2"/>
  <c r="G321" i="2"/>
  <c r="F321" i="2"/>
  <c r="E321" i="2"/>
  <c r="O320" i="2"/>
  <c r="M320" i="2"/>
  <c r="L320" i="2"/>
  <c r="I320" i="2"/>
  <c r="H320" i="2"/>
  <c r="G320" i="2"/>
  <c r="F320" i="2"/>
  <c r="E320" i="2"/>
  <c r="O319" i="2"/>
  <c r="M319" i="2"/>
  <c r="L319" i="2"/>
  <c r="I319" i="2"/>
  <c r="H319" i="2"/>
  <c r="G319" i="2"/>
  <c r="F319" i="2"/>
  <c r="E319" i="2"/>
  <c r="O318" i="2"/>
  <c r="M318" i="2"/>
  <c r="L318" i="2"/>
  <c r="I318" i="2"/>
  <c r="H318" i="2"/>
  <c r="G318" i="2"/>
  <c r="F318" i="2"/>
  <c r="E318" i="2"/>
  <c r="O317" i="2"/>
  <c r="M317" i="2"/>
  <c r="L317" i="2"/>
  <c r="I317" i="2"/>
  <c r="H317" i="2"/>
  <c r="G317" i="2"/>
  <c r="F317" i="2"/>
  <c r="E317" i="2"/>
  <c r="O316" i="2"/>
  <c r="M316" i="2"/>
  <c r="L316" i="2"/>
  <c r="I316" i="2"/>
  <c r="H316" i="2"/>
  <c r="G316" i="2"/>
  <c r="F316" i="2"/>
  <c r="E316" i="2"/>
  <c r="O315" i="2"/>
  <c r="M315" i="2"/>
  <c r="L315" i="2"/>
  <c r="I315" i="2"/>
  <c r="H315" i="2"/>
  <c r="G315" i="2"/>
  <c r="F315" i="2"/>
  <c r="E315" i="2"/>
  <c r="O314" i="2"/>
  <c r="M314" i="2"/>
  <c r="L314" i="2"/>
  <c r="I314" i="2"/>
  <c r="H314" i="2"/>
  <c r="G314" i="2"/>
  <c r="F314" i="2"/>
  <c r="E314" i="2"/>
  <c r="O313" i="2"/>
  <c r="M313" i="2"/>
  <c r="L313" i="2"/>
  <c r="I313" i="2"/>
  <c r="H313" i="2"/>
  <c r="G313" i="2"/>
  <c r="F313" i="2"/>
  <c r="E313" i="2"/>
  <c r="O312" i="2"/>
  <c r="M312" i="2"/>
  <c r="L312" i="2"/>
  <c r="I312" i="2"/>
  <c r="H312" i="2"/>
  <c r="G312" i="2"/>
  <c r="F312" i="2"/>
  <c r="E312" i="2"/>
  <c r="O311" i="2"/>
  <c r="M311" i="2"/>
  <c r="L311" i="2"/>
  <c r="I311" i="2"/>
  <c r="H311" i="2"/>
  <c r="G311" i="2"/>
  <c r="F311" i="2"/>
  <c r="E311" i="2"/>
  <c r="O310" i="2"/>
  <c r="M310" i="2"/>
  <c r="L310" i="2"/>
  <c r="I310" i="2"/>
  <c r="H310" i="2"/>
  <c r="G310" i="2"/>
  <c r="F310" i="2"/>
  <c r="E310" i="2"/>
  <c r="O309" i="2"/>
  <c r="M309" i="2"/>
  <c r="L309" i="2"/>
  <c r="I309" i="2"/>
  <c r="H309" i="2"/>
  <c r="G309" i="2"/>
  <c r="F309" i="2"/>
  <c r="E309" i="2"/>
  <c r="O308" i="2"/>
  <c r="M308" i="2"/>
  <c r="L308" i="2"/>
  <c r="I308" i="2"/>
  <c r="H308" i="2"/>
  <c r="G308" i="2"/>
  <c r="F308" i="2"/>
  <c r="E308" i="2"/>
  <c r="O307" i="2"/>
  <c r="M307" i="2"/>
  <c r="L307" i="2"/>
  <c r="I307" i="2"/>
  <c r="H307" i="2"/>
  <c r="G307" i="2"/>
  <c r="F307" i="2"/>
  <c r="E307" i="2"/>
  <c r="O306" i="2"/>
  <c r="M306" i="2"/>
  <c r="L306" i="2"/>
  <c r="I306" i="2"/>
  <c r="H306" i="2"/>
  <c r="G306" i="2"/>
  <c r="F306" i="2"/>
  <c r="E306" i="2"/>
  <c r="O305" i="2"/>
  <c r="M305" i="2"/>
  <c r="L305" i="2"/>
  <c r="I305" i="2"/>
  <c r="H305" i="2"/>
  <c r="G305" i="2"/>
  <c r="F305" i="2"/>
  <c r="E305" i="2"/>
  <c r="O304" i="2"/>
  <c r="M304" i="2"/>
  <c r="L304" i="2"/>
  <c r="I304" i="2"/>
  <c r="H304" i="2"/>
  <c r="G304" i="2"/>
  <c r="F304" i="2"/>
  <c r="E304" i="2"/>
  <c r="O303" i="2"/>
  <c r="M303" i="2"/>
  <c r="L303" i="2"/>
  <c r="I303" i="2"/>
  <c r="H303" i="2"/>
  <c r="G303" i="2"/>
  <c r="F303" i="2"/>
  <c r="E303" i="2"/>
  <c r="O302" i="2"/>
  <c r="M302" i="2"/>
  <c r="L302" i="2"/>
  <c r="I302" i="2"/>
  <c r="H302" i="2"/>
  <c r="G302" i="2"/>
  <c r="F302" i="2"/>
  <c r="E302" i="2"/>
  <c r="O301" i="2"/>
  <c r="M301" i="2"/>
  <c r="L301" i="2"/>
  <c r="I301" i="2"/>
  <c r="H301" i="2"/>
  <c r="G301" i="2"/>
  <c r="F301" i="2"/>
  <c r="E301" i="2"/>
  <c r="O300" i="2"/>
  <c r="M300" i="2"/>
  <c r="L300" i="2"/>
  <c r="I300" i="2"/>
  <c r="H300" i="2"/>
  <c r="G300" i="2"/>
  <c r="F300" i="2"/>
  <c r="E300" i="2"/>
  <c r="O299" i="2"/>
  <c r="M299" i="2"/>
  <c r="L299" i="2"/>
  <c r="I299" i="2"/>
  <c r="H299" i="2"/>
  <c r="G299" i="2"/>
  <c r="F299" i="2"/>
  <c r="E299" i="2"/>
  <c r="O298" i="2"/>
  <c r="M298" i="2"/>
  <c r="L298" i="2"/>
  <c r="I298" i="2"/>
  <c r="H298" i="2"/>
  <c r="G298" i="2"/>
  <c r="F298" i="2"/>
  <c r="E298" i="2"/>
  <c r="O297" i="2"/>
  <c r="M297" i="2"/>
  <c r="L297" i="2"/>
  <c r="I297" i="2"/>
  <c r="H297" i="2"/>
  <c r="G297" i="2"/>
  <c r="F297" i="2"/>
  <c r="E297" i="2"/>
  <c r="O296" i="2"/>
  <c r="M296" i="2"/>
  <c r="L296" i="2"/>
  <c r="I296" i="2"/>
  <c r="H296" i="2"/>
  <c r="G296" i="2"/>
  <c r="F296" i="2"/>
  <c r="E296" i="2"/>
  <c r="O295" i="2"/>
  <c r="M295" i="2"/>
  <c r="L295" i="2"/>
  <c r="I295" i="2"/>
  <c r="H295" i="2"/>
  <c r="G295" i="2"/>
  <c r="F295" i="2"/>
  <c r="E295" i="2"/>
  <c r="O294" i="2"/>
  <c r="M294" i="2"/>
  <c r="L294" i="2"/>
  <c r="I294" i="2"/>
  <c r="H294" i="2"/>
  <c r="G294" i="2"/>
  <c r="F294" i="2"/>
  <c r="E294" i="2"/>
  <c r="O293" i="2"/>
  <c r="M293" i="2"/>
  <c r="L293" i="2"/>
  <c r="I293" i="2"/>
  <c r="H293" i="2"/>
  <c r="G293" i="2"/>
  <c r="F293" i="2"/>
  <c r="E293" i="2"/>
  <c r="O292" i="2"/>
  <c r="M292" i="2"/>
  <c r="L292" i="2"/>
  <c r="I292" i="2"/>
  <c r="H292" i="2"/>
  <c r="G292" i="2"/>
  <c r="F292" i="2"/>
  <c r="E292" i="2"/>
  <c r="O291" i="2"/>
  <c r="M291" i="2"/>
  <c r="L291" i="2"/>
  <c r="I291" i="2"/>
  <c r="H291" i="2"/>
  <c r="G291" i="2"/>
  <c r="F291" i="2"/>
  <c r="E291" i="2"/>
  <c r="O290" i="2"/>
  <c r="M290" i="2"/>
  <c r="L290" i="2"/>
  <c r="I290" i="2"/>
  <c r="H290" i="2"/>
  <c r="G290" i="2"/>
  <c r="F290" i="2"/>
  <c r="E290" i="2"/>
  <c r="O289" i="2"/>
  <c r="M289" i="2"/>
  <c r="L289" i="2"/>
  <c r="I289" i="2"/>
  <c r="H289" i="2"/>
  <c r="G289" i="2"/>
  <c r="F289" i="2"/>
  <c r="E289" i="2"/>
  <c r="O288" i="2"/>
  <c r="M288" i="2"/>
  <c r="L288" i="2"/>
  <c r="I288" i="2"/>
  <c r="H288" i="2"/>
  <c r="G288" i="2"/>
  <c r="F288" i="2"/>
  <c r="E288" i="2"/>
  <c r="O287" i="2"/>
  <c r="M287" i="2"/>
  <c r="L287" i="2"/>
  <c r="I287" i="2"/>
  <c r="H287" i="2"/>
  <c r="G287" i="2"/>
  <c r="F287" i="2"/>
  <c r="E287" i="2"/>
  <c r="O286" i="2"/>
  <c r="M286" i="2"/>
  <c r="L286" i="2"/>
  <c r="I286" i="2"/>
  <c r="H286" i="2"/>
  <c r="G286" i="2"/>
  <c r="F286" i="2"/>
  <c r="E286" i="2"/>
  <c r="O285" i="2"/>
  <c r="M285" i="2"/>
  <c r="L285" i="2"/>
  <c r="I285" i="2"/>
  <c r="H285" i="2"/>
  <c r="G285" i="2"/>
  <c r="F285" i="2"/>
  <c r="E285" i="2"/>
  <c r="O284" i="2"/>
  <c r="M284" i="2"/>
  <c r="L284" i="2"/>
  <c r="I284" i="2"/>
  <c r="H284" i="2"/>
  <c r="G284" i="2"/>
  <c r="F284" i="2"/>
  <c r="E284" i="2"/>
  <c r="O283" i="2"/>
  <c r="M283" i="2"/>
  <c r="L283" i="2"/>
  <c r="I283" i="2"/>
  <c r="H283" i="2"/>
  <c r="G283" i="2"/>
  <c r="F283" i="2"/>
  <c r="E283" i="2"/>
  <c r="O282" i="2"/>
  <c r="M282" i="2"/>
  <c r="L282" i="2"/>
  <c r="I282" i="2"/>
  <c r="H282" i="2"/>
  <c r="G282" i="2"/>
  <c r="F282" i="2"/>
  <c r="E282" i="2"/>
  <c r="O281" i="2"/>
  <c r="M281" i="2"/>
  <c r="L281" i="2"/>
  <c r="I281" i="2"/>
  <c r="H281" i="2"/>
  <c r="G281" i="2"/>
  <c r="F281" i="2"/>
  <c r="E281" i="2"/>
  <c r="O280" i="2"/>
  <c r="M280" i="2"/>
  <c r="L280" i="2"/>
  <c r="I280" i="2"/>
  <c r="H280" i="2"/>
  <c r="G280" i="2"/>
  <c r="F280" i="2"/>
  <c r="E280" i="2"/>
  <c r="O279" i="2"/>
  <c r="M279" i="2"/>
  <c r="L279" i="2"/>
  <c r="I279" i="2"/>
  <c r="H279" i="2"/>
  <c r="G279" i="2"/>
  <c r="F279" i="2"/>
  <c r="E279" i="2"/>
  <c r="O278" i="2"/>
  <c r="M278" i="2"/>
  <c r="L278" i="2"/>
  <c r="I278" i="2"/>
  <c r="H278" i="2"/>
  <c r="G278" i="2"/>
  <c r="F278" i="2"/>
  <c r="E278" i="2"/>
  <c r="O277" i="2"/>
  <c r="M277" i="2"/>
  <c r="L277" i="2"/>
  <c r="I277" i="2"/>
  <c r="H277" i="2"/>
  <c r="G277" i="2"/>
  <c r="F277" i="2"/>
  <c r="E277" i="2"/>
  <c r="O276" i="2"/>
  <c r="M276" i="2"/>
  <c r="L276" i="2"/>
  <c r="I276" i="2"/>
  <c r="H276" i="2"/>
  <c r="G276" i="2"/>
  <c r="F276" i="2"/>
  <c r="E276" i="2"/>
  <c r="O275" i="2"/>
  <c r="M275" i="2"/>
  <c r="L275" i="2"/>
  <c r="I275" i="2"/>
  <c r="H275" i="2"/>
  <c r="G275" i="2"/>
  <c r="F275" i="2"/>
  <c r="E275" i="2"/>
  <c r="O274" i="2"/>
  <c r="M274" i="2"/>
  <c r="L274" i="2"/>
  <c r="I274" i="2"/>
  <c r="H274" i="2"/>
  <c r="G274" i="2"/>
  <c r="F274" i="2"/>
  <c r="E274" i="2"/>
  <c r="O273" i="2"/>
  <c r="M273" i="2"/>
  <c r="L273" i="2"/>
  <c r="I273" i="2"/>
  <c r="H273" i="2"/>
  <c r="G273" i="2"/>
  <c r="F273" i="2"/>
  <c r="E273" i="2"/>
  <c r="O272" i="2"/>
  <c r="M272" i="2"/>
  <c r="L272" i="2"/>
  <c r="I272" i="2"/>
  <c r="H272" i="2"/>
  <c r="G272" i="2"/>
  <c r="F272" i="2"/>
  <c r="E272" i="2"/>
  <c r="O271" i="2"/>
  <c r="M271" i="2"/>
  <c r="L271" i="2"/>
  <c r="I271" i="2"/>
  <c r="H271" i="2"/>
  <c r="G271" i="2"/>
  <c r="F271" i="2"/>
  <c r="E271" i="2"/>
  <c r="O270" i="2"/>
  <c r="M270" i="2"/>
  <c r="L270" i="2"/>
  <c r="I270" i="2"/>
  <c r="H270" i="2"/>
  <c r="G270" i="2"/>
  <c r="F270" i="2"/>
  <c r="E270" i="2"/>
  <c r="O269" i="2"/>
  <c r="M269" i="2"/>
  <c r="L269" i="2"/>
  <c r="I269" i="2"/>
  <c r="H269" i="2"/>
  <c r="G269" i="2"/>
  <c r="F269" i="2"/>
  <c r="E269" i="2"/>
  <c r="O268" i="2"/>
  <c r="M268" i="2"/>
  <c r="L268" i="2"/>
  <c r="I268" i="2"/>
  <c r="H268" i="2"/>
  <c r="G268" i="2"/>
  <c r="F268" i="2"/>
  <c r="E268" i="2"/>
  <c r="O267" i="2"/>
  <c r="M267" i="2"/>
  <c r="L267" i="2"/>
  <c r="I267" i="2"/>
  <c r="H267" i="2"/>
  <c r="G267" i="2"/>
  <c r="F267" i="2"/>
  <c r="E267" i="2"/>
  <c r="O266" i="2"/>
  <c r="M266" i="2"/>
  <c r="L266" i="2"/>
  <c r="I266" i="2"/>
  <c r="H266" i="2"/>
  <c r="G266" i="2"/>
  <c r="F266" i="2"/>
  <c r="E266" i="2"/>
  <c r="O265" i="2"/>
  <c r="M265" i="2"/>
  <c r="L265" i="2"/>
  <c r="I265" i="2"/>
  <c r="H265" i="2"/>
  <c r="G265" i="2"/>
  <c r="F265" i="2"/>
  <c r="E265" i="2"/>
  <c r="O264" i="2"/>
  <c r="M264" i="2"/>
  <c r="L264" i="2"/>
  <c r="I264" i="2"/>
  <c r="H264" i="2"/>
  <c r="G264" i="2"/>
  <c r="F264" i="2"/>
  <c r="E264" i="2"/>
  <c r="O263" i="2"/>
  <c r="M263" i="2"/>
  <c r="L263" i="2"/>
  <c r="I263" i="2"/>
  <c r="H263" i="2"/>
  <c r="G263" i="2"/>
  <c r="F263" i="2"/>
  <c r="E263" i="2"/>
  <c r="O262" i="2"/>
  <c r="M262" i="2"/>
  <c r="L262" i="2"/>
  <c r="I262" i="2"/>
  <c r="H262" i="2"/>
  <c r="G262" i="2"/>
  <c r="F262" i="2"/>
  <c r="E262" i="2"/>
  <c r="O261" i="2"/>
  <c r="M261" i="2"/>
  <c r="L261" i="2"/>
  <c r="I261" i="2"/>
  <c r="H261" i="2"/>
  <c r="G261" i="2"/>
  <c r="F261" i="2"/>
  <c r="E261" i="2"/>
  <c r="O260" i="2"/>
  <c r="M260" i="2"/>
  <c r="L260" i="2"/>
  <c r="I260" i="2"/>
  <c r="H260" i="2"/>
  <c r="G260" i="2"/>
  <c r="F260" i="2"/>
  <c r="E260" i="2"/>
  <c r="O259" i="2"/>
  <c r="M259" i="2"/>
  <c r="L259" i="2"/>
  <c r="I259" i="2"/>
  <c r="H259" i="2"/>
  <c r="G259" i="2"/>
  <c r="F259" i="2"/>
  <c r="E259" i="2"/>
  <c r="O258" i="2"/>
  <c r="M258" i="2"/>
  <c r="L258" i="2"/>
  <c r="I258" i="2"/>
  <c r="H258" i="2"/>
  <c r="G258" i="2"/>
  <c r="F258" i="2"/>
  <c r="E258" i="2"/>
  <c r="O257" i="2"/>
  <c r="M257" i="2"/>
  <c r="L257" i="2"/>
  <c r="I257" i="2"/>
  <c r="H257" i="2"/>
  <c r="G257" i="2"/>
  <c r="F257" i="2"/>
  <c r="E257" i="2"/>
  <c r="O256" i="2"/>
  <c r="M256" i="2"/>
  <c r="L256" i="2"/>
  <c r="I256" i="2"/>
  <c r="H256" i="2"/>
  <c r="G256" i="2"/>
  <c r="F256" i="2"/>
  <c r="E256" i="2"/>
  <c r="O255" i="2"/>
  <c r="M255" i="2"/>
  <c r="L255" i="2"/>
  <c r="I255" i="2"/>
  <c r="H255" i="2"/>
  <c r="G255" i="2"/>
  <c r="F255" i="2"/>
  <c r="E255" i="2"/>
  <c r="O254" i="2"/>
  <c r="M254" i="2"/>
  <c r="L254" i="2"/>
  <c r="I254" i="2"/>
  <c r="H254" i="2"/>
  <c r="G254" i="2"/>
  <c r="F254" i="2"/>
  <c r="E254" i="2"/>
  <c r="O253" i="2"/>
  <c r="M253" i="2"/>
  <c r="L253" i="2"/>
  <c r="I253" i="2"/>
  <c r="H253" i="2"/>
  <c r="G253" i="2"/>
  <c r="F253" i="2"/>
  <c r="E253" i="2"/>
  <c r="O252" i="2"/>
  <c r="M252" i="2"/>
  <c r="L252" i="2"/>
  <c r="I252" i="2"/>
  <c r="H252" i="2"/>
  <c r="G252" i="2"/>
  <c r="F252" i="2"/>
  <c r="E252" i="2"/>
  <c r="O251" i="2"/>
  <c r="M251" i="2"/>
  <c r="L251" i="2"/>
  <c r="I251" i="2"/>
  <c r="H251" i="2"/>
  <c r="G251" i="2"/>
  <c r="F251" i="2"/>
  <c r="E251" i="2"/>
  <c r="O250" i="2"/>
  <c r="M250" i="2"/>
  <c r="L250" i="2"/>
  <c r="I250" i="2"/>
  <c r="H250" i="2"/>
  <c r="G250" i="2"/>
  <c r="F250" i="2"/>
  <c r="E250" i="2"/>
  <c r="O249" i="2"/>
  <c r="M249" i="2"/>
  <c r="L249" i="2"/>
  <c r="I249" i="2"/>
  <c r="H249" i="2"/>
  <c r="G249" i="2"/>
  <c r="F249" i="2"/>
  <c r="E249" i="2"/>
  <c r="O248" i="2"/>
  <c r="M248" i="2"/>
  <c r="L248" i="2"/>
  <c r="I248" i="2"/>
  <c r="H248" i="2"/>
  <c r="G248" i="2"/>
  <c r="F248" i="2"/>
  <c r="E248" i="2"/>
  <c r="O247" i="2"/>
  <c r="M247" i="2"/>
  <c r="L247" i="2"/>
  <c r="I247" i="2"/>
  <c r="H247" i="2"/>
  <c r="G247" i="2"/>
  <c r="F247" i="2"/>
  <c r="E247" i="2"/>
  <c r="O246" i="2"/>
  <c r="M246" i="2"/>
  <c r="L246" i="2"/>
  <c r="I246" i="2"/>
  <c r="H246" i="2"/>
  <c r="G246" i="2"/>
  <c r="F246" i="2"/>
  <c r="E246" i="2"/>
  <c r="O245" i="2"/>
  <c r="M245" i="2"/>
  <c r="L245" i="2"/>
  <c r="I245" i="2"/>
  <c r="H245" i="2"/>
  <c r="G245" i="2"/>
  <c r="F245" i="2"/>
  <c r="E245" i="2"/>
  <c r="O244" i="2"/>
  <c r="M244" i="2"/>
  <c r="L244" i="2"/>
  <c r="I244" i="2"/>
  <c r="H244" i="2"/>
  <c r="G244" i="2"/>
  <c r="F244" i="2"/>
  <c r="E244" i="2"/>
  <c r="O243" i="2"/>
  <c r="M243" i="2"/>
  <c r="L243" i="2"/>
  <c r="I243" i="2"/>
  <c r="H243" i="2"/>
  <c r="G243" i="2"/>
  <c r="F243" i="2"/>
  <c r="E243" i="2"/>
  <c r="O242" i="2"/>
  <c r="M242" i="2"/>
  <c r="L242" i="2"/>
  <c r="I242" i="2"/>
  <c r="H242" i="2"/>
  <c r="G242" i="2"/>
  <c r="F242" i="2"/>
  <c r="E242" i="2"/>
  <c r="O241" i="2"/>
  <c r="M241" i="2"/>
  <c r="L241" i="2"/>
  <c r="I241" i="2"/>
  <c r="H241" i="2"/>
  <c r="G241" i="2"/>
  <c r="F241" i="2"/>
  <c r="E241" i="2"/>
  <c r="O240" i="2"/>
  <c r="M240" i="2"/>
  <c r="L240" i="2"/>
  <c r="I240" i="2"/>
  <c r="H240" i="2"/>
  <c r="G240" i="2"/>
  <c r="F240" i="2"/>
  <c r="E240" i="2"/>
  <c r="O239" i="2"/>
  <c r="M239" i="2"/>
  <c r="L239" i="2"/>
  <c r="I239" i="2"/>
  <c r="H239" i="2"/>
  <c r="G239" i="2"/>
  <c r="F239" i="2"/>
  <c r="E239" i="2"/>
  <c r="O238" i="2"/>
  <c r="M238" i="2"/>
  <c r="L238" i="2"/>
  <c r="I238" i="2"/>
  <c r="H238" i="2"/>
  <c r="G238" i="2"/>
  <c r="F238" i="2"/>
  <c r="E238" i="2"/>
  <c r="O237" i="2"/>
  <c r="M237" i="2"/>
  <c r="L237" i="2"/>
  <c r="I237" i="2"/>
  <c r="H237" i="2"/>
  <c r="G237" i="2"/>
  <c r="F237" i="2"/>
  <c r="E237" i="2"/>
  <c r="O236" i="2"/>
  <c r="M236" i="2"/>
  <c r="L236" i="2"/>
  <c r="I236" i="2"/>
  <c r="H236" i="2"/>
  <c r="G236" i="2"/>
  <c r="F236" i="2"/>
  <c r="E236" i="2"/>
  <c r="O235" i="2"/>
  <c r="M235" i="2"/>
  <c r="L235" i="2"/>
  <c r="I235" i="2"/>
  <c r="H235" i="2"/>
  <c r="G235" i="2"/>
  <c r="F235" i="2"/>
  <c r="E235" i="2"/>
  <c r="O234" i="2"/>
  <c r="M234" i="2"/>
  <c r="L234" i="2"/>
  <c r="I234" i="2"/>
  <c r="H234" i="2"/>
  <c r="G234" i="2"/>
  <c r="F234" i="2"/>
  <c r="E234" i="2"/>
  <c r="O233" i="2"/>
  <c r="M233" i="2"/>
  <c r="L233" i="2"/>
  <c r="I233" i="2"/>
  <c r="H233" i="2"/>
  <c r="G233" i="2"/>
  <c r="F233" i="2"/>
  <c r="E233" i="2"/>
  <c r="O232" i="2"/>
  <c r="M232" i="2"/>
  <c r="L232" i="2"/>
  <c r="I232" i="2"/>
  <c r="H232" i="2"/>
  <c r="G232" i="2"/>
  <c r="F232" i="2"/>
  <c r="E232" i="2"/>
  <c r="O231" i="2"/>
  <c r="M231" i="2"/>
  <c r="L231" i="2"/>
  <c r="I231" i="2"/>
  <c r="H231" i="2"/>
  <c r="G231" i="2"/>
  <c r="F231" i="2"/>
  <c r="E231" i="2"/>
  <c r="O230" i="2"/>
  <c r="M230" i="2"/>
  <c r="L230" i="2"/>
  <c r="I230" i="2"/>
  <c r="H230" i="2"/>
  <c r="G230" i="2"/>
  <c r="F230" i="2"/>
  <c r="E230" i="2"/>
  <c r="O229" i="2"/>
  <c r="M229" i="2"/>
  <c r="L229" i="2"/>
  <c r="I229" i="2"/>
  <c r="H229" i="2"/>
  <c r="G229" i="2"/>
  <c r="F229" i="2"/>
  <c r="E229" i="2"/>
  <c r="O228" i="2"/>
  <c r="M228" i="2"/>
  <c r="L228" i="2"/>
  <c r="I228" i="2"/>
  <c r="H228" i="2"/>
  <c r="G228" i="2"/>
  <c r="F228" i="2"/>
  <c r="E228" i="2"/>
  <c r="O227" i="2"/>
  <c r="M227" i="2"/>
  <c r="L227" i="2"/>
  <c r="I227" i="2"/>
  <c r="H227" i="2"/>
  <c r="G227" i="2"/>
  <c r="F227" i="2"/>
  <c r="E227" i="2"/>
  <c r="O226" i="2"/>
  <c r="M226" i="2"/>
  <c r="L226" i="2"/>
  <c r="I226" i="2"/>
  <c r="H226" i="2"/>
  <c r="G226" i="2"/>
  <c r="F226" i="2"/>
  <c r="E226" i="2"/>
  <c r="O225" i="2"/>
  <c r="M225" i="2"/>
  <c r="L225" i="2"/>
  <c r="I225" i="2"/>
  <c r="H225" i="2"/>
  <c r="G225" i="2"/>
  <c r="F225" i="2"/>
  <c r="E225" i="2"/>
  <c r="O224" i="2"/>
  <c r="M224" i="2"/>
  <c r="L224" i="2"/>
  <c r="I224" i="2"/>
  <c r="H224" i="2"/>
  <c r="G224" i="2"/>
  <c r="F224" i="2"/>
  <c r="E224" i="2"/>
  <c r="O223" i="2"/>
  <c r="M223" i="2"/>
  <c r="L223" i="2"/>
  <c r="I223" i="2"/>
  <c r="H223" i="2"/>
  <c r="G223" i="2"/>
  <c r="F223" i="2"/>
  <c r="E223" i="2"/>
  <c r="O222" i="2"/>
  <c r="M222" i="2"/>
  <c r="L222" i="2"/>
  <c r="I222" i="2"/>
  <c r="H222" i="2"/>
  <c r="G222" i="2"/>
  <c r="F222" i="2"/>
  <c r="E222" i="2"/>
  <c r="O221" i="2"/>
  <c r="M221" i="2"/>
  <c r="L221" i="2"/>
  <c r="I221" i="2"/>
  <c r="H221" i="2"/>
  <c r="G221" i="2"/>
  <c r="F221" i="2"/>
  <c r="E221" i="2"/>
  <c r="O220" i="2"/>
  <c r="M220" i="2"/>
  <c r="L220" i="2"/>
  <c r="I220" i="2"/>
  <c r="H220" i="2"/>
  <c r="G220" i="2"/>
  <c r="F220" i="2"/>
  <c r="E220" i="2"/>
  <c r="O219" i="2"/>
  <c r="M219" i="2"/>
  <c r="L219" i="2"/>
  <c r="I219" i="2"/>
  <c r="H219" i="2"/>
  <c r="G219" i="2"/>
  <c r="F219" i="2"/>
  <c r="E219" i="2"/>
  <c r="O218" i="2"/>
  <c r="M218" i="2"/>
  <c r="L218" i="2"/>
  <c r="I218" i="2"/>
  <c r="H218" i="2"/>
  <c r="G218" i="2"/>
  <c r="F218" i="2"/>
  <c r="E218" i="2"/>
  <c r="O217" i="2"/>
  <c r="M217" i="2"/>
  <c r="L217" i="2"/>
  <c r="I217" i="2"/>
  <c r="H217" i="2"/>
  <c r="G217" i="2"/>
  <c r="F217" i="2"/>
  <c r="E217" i="2"/>
  <c r="O216" i="2"/>
  <c r="M216" i="2"/>
  <c r="L216" i="2"/>
  <c r="I216" i="2"/>
  <c r="H216" i="2"/>
  <c r="G216" i="2"/>
  <c r="F216" i="2"/>
  <c r="E216" i="2"/>
  <c r="O215" i="2"/>
  <c r="M215" i="2"/>
  <c r="L215" i="2"/>
  <c r="I215" i="2"/>
  <c r="H215" i="2"/>
  <c r="G215" i="2"/>
  <c r="F215" i="2"/>
  <c r="E215" i="2"/>
  <c r="O214" i="2"/>
  <c r="M214" i="2"/>
  <c r="L214" i="2"/>
  <c r="I214" i="2"/>
  <c r="H214" i="2"/>
  <c r="G214" i="2"/>
  <c r="F214" i="2"/>
  <c r="E214" i="2"/>
  <c r="O213" i="2"/>
  <c r="M213" i="2"/>
  <c r="L213" i="2"/>
  <c r="I213" i="2"/>
  <c r="H213" i="2"/>
  <c r="G213" i="2"/>
  <c r="F213" i="2"/>
  <c r="E213" i="2"/>
  <c r="O212" i="2"/>
  <c r="M212" i="2"/>
  <c r="L212" i="2"/>
  <c r="I212" i="2"/>
  <c r="H212" i="2"/>
  <c r="G212" i="2"/>
  <c r="F212" i="2"/>
  <c r="E212" i="2"/>
  <c r="O211" i="2"/>
  <c r="M211" i="2"/>
  <c r="L211" i="2"/>
  <c r="I211" i="2"/>
  <c r="H211" i="2"/>
  <c r="G211" i="2"/>
  <c r="F211" i="2"/>
  <c r="E211" i="2"/>
  <c r="O210" i="2"/>
  <c r="M210" i="2"/>
  <c r="L210" i="2"/>
  <c r="I210" i="2"/>
  <c r="H210" i="2"/>
  <c r="G210" i="2"/>
  <c r="F210" i="2"/>
  <c r="E210" i="2"/>
  <c r="O209" i="2"/>
  <c r="M209" i="2"/>
  <c r="L209" i="2"/>
  <c r="I209" i="2"/>
  <c r="H209" i="2"/>
  <c r="G209" i="2"/>
  <c r="F209" i="2"/>
  <c r="E209" i="2"/>
  <c r="O208" i="2"/>
  <c r="M208" i="2"/>
  <c r="L208" i="2"/>
  <c r="I208" i="2"/>
  <c r="H208" i="2"/>
  <c r="G208" i="2"/>
  <c r="F208" i="2"/>
  <c r="E208" i="2"/>
  <c r="O207" i="2"/>
  <c r="M207" i="2"/>
  <c r="L207" i="2"/>
  <c r="I207" i="2"/>
  <c r="H207" i="2"/>
  <c r="G207" i="2"/>
  <c r="F207" i="2"/>
  <c r="E207" i="2"/>
  <c r="O206" i="2"/>
  <c r="M206" i="2"/>
  <c r="L206" i="2"/>
  <c r="I206" i="2"/>
  <c r="H206" i="2"/>
  <c r="G206" i="2"/>
  <c r="F206" i="2"/>
  <c r="E206" i="2"/>
  <c r="O205" i="2"/>
  <c r="M205" i="2"/>
  <c r="L205" i="2"/>
  <c r="I205" i="2"/>
  <c r="H205" i="2"/>
  <c r="G205" i="2"/>
  <c r="F205" i="2"/>
  <c r="E205" i="2"/>
  <c r="O204" i="2"/>
  <c r="M204" i="2"/>
  <c r="L204" i="2"/>
  <c r="I204" i="2"/>
  <c r="H204" i="2"/>
  <c r="G204" i="2"/>
  <c r="F204" i="2"/>
  <c r="E204" i="2"/>
  <c r="O203" i="2"/>
  <c r="M203" i="2"/>
  <c r="L203" i="2"/>
  <c r="I203" i="2"/>
  <c r="H203" i="2"/>
  <c r="G203" i="2"/>
  <c r="F203" i="2"/>
  <c r="E203" i="2"/>
  <c r="O202" i="2"/>
  <c r="M202" i="2"/>
  <c r="L202" i="2"/>
  <c r="I202" i="2"/>
  <c r="H202" i="2"/>
  <c r="G202" i="2"/>
  <c r="F202" i="2"/>
  <c r="E202" i="2"/>
  <c r="O201" i="2"/>
  <c r="M201" i="2"/>
  <c r="L201" i="2"/>
  <c r="I201" i="2"/>
  <c r="H201" i="2"/>
  <c r="G201" i="2"/>
  <c r="F201" i="2"/>
  <c r="E201" i="2"/>
  <c r="O200" i="2"/>
  <c r="M200" i="2"/>
  <c r="L200" i="2"/>
  <c r="I200" i="2"/>
  <c r="H200" i="2"/>
  <c r="G200" i="2"/>
  <c r="F200" i="2"/>
  <c r="E200" i="2"/>
  <c r="O199" i="2"/>
  <c r="M199" i="2"/>
  <c r="L199" i="2"/>
  <c r="I199" i="2"/>
  <c r="H199" i="2"/>
  <c r="G199" i="2"/>
  <c r="F199" i="2"/>
  <c r="E199" i="2"/>
  <c r="O198" i="2"/>
  <c r="M198" i="2"/>
  <c r="L198" i="2"/>
  <c r="I198" i="2"/>
  <c r="H198" i="2"/>
  <c r="G198" i="2"/>
  <c r="F198" i="2"/>
  <c r="E198" i="2"/>
  <c r="O197" i="2"/>
  <c r="M197" i="2"/>
  <c r="L197" i="2"/>
  <c r="I197" i="2"/>
  <c r="H197" i="2"/>
  <c r="G197" i="2"/>
  <c r="F197" i="2"/>
  <c r="E197" i="2"/>
  <c r="O196" i="2"/>
  <c r="M196" i="2"/>
  <c r="L196" i="2"/>
  <c r="I196" i="2"/>
  <c r="H196" i="2"/>
  <c r="G196" i="2"/>
  <c r="F196" i="2"/>
  <c r="E196" i="2"/>
  <c r="O195" i="2"/>
  <c r="M195" i="2"/>
  <c r="L195" i="2"/>
  <c r="I195" i="2"/>
  <c r="H195" i="2"/>
  <c r="G195" i="2"/>
  <c r="F195" i="2"/>
  <c r="E195" i="2"/>
  <c r="O194" i="2"/>
  <c r="M194" i="2"/>
  <c r="L194" i="2"/>
  <c r="I194" i="2"/>
  <c r="H194" i="2"/>
  <c r="G194" i="2"/>
  <c r="F194" i="2"/>
  <c r="E194" i="2"/>
  <c r="O193" i="2"/>
  <c r="M193" i="2"/>
  <c r="L193" i="2"/>
  <c r="I193" i="2"/>
  <c r="H193" i="2"/>
  <c r="G193" i="2"/>
  <c r="F193" i="2"/>
  <c r="E193" i="2"/>
  <c r="O192" i="2"/>
  <c r="M192" i="2"/>
  <c r="L192" i="2"/>
  <c r="I192" i="2"/>
  <c r="H192" i="2"/>
  <c r="G192" i="2"/>
  <c r="F192" i="2"/>
  <c r="E192" i="2"/>
  <c r="O191" i="2"/>
  <c r="M191" i="2"/>
  <c r="L191" i="2"/>
  <c r="I191" i="2"/>
  <c r="H191" i="2"/>
  <c r="G191" i="2"/>
  <c r="F191" i="2"/>
  <c r="E191" i="2"/>
  <c r="O190" i="2"/>
  <c r="M190" i="2"/>
  <c r="L190" i="2"/>
  <c r="I190" i="2"/>
  <c r="H190" i="2"/>
  <c r="G190" i="2"/>
  <c r="F190" i="2"/>
  <c r="E190" i="2"/>
  <c r="O189" i="2"/>
  <c r="M189" i="2"/>
  <c r="L189" i="2"/>
  <c r="I189" i="2"/>
  <c r="H189" i="2"/>
  <c r="G189" i="2"/>
  <c r="F189" i="2"/>
  <c r="E189" i="2"/>
  <c r="O188" i="2"/>
  <c r="M188" i="2"/>
  <c r="L188" i="2"/>
  <c r="I188" i="2"/>
  <c r="H188" i="2"/>
  <c r="G188" i="2"/>
  <c r="F188" i="2"/>
  <c r="E188" i="2"/>
  <c r="O187" i="2"/>
  <c r="M187" i="2"/>
  <c r="L187" i="2"/>
  <c r="I187" i="2"/>
  <c r="H187" i="2"/>
  <c r="G187" i="2"/>
  <c r="F187" i="2"/>
  <c r="E187" i="2"/>
  <c r="O186" i="2"/>
  <c r="M186" i="2"/>
  <c r="L186" i="2"/>
  <c r="I186" i="2"/>
  <c r="H186" i="2"/>
  <c r="G186" i="2"/>
  <c r="F186" i="2"/>
  <c r="E186" i="2"/>
  <c r="O185" i="2"/>
  <c r="M185" i="2"/>
  <c r="L185" i="2"/>
  <c r="I185" i="2"/>
  <c r="H185" i="2"/>
  <c r="G185" i="2"/>
  <c r="F185" i="2"/>
  <c r="E185" i="2"/>
  <c r="O184" i="2"/>
  <c r="M184" i="2"/>
  <c r="L184" i="2"/>
  <c r="I184" i="2"/>
  <c r="H184" i="2"/>
  <c r="G184" i="2"/>
  <c r="F184" i="2"/>
  <c r="E184" i="2"/>
  <c r="O183" i="2"/>
  <c r="M183" i="2"/>
  <c r="L183" i="2"/>
  <c r="I183" i="2"/>
  <c r="H183" i="2"/>
  <c r="G183" i="2"/>
  <c r="F183" i="2"/>
  <c r="E183" i="2"/>
  <c r="O182" i="2"/>
  <c r="M182" i="2"/>
  <c r="L182" i="2"/>
  <c r="I182" i="2"/>
  <c r="H182" i="2"/>
  <c r="G182" i="2"/>
  <c r="F182" i="2"/>
  <c r="E182" i="2"/>
  <c r="O181" i="2"/>
  <c r="M181" i="2"/>
  <c r="L181" i="2"/>
  <c r="I181" i="2"/>
  <c r="H181" i="2"/>
  <c r="G181" i="2"/>
  <c r="F181" i="2"/>
  <c r="E181" i="2"/>
  <c r="O180" i="2"/>
  <c r="M180" i="2"/>
  <c r="L180" i="2"/>
  <c r="I180" i="2"/>
  <c r="H180" i="2"/>
  <c r="G180" i="2"/>
  <c r="F180" i="2"/>
  <c r="E180" i="2"/>
  <c r="O179" i="2"/>
  <c r="M179" i="2"/>
  <c r="L179" i="2"/>
  <c r="I179" i="2"/>
  <c r="H179" i="2"/>
  <c r="G179" i="2"/>
  <c r="F179" i="2"/>
  <c r="E179" i="2"/>
  <c r="O178" i="2"/>
  <c r="M178" i="2"/>
  <c r="L178" i="2"/>
  <c r="I178" i="2"/>
  <c r="H178" i="2"/>
  <c r="G178" i="2"/>
  <c r="F178" i="2"/>
  <c r="E178" i="2"/>
  <c r="O177" i="2"/>
  <c r="M177" i="2"/>
  <c r="L177" i="2"/>
  <c r="I177" i="2"/>
  <c r="H177" i="2"/>
  <c r="G177" i="2"/>
  <c r="F177" i="2"/>
  <c r="E177" i="2"/>
  <c r="O176" i="2"/>
  <c r="M176" i="2"/>
  <c r="L176" i="2"/>
  <c r="I176" i="2"/>
  <c r="H176" i="2"/>
  <c r="G176" i="2"/>
  <c r="F176" i="2"/>
  <c r="E176" i="2"/>
  <c r="O175" i="2"/>
  <c r="M175" i="2"/>
  <c r="L175" i="2"/>
  <c r="I175" i="2"/>
  <c r="H175" i="2"/>
  <c r="G175" i="2"/>
  <c r="F175" i="2"/>
  <c r="E175" i="2"/>
  <c r="O174" i="2"/>
  <c r="M174" i="2"/>
  <c r="L174" i="2"/>
  <c r="I174" i="2"/>
  <c r="H174" i="2"/>
  <c r="G174" i="2"/>
  <c r="F174" i="2"/>
  <c r="E174" i="2"/>
  <c r="O173" i="2"/>
  <c r="M173" i="2"/>
  <c r="L173" i="2"/>
  <c r="I173" i="2"/>
  <c r="H173" i="2"/>
  <c r="G173" i="2"/>
  <c r="F173" i="2"/>
  <c r="E173" i="2"/>
  <c r="O172" i="2"/>
  <c r="M172" i="2"/>
  <c r="L172" i="2"/>
  <c r="I172" i="2"/>
  <c r="H172" i="2"/>
  <c r="G172" i="2"/>
  <c r="F172" i="2"/>
  <c r="E172" i="2"/>
  <c r="O171" i="2"/>
  <c r="M171" i="2"/>
  <c r="L171" i="2"/>
  <c r="I171" i="2"/>
  <c r="H171" i="2"/>
  <c r="G171" i="2"/>
  <c r="F171" i="2"/>
  <c r="E171" i="2"/>
  <c r="O170" i="2"/>
  <c r="M170" i="2"/>
  <c r="L170" i="2"/>
  <c r="I170" i="2"/>
  <c r="H170" i="2"/>
  <c r="G170" i="2"/>
  <c r="F170" i="2"/>
  <c r="E170" i="2"/>
  <c r="O169" i="2"/>
  <c r="M169" i="2"/>
  <c r="L169" i="2"/>
  <c r="I169" i="2"/>
  <c r="H169" i="2"/>
  <c r="G169" i="2"/>
  <c r="F169" i="2"/>
  <c r="E169" i="2"/>
  <c r="O168" i="2"/>
  <c r="M168" i="2"/>
  <c r="L168" i="2"/>
  <c r="I168" i="2"/>
  <c r="H168" i="2"/>
  <c r="G168" i="2"/>
  <c r="F168" i="2"/>
  <c r="E168" i="2"/>
  <c r="O167" i="2"/>
  <c r="M167" i="2"/>
  <c r="L167" i="2"/>
  <c r="I167" i="2"/>
  <c r="H167" i="2"/>
  <c r="G167" i="2"/>
  <c r="F167" i="2"/>
  <c r="E167" i="2"/>
  <c r="O166" i="2"/>
  <c r="M166" i="2"/>
  <c r="L166" i="2"/>
  <c r="I166" i="2"/>
  <c r="H166" i="2"/>
  <c r="G166" i="2"/>
  <c r="F166" i="2"/>
  <c r="E166" i="2"/>
  <c r="O165" i="2"/>
  <c r="M165" i="2"/>
  <c r="L165" i="2"/>
  <c r="I165" i="2"/>
  <c r="H165" i="2"/>
  <c r="G165" i="2"/>
  <c r="F165" i="2"/>
  <c r="E165" i="2"/>
  <c r="O164" i="2"/>
  <c r="M164" i="2"/>
  <c r="L164" i="2"/>
  <c r="I164" i="2"/>
  <c r="H164" i="2"/>
  <c r="G164" i="2"/>
  <c r="F164" i="2"/>
  <c r="E164" i="2"/>
  <c r="O163" i="2"/>
  <c r="M163" i="2"/>
  <c r="L163" i="2"/>
  <c r="I163" i="2"/>
  <c r="H163" i="2"/>
  <c r="G163" i="2"/>
  <c r="F163" i="2"/>
  <c r="E163" i="2"/>
  <c r="O162" i="2"/>
  <c r="M162" i="2"/>
  <c r="L162" i="2"/>
  <c r="I162" i="2"/>
  <c r="H162" i="2"/>
  <c r="G162" i="2"/>
  <c r="F162" i="2"/>
  <c r="E162" i="2"/>
  <c r="O161" i="2"/>
  <c r="M161" i="2"/>
  <c r="L161" i="2"/>
  <c r="I161" i="2"/>
  <c r="H161" i="2"/>
  <c r="G161" i="2"/>
  <c r="F161" i="2"/>
  <c r="E161" i="2"/>
  <c r="O160" i="2"/>
  <c r="M160" i="2"/>
  <c r="L160" i="2"/>
  <c r="I160" i="2"/>
  <c r="H160" i="2"/>
  <c r="G160" i="2"/>
  <c r="F160" i="2"/>
  <c r="E160" i="2"/>
  <c r="O159" i="2"/>
  <c r="M159" i="2"/>
  <c r="L159" i="2"/>
  <c r="I159" i="2"/>
  <c r="H159" i="2"/>
  <c r="G159" i="2"/>
  <c r="F159" i="2"/>
  <c r="E159" i="2"/>
  <c r="O158" i="2"/>
  <c r="M158" i="2"/>
  <c r="L158" i="2"/>
  <c r="I158" i="2"/>
  <c r="H158" i="2"/>
  <c r="G158" i="2"/>
  <c r="F158" i="2"/>
  <c r="E158" i="2"/>
  <c r="O157" i="2"/>
  <c r="M157" i="2"/>
  <c r="L157" i="2"/>
  <c r="I157" i="2"/>
  <c r="H157" i="2"/>
  <c r="G157" i="2"/>
  <c r="F157" i="2"/>
  <c r="E157" i="2"/>
  <c r="O156" i="2"/>
  <c r="M156" i="2"/>
  <c r="L156" i="2"/>
  <c r="I156" i="2"/>
  <c r="H156" i="2"/>
  <c r="G156" i="2"/>
  <c r="F156" i="2"/>
  <c r="E156" i="2"/>
  <c r="O155" i="2"/>
  <c r="M155" i="2"/>
  <c r="L155" i="2"/>
  <c r="I155" i="2"/>
  <c r="H155" i="2"/>
  <c r="G155" i="2"/>
  <c r="F155" i="2"/>
  <c r="E155" i="2"/>
  <c r="O154" i="2"/>
  <c r="M154" i="2"/>
  <c r="L154" i="2"/>
  <c r="I154" i="2"/>
  <c r="H154" i="2"/>
  <c r="G154" i="2"/>
  <c r="F154" i="2"/>
  <c r="E154" i="2"/>
  <c r="O153" i="2"/>
  <c r="M153" i="2"/>
  <c r="L153" i="2"/>
  <c r="I153" i="2"/>
  <c r="H153" i="2"/>
  <c r="G153" i="2"/>
  <c r="F153" i="2"/>
  <c r="E153" i="2"/>
  <c r="O152" i="2"/>
  <c r="M152" i="2"/>
  <c r="L152" i="2"/>
  <c r="I152" i="2"/>
  <c r="H152" i="2"/>
  <c r="G152" i="2"/>
  <c r="F152" i="2"/>
  <c r="E152" i="2"/>
  <c r="O151" i="2"/>
  <c r="M151" i="2"/>
  <c r="L151" i="2"/>
  <c r="I151" i="2"/>
  <c r="H151" i="2"/>
  <c r="G151" i="2"/>
  <c r="F151" i="2"/>
  <c r="E151" i="2"/>
  <c r="O150" i="2"/>
  <c r="M150" i="2"/>
  <c r="L150" i="2"/>
  <c r="I150" i="2"/>
  <c r="H150" i="2"/>
  <c r="G150" i="2"/>
  <c r="F150" i="2"/>
  <c r="E150" i="2"/>
  <c r="O149" i="2"/>
  <c r="M149" i="2"/>
  <c r="L149" i="2"/>
  <c r="I149" i="2"/>
  <c r="H149" i="2"/>
  <c r="G149" i="2"/>
  <c r="F149" i="2"/>
  <c r="E149" i="2"/>
  <c r="O148" i="2"/>
  <c r="M148" i="2"/>
  <c r="L148" i="2"/>
  <c r="I148" i="2"/>
  <c r="H148" i="2"/>
  <c r="G148" i="2"/>
  <c r="F148" i="2"/>
  <c r="E148" i="2"/>
  <c r="O147" i="2"/>
  <c r="M147" i="2"/>
  <c r="L147" i="2"/>
  <c r="I147" i="2"/>
  <c r="H147" i="2"/>
  <c r="G147" i="2"/>
  <c r="F147" i="2"/>
  <c r="E147" i="2"/>
  <c r="O146" i="2"/>
  <c r="M146" i="2"/>
  <c r="L146" i="2"/>
  <c r="I146" i="2"/>
  <c r="H146" i="2"/>
  <c r="G146" i="2"/>
  <c r="F146" i="2"/>
  <c r="E146" i="2"/>
  <c r="O145" i="2"/>
  <c r="M145" i="2"/>
  <c r="L145" i="2"/>
  <c r="I145" i="2"/>
  <c r="H145" i="2"/>
  <c r="G145" i="2"/>
  <c r="F145" i="2"/>
  <c r="E145" i="2"/>
  <c r="O144" i="2"/>
  <c r="M144" i="2"/>
  <c r="L144" i="2"/>
  <c r="I144" i="2"/>
  <c r="H144" i="2"/>
  <c r="G144" i="2"/>
  <c r="F144" i="2"/>
  <c r="E144" i="2"/>
  <c r="O143" i="2"/>
  <c r="M143" i="2"/>
  <c r="L143" i="2"/>
  <c r="I143" i="2"/>
  <c r="H143" i="2"/>
  <c r="G143" i="2"/>
  <c r="F143" i="2"/>
  <c r="E143" i="2"/>
  <c r="O142" i="2"/>
  <c r="M142" i="2"/>
  <c r="L142" i="2"/>
  <c r="I142" i="2"/>
  <c r="H142" i="2"/>
  <c r="G142" i="2"/>
  <c r="F142" i="2"/>
  <c r="E142" i="2"/>
  <c r="O141" i="2"/>
  <c r="M141" i="2"/>
  <c r="L141" i="2"/>
  <c r="I141" i="2"/>
  <c r="H141" i="2"/>
  <c r="G141" i="2"/>
  <c r="F141" i="2"/>
  <c r="E141" i="2"/>
  <c r="O140" i="2"/>
  <c r="M140" i="2"/>
  <c r="L140" i="2"/>
  <c r="I140" i="2"/>
  <c r="H140" i="2"/>
  <c r="G140" i="2"/>
  <c r="F140" i="2"/>
  <c r="E140" i="2"/>
  <c r="O139" i="2"/>
  <c r="M139" i="2"/>
  <c r="L139" i="2"/>
  <c r="I139" i="2"/>
  <c r="H139" i="2"/>
  <c r="G139" i="2"/>
  <c r="F139" i="2"/>
  <c r="E139" i="2"/>
  <c r="O138" i="2"/>
  <c r="M138" i="2"/>
  <c r="L138" i="2"/>
  <c r="I138" i="2"/>
  <c r="H138" i="2"/>
  <c r="G138" i="2"/>
  <c r="F138" i="2"/>
  <c r="E138" i="2"/>
  <c r="O137" i="2"/>
  <c r="M137" i="2"/>
  <c r="L137" i="2"/>
  <c r="I137" i="2"/>
  <c r="H137" i="2"/>
  <c r="G137" i="2"/>
  <c r="F137" i="2"/>
  <c r="E137" i="2"/>
  <c r="O136" i="2"/>
  <c r="M136" i="2"/>
  <c r="L136" i="2"/>
  <c r="I136" i="2"/>
  <c r="H136" i="2"/>
  <c r="G136" i="2"/>
  <c r="F136" i="2"/>
  <c r="E136" i="2"/>
  <c r="O135" i="2"/>
  <c r="M135" i="2"/>
  <c r="L135" i="2"/>
  <c r="I135" i="2"/>
  <c r="H135" i="2"/>
  <c r="G135" i="2"/>
  <c r="F135" i="2"/>
  <c r="E135" i="2"/>
  <c r="O134" i="2"/>
  <c r="M134" i="2"/>
  <c r="L134" i="2"/>
  <c r="I134" i="2"/>
  <c r="H134" i="2"/>
  <c r="G134" i="2"/>
  <c r="F134" i="2"/>
  <c r="E134" i="2"/>
  <c r="O133" i="2"/>
  <c r="M133" i="2"/>
  <c r="L133" i="2"/>
  <c r="I133" i="2"/>
  <c r="H133" i="2"/>
  <c r="G133" i="2"/>
  <c r="F133" i="2"/>
  <c r="E133" i="2"/>
  <c r="O132" i="2"/>
  <c r="M132" i="2"/>
  <c r="L132" i="2"/>
  <c r="I132" i="2"/>
  <c r="H132" i="2"/>
  <c r="G132" i="2"/>
  <c r="F132" i="2"/>
  <c r="E132" i="2"/>
  <c r="O131" i="2"/>
  <c r="M131" i="2"/>
  <c r="L131" i="2"/>
  <c r="I131" i="2"/>
  <c r="H131" i="2"/>
  <c r="G131" i="2"/>
  <c r="F131" i="2"/>
  <c r="E131" i="2"/>
  <c r="O130" i="2"/>
  <c r="M130" i="2"/>
  <c r="L130" i="2"/>
  <c r="I130" i="2"/>
  <c r="H130" i="2"/>
  <c r="G130" i="2"/>
  <c r="F130" i="2"/>
  <c r="E130" i="2"/>
  <c r="O129" i="2"/>
  <c r="M129" i="2"/>
  <c r="L129" i="2"/>
  <c r="I129" i="2"/>
  <c r="H129" i="2"/>
  <c r="G129" i="2"/>
  <c r="F129" i="2"/>
  <c r="E129" i="2"/>
  <c r="O128" i="2"/>
  <c r="M128" i="2"/>
  <c r="L128" i="2"/>
  <c r="I128" i="2"/>
  <c r="H128" i="2"/>
  <c r="G128" i="2"/>
  <c r="F128" i="2"/>
  <c r="E128" i="2"/>
  <c r="O127" i="2"/>
  <c r="M127" i="2"/>
  <c r="L127" i="2"/>
  <c r="I127" i="2"/>
  <c r="H127" i="2"/>
  <c r="G127" i="2"/>
  <c r="F127" i="2"/>
  <c r="E127" i="2"/>
  <c r="O126" i="2"/>
  <c r="M126" i="2"/>
  <c r="L126" i="2"/>
  <c r="I126" i="2"/>
  <c r="H126" i="2"/>
  <c r="G126" i="2"/>
  <c r="F126" i="2"/>
  <c r="E126" i="2"/>
  <c r="O125" i="2"/>
  <c r="M125" i="2"/>
  <c r="L125" i="2"/>
  <c r="I125" i="2"/>
  <c r="H125" i="2"/>
  <c r="G125" i="2"/>
  <c r="F125" i="2"/>
  <c r="E125" i="2"/>
  <c r="O124" i="2"/>
  <c r="M124" i="2"/>
  <c r="L124" i="2"/>
  <c r="I124" i="2"/>
  <c r="H124" i="2"/>
  <c r="G124" i="2"/>
  <c r="F124" i="2"/>
  <c r="E124" i="2"/>
  <c r="O123" i="2"/>
  <c r="M123" i="2"/>
  <c r="L123" i="2"/>
  <c r="I123" i="2"/>
  <c r="H123" i="2"/>
  <c r="G123" i="2"/>
  <c r="F123" i="2"/>
  <c r="E123" i="2"/>
  <c r="O122" i="2"/>
  <c r="M122" i="2"/>
  <c r="L122" i="2"/>
  <c r="I122" i="2"/>
  <c r="H122" i="2"/>
  <c r="G122" i="2"/>
  <c r="F122" i="2"/>
  <c r="E122" i="2"/>
  <c r="O121" i="2"/>
  <c r="M121" i="2"/>
  <c r="L121" i="2"/>
  <c r="I121" i="2"/>
  <c r="H121" i="2"/>
  <c r="G121" i="2"/>
  <c r="F121" i="2"/>
  <c r="E121" i="2"/>
  <c r="O120" i="2"/>
  <c r="M120" i="2"/>
  <c r="L120" i="2"/>
  <c r="I120" i="2"/>
  <c r="H120" i="2"/>
  <c r="G120" i="2"/>
  <c r="F120" i="2"/>
  <c r="E120" i="2"/>
  <c r="O119" i="2"/>
  <c r="M119" i="2"/>
  <c r="L119" i="2"/>
  <c r="I119" i="2"/>
  <c r="H119" i="2"/>
  <c r="G119" i="2"/>
  <c r="F119" i="2"/>
  <c r="E119" i="2"/>
  <c r="O118" i="2"/>
  <c r="M118" i="2"/>
  <c r="L118" i="2"/>
  <c r="I118" i="2"/>
  <c r="H118" i="2"/>
  <c r="G118" i="2"/>
  <c r="F118" i="2"/>
  <c r="E118" i="2"/>
  <c r="O117" i="2"/>
  <c r="M117" i="2"/>
  <c r="L117" i="2"/>
  <c r="I117" i="2"/>
  <c r="H117" i="2"/>
  <c r="G117" i="2"/>
  <c r="F117" i="2"/>
  <c r="E117" i="2"/>
  <c r="O116" i="2"/>
  <c r="M116" i="2"/>
  <c r="L116" i="2"/>
  <c r="I116" i="2"/>
  <c r="H116" i="2"/>
  <c r="G116" i="2"/>
  <c r="F116" i="2"/>
  <c r="E116" i="2"/>
  <c r="O115" i="2"/>
  <c r="M115" i="2"/>
  <c r="L115" i="2"/>
  <c r="I115" i="2"/>
  <c r="H115" i="2"/>
  <c r="G115" i="2"/>
  <c r="F115" i="2"/>
  <c r="E115" i="2"/>
  <c r="O114" i="2"/>
  <c r="M114" i="2"/>
  <c r="L114" i="2"/>
  <c r="I114" i="2"/>
  <c r="H114" i="2"/>
  <c r="G114" i="2"/>
  <c r="F114" i="2"/>
  <c r="E114" i="2"/>
  <c r="O113" i="2"/>
  <c r="M113" i="2"/>
  <c r="L113" i="2"/>
  <c r="I113" i="2"/>
  <c r="H113" i="2"/>
  <c r="G113" i="2"/>
  <c r="F113" i="2"/>
  <c r="E113" i="2"/>
  <c r="O112" i="2"/>
  <c r="M112" i="2"/>
  <c r="L112" i="2"/>
  <c r="I112" i="2"/>
  <c r="H112" i="2"/>
  <c r="G112" i="2"/>
  <c r="F112" i="2"/>
  <c r="E112" i="2"/>
  <c r="O111" i="2"/>
  <c r="M111" i="2"/>
  <c r="L111" i="2"/>
  <c r="I111" i="2"/>
  <c r="H111" i="2"/>
  <c r="G111" i="2"/>
  <c r="F111" i="2"/>
  <c r="E111" i="2"/>
  <c r="O110" i="2"/>
  <c r="M110" i="2"/>
  <c r="L110" i="2"/>
  <c r="I110" i="2"/>
  <c r="H110" i="2"/>
  <c r="G110" i="2"/>
  <c r="F110" i="2"/>
  <c r="E110" i="2"/>
  <c r="O109" i="2"/>
  <c r="M109" i="2"/>
  <c r="L109" i="2"/>
  <c r="I109" i="2"/>
  <c r="H109" i="2"/>
  <c r="G109" i="2"/>
  <c r="F109" i="2"/>
  <c r="E109" i="2"/>
  <c r="O108" i="2"/>
  <c r="M108" i="2"/>
  <c r="L108" i="2"/>
  <c r="I108" i="2"/>
  <c r="H108" i="2"/>
  <c r="G108" i="2"/>
  <c r="F108" i="2"/>
  <c r="E108" i="2"/>
  <c r="O107" i="2"/>
  <c r="M107" i="2"/>
  <c r="L107" i="2"/>
  <c r="I107" i="2"/>
  <c r="H107" i="2"/>
  <c r="G107" i="2"/>
  <c r="F107" i="2"/>
  <c r="E107" i="2"/>
  <c r="O106" i="2"/>
  <c r="M106" i="2"/>
  <c r="L106" i="2"/>
  <c r="I106" i="2"/>
  <c r="H106" i="2"/>
  <c r="G106" i="2"/>
  <c r="F106" i="2"/>
  <c r="E106" i="2"/>
  <c r="O105" i="2"/>
  <c r="M105" i="2"/>
  <c r="L105" i="2"/>
  <c r="I105" i="2"/>
  <c r="H105" i="2"/>
  <c r="G105" i="2"/>
  <c r="F105" i="2"/>
  <c r="E105" i="2"/>
  <c r="O104" i="2"/>
  <c r="M104" i="2"/>
  <c r="L104" i="2"/>
  <c r="I104" i="2"/>
  <c r="H104" i="2"/>
  <c r="G104" i="2"/>
  <c r="F104" i="2"/>
  <c r="E104" i="2"/>
  <c r="O103" i="2"/>
  <c r="M103" i="2"/>
  <c r="L103" i="2"/>
  <c r="I103" i="2"/>
  <c r="H103" i="2"/>
  <c r="G103" i="2"/>
  <c r="F103" i="2"/>
  <c r="E103" i="2"/>
  <c r="O102" i="2"/>
  <c r="M102" i="2"/>
  <c r="L102" i="2"/>
  <c r="I102" i="2"/>
  <c r="H102" i="2"/>
  <c r="G102" i="2"/>
  <c r="F102" i="2"/>
  <c r="E102" i="2"/>
  <c r="O101" i="2"/>
  <c r="M101" i="2"/>
  <c r="L101" i="2"/>
  <c r="I101" i="2"/>
  <c r="H101" i="2"/>
  <c r="G101" i="2"/>
  <c r="F101" i="2"/>
  <c r="E101" i="2"/>
  <c r="O100" i="2"/>
  <c r="M100" i="2"/>
  <c r="L100" i="2"/>
  <c r="I100" i="2"/>
  <c r="H100" i="2"/>
  <c r="G100" i="2"/>
  <c r="F100" i="2"/>
  <c r="E100" i="2"/>
  <c r="O99" i="2"/>
  <c r="M99" i="2"/>
  <c r="L99" i="2"/>
  <c r="I99" i="2"/>
  <c r="H99" i="2"/>
  <c r="G99" i="2"/>
  <c r="F99" i="2"/>
  <c r="E99" i="2"/>
  <c r="O98" i="2"/>
  <c r="M98" i="2"/>
  <c r="L98" i="2"/>
  <c r="I98" i="2"/>
  <c r="H98" i="2"/>
  <c r="G98" i="2"/>
  <c r="F98" i="2"/>
  <c r="E98" i="2"/>
  <c r="O97" i="2"/>
  <c r="M97" i="2"/>
  <c r="L97" i="2"/>
  <c r="I97" i="2"/>
  <c r="H97" i="2"/>
  <c r="G97" i="2"/>
  <c r="F97" i="2"/>
  <c r="E97" i="2"/>
  <c r="O96" i="2"/>
  <c r="M96" i="2"/>
  <c r="L96" i="2"/>
  <c r="I96" i="2"/>
  <c r="H96" i="2"/>
  <c r="G96" i="2"/>
  <c r="F96" i="2"/>
  <c r="E96" i="2"/>
  <c r="O95" i="2"/>
  <c r="M95" i="2"/>
  <c r="L95" i="2"/>
  <c r="I95" i="2"/>
  <c r="H95" i="2"/>
  <c r="G95" i="2"/>
  <c r="F95" i="2"/>
  <c r="E95" i="2"/>
  <c r="O94" i="2"/>
  <c r="M94" i="2"/>
  <c r="L94" i="2"/>
  <c r="I94" i="2"/>
  <c r="H94" i="2"/>
  <c r="G94" i="2"/>
  <c r="F94" i="2"/>
  <c r="E94" i="2"/>
  <c r="O93" i="2"/>
  <c r="M93" i="2"/>
  <c r="L93" i="2"/>
  <c r="I93" i="2"/>
  <c r="H93" i="2"/>
  <c r="G93" i="2"/>
  <c r="F93" i="2"/>
  <c r="E93" i="2"/>
  <c r="O92" i="2"/>
  <c r="M92" i="2"/>
  <c r="L92" i="2"/>
  <c r="I92" i="2"/>
  <c r="H92" i="2"/>
  <c r="G92" i="2"/>
  <c r="F92" i="2"/>
  <c r="E92" i="2"/>
  <c r="O91" i="2"/>
  <c r="M91" i="2"/>
  <c r="L91" i="2"/>
  <c r="I91" i="2"/>
  <c r="H91" i="2"/>
  <c r="G91" i="2"/>
  <c r="F91" i="2"/>
  <c r="E91" i="2"/>
  <c r="O90" i="2"/>
  <c r="M90" i="2"/>
  <c r="L90" i="2"/>
  <c r="I90" i="2"/>
  <c r="H90" i="2"/>
  <c r="G90" i="2"/>
  <c r="F90" i="2"/>
  <c r="E90" i="2"/>
  <c r="O89" i="2"/>
  <c r="M89" i="2"/>
  <c r="L89" i="2"/>
  <c r="I89" i="2"/>
  <c r="H89" i="2"/>
  <c r="G89" i="2"/>
  <c r="F89" i="2"/>
  <c r="E89" i="2"/>
  <c r="O88" i="2"/>
  <c r="M88" i="2"/>
  <c r="L88" i="2"/>
  <c r="I88" i="2"/>
  <c r="H88" i="2"/>
  <c r="G88" i="2"/>
  <c r="F88" i="2"/>
  <c r="E88" i="2"/>
  <c r="O87" i="2"/>
  <c r="M87" i="2"/>
  <c r="L87" i="2"/>
  <c r="I87" i="2"/>
  <c r="H87" i="2"/>
  <c r="G87" i="2"/>
  <c r="F87" i="2"/>
  <c r="E87" i="2"/>
  <c r="O86" i="2"/>
  <c r="M86" i="2"/>
  <c r="L86" i="2"/>
  <c r="I86" i="2"/>
  <c r="H86" i="2"/>
  <c r="G86" i="2"/>
  <c r="F86" i="2"/>
  <c r="E86" i="2"/>
  <c r="O85" i="2"/>
  <c r="M85" i="2"/>
  <c r="L85" i="2"/>
  <c r="I85" i="2"/>
  <c r="H85" i="2"/>
  <c r="G85" i="2"/>
  <c r="F85" i="2"/>
  <c r="E85" i="2"/>
  <c r="O84" i="2"/>
  <c r="M84" i="2"/>
  <c r="L84" i="2"/>
  <c r="I84" i="2"/>
  <c r="H84" i="2"/>
  <c r="G84" i="2"/>
  <c r="F84" i="2"/>
  <c r="E84" i="2"/>
  <c r="O83" i="2"/>
  <c r="M83" i="2"/>
  <c r="L83" i="2"/>
  <c r="I83" i="2"/>
  <c r="H83" i="2"/>
  <c r="G83" i="2"/>
  <c r="F83" i="2"/>
  <c r="E83" i="2"/>
  <c r="O82" i="2"/>
  <c r="M82" i="2"/>
  <c r="L82" i="2"/>
  <c r="I82" i="2"/>
  <c r="H82" i="2"/>
  <c r="G82" i="2"/>
  <c r="F82" i="2"/>
  <c r="E82" i="2"/>
  <c r="O81" i="2"/>
  <c r="M81" i="2"/>
  <c r="L81" i="2"/>
  <c r="I81" i="2"/>
  <c r="H81" i="2"/>
  <c r="G81" i="2"/>
  <c r="F81" i="2"/>
  <c r="E81" i="2"/>
  <c r="O80" i="2"/>
  <c r="M80" i="2"/>
  <c r="L80" i="2"/>
  <c r="I80" i="2"/>
  <c r="H80" i="2"/>
  <c r="G80" i="2"/>
  <c r="F80" i="2"/>
  <c r="E80" i="2"/>
  <c r="O79" i="2"/>
  <c r="M79" i="2"/>
  <c r="L79" i="2"/>
  <c r="I79" i="2"/>
  <c r="H79" i="2"/>
  <c r="G79" i="2"/>
  <c r="F79" i="2"/>
  <c r="E79" i="2"/>
  <c r="O78" i="2"/>
  <c r="M78" i="2"/>
  <c r="L78" i="2"/>
  <c r="I78" i="2"/>
  <c r="H78" i="2"/>
  <c r="G78" i="2"/>
  <c r="F78" i="2"/>
  <c r="E78" i="2"/>
  <c r="O77" i="2"/>
  <c r="M77" i="2"/>
  <c r="L77" i="2"/>
  <c r="I77" i="2"/>
  <c r="H77" i="2"/>
  <c r="G77" i="2"/>
  <c r="F77" i="2"/>
  <c r="E77" i="2"/>
  <c r="O76" i="2"/>
  <c r="M76" i="2"/>
  <c r="L76" i="2"/>
  <c r="I76" i="2"/>
  <c r="H76" i="2"/>
  <c r="G76" i="2"/>
  <c r="F76" i="2"/>
  <c r="E76" i="2"/>
  <c r="O75" i="2"/>
  <c r="M75" i="2"/>
  <c r="L75" i="2"/>
  <c r="I75" i="2"/>
  <c r="H75" i="2"/>
  <c r="G75" i="2"/>
  <c r="F75" i="2"/>
  <c r="E75" i="2"/>
  <c r="O74" i="2"/>
  <c r="M74" i="2"/>
  <c r="L74" i="2"/>
  <c r="I74" i="2"/>
  <c r="H74" i="2"/>
  <c r="G74" i="2"/>
  <c r="F74" i="2"/>
  <c r="E74" i="2"/>
  <c r="O73" i="2"/>
  <c r="M73" i="2"/>
  <c r="L73" i="2"/>
  <c r="I73" i="2"/>
  <c r="H73" i="2"/>
  <c r="G73" i="2"/>
  <c r="F73" i="2"/>
  <c r="E73" i="2"/>
  <c r="O72" i="2"/>
  <c r="M72" i="2"/>
  <c r="L72" i="2"/>
  <c r="I72" i="2"/>
  <c r="H72" i="2"/>
  <c r="G72" i="2"/>
  <c r="F72" i="2"/>
  <c r="E72" i="2"/>
  <c r="O71" i="2"/>
  <c r="M71" i="2"/>
  <c r="L71" i="2"/>
  <c r="I71" i="2"/>
  <c r="H71" i="2"/>
  <c r="G71" i="2"/>
  <c r="F71" i="2"/>
  <c r="E71" i="2"/>
  <c r="O70" i="2"/>
  <c r="M70" i="2"/>
  <c r="L70" i="2"/>
  <c r="I70" i="2"/>
  <c r="H70" i="2"/>
  <c r="G70" i="2"/>
  <c r="F70" i="2"/>
  <c r="E70" i="2"/>
  <c r="O69" i="2"/>
  <c r="M69" i="2"/>
  <c r="L69" i="2"/>
  <c r="I69" i="2"/>
  <c r="H69" i="2"/>
  <c r="G69" i="2"/>
  <c r="F69" i="2"/>
  <c r="E69" i="2"/>
  <c r="O68" i="2"/>
  <c r="M68" i="2"/>
  <c r="L68" i="2"/>
  <c r="I68" i="2"/>
  <c r="H68" i="2"/>
  <c r="G68" i="2"/>
  <c r="F68" i="2"/>
  <c r="E68" i="2"/>
  <c r="O67" i="2"/>
  <c r="M67" i="2"/>
  <c r="L67" i="2"/>
  <c r="I67" i="2"/>
  <c r="H67" i="2"/>
  <c r="G67" i="2"/>
  <c r="F67" i="2"/>
  <c r="E67" i="2"/>
  <c r="O66" i="2"/>
  <c r="M66" i="2"/>
  <c r="L66" i="2"/>
  <c r="I66" i="2"/>
  <c r="H66" i="2"/>
  <c r="G66" i="2"/>
  <c r="F66" i="2"/>
  <c r="E66" i="2"/>
  <c r="O65" i="2"/>
  <c r="M65" i="2"/>
  <c r="L65" i="2"/>
  <c r="I65" i="2"/>
  <c r="H65" i="2"/>
  <c r="G65" i="2"/>
  <c r="F65" i="2"/>
  <c r="E65" i="2"/>
  <c r="O64" i="2"/>
  <c r="M64" i="2"/>
  <c r="L64" i="2"/>
  <c r="I64" i="2"/>
  <c r="H64" i="2"/>
  <c r="G64" i="2"/>
  <c r="F64" i="2"/>
  <c r="E64" i="2"/>
  <c r="O63" i="2"/>
  <c r="M63" i="2"/>
  <c r="L63" i="2"/>
  <c r="I63" i="2"/>
  <c r="H63" i="2"/>
  <c r="G63" i="2"/>
  <c r="F63" i="2"/>
  <c r="E63" i="2"/>
  <c r="O62" i="2"/>
  <c r="M62" i="2"/>
  <c r="L62" i="2"/>
  <c r="I62" i="2"/>
  <c r="H62" i="2"/>
  <c r="G62" i="2"/>
  <c r="F62" i="2"/>
  <c r="E62" i="2"/>
  <c r="O61" i="2"/>
  <c r="M61" i="2"/>
  <c r="L61" i="2"/>
  <c r="I61" i="2"/>
  <c r="H61" i="2"/>
  <c r="G61" i="2"/>
  <c r="F61" i="2"/>
  <c r="E61" i="2"/>
  <c r="O60" i="2"/>
  <c r="M60" i="2"/>
  <c r="L60" i="2"/>
  <c r="I60" i="2"/>
  <c r="H60" i="2"/>
  <c r="G60" i="2"/>
  <c r="F60" i="2"/>
  <c r="E60" i="2"/>
  <c r="O59" i="2"/>
  <c r="M59" i="2"/>
  <c r="L59" i="2"/>
  <c r="I59" i="2"/>
  <c r="H59" i="2"/>
  <c r="G59" i="2"/>
  <c r="F59" i="2"/>
  <c r="E59" i="2"/>
  <c r="O58" i="2"/>
  <c r="M58" i="2"/>
  <c r="L58" i="2"/>
  <c r="I58" i="2"/>
  <c r="H58" i="2"/>
  <c r="G58" i="2"/>
  <c r="F58" i="2"/>
  <c r="E58" i="2"/>
  <c r="O57" i="2"/>
  <c r="M57" i="2"/>
  <c r="L57" i="2"/>
  <c r="I57" i="2"/>
  <c r="H57" i="2"/>
  <c r="G57" i="2"/>
  <c r="F57" i="2"/>
  <c r="E57" i="2"/>
  <c r="O56" i="2"/>
  <c r="M56" i="2"/>
  <c r="L56" i="2"/>
  <c r="I56" i="2"/>
  <c r="H56" i="2"/>
  <c r="G56" i="2"/>
  <c r="F56" i="2"/>
  <c r="E56" i="2"/>
  <c r="O55" i="2"/>
  <c r="M55" i="2"/>
  <c r="L55" i="2"/>
  <c r="I55" i="2"/>
  <c r="H55" i="2"/>
  <c r="G55" i="2"/>
  <c r="F55" i="2"/>
  <c r="E55" i="2"/>
  <c r="O54" i="2"/>
  <c r="M54" i="2"/>
  <c r="L54" i="2"/>
  <c r="I54" i="2"/>
  <c r="H54" i="2"/>
  <c r="G54" i="2"/>
  <c r="F54" i="2"/>
  <c r="E54" i="2"/>
  <c r="O53" i="2"/>
  <c r="M53" i="2"/>
  <c r="L53" i="2"/>
  <c r="I53" i="2"/>
  <c r="H53" i="2"/>
  <c r="G53" i="2"/>
  <c r="F53" i="2"/>
  <c r="E53" i="2"/>
  <c r="O52" i="2"/>
  <c r="M52" i="2"/>
  <c r="L52" i="2"/>
  <c r="I52" i="2"/>
  <c r="H52" i="2"/>
  <c r="G52" i="2"/>
  <c r="F52" i="2"/>
  <c r="E52" i="2"/>
  <c r="O51" i="2"/>
  <c r="M51" i="2"/>
  <c r="L51" i="2"/>
  <c r="I51" i="2"/>
  <c r="H51" i="2"/>
  <c r="G51" i="2"/>
  <c r="F51" i="2"/>
  <c r="E51" i="2"/>
  <c r="O50" i="2"/>
  <c r="M50" i="2"/>
  <c r="L50" i="2"/>
  <c r="I50" i="2"/>
  <c r="H50" i="2"/>
  <c r="G50" i="2"/>
  <c r="F50" i="2"/>
  <c r="E50" i="2"/>
  <c r="O49" i="2"/>
  <c r="M49" i="2"/>
  <c r="L49" i="2"/>
  <c r="I49" i="2"/>
  <c r="H49" i="2"/>
  <c r="G49" i="2"/>
  <c r="F49" i="2"/>
  <c r="E49" i="2"/>
  <c r="O48" i="2"/>
  <c r="M48" i="2"/>
  <c r="L48" i="2"/>
  <c r="I48" i="2"/>
  <c r="H48" i="2"/>
  <c r="G48" i="2"/>
  <c r="F48" i="2"/>
  <c r="E48" i="2"/>
  <c r="O47" i="2"/>
  <c r="M47" i="2"/>
  <c r="L47" i="2"/>
  <c r="I47" i="2"/>
  <c r="H47" i="2"/>
  <c r="G47" i="2"/>
  <c r="F47" i="2"/>
  <c r="E47" i="2"/>
  <c r="O46" i="2"/>
  <c r="M46" i="2"/>
  <c r="L46" i="2"/>
  <c r="I46" i="2"/>
  <c r="H46" i="2"/>
  <c r="G46" i="2"/>
  <c r="F46" i="2"/>
  <c r="E46" i="2"/>
  <c r="O45" i="2"/>
  <c r="M45" i="2"/>
  <c r="L45" i="2"/>
  <c r="I45" i="2"/>
  <c r="H45" i="2"/>
  <c r="G45" i="2"/>
  <c r="F45" i="2"/>
  <c r="E45" i="2"/>
  <c r="O44" i="2"/>
  <c r="M44" i="2"/>
  <c r="L44" i="2"/>
  <c r="I44" i="2"/>
  <c r="H44" i="2"/>
  <c r="G44" i="2"/>
  <c r="F44" i="2"/>
  <c r="E44" i="2"/>
  <c r="O43" i="2"/>
  <c r="M43" i="2"/>
  <c r="L43" i="2"/>
  <c r="I43" i="2"/>
  <c r="H43" i="2"/>
  <c r="G43" i="2"/>
  <c r="F43" i="2"/>
  <c r="E43" i="2"/>
  <c r="O42" i="2"/>
  <c r="M42" i="2"/>
  <c r="L42" i="2"/>
  <c r="I42" i="2"/>
  <c r="H42" i="2"/>
  <c r="G42" i="2"/>
  <c r="F42" i="2"/>
  <c r="E42" i="2"/>
  <c r="O41" i="2"/>
  <c r="M41" i="2"/>
  <c r="L41" i="2"/>
  <c r="I41" i="2"/>
  <c r="H41" i="2"/>
  <c r="G41" i="2"/>
  <c r="F41" i="2"/>
  <c r="E41" i="2"/>
  <c r="O40" i="2"/>
  <c r="M40" i="2"/>
  <c r="L40" i="2"/>
  <c r="I40" i="2"/>
  <c r="H40" i="2"/>
  <c r="G40" i="2"/>
  <c r="F40" i="2"/>
  <c r="E40" i="2"/>
  <c r="O39" i="2"/>
  <c r="M39" i="2"/>
  <c r="L39" i="2"/>
  <c r="I39" i="2"/>
  <c r="H39" i="2"/>
  <c r="G39" i="2"/>
  <c r="F39" i="2"/>
  <c r="E39" i="2"/>
  <c r="O38" i="2"/>
  <c r="M38" i="2"/>
  <c r="L38" i="2"/>
  <c r="I38" i="2"/>
  <c r="H38" i="2"/>
  <c r="G38" i="2"/>
  <c r="F38" i="2"/>
  <c r="E38" i="2"/>
  <c r="O37" i="2"/>
  <c r="M37" i="2"/>
  <c r="L37" i="2"/>
  <c r="I37" i="2"/>
  <c r="H37" i="2"/>
  <c r="G37" i="2"/>
  <c r="F37" i="2"/>
  <c r="E37" i="2"/>
  <c r="O36" i="2"/>
  <c r="M36" i="2"/>
  <c r="L36" i="2"/>
  <c r="I36" i="2"/>
  <c r="H36" i="2"/>
  <c r="G36" i="2"/>
  <c r="F36" i="2"/>
  <c r="E36" i="2"/>
  <c r="O35" i="2"/>
  <c r="M35" i="2"/>
  <c r="L35" i="2"/>
  <c r="I35" i="2"/>
  <c r="H35" i="2"/>
  <c r="G35" i="2"/>
  <c r="F35" i="2"/>
  <c r="E35" i="2"/>
  <c r="O34" i="2"/>
  <c r="M34" i="2"/>
  <c r="L34" i="2"/>
  <c r="I34" i="2"/>
  <c r="H34" i="2"/>
  <c r="G34" i="2"/>
  <c r="F34" i="2"/>
  <c r="E34" i="2"/>
  <c r="O33" i="2"/>
  <c r="M33" i="2"/>
  <c r="L33" i="2"/>
  <c r="I33" i="2"/>
  <c r="H33" i="2"/>
  <c r="G33" i="2"/>
  <c r="F33" i="2"/>
  <c r="E33" i="2"/>
  <c r="O32" i="2"/>
  <c r="M32" i="2"/>
  <c r="L32" i="2"/>
  <c r="I32" i="2"/>
  <c r="H32" i="2"/>
  <c r="G32" i="2"/>
  <c r="F32" i="2"/>
  <c r="E32" i="2"/>
  <c r="O31" i="2"/>
  <c r="M31" i="2"/>
  <c r="L31" i="2"/>
  <c r="I31" i="2"/>
  <c r="H31" i="2"/>
  <c r="G31" i="2"/>
  <c r="F31" i="2"/>
  <c r="E31" i="2"/>
  <c r="O30" i="2"/>
  <c r="M30" i="2"/>
  <c r="L30" i="2"/>
  <c r="I30" i="2"/>
  <c r="H30" i="2"/>
  <c r="G30" i="2"/>
  <c r="F30" i="2"/>
  <c r="E30" i="2"/>
  <c r="O29" i="2"/>
  <c r="M29" i="2"/>
  <c r="L29" i="2"/>
  <c r="I29" i="2"/>
  <c r="H29" i="2"/>
  <c r="G29" i="2"/>
  <c r="F29" i="2"/>
  <c r="E29" i="2"/>
  <c r="O28" i="2"/>
  <c r="M28" i="2"/>
  <c r="L28" i="2"/>
  <c r="I28" i="2"/>
  <c r="H28" i="2"/>
  <c r="G28" i="2"/>
  <c r="F28" i="2"/>
  <c r="E28" i="2"/>
  <c r="O27" i="2"/>
  <c r="M27" i="2"/>
  <c r="L27" i="2"/>
  <c r="I27" i="2"/>
  <c r="H27" i="2"/>
  <c r="G27" i="2"/>
  <c r="F27" i="2"/>
  <c r="E27" i="2"/>
  <c r="O26" i="2"/>
  <c r="M26" i="2"/>
  <c r="L26" i="2"/>
  <c r="I26" i="2"/>
  <c r="H26" i="2"/>
  <c r="G26" i="2"/>
  <c r="F26" i="2"/>
  <c r="E26" i="2"/>
  <c r="O25" i="2"/>
  <c r="M25" i="2"/>
  <c r="L25" i="2"/>
  <c r="I25" i="2"/>
  <c r="H25" i="2"/>
  <c r="G25" i="2"/>
  <c r="F25" i="2"/>
  <c r="E25" i="2"/>
  <c r="O24" i="2"/>
  <c r="M24" i="2"/>
  <c r="L24" i="2"/>
  <c r="I24" i="2"/>
  <c r="H24" i="2"/>
  <c r="G24" i="2"/>
  <c r="F24" i="2"/>
  <c r="E24" i="2"/>
  <c r="O23" i="2"/>
  <c r="M23" i="2"/>
  <c r="L23" i="2"/>
  <c r="I23" i="2"/>
  <c r="H23" i="2"/>
  <c r="G23" i="2"/>
  <c r="F23" i="2"/>
  <c r="E23" i="2"/>
  <c r="O22" i="2"/>
  <c r="M22" i="2"/>
  <c r="L22" i="2"/>
  <c r="I22" i="2"/>
  <c r="H22" i="2"/>
  <c r="G22" i="2"/>
  <c r="F22" i="2"/>
  <c r="E22" i="2"/>
  <c r="O21" i="2"/>
  <c r="M21" i="2"/>
  <c r="L21" i="2"/>
  <c r="I21" i="2"/>
  <c r="H21" i="2"/>
  <c r="G21" i="2"/>
  <c r="F21" i="2"/>
  <c r="E21" i="2"/>
  <c r="O20" i="2"/>
  <c r="M20" i="2"/>
  <c r="L20" i="2"/>
  <c r="I20" i="2"/>
  <c r="H20" i="2"/>
  <c r="G20" i="2"/>
  <c r="F20" i="2"/>
  <c r="E20" i="2"/>
  <c r="O19" i="2"/>
  <c r="M19" i="2"/>
  <c r="L19" i="2"/>
  <c r="J19" i="2"/>
  <c r="I19" i="2"/>
  <c r="H19" i="2"/>
  <c r="G19" i="2"/>
  <c r="F19" i="2"/>
  <c r="E19" i="2"/>
  <c r="O18" i="2"/>
  <c r="M18" i="2"/>
  <c r="L18" i="2"/>
  <c r="J18" i="2"/>
  <c r="I18" i="2"/>
  <c r="H18" i="2"/>
  <c r="G18" i="2"/>
  <c r="F18" i="2"/>
  <c r="E18" i="2"/>
  <c r="O17" i="2"/>
  <c r="M17" i="2"/>
  <c r="L17" i="2"/>
  <c r="J17" i="2"/>
  <c r="I17" i="2"/>
  <c r="H17" i="2"/>
  <c r="G17" i="2"/>
  <c r="F17" i="2"/>
  <c r="E17" i="2"/>
  <c r="O16" i="2"/>
  <c r="M16" i="2"/>
  <c r="L16" i="2"/>
  <c r="J16" i="2"/>
  <c r="I16" i="2"/>
  <c r="H16" i="2"/>
  <c r="G16" i="2"/>
  <c r="F16" i="2"/>
  <c r="E16" i="2"/>
  <c r="O15" i="2"/>
  <c r="M15" i="2"/>
  <c r="L15" i="2"/>
  <c r="J15" i="2"/>
  <c r="I15" i="2"/>
  <c r="H15" i="2"/>
  <c r="G15" i="2"/>
  <c r="F15" i="2"/>
  <c r="E15" i="2"/>
  <c r="O14" i="2"/>
  <c r="M14" i="2"/>
  <c r="L14" i="2"/>
  <c r="J14" i="2"/>
  <c r="I14" i="2"/>
  <c r="H14" i="2"/>
  <c r="G14" i="2"/>
  <c r="F14" i="2"/>
  <c r="E14" i="2"/>
  <c r="O13" i="2"/>
  <c r="M13" i="2"/>
  <c r="L13" i="2"/>
  <c r="J13" i="2"/>
  <c r="I13" i="2"/>
  <c r="H13" i="2"/>
  <c r="G13" i="2"/>
  <c r="F13" i="2"/>
  <c r="E13" i="2"/>
  <c r="O12" i="2"/>
  <c r="M12" i="2"/>
  <c r="L12" i="2"/>
  <c r="J12" i="2"/>
  <c r="I12" i="2"/>
  <c r="H12" i="2"/>
  <c r="G12" i="2"/>
  <c r="F12" i="2"/>
  <c r="E12" i="2"/>
  <c r="O11" i="2"/>
  <c r="M11" i="2"/>
  <c r="L11" i="2"/>
  <c r="J11" i="2"/>
  <c r="I11" i="2"/>
  <c r="H11" i="2"/>
  <c r="G11" i="2"/>
  <c r="F11" i="2"/>
  <c r="E11" i="2"/>
  <c r="O10" i="2"/>
  <c r="M10" i="2"/>
  <c r="L10" i="2"/>
  <c r="J10" i="2"/>
  <c r="I10" i="2"/>
  <c r="H10" i="2"/>
  <c r="G10" i="2"/>
  <c r="F10" i="2"/>
  <c r="E10" i="2"/>
  <c r="O9" i="2"/>
  <c r="M9" i="2"/>
  <c r="L9" i="2"/>
  <c r="J9" i="2"/>
  <c r="I9" i="2"/>
  <c r="H9" i="2"/>
  <c r="G9" i="2"/>
  <c r="F9" i="2"/>
  <c r="E9" i="2"/>
  <c r="O8" i="2"/>
  <c r="M8" i="2"/>
  <c r="L8" i="2"/>
  <c r="J8" i="2"/>
  <c r="I8" i="2"/>
  <c r="H8" i="2"/>
  <c r="G8" i="2"/>
  <c r="F8" i="2"/>
  <c r="E8" i="2"/>
  <c r="O7" i="2"/>
  <c r="M7" i="2"/>
  <c r="L7" i="2"/>
  <c r="J7" i="2"/>
  <c r="I7" i="2"/>
  <c r="H7" i="2"/>
  <c r="G7" i="2"/>
  <c r="F7" i="2"/>
  <c r="E7" i="2"/>
  <c r="B26" i="1"/>
  <c r="B25" i="1"/>
  <c r="B24" i="1"/>
  <c r="B343" i="2" l="1"/>
  <c r="B249" i="2"/>
  <c r="B455" i="2"/>
  <c r="B449" i="2"/>
  <c r="B448" i="2"/>
  <c r="B363" i="2"/>
  <c r="B362" i="2"/>
  <c r="B361" i="2"/>
  <c r="B360" i="2"/>
  <c r="B359" i="2"/>
  <c r="B358" i="2"/>
  <c r="B357" i="2"/>
  <c r="B276" i="2"/>
  <c r="B275" i="2"/>
  <c r="B274" i="2"/>
  <c r="B269" i="2"/>
  <c r="B268" i="2"/>
  <c r="B267" i="2"/>
  <c r="B264" i="2"/>
  <c r="B263" i="2"/>
  <c r="B262" i="2"/>
  <c r="B261" i="2"/>
  <c r="B237" i="2"/>
  <c r="B190" i="2"/>
  <c r="B189" i="2"/>
  <c r="B188" i="2"/>
  <c r="B187" i="2"/>
  <c r="B186" i="2"/>
  <c r="B185" i="2"/>
  <c r="B181" i="2"/>
  <c r="B178" i="2"/>
  <c r="B177" i="2"/>
  <c r="B489" i="2"/>
  <c r="B488" i="2"/>
  <c r="B484" i="2"/>
  <c r="B481" i="2"/>
  <c r="B480" i="2"/>
  <c r="B479" i="2"/>
  <c r="B478" i="2"/>
  <c r="B477" i="2"/>
  <c r="B476" i="2"/>
  <c r="B471" i="2"/>
  <c r="B467" i="2"/>
  <c r="B466" i="2"/>
  <c r="B465" i="2"/>
  <c r="B464" i="2"/>
  <c r="B463" i="2"/>
  <c r="B462" i="2"/>
  <c r="B458" i="2"/>
  <c r="B456" i="2"/>
  <c r="B453" i="2"/>
  <c r="B451" i="2"/>
  <c r="B450" i="2"/>
  <c r="B447" i="2"/>
  <c r="B442" i="2"/>
  <c r="B441" i="2"/>
  <c r="B440" i="2"/>
  <c r="B439" i="2"/>
  <c r="B438" i="2"/>
  <c r="B437" i="2"/>
  <c r="B433" i="2"/>
  <c r="B429" i="2"/>
  <c r="B428" i="2"/>
  <c r="B427" i="2"/>
  <c r="B426" i="2"/>
  <c r="B425" i="2"/>
  <c r="B421" i="2"/>
  <c r="B417" i="2"/>
  <c r="B416" i="2"/>
  <c r="B415" i="2"/>
  <c r="B414" i="2"/>
  <c r="B413" i="2"/>
  <c r="B412" i="2"/>
  <c r="B405" i="2"/>
  <c r="B404" i="2"/>
  <c r="B403" i="2"/>
  <c r="B402" i="2"/>
  <c r="B401" i="2"/>
  <c r="B400" i="2"/>
  <c r="B399" i="2"/>
  <c r="B398" i="2"/>
  <c r="B390" i="2"/>
  <c r="B389" i="2"/>
  <c r="B388" i="2"/>
  <c r="B385" i="2"/>
  <c r="B384" i="2"/>
  <c r="B383" i="2"/>
  <c r="B382" i="2"/>
  <c r="B381" i="2"/>
  <c r="B377" i="2"/>
  <c r="B376" i="2"/>
  <c r="B375" i="2"/>
  <c r="B374" i="2"/>
  <c r="B373" i="2"/>
  <c r="B372" i="2"/>
  <c r="B371" i="2"/>
  <c r="B365" i="2"/>
  <c r="B364" i="2"/>
  <c r="B351" i="2"/>
  <c r="B350" i="2"/>
  <c r="B347" i="2"/>
  <c r="B346" i="2"/>
  <c r="B345" i="2"/>
  <c r="B344" i="2"/>
  <c r="B342" i="2"/>
  <c r="B336" i="2"/>
  <c r="B335" i="2"/>
  <c r="B334" i="2"/>
  <c r="B333" i="2"/>
  <c r="B332" i="2"/>
  <c r="B331" i="2"/>
  <c r="B330" i="2"/>
  <c r="B329" i="2"/>
  <c r="B328" i="2"/>
  <c r="B322" i="2"/>
  <c r="B321" i="2"/>
  <c r="B320" i="2"/>
  <c r="B317" i="2"/>
  <c r="B316" i="2"/>
  <c r="B315" i="2"/>
  <c r="B314" i="2"/>
  <c r="B313" i="2"/>
  <c r="B312" i="2"/>
  <c r="B311" i="2"/>
  <c r="B305" i="2"/>
  <c r="B304" i="2"/>
  <c r="B303" i="2"/>
  <c r="B302" i="2"/>
  <c r="B301" i="2"/>
  <c r="B300" i="2"/>
  <c r="B299" i="2"/>
  <c r="B298" i="2"/>
  <c r="B297" i="2"/>
  <c r="B291" i="2"/>
  <c r="B290" i="2"/>
  <c r="B289" i="2"/>
  <c r="B286" i="2"/>
  <c r="B285" i="2"/>
  <c r="B284" i="2"/>
  <c r="B282" i="2"/>
  <c r="B281" i="2"/>
  <c r="B256" i="2"/>
  <c r="B255" i="2"/>
  <c r="B252" i="2"/>
  <c r="B251" i="2"/>
  <c r="B250" i="2"/>
  <c r="B248" i="2"/>
  <c r="B243" i="2"/>
  <c r="B242" i="2"/>
  <c r="B241" i="2"/>
  <c r="B238" i="2"/>
  <c r="B236" i="2"/>
  <c r="B235" i="2"/>
  <c r="B230" i="2"/>
  <c r="B229" i="2"/>
  <c r="B228" i="2"/>
  <c r="B227" i="2"/>
  <c r="B226" i="2"/>
  <c r="B225" i="2"/>
  <c r="B220" i="2"/>
  <c r="B219" i="2"/>
  <c r="B216" i="2"/>
  <c r="B215" i="2"/>
  <c r="B214" i="2"/>
  <c r="B213" i="2"/>
  <c r="B208" i="2"/>
  <c r="B207" i="2"/>
  <c r="B206" i="2"/>
  <c r="B205" i="2"/>
  <c r="B204" i="2"/>
  <c r="B199" i="2"/>
  <c r="B198" i="2"/>
  <c r="B197" i="2"/>
  <c r="B196" i="2"/>
  <c r="B193" i="2"/>
  <c r="B176" i="2"/>
  <c r="B175" i="2"/>
  <c r="B174" i="2"/>
  <c r="B173" i="2"/>
  <c r="B172" i="2"/>
  <c r="B164" i="2"/>
  <c r="B163" i="2"/>
  <c r="B162" i="2"/>
  <c r="B161" i="2"/>
  <c r="B160" i="2"/>
  <c r="B155" i="2"/>
  <c r="B154" i="2"/>
  <c r="B153" i="2"/>
  <c r="B152" i="2"/>
  <c r="B151" i="2"/>
  <c r="B150" i="2"/>
  <c r="B149" i="2"/>
  <c r="B145" i="2"/>
  <c r="B144" i="2"/>
  <c r="B141" i="2"/>
  <c r="B140" i="2"/>
  <c r="B139" i="2"/>
  <c r="B138" i="2"/>
  <c r="B137" i="2"/>
  <c r="B136" i="2"/>
  <c r="B133" i="2"/>
  <c r="B132" i="2"/>
  <c r="B131" i="2"/>
  <c r="B130" i="2"/>
  <c r="B129" i="2"/>
  <c r="B128" i="2"/>
  <c r="B121" i="2"/>
  <c r="B120" i="2"/>
  <c r="B119" i="2"/>
  <c r="B118" i="2"/>
  <c r="B117" i="2"/>
  <c r="B116" i="2"/>
  <c r="B115" i="2"/>
  <c r="B114" i="2"/>
  <c r="B110" i="2"/>
  <c r="B108" i="2"/>
  <c r="B107" i="2"/>
  <c r="B106" i="2"/>
  <c r="B97" i="2"/>
  <c r="B96" i="2"/>
  <c r="B95" i="2"/>
  <c r="B94" i="2"/>
  <c r="B93" i="2"/>
  <c r="B89" i="2"/>
  <c r="B86" i="2"/>
  <c r="B85" i="2"/>
  <c r="B84" i="2"/>
  <c r="B83" i="2"/>
  <c r="B82" i="2"/>
  <c r="B78" i="2"/>
  <c r="B77" i="2"/>
  <c r="B76" i="2"/>
  <c r="B75" i="2"/>
  <c r="B74" i="2"/>
  <c r="B69" i="2"/>
  <c r="B68" i="2"/>
  <c r="B67" i="2"/>
  <c r="B66" i="2"/>
  <c r="B65" i="2"/>
  <c r="B61" i="2"/>
  <c r="B60" i="2"/>
  <c r="B59" i="2"/>
  <c r="B58" i="2"/>
  <c r="B57" i="2"/>
  <c r="B53" i="2"/>
  <c r="B52" i="2"/>
  <c r="B51" i="2"/>
  <c r="B50" i="2"/>
  <c r="B49" i="2"/>
  <c r="B45" i="2"/>
  <c r="B44" i="2"/>
  <c r="B43" i="2"/>
  <c r="B38" i="2"/>
  <c r="B37" i="2"/>
  <c r="B36" i="2"/>
  <c r="B31" i="2"/>
  <c r="B30" i="2"/>
  <c r="B29" i="2"/>
  <c r="B24" i="2"/>
  <c r="B23" i="2"/>
  <c r="B22" i="2"/>
  <c r="B21" i="2"/>
  <c r="B19" i="2"/>
  <c r="B18" i="2"/>
  <c r="B17" i="2"/>
  <c r="B10" i="2"/>
  <c r="B9" i="2"/>
  <c r="AD10" i="4"/>
  <c r="AD9" i="4"/>
  <c r="AD8" i="4"/>
  <c r="A7" i="2"/>
  <c r="B7" i="2" s="1"/>
  <c r="A8" i="2"/>
  <c r="B8" i="2" s="1"/>
  <c r="A98" i="2"/>
  <c r="B98" i="2" s="1"/>
  <c r="A99" i="2"/>
  <c r="B99" i="2" s="1"/>
  <c r="A100" i="2"/>
  <c r="B100" i="2" s="1"/>
  <c r="A101" i="2"/>
  <c r="B101" i="2" s="1"/>
  <c r="A102" i="2"/>
  <c r="B102" i="2" s="1"/>
  <c r="A103" i="2"/>
  <c r="B103" i="2" s="1"/>
  <c r="A104" i="2"/>
  <c r="B104" i="2" s="1"/>
  <c r="A105" i="2"/>
  <c r="B105" i="2" s="1"/>
  <c r="AD16" i="4" l="1"/>
  <c r="AD17" i="4"/>
  <c r="AD11" i="4"/>
  <c r="AD12" i="4"/>
  <c r="AD13" i="4"/>
  <c r="AD14" i="4"/>
  <c r="AD15" i="4" l="1"/>
  <c r="AD18" i="4" s="1"/>
  <c r="AD19" i="4" l="1"/>
  <c r="AD20" i="4" s="1"/>
  <c r="AD22" i="4" l="1"/>
  <c r="AD21" i="4"/>
  <c r="AD23" i="4"/>
  <c r="W19" i="4"/>
  <c r="X19" i="4" s="1"/>
  <c r="A20" i="2" s="1"/>
  <c r="B20" i="2" s="1"/>
  <c r="W15" i="4"/>
  <c r="X15" i="4" s="1"/>
  <c r="A16" i="2" s="1"/>
  <c r="B16" i="2" s="1"/>
  <c r="W14" i="4"/>
  <c r="X14" i="4" s="1"/>
  <c r="A15" i="2" s="1"/>
  <c r="B15" i="2" s="1"/>
  <c r="W13" i="4"/>
  <c r="X13" i="4" s="1"/>
  <c r="A14" i="2" s="1"/>
  <c r="B14" i="2" s="1"/>
  <c r="W12" i="4"/>
  <c r="X12" i="4" s="1"/>
  <c r="A13" i="2" s="1"/>
  <c r="B13" i="2" s="1"/>
  <c r="W11" i="4"/>
  <c r="X11" i="4" s="1"/>
  <c r="A12" i="2" s="1"/>
  <c r="B12" i="2" s="1"/>
  <c r="W10" i="4"/>
  <c r="X10" i="4" s="1"/>
  <c r="A11" i="2" s="1"/>
  <c r="B11" i="2" s="1"/>
  <c r="W478" i="4"/>
  <c r="X478" i="4" s="1"/>
  <c r="A487" i="2" s="1"/>
  <c r="B487" i="2" s="1"/>
  <c r="W459" i="4"/>
  <c r="X459" i="4" s="1"/>
  <c r="A468" i="2" s="1"/>
  <c r="B468" i="2" s="1"/>
  <c r="W425" i="4"/>
  <c r="X425" i="4" s="1"/>
  <c r="A434" i="2" s="1"/>
  <c r="B434" i="2" s="1"/>
  <c r="W422" i="4"/>
  <c r="X422" i="4" s="1"/>
  <c r="A431" i="2" s="1"/>
  <c r="B431" i="2" s="1"/>
  <c r="W421" i="4"/>
  <c r="X421" i="4" s="1"/>
  <c r="A430" i="2" s="1"/>
  <c r="B430" i="2" s="1"/>
  <c r="W414" i="4"/>
  <c r="X414" i="4" s="1"/>
  <c r="A423" i="2" s="1"/>
  <c r="B423" i="2" s="1"/>
  <c r="W401" i="4"/>
  <c r="X401" i="4" s="1"/>
  <c r="A410" i="2" s="1"/>
  <c r="B410" i="2" s="1"/>
  <c r="W400" i="4"/>
  <c r="X400" i="4" s="1"/>
  <c r="A409" i="2" s="1"/>
  <c r="B409" i="2" s="1"/>
  <c r="W397" i="4"/>
  <c r="X397" i="4" s="1"/>
  <c r="A406" i="2" s="1"/>
  <c r="B406" i="2" s="1"/>
  <c r="W387" i="4"/>
  <c r="X387" i="4" s="1"/>
  <c r="A396" i="2" s="1"/>
  <c r="B396" i="2" s="1"/>
  <c r="W386" i="4"/>
  <c r="X386" i="4" s="1"/>
  <c r="A395" i="2" s="1"/>
  <c r="B395" i="2" s="1"/>
  <c r="W359" i="4"/>
  <c r="X359" i="4" s="1"/>
  <c r="A368" i="2" s="1"/>
  <c r="B368" i="2" s="1"/>
  <c r="W346" i="4"/>
  <c r="X346" i="4" s="1"/>
  <c r="A355" i="2" s="1"/>
  <c r="B355" i="2" s="1"/>
  <c r="W345" i="4"/>
  <c r="X345" i="4" s="1"/>
  <c r="A354" i="2" s="1"/>
  <c r="B354" i="2" s="1"/>
  <c r="W344" i="4"/>
  <c r="X344" i="4" s="1"/>
  <c r="A353" i="2" s="1"/>
  <c r="B353" i="2" s="1"/>
  <c r="W343" i="4"/>
  <c r="X343" i="4" s="1"/>
  <c r="A352" i="2" s="1"/>
  <c r="B352" i="2" s="1"/>
  <c r="W329" i="4"/>
  <c r="X329" i="4" s="1"/>
  <c r="A338" i="2" s="1"/>
  <c r="B338" i="2" s="1"/>
  <c r="W297" i="4"/>
  <c r="X297" i="4" s="1"/>
  <c r="A306" i="2" s="1"/>
  <c r="B306" i="2" s="1"/>
  <c r="W268" i="4"/>
  <c r="X268" i="4" s="1"/>
  <c r="A277" i="2" s="1"/>
  <c r="B277" i="2" s="1"/>
  <c r="W264" i="4"/>
  <c r="X264" i="4" s="1"/>
  <c r="A273" i="2" s="1"/>
  <c r="B273" i="2" s="1"/>
  <c r="W262" i="4"/>
  <c r="X262" i="4" s="1"/>
  <c r="A271" i="2" s="1"/>
  <c r="B271" i="2" s="1"/>
  <c r="W257" i="4"/>
  <c r="X257" i="4" s="1"/>
  <c r="A266" i="2" s="1"/>
  <c r="B266" i="2" s="1"/>
  <c r="W251" i="4"/>
  <c r="X251" i="4" s="1"/>
  <c r="A260" i="2" s="1"/>
  <c r="B260" i="2" s="1"/>
  <c r="W235" i="4"/>
  <c r="X235" i="4" s="1"/>
  <c r="A244" i="2" s="1"/>
  <c r="B244" i="2" s="1"/>
  <c r="W215" i="4"/>
  <c r="X215" i="4" s="1"/>
  <c r="A224" i="2" s="1"/>
  <c r="B224" i="2" s="1"/>
  <c r="W213" i="4"/>
  <c r="X213" i="4" s="1"/>
  <c r="A222" i="2" s="1"/>
  <c r="B222" i="2" s="1"/>
  <c r="W209" i="4"/>
  <c r="X209" i="4" s="1"/>
  <c r="A218" i="2" s="1"/>
  <c r="B218" i="2" s="1"/>
  <c r="W203" i="4"/>
  <c r="X203" i="4" s="1"/>
  <c r="A212" i="2" s="1"/>
  <c r="B212" i="2" s="1"/>
  <c r="W201" i="4"/>
  <c r="X201" i="4" s="1"/>
  <c r="A210" i="2" s="1"/>
  <c r="B210" i="2" s="1"/>
  <c r="W171" i="4"/>
  <c r="X171" i="4" s="1"/>
  <c r="A180" i="2" s="1"/>
  <c r="B180" i="2" s="1"/>
  <c r="W162" i="4"/>
  <c r="X162" i="4" s="1"/>
  <c r="A171" i="2" s="1"/>
  <c r="B171" i="2" s="1"/>
  <c r="W160" i="4"/>
  <c r="X160" i="4" s="1"/>
  <c r="A169" i="2" s="1"/>
  <c r="B169" i="2" s="1"/>
  <c r="W158" i="4"/>
  <c r="X158" i="4" s="1"/>
  <c r="A167" i="2" s="1"/>
  <c r="B167" i="2" s="1"/>
  <c r="W156" i="4"/>
  <c r="X156" i="4" s="1"/>
  <c r="A165" i="2" s="1"/>
  <c r="B165" i="2" s="1"/>
  <c r="W149" i="4"/>
  <c r="X149" i="4" s="1"/>
  <c r="A158" i="2" s="1"/>
  <c r="B158" i="2" s="1"/>
  <c r="W137" i="4"/>
  <c r="X137" i="4" s="1"/>
  <c r="A146" i="2" s="1"/>
  <c r="B146" i="2" s="1"/>
  <c r="W126" i="4"/>
  <c r="X126" i="4" s="1"/>
  <c r="A135" i="2" s="1"/>
  <c r="B135" i="2" s="1"/>
  <c r="W103" i="4"/>
  <c r="X103" i="4" s="1"/>
  <c r="A112" i="2" s="1"/>
  <c r="B112" i="2" s="1"/>
  <c r="W460" i="4"/>
  <c r="X460" i="4" s="1"/>
  <c r="A469" i="2" s="1"/>
  <c r="B469" i="2" s="1"/>
  <c r="W452" i="4"/>
  <c r="X452" i="4" s="1"/>
  <c r="A461" i="2" s="1"/>
  <c r="B461" i="2" s="1"/>
  <c r="W437" i="4"/>
  <c r="X437" i="4" s="1"/>
  <c r="A446" i="2" s="1"/>
  <c r="B446" i="2" s="1"/>
  <c r="W436" i="4"/>
  <c r="X436" i="4" s="1"/>
  <c r="A445" i="2" s="1"/>
  <c r="B445" i="2" s="1"/>
  <c r="W435" i="4"/>
  <c r="X435" i="4" s="1"/>
  <c r="A444" i="2" s="1"/>
  <c r="B444" i="2" s="1"/>
  <c r="W434" i="4"/>
  <c r="X434" i="4" s="1"/>
  <c r="A443" i="2" s="1"/>
  <c r="B443" i="2" s="1"/>
  <c r="W332" i="4"/>
  <c r="X332" i="4" s="1"/>
  <c r="A341" i="2" s="1"/>
  <c r="B341" i="2" s="1"/>
  <c r="W317" i="4"/>
  <c r="X317" i="4" s="1"/>
  <c r="A326" i="2" s="1"/>
  <c r="B326" i="2" s="1"/>
  <c r="W310" i="4"/>
  <c r="X310" i="4" s="1"/>
  <c r="A319" i="2" s="1"/>
  <c r="B319" i="2" s="1"/>
  <c r="W301" i="4"/>
  <c r="X301" i="4" s="1"/>
  <c r="A310" i="2" s="1"/>
  <c r="B310" i="2" s="1"/>
  <c r="W284" i="4"/>
  <c r="X284" i="4" s="1"/>
  <c r="A293" i="2" s="1"/>
  <c r="B293" i="2" s="1"/>
  <c r="W279" i="4"/>
  <c r="X279" i="4" s="1"/>
  <c r="A288" i="2" s="1"/>
  <c r="B288" i="2" s="1"/>
  <c r="W270" i="4"/>
  <c r="X270" i="4" s="1"/>
  <c r="A279" i="2" s="1"/>
  <c r="B279" i="2" s="1"/>
  <c r="W263" i="4"/>
  <c r="X263" i="4" s="1"/>
  <c r="A272" i="2" s="1"/>
  <c r="B272" i="2" s="1"/>
  <c r="W256" i="4"/>
  <c r="X256" i="4" s="1"/>
  <c r="A265" i="2" s="1"/>
  <c r="B265" i="2" s="1"/>
  <c r="W250" i="4"/>
  <c r="X250" i="4" s="1"/>
  <c r="A259" i="2" s="1"/>
  <c r="B259" i="2" s="1"/>
  <c r="W223" i="4"/>
  <c r="X223" i="4" s="1"/>
  <c r="A232" i="2" s="1"/>
  <c r="B232" i="2" s="1"/>
  <c r="W222" i="4"/>
  <c r="X222" i="4" s="1"/>
  <c r="A231" i="2" s="1"/>
  <c r="B231" i="2" s="1"/>
  <c r="W214" i="4"/>
  <c r="X214" i="4" s="1"/>
  <c r="A223" i="2" s="1"/>
  <c r="B223" i="2" s="1"/>
  <c r="W200" i="4"/>
  <c r="X200" i="4" s="1"/>
  <c r="A209" i="2" s="1"/>
  <c r="B209" i="2" s="1"/>
  <c r="W192" i="4"/>
  <c r="X192" i="4" s="1"/>
  <c r="A201" i="2" s="1"/>
  <c r="B201" i="2" s="1"/>
  <c r="W191" i="4"/>
  <c r="X191" i="4" s="1"/>
  <c r="A200" i="2" s="1"/>
  <c r="B200" i="2" s="1"/>
  <c r="W186" i="4"/>
  <c r="X186" i="4" s="1"/>
  <c r="A195" i="2" s="1"/>
  <c r="B195" i="2" s="1"/>
  <c r="W174" i="4"/>
  <c r="X174" i="4" s="1"/>
  <c r="A183" i="2" s="1"/>
  <c r="B183" i="2" s="1"/>
  <c r="W173" i="4"/>
  <c r="X173" i="4" s="1"/>
  <c r="A182" i="2" s="1"/>
  <c r="B182" i="2" s="1"/>
  <c r="W161" i="4"/>
  <c r="X161" i="4" s="1"/>
  <c r="A170" i="2" s="1"/>
  <c r="B170" i="2" s="1"/>
  <c r="W157" i="4"/>
  <c r="X157" i="4" s="1"/>
  <c r="A166" i="2" s="1"/>
  <c r="B166" i="2" s="1"/>
  <c r="W150" i="4"/>
  <c r="X150" i="4" s="1"/>
  <c r="A159" i="2" s="1"/>
  <c r="B159" i="2" s="1"/>
  <c r="W134" i="4"/>
  <c r="X134" i="4" s="1"/>
  <c r="A143" i="2" s="1"/>
  <c r="B143" i="2" s="1"/>
  <c r="W125" i="4"/>
  <c r="X125" i="4" s="1"/>
  <c r="A134" i="2" s="1"/>
  <c r="B134" i="2" s="1"/>
  <c r="W118" i="4"/>
  <c r="X118" i="4" s="1"/>
  <c r="A127" i="2" s="1"/>
  <c r="B127" i="2" s="1"/>
  <c r="W117" i="4"/>
  <c r="X117" i="4" s="1"/>
  <c r="A126" i="2" s="1"/>
  <c r="B126" i="2" s="1"/>
  <c r="W114" i="4"/>
  <c r="X114" i="4" s="1"/>
  <c r="A123" i="2" s="1"/>
  <c r="B123" i="2" s="1"/>
  <c r="W113" i="4"/>
  <c r="X113" i="4" s="1"/>
  <c r="A122" i="2" s="1"/>
  <c r="B122" i="2" s="1"/>
  <c r="W104" i="4"/>
  <c r="X104" i="4" s="1"/>
  <c r="A113" i="2" s="1"/>
  <c r="B113" i="2" s="1"/>
  <c r="W102" i="4"/>
  <c r="X102" i="4" s="1"/>
  <c r="A111" i="2" s="1"/>
  <c r="B111" i="2" s="1"/>
  <c r="W100" i="4"/>
  <c r="X100" i="4" s="1"/>
  <c r="A109" i="2" s="1"/>
  <c r="B109" i="2" s="1"/>
  <c r="W477" i="4"/>
  <c r="X477" i="4" s="1"/>
  <c r="A486" i="2" s="1"/>
  <c r="B486" i="2" s="1"/>
  <c r="W476" i="4"/>
  <c r="X476" i="4" s="1"/>
  <c r="A485" i="2" s="1"/>
  <c r="B485" i="2" s="1"/>
  <c r="W474" i="4"/>
  <c r="X474" i="4" s="1"/>
  <c r="A483" i="2" s="1"/>
  <c r="B483" i="2" s="1"/>
  <c r="W473" i="4"/>
  <c r="X473" i="4" s="1"/>
  <c r="A482" i="2" s="1"/>
  <c r="B482" i="2" s="1"/>
  <c r="W466" i="4"/>
  <c r="X466" i="4" s="1"/>
  <c r="A475" i="2" s="1"/>
  <c r="B475" i="2" s="1"/>
  <c r="W465" i="4"/>
  <c r="X465" i="4" s="1"/>
  <c r="A474" i="2" s="1"/>
  <c r="B474" i="2" s="1"/>
  <c r="W464" i="4"/>
  <c r="X464" i="4" s="1"/>
  <c r="A473" i="2" s="1"/>
  <c r="B473" i="2" s="1"/>
  <c r="W463" i="4"/>
  <c r="X463" i="4" s="1"/>
  <c r="A472" i="2" s="1"/>
  <c r="B472" i="2" s="1"/>
  <c r="W461" i="4"/>
  <c r="X461" i="4" s="1"/>
  <c r="A470" i="2" s="1"/>
  <c r="B470" i="2" s="1"/>
  <c r="W451" i="4"/>
  <c r="X451" i="4" s="1"/>
  <c r="A460" i="2" s="1"/>
  <c r="B460" i="2" s="1"/>
  <c r="W450" i="4"/>
  <c r="X450" i="4" s="1"/>
  <c r="A459" i="2" s="1"/>
  <c r="B459" i="2" s="1"/>
  <c r="W448" i="4"/>
  <c r="X448" i="4" s="1"/>
  <c r="A457" i="2" s="1"/>
  <c r="B457" i="2" s="1"/>
  <c r="W445" i="4"/>
  <c r="X445" i="4" s="1"/>
  <c r="A454" i="2" s="1"/>
  <c r="B454" i="2" s="1"/>
  <c r="W443" i="4"/>
  <c r="X443" i="4" s="1"/>
  <c r="A452" i="2" s="1"/>
  <c r="B452" i="2" s="1"/>
  <c r="W427" i="4"/>
  <c r="X427" i="4" s="1"/>
  <c r="A436" i="2" s="1"/>
  <c r="B436" i="2" s="1"/>
  <c r="W426" i="4"/>
  <c r="X426" i="4" s="1"/>
  <c r="A435" i="2" s="1"/>
  <c r="B435" i="2" s="1"/>
  <c r="W423" i="4"/>
  <c r="X423" i="4" s="1"/>
  <c r="A432" i="2" s="1"/>
  <c r="B432" i="2" s="1"/>
  <c r="W415" i="4"/>
  <c r="X415" i="4" s="1"/>
  <c r="A424" i="2" s="1"/>
  <c r="B424" i="2" s="1"/>
  <c r="W413" i="4"/>
  <c r="X413" i="4" s="1"/>
  <c r="A422" i="2" s="1"/>
  <c r="B422" i="2" s="1"/>
  <c r="W411" i="4"/>
  <c r="X411" i="4" s="1"/>
  <c r="A420" i="2" s="1"/>
  <c r="B420" i="2" s="1"/>
  <c r="W410" i="4"/>
  <c r="X410" i="4" s="1"/>
  <c r="A419" i="2" s="1"/>
  <c r="B419" i="2" s="1"/>
  <c r="W409" i="4"/>
  <c r="X409" i="4" s="1"/>
  <c r="A418" i="2" s="1"/>
  <c r="B418" i="2" s="1"/>
  <c r="W402" i="4"/>
  <c r="X402" i="4" s="1"/>
  <c r="A411" i="2" s="1"/>
  <c r="B411" i="2" s="1"/>
  <c r="W399" i="4"/>
  <c r="X399" i="4" s="1"/>
  <c r="A408" i="2" s="1"/>
  <c r="B408" i="2" s="1"/>
  <c r="W398" i="4"/>
  <c r="X398" i="4" s="1"/>
  <c r="A407" i="2" s="1"/>
  <c r="B407" i="2" s="1"/>
  <c r="W388" i="4"/>
  <c r="X388" i="4" s="1"/>
  <c r="A397" i="2" s="1"/>
  <c r="B397" i="2" s="1"/>
  <c r="W385" i="4"/>
  <c r="X385" i="4" s="1"/>
  <c r="A394" i="2" s="1"/>
  <c r="B394" i="2" s="1"/>
  <c r="W384" i="4"/>
  <c r="X384" i="4" s="1"/>
  <c r="A393" i="2" s="1"/>
  <c r="B393" i="2" s="1"/>
  <c r="W383" i="4"/>
  <c r="X383" i="4" s="1"/>
  <c r="A392" i="2" s="1"/>
  <c r="B392" i="2" s="1"/>
  <c r="W382" i="4"/>
  <c r="X382" i="4" s="1"/>
  <c r="A391" i="2" s="1"/>
  <c r="B391" i="2" s="1"/>
  <c r="W378" i="4"/>
  <c r="X378" i="4" s="1"/>
  <c r="A387" i="2" s="1"/>
  <c r="B387" i="2" s="1"/>
  <c r="W377" i="4"/>
  <c r="X377" i="4" s="1"/>
  <c r="A386" i="2" s="1"/>
  <c r="B386" i="2" s="1"/>
  <c r="W371" i="4"/>
  <c r="X371" i="4" s="1"/>
  <c r="A380" i="2" s="1"/>
  <c r="B380" i="2" s="1"/>
  <c r="W370" i="4"/>
  <c r="X370" i="4" s="1"/>
  <c r="A379" i="2" s="1"/>
  <c r="B379" i="2" s="1"/>
  <c r="W369" i="4"/>
  <c r="X369" i="4" s="1"/>
  <c r="A378" i="2" s="1"/>
  <c r="B378" i="2" s="1"/>
  <c r="W361" i="4"/>
  <c r="X361" i="4" s="1"/>
  <c r="A370" i="2" s="1"/>
  <c r="B370" i="2" s="1"/>
  <c r="W360" i="4"/>
  <c r="X360" i="4" s="1"/>
  <c r="A369" i="2" s="1"/>
  <c r="B369" i="2" s="1"/>
  <c r="W358" i="4"/>
  <c r="X358" i="4" s="1"/>
  <c r="A367" i="2" s="1"/>
  <c r="B367" i="2" s="1"/>
  <c r="W357" i="4"/>
  <c r="X357" i="4" s="1"/>
  <c r="A366" i="2" s="1"/>
  <c r="B366" i="2" s="1"/>
  <c r="W347" i="4"/>
  <c r="X347" i="4" s="1"/>
  <c r="A356" i="2" s="1"/>
  <c r="B356" i="2" s="1"/>
  <c r="W340" i="4"/>
  <c r="X340" i="4" s="1"/>
  <c r="A349" i="2" s="1"/>
  <c r="B349" i="2" s="1"/>
  <c r="W339" i="4"/>
  <c r="X339" i="4" s="1"/>
  <c r="A348" i="2" s="1"/>
  <c r="B348" i="2" s="1"/>
  <c r="W331" i="4"/>
  <c r="X331" i="4" s="1"/>
  <c r="A340" i="2" s="1"/>
  <c r="B340" i="2" s="1"/>
  <c r="W330" i="4"/>
  <c r="X330" i="4" s="1"/>
  <c r="A339" i="2" s="1"/>
  <c r="B339" i="2" s="1"/>
  <c r="W328" i="4"/>
  <c r="X328" i="4" s="1"/>
  <c r="A337" i="2" s="1"/>
  <c r="B337" i="2" s="1"/>
  <c r="W318" i="4"/>
  <c r="X318" i="4" s="1"/>
  <c r="A327" i="2" s="1"/>
  <c r="B327" i="2" s="1"/>
  <c r="W316" i="4"/>
  <c r="X316" i="4" s="1"/>
  <c r="A325" i="2" s="1"/>
  <c r="B325" i="2" s="1"/>
  <c r="W315" i="4"/>
  <c r="X315" i="4" s="1"/>
  <c r="A324" i="2" s="1"/>
  <c r="B324" i="2" s="1"/>
  <c r="W314" i="4"/>
  <c r="X314" i="4" s="1"/>
  <c r="A323" i="2" s="1"/>
  <c r="B323" i="2" s="1"/>
  <c r="W309" i="4"/>
  <c r="X309" i="4" s="1"/>
  <c r="A318" i="2" s="1"/>
  <c r="B318" i="2" s="1"/>
  <c r="W300" i="4"/>
  <c r="X300" i="4" s="1"/>
  <c r="A309" i="2" s="1"/>
  <c r="B309" i="2" s="1"/>
  <c r="W299" i="4"/>
  <c r="X299" i="4" s="1"/>
  <c r="A308" i="2" s="1"/>
  <c r="B308" i="2" s="1"/>
  <c r="W298" i="4"/>
  <c r="X298" i="4" s="1"/>
  <c r="A307" i="2" s="1"/>
  <c r="B307" i="2" s="1"/>
  <c r="W287" i="4"/>
  <c r="X287" i="4" s="1"/>
  <c r="A296" i="2" s="1"/>
  <c r="B296" i="2" s="1"/>
  <c r="W286" i="4"/>
  <c r="X286" i="4" s="1"/>
  <c r="A295" i="2" s="1"/>
  <c r="B295" i="2" s="1"/>
  <c r="W283" i="4"/>
  <c r="X283" i="4" s="1"/>
  <c r="A292" i="2" s="1"/>
  <c r="B292" i="2" s="1"/>
  <c r="W278" i="4"/>
  <c r="X278" i="4" s="1"/>
  <c r="A287" i="2" s="1"/>
  <c r="B287" i="2" s="1"/>
  <c r="W274" i="4"/>
  <c r="X274" i="4" s="1"/>
  <c r="A283" i="2" s="1"/>
  <c r="B283" i="2" s="1"/>
  <c r="W271" i="4"/>
  <c r="X271" i="4" s="1"/>
  <c r="A280" i="2" s="1"/>
  <c r="B280" i="2" s="1"/>
  <c r="W269" i="4"/>
  <c r="X269" i="4" s="1"/>
  <c r="A278" i="2" s="1"/>
  <c r="B278" i="2" s="1"/>
  <c r="W261" i="4"/>
  <c r="X261" i="4" s="1"/>
  <c r="A270" i="2" s="1"/>
  <c r="B270" i="2" s="1"/>
  <c r="W249" i="4"/>
  <c r="X249" i="4" s="1"/>
  <c r="A258" i="2" s="1"/>
  <c r="B258" i="2" s="1"/>
  <c r="W248" i="4"/>
  <c r="X248" i="4" s="1"/>
  <c r="A257" i="2" s="1"/>
  <c r="B257" i="2" s="1"/>
  <c r="W245" i="4"/>
  <c r="X245" i="4" s="1"/>
  <c r="A254" i="2" s="1"/>
  <c r="B254" i="2" s="1"/>
  <c r="W244" i="4"/>
  <c r="X244" i="4" s="1"/>
  <c r="A253" i="2" s="1"/>
  <c r="B253" i="2" s="1"/>
  <c r="W238" i="4"/>
  <c r="X238" i="4" s="1"/>
  <c r="A247" i="2" s="1"/>
  <c r="B247" i="2" s="1"/>
  <c r="W237" i="4"/>
  <c r="X237" i="4" s="1"/>
  <c r="A246" i="2" s="1"/>
  <c r="B246" i="2" s="1"/>
  <c r="W236" i="4"/>
  <c r="X236" i="4" s="1"/>
  <c r="A245" i="2" s="1"/>
  <c r="B245" i="2" s="1"/>
  <c r="W231" i="4"/>
  <c r="X231" i="4" s="1"/>
  <c r="A240" i="2" s="1"/>
  <c r="B240" i="2" s="1"/>
  <c r="W230" i="4"/>
  <c r="X230" i="4" s="1"/>
  <c r="A239" i="2" s="1"/>
  <c r="B239" i="2" s="1"/>
  <c r="W225" i="4"/>
  <c r="X225" i="4" s="1"/>
  <c r="A234" i="2" s="1"/>
  <c r="B234" i="2" s="1"/>
  <c r="W224" i="4"/>
  <c r="X224" i="4" s="1"/>
  <c r="A233" i="2" s="1"/>
  <c r="B233" i="2" s="1"/>
  <c r="W212" i="4"/>
  <c r="X212" i="4" s="1"/>
  <c r="A221" i="2" s="1"/>
  <c r="B221" i="2" s="1"/>
  <c r="W208" i="4"/>
  <c r="X208" i="4" s="1"/>
  <c r="A217" i="2" s="1"/>
  <c r="B217" i="2" s="1"/>
  <c r="W202" i="4"/>
  <c r="X202" i="4" s="1"/>
  <c r="A211" i="2" s="1"/>
  <c r="B211" i="2" s="1"/>
  <c r="W194" i="4"/>
  <c r="X194" i="4" s="1"/>
  <c r="A203" i="2" s="1"/>
  <c r="B203" i="2" s="1"/>
  <c r="W193" i="4"/>
  <c r="X193" i="4" s="1"/>
  <c r="A202" i="2" s="1"/>
  <c r="B202" i="2" s="1"/>
  <c r="W185" i="4"/>
  <c r="X185" i="4" s="1"/>
  <c r="A194" i="2" s="1"/>
  <c r="B194" i="2" s="1"/>
  <c r="W183" i="4"/>
  <c r="X183" i="4" s="1"/>
  <c r="A192" i="2" s="1"/>
  <c r="B192" i="2" s="1"/>
  <c r="W182" i="4"/>
  <c r="X182" i="4" s="1"/>
  <c r="A191" i="2" s="1"/>
  <c r="B191" i="2" s="1"/>
  <c r="W175" i="4"/>
  <c r="X175" i="4" s="1"/>
  <c r="A184" i="2" s="1"/>
  <c r="B184" i="2" s="1"/>
  <c r="W159" i="4"/>
  <c r="X159" i="4" s="1"/>
  <c r="A168" i="2" s="1"/>
  <c r="B168" i="2" s="1"/>
  <c r="W148" i="4"/>
  <c r="X148" i="4" s="1"/>
  <c r="A157" i="2" s="1"/>
  <c r="B157" i="2" s="1"/>
  <c r="W147" i="4"/>
  <c r="X147" i="4" s="1"/>
  <c r="A156" i="2" s="1"/>
  <c r="B156" i="2" s="1"/>
  <c r="W139" i="4"/>
  <c r="X139" i="4" s="1"/>
  <c r="A148" i="2" s="1"/>
  <c r="B148" i="2" s="1"/>
  <c r="W138" i="4"/>
  <c r="X138" i="4" s="1"/>
  <c r="A147" i="2" s="1"/>
  <c r="B147" i="2" s="1"/>
  <c r="W133" i="4"/>
  <c r="X133" i="4" s="1"/>
  <c r="A142" i="2" s="1"/>
  <c r="B142" i="2" s="1"/>
  <c r="W116" i="4"/>
  <c r="X116" i="4" s="1"/>
  <c r="A125" i="2" s="1"/>
  <c r="B125" i="2" s="1"/>
  <c r="W115" i="4"/>
  <c r="X115" i="4" s="1"/>
  <c r="A124" i="2" s="1"/>
  <c r="B124" i="2" s="1"/>
  <c r="W91" i="4"/>
  <c r="X91" i="4" s="1"/>
  <c r="A92" i="2" s="1"/>
  <c r="B92" i="2" s="1"/>
  <c r="W90" i="4"/>
  <c r="X90" i="4" s="1"/>
  <c r="A91" i="2" s="1"/>
  <c r="B91" i="2" s="1"/>
  <c r="W89" i="4"/>
  <c r="X89" i="4" s="1"/>
  <c r="A90" i="2" s="1"/>
  <c r="B90" i="2" s="1"/>
  <c r="W87" i="4"/>
  <c r="X87" i="4" s="1"/>
  <c r="A88" i="2" s="1"/>
  <c r="B88" i="2" s="1"/>
  <c r="W86" i="4"/>
  <c r="X86" i="4" s="1"/>
  <c r="A87" i="2" s="1"/>
  <c r="B87" i="2" s="1"/>
  <c r="W80" i="4"/>
  <c r="X80" i="4" s="1"/>
  <c r="A81" i="2" s="1"/>
  <c r="B81" i="2" s="1"/>
  <c r="W79" i="4"/>
  <c r="X79" i="4" s="1"/>
  <c r="A80" i="2" s="1"/>
  <c r="B80" i="2" s="1"/>
  <c r="W78" i="4"/>
  <c r="X78" i="4" s="1"/>
  <c r="A79" i="2" s="1"/>
  <c r="B79" i="2" s="1"/>
  <c r="W72" i="4"/>
  <c r="X72" i="4" s="1"/>
  <c r="A73" i="2" s="1"/>
  <c r="B73" i="2" s="1"/>
  <c r="W71" i="4"/>
  <c r="X71" i="4" s="1"/>
  <c r="A72" i="2" s="1"/>
  <c r="B72" i="2" s="1"/>
  <c r="W70" i="4"/>
  <c r="X70" i="4" s="1"/>
  <c r="A71" i="2" s="1"/>
  <c r="B71" i="2" s="1"/>
  <c r="W69" i="4"/>
  <c r="X69" i="4" s="1"/>
  <c r="A70" i="2" s="1"/>
  <c r="B70" i="2" s="1"/>
  <c r="W63" i="4"/>
  <c r="X63" i="4" s="1"/>
  <c r="A64" i="2" s="1"/>
  <c r="B64" i="2" s="1"/>
  <c r="W62" i="4"/>
  <c r="X62" i="4" s="1"/>
  <c r="A63" i="2" s="1"/>
  <c r="B63" i="2" s="1"/>
  <c r="W61" i="4"/>
  <c r="X61" i="4" s="1"/>
  <c r="A62" i="2" s="1"/>
  <c r="B62" i="2" s="1"/>
  <c r="W55" i="4"/>
  <c r="X55" i="4" s="1"/>
  <c r="A56" i="2" s="1"/>
  <c r="B56" i="2" s="1"/>
  <c r="W54" i="4"/>
  <c r="X54" i="4" s="1"/>
  <c r="A55" i="2" s="1"/>
  <c r="B55" i="2" s="1"/>
  <c r="W53" i="4"/>
  <c r="X53" i="4" s="1"/>
  <c r="A54" i="2" s="1"/>
  <c r="B54" i="2" s="1"/>
  <c r="W47" i="4"/>
  <c r="X47" i="4" s="1"/>
  <c r="A48" i="2" s="1"/>
  <c r="B48" i="2" s="1"/>
  <c r="W46" i="4"/>
  <c r="X46" i="4" s="1"/>
  <c r="A47" i="2" s="1"/>
  <c r="B47" i="2" s="1"/>
  <c r="W45" i="4"/>
  <c r="X45" i="4" s="1"/>
  <c r="A46" i="2" s="1"/>
  <c r="B46" i="2" s="1"/>
  <c r="W41" i="4"/>
  <c r="X41" i="4" s="1"/>
  <c r="A42" i="2" s="1"/>
  <c r="B42" i="2" s="1"/>
  <c r="W40" i="4"/>
  <c r="X40" i="4" s="1"/>
  <c r="A41" i="2" s="1"/>
  <c r="B41" i="2" s="1"/>
  <c r="W39" i="4"/>
  <c r="X39" i="4" s="1"/>
  <c r="A40" i="2" s="1"/>
  <c r="B40" i="2" s="1"/>
  <c r="W38" i="4"/>
  <c r="X38" i="4" s="1"/>
  <c r="A39" i="2" s="1"/>
  <c r="B39" i="2" s="1"/>
  <c r="W34" i="4"/>
  <c r="X34" i="4" s="1"/>
  <c r="A35" i="2" s="1"/>
  <c r="B35" i="2" s="1"/>
  <c r="W33" i="4"/>
  <c r="X33" i="4" s="1"/>
  <c r="A34" i="2" s="1"/>
  <c r="B34" i="2" s="1"/>
  <c r="W32" i="4"/>
  <c r="X32" i="4" s="1"/>
  <c r="A33" i="2" s="1"/>
  <c r="B33" i="2" s="1"/>
  <c r="W31" i="4"/>
  <c r="X31" i="4" s="1"/>
  <c r="A32" i="2" s="1"/>
  <c r="B32" i="2" s="1"/>
  <c r="W27" i="4"/>
  <c r="X27" i="4" s="1"/>
  <c r="A28" i="2" s="1"/>
  <c r="B28" i="2" s="1"/>
  <c r="W26" i="4"/>
  <c r="X26" i="4" s="1"/>
  <c r="A27" i="2" s="1"/>
  <c r="B27" i="2" s="1"/>
  <c r="W25" i="4"/>
  <c r="X25" i="4" s="1"/>
  <c r="A26" i="2" s="1"/>
  <c r="B26" i="2" s="1"/>
  <c r="W24" i="4"/>
  <c r="X24" i="4" s="1"/>
  <c r="A25" i="2" s="1"/>
  <c r="B25" i="2" s="1"/>
  <c r="W285" i="4" l="1"/>
  <c r="X285" i="4" s="1"/>
  <c r="A294" i="2" s="1"/>
  <c r="B294" i="2" s="1"/>
  <c r="W170" i="4"/>
  <c r="X170" i="4" s="1"/>
  <c r="A179" i="2" s="1"/>
  <c r="B179" i="2" s="1"/>
</calcChain>
</file>

<file path=xl/sharedStrings.xml><?xml version="1.0" encoding="utf-8"?>
<sst xmlns="http://schemas.openxmlformats.org/spreadsheetml/2006/main" count="13591" uniqueCount="2316">
  <si>
    <t>STEIMER Feiertagsgrundlage Schweiz</t>
  </si>
  <si>
    <t>Kalenderjahr</t>
  </si>
  <si>
    <t>Prüfzeitraum 2026–2028</t>
  </si>
  <si>
    <t>AP18B-04 · V0.10 · Bund und alle 26 Kantone als Arbeitsgrundlage</t>
  </si>
  <si>
    <t>Alle Kantone erhoben, keine Vollständigkeitsfreigabe. 5 begrenzte Fälle offen, siehe Quellenprüfung.</t>
  </si>
  <si>
    <t>Abgenommene V0.9 erhalten. SO-Halbtag am 1. Mai: gemäss Fachentscheid keine Fristwirkung.</t>
  </si>
  <si>
    <t>GR nur kantonale Grundliste. Lokale Ruhetage nicht erhoben, VRG-Annahme dokumentiert.</t>
  </si>
  <si>
    <t>Gelbes Feld: Jahr ändern. Die Datumswerte werden in Excel neu berechnet.</t>
  </si>
  <si>
    <t>Im Feiertagskalender nach Gemeinwesen, Geltungsbereich oder Status filtern.</t>
  </si>
  <si>
    <t>Jede Regeländerung verlangt Fachstatus open und neue Prüfung. Alte Freigabe gilt nicht weiter.</t>
  </si>
  <si>
    <t>approved bezeichnet nur die angegebene frühere Fachfreigabe, nicht diese Arbeitsmappe.</t>
  </si>
  <si>
    <t>Quellenprüfung und Datenrelease bleiben getrennt. Neue Prüfereignisse sind candidate.</t>
  </si>
  <si>
    <t>Keine Makros, externen Datenverbindungen oder automatische Datenaktivierung.</t>
  </si>
  <si>
    <t>Sonntage gelten separat. Die Ansicht enthält benannte Feiertage, nicht jeden Sonntag.</t>
  </si>
  <si>
    <t>Gerichtsferien bleiben unverändert in der bestehenden Kalenderkomponente.</t>
  </si>
  <si>
    <t>Bedingte und nicht belegte Tage fehlen bewusst in der Datumsansicht. Offene Fälle sind keine negativen Feiertagsnachweise.</t>
  </si>
  <si>
    <t>Kalender-App und Feiertagskarte gehören nicht zu AP18.</t>
  </si>
  <si>
    <t>Kontrolle</t>
  </si>
  <si>
    <t>Anzahl</t>
  </si>
  <si>
    <t>Gemeinwesen</t>
  </si>
  <si>
    <t>Stand: 13. September 2026</t>
  </si>
  <si>
    <t>Referenz-Feiertagsregeln</t>
  </si>
  <si>
    <t>Fachverantwortung: David Steimer</t>
  </si>
  <si>
    <t>Offene Kantonsregeln</t>
  </si>
  <si>
    <t>Nächste Jahresprüfung: spätestens 15.11.2027</t>
  </si>
  <si>
    <t>Pflege: Regeln und Quellen über stabile IDs verknüpfen. Keine Zeilennummer als Identität.</t>
  </si>
  <si>
    <t>V0.9 ist fachlich abgenommen. Statuswerte früherer Kandidaten bleiben historisch, neue Regeln sind nicht freigegeben.</t>
  </si>
  <si>
    <t>Der Stand enthält keine neue juristische Freigabe und verändert keine Installation.</t>
  </si>
  <si>
    <t>Gebiets- und Zuordnungsänderungen brauchen eine Neugenerierung des Kalenders.</t>
  </si>
  <si>
    <t>Formeln und Referenzzeilen sind geschützt. Blattschutz ohne Passwort aufhebbar.</t>
  </si>
  <si>
    <t>Vier Sprachspalten erhalten. Neue Produktübersetzungen sind provisorisch, keine amtlichen Sprachfassungen.</t>
  </si>
  <si>
    <t>Zusätzliche Sprachen nur in der Arbeitsmappe. App und Laufzeitdaten bleiben unverändert.</t>
  </si>
  <si>
    <t>Arbeitsmappenvertrag 0.5.0 bestätigt (DEC-2026-021). Keine neue Fach-, Produkt- oder Releasefreigabe.</t>
  </si>
  <si>
    <t>Generierter Feiertagskalender</t>
  </si>
  <si>
    <t>Unvollständige Profile AR/AI/GL/NE beachten. SO-Halbtag ohne Fristwirkung. Neue Regeln nicht für Fristen freigegeben.</t>
  </si>
  <si>
    <t>Datum</t>
  </si>
  <si>
    <t>Wochentag</t>
  </si>
  <si>
    <t>Geltungsbereich</t>
  </si>
  <si>
    <t>Feiertag</t>
  </si>
  <si>
    <t>Französisch</t>
  </si>
  <si>
    <t>Italienisch</t>
  </si>
  <si>
    <t>Rumantsch Grischun</t>
  </si>
  <si>
    <t>Rechtskategorie</t>
  </si>
  <si>
    <t>Fachstatus</t>
  </si>
  <si>
    <t>Regel-ID</t>
  </si>
  <si>
    <t>Quellen-ID</t>
  </si>
  <si>
    <t>Fundstelle</t>
  </si>
  <si>
    <t>Abdeckung</t>
  </si>
  <si>
    <t>Tagesumfang</t>
  </si>
  <si>
    <t>CH</t>
  </si>
  <si>
    <t>Bundesgebiet</t>
  </si>
  <si>
    <t>CH-CAL-HOL-NATIONAL-DAY</t>
  </si>
  <si>
    <t>Nur Bundesfeiertag</t>
  </si>
  <si>
    <t>CH-BE</t>
  </si>
  <si>
    <t>Kanton Bern</t>
  </si>
  <si>
    <t>Referenzbestand</t>
  </si>
  <si>
    <t>BE-CAL-HOL-NEW-YEAR</t>
  </si>
  <si>
    <t>BE-CAL-HOL-BERCHTOLD-DAY</t>
  </si>
  <si>
    <t>BE-CAL-HOL-GOOD-FRIDAY</t>
  </si>
  <si>
    <t>BE-CAL-HOL-EASTER</t>
  </si>
  <si>
    <t>BE-CAL-HOL-EASTER-MONDAY</t>
  </si>
  <si>
    <t>BE-CAL-HOL-ASCENSION</t>
  </si>
  <si>
    <t>BE-CAL-HOL-PENTECOST</t>
  </si>
  <si>
    <t>BE-CAL-HOL-WHIT-MONDAY</t>
  </si>
  <si>
    <t>BE-CAL-HOL-FEDERAL-FAST</t>
  </si>
  <si>
    <t>BE-CAL-HOL-CHRISTMAS</t>
  </si>
  <si>
    <t>BE-CAL-HOL-ST-STEPHEN</t>
  </si>
  <si>
    <t>CH-AG</t>
  </si>
  <si>
    <t>Bezirk Baden ohne Bergdietikon</t>
  </si>
  <si>
    <t>open</t>
  </si>
  <si>
    <t>AG-WORK-HOL-CORPUS-CHRISTI</t>
  </si>
  <si>
    <t>Normliste erfasst, Fachfreigabe offen</t>
  </si>
  <si>
    <t>Gemeinde Bergdietikon</t>
  </si>
  <si>
    <t>AG-WORK-HOL-BERCHTOLD</t>
  </si>
  <si>
    <t>Aargau, prozessuale Zuordnung</t>
  </si>
  <si>
    <t>AG-PROC-DAY-ALL-SAINTS</t>
  </si>
  <si>
    <t>Bezirke Aarau, Brugg, Kulm, Lenzburg und Zofingen</t>
  </si>
  <si>
    <t>AG-WORK-HOL-A-NEW-YEAR</t>
  </si>
  <si>
    <t>AG-WORK-HOL-A-BERCHTOLD</t>
  </si>
  <si>
    <t>AG-WORK-HOL-A-GOOD-FRIDAY</t>
  </si>
  <si>
    <t>AG-WORK-HOL-A-EASTER-MONDAY</t>
  </si>
  <si>
    <t>AG-WORK-HOL-A-ASCENSION</t>
  </si>
  <si>
    <t>AG-WORK-HOL-A-WHIT-MONDAY</t>
  </si>
  <si>
    <t>AG-WORK-HOL-A-CHRISTMAS</t>
  </si>
  <si>
    <t>AG-WORK-HOL-A-ST-STEPHEN</t>
  </si>
  <si>
    <t>AG-WORK-HOL-B1-NEW-YEAR</t>
  </si>
  <si>
    <t>AG-WORK-HOL-B1-GOOD-FRIDAY</t>
  </si>
  <si>
    <t>AG-WORK-HOL-B1-EASTER-MONDAY</t>
  </si>
  <si>
    <t>AG-WORK-HOL-B1-ASCENSION</t>
  </si>
  <si>
    <t>AG-WORK-HOL-B1-WHIT-MONDAY</t>
  </si>
  <si>
    <t>AG-WORK-HOL-B1-CHRISTMAS</t>
  </si>
  <si>
    <t>AG-WORK-HOL-B1-ST-STEPHEN</t>
  </si>
  <si>
    <t>AG-WORK-HOL-B2-NEW-YEAR</t>
  </si>
  <si>
    <t>AG-WORK-HOL-B2-GOOD-FRIDAY</t>
  </si>
  <si>
    <t>AG-WORK-HOL-B2-EASTER-MONDAY</t>
  </si>
  <si>
    <t>AG-WORK-HOL-B2-ASCENSION</t>
  </si>
  <si>
    <t>AG-WORK-HOL-B2-WHIT-MONDAY</t>
  </si>
  <si>
    <t>AG-WORK-HOL-B2-CHRISTMAS</t>
  </si>
  <si>
    <t>AG-WORK-HOL-B2-ST-STEPHEN</t>
  </si>
  <si>
    <t>Bezirk Bremgarten</t>
  </si>
  <si>
    <t>AG-WORK-HOL-C-NEW-YEAR</t>
  </si>
  <si>
    <t>AG-WORK-HOL-C-GOOD-FRIDAY</t>
  </si>
  <si>
    <t>AG-WORK-HOL-C-ASCENSION</t>
  </si>
  <si>
    <t>AG-WORK-HOL-C-CORPUS-CHRISTI</t>
  </si>
  <si>
    <t>AG-WORK-HOL-C-ASSUMPTION</t>
  </si>
  <si>
    <t>AG-WORK-HOL-C-ALL-SAINTS</t>
  </si>
  <si>
    <t>AG-WORK-HOL-C-CHRISTMAS</t>
  </si>
  <si>
    <t>AG-WORK-HOL-C-ST-STEPHEN</t>
  </si>
  <si>
    <t>Bezirke Laufenburg und Muri</t>
  </si>
  <si>
    <t>AG-WORK-HOL-D-NEW-YEAR</t>
  </si>
  <si>
    <t>AG-WORK-HOL-D-GOOD-FRIDAY</t>
  </si>
  <si>
    <t>AG-WORK-HOL-D-ASCENSION</t>
  </si>
  <si>
    <t>AG-WORK-HOL-D-CORPUS-CHRISTI</t>
  </si>
  <si>
    <t>AG-WORK-HOL-D-ASSUMPTION</t>
  </si>
  <si>
    <t>AG-WORK-HOL-D-ALL-SAINTS</t>
  </si>
  <si>
    <t>AG-WORK-HOL-D-CHRISTMAS</t>
  </si>
  <si>
    <t>AG-WORK-HOL-D-IMMACULATE-CONCEPTION</t>
  </si>
  <si>
    <t>Rheinfelden, Gemeindegruppe nach Ziff. 1</t>
  </si>
  <si>
    <t>AG-WORK-HOL-E1-NEW-YEAR</t>
  </si>
  <si>
    <t>AG-WORK-HOL-E1-GOOD-FRIDAY</t>
  </si>
  <si>
    <t>AG-WORK-HOL-E1-ASCENSION</t>
  </si>
  <si>
    <t>AG-WORK-HOL-E1-CORPUS-CHRISTI</t>
  </si>
  <si>
    <t>AG-WORK-HOL-E1-ASSUMPTION</t>
  </si>
  <si>
    <t>AG-WORK-HOL-E1-ALL-SAINTS</t>
  </si>
  <si>
    <t>AG-WORK-HOL-E1-CHRISTMAS</t>
  </si>
  <si>
    <t>AG-WORK-HOL-E1-IMMACULATE-CONCEPTION</t>
  </si>
  <si>
    <t>Rheinfelden, Gemeindegruppe nach Ziff. 2</t>
  </si>
  <si>
    <t>AG-WORK-HOL-E2-NEW-YEAR</t>
  </si>
  <si>
    <t>AG-WORK-HOL-E2-GOOD-FRIDAY</t>
  </si>
  <si>
    <t>AG-WORK-HOL-E2-EASTER-MONDAY</t>
  </si>
  <si>
    <t>AG-WORK-HOL-E2-ASCENSION</t>
  </si>
  <si>
    <t>AG-WORK-HOL-E2-WHIT-MONDAY</t>
  </si>
  <si>
    <t>AG-WORK-HOL-E2-CHRISTMAS</t>
  </si>
  <si>
    <t>AG-WORK-HOL-E2-ST-STEPHEN</t>
  </si>
  <si>
    <t>AG-WORK-HOL-E2-ALL-SAINTS</t>
  </si>
  <si>
    <t>Bezirk Zurzach</t>
  </si>
  <si>
    <t>AG-WORK-HOL-F-NEW-YEAR</t>
  </si>
  <si>
    <t>AG-WORK-HOL-F-BERCHTOLD</t>
  </si>
  <si>
    <t>AG-WORK-HOL-F-GOOD-FRIDAY</t>
  </si>
  <si>
    <t>AG-WORK-HOL-F-ASCENSION</t>
  </si>
  <si>
    <t>AG-WORK-HOL-F-CORPUS-CHRISTI</t>
  </si>
  <si>
    <t>AG-WORK-HOL-F-ALL-SAINTS</t>
  </si>
  <si>
    <t>AG-WORK-HOL-F-CHRISTMAS</t>
  </si>
  <si>
    <t>AG-WORK-HOL-F-ST-STEPHEN</t>
  </si>
  <si>
    <t>AG-PROC-DAY-NEW-YEAR</t>
  </si>
  <si>
    <t>AG-PROC-DAY-BERCHTOLD</t>
  </si>
  <si>
    <t>AG-PROC-DAY-GOOD-FRIDAY</t>
  </si>
  <si>
    <t>AG-PROC-DAY-EASTER-MONDAY</t>
  </si>
  <si>
    <t>AG-PROC-DAY-MAY1</t>
  </si>
  <si>
    <t>AG-PROC-DAY-ASCENSION</t>
  </si>
  <si>
    <t>AG-PROC-DAY-WHIT-MONDAY</t>
  </si>
  <si>
    <t>AG-PROC-DAY-CORPUS-CHRISTI</t>
  </si>
  <si>
    <t>AG-PROC-DAY-NATIONAL-DAY</t>
  </si>
  <si>
    <t>AG-PROC-DAY-ASSUMPTION</t>
  </si>
  <si>
    <t>AG-PROC-DAY-IMMACULATE-CONCEPTION</t>
  </si>
  <si>
    <t>AG-PROC-DAY-CHRISTMAS</t>
  </si>
  <si>
    <t>AG-PROC-DAY-ST-STEPHEN</t>
  </si>
  <si>
    <t>CH-TI</t>
  </si>
  <si>
    <t>Tessin, offizielle Feiertage</t>
  </si>
  <si>
    <t>TI-CAL-DAY-NEW-YEAR</t>
  </si>
  <si>
    <t>Offizielle Feiertage. LPAmm-Zuordnung zur Fachprüfung</t>
  </si>
  <si>
    <t>TI-CAL-DAY-EPIPHANY</t>
  </si>
  <si>
    <t>LPAmm-Zuordnung zur Fachprüfung. RG: provisorische Produktübersetzung.</t>
  </si>
  <si>
    <t>TI-CAL-DAY-ST-JOSEPH</t>
  </si>
  <si>
    <t>TI-CAL-DAY-EASTER-MONDAY</t>
  </si>
  <si>
    <t>TI-CAL-DAY-MAY1</t>
  </si>
  <si>
    <t>TI-CAL-DAY-ASCENSION</t>
  </si>
  <si>
    <t>TI-CAL-DAY-WHIT-MONDAY</t>
  </si>
  <si>
    <t>TI-CAL-DAY-CORPUS-CHRISTI</t>
  </si>
  <si>
    <t>TI-CAL-DAY-ST-PETER-PAUL</t>
  </si>
  <si>
    <t>TI-CAL-DAY-NATIONAL-DAY</t>
  </si>
  <si>
    <t>TI-CAL-DAY-ASSUMPTION</t>
  </si>
  <si>
    <t>TI-CAL-DAY-ALL-SAINTS</t>
  </si>
  <si>
    <t>TI-CAL-DAY-IMMACULATE-CONCEPTION</t>
  </si>
  <si>
    <t>TI-CAL-DAY-CHRISTMAS</t>
  </si>
  <si>
    <t>TI-CAL-DAY-ST-STEPHEN</t>
  </si>
  <si>
    <t>CH-GR</t>
  </si>
  <si>
    <t>Graubünden, kantonale Grundliste</t>
  </si>
  <si>
    <t>GR-CAL-DAY-NEW-YEAR</t>
  </si>
  <si>
    <t>Kantonale Grundliste. VRG-Annahme und örtliche Fristwirkung offen</t>
  </si>
  <si>
    <t>GR-CAL-DAY-GOOD-FRIDAY</t>
  </si>
  <si>
    <t>GR-CAL-DAY-EASTER</t>
  </si>
  <si>
    <t>GR-CAL-DAY-EASTER-MONDAY</t>
  </si>
  <si>
    <t>GR-CAL-DAY-ASCENSION</t>
  </si>
  <si>
    <t>GR-CAL-DAY-PENTECOST</t>
  </si>
  <si>
    <t>GR-CAL-DAY-WHIT-MONDAY</t>
  </si>
  <si>
    <t>GR-CAL-DAY-NATIONAL-DAY</t>
  </si>
  <si>
    <t>GR-CAL-DAY-FEDERAL-FAST</t>
  </si>
  <si>
    <t>GR-CAL-DAY-CHRISTMAS</t>
  </si>
  <si>
    <t>GR-CAL-DAY-ST-STEPHEN</t>
  </si>
  <si>
    <t>CH-VS</t>
  </si>
  <si>
    <t>Wallis, namentliche allgemeine Feiertagsgrundliste</t>
  </si>
  <si>
    <t>VS-CAL-DAY-NEW-YEAR</t>
  </si>
  <si>
    <t>Erfassungsentwurf. Keine neue Fristenprofilfreigabe.</t>
  </si>
  <si>
    <t>VS-CAL-DAY-ST-JOSEPH</t>
  </si>
  <si>
    <t>VS-CAL-DAY-ASCENSION</t>
  </si>
  <si>
    <t>VS-CAL-DAY-CORPUS-CHRISTI</t>
  </si>
  <si>
    <t>VS-CAL-DAY-NATIONAL-DAY</t>
  </si>
  <si>
    <t>VS-CAL-DAY-ASSUMPTION</t>
  </si>
  <si>
    <t>VS-CAL-DAY-ALL-SAINTS</t>
  </si>
  <si>
    <t>VS-CAL-DAY-IMMACULATE-CONCEPTION</t>
  </si>
  <si>
    <t>VS-CAL-DAY-CHRISTMAS</t>
  </si>
  <si>
    <t>Wallis, vier Prozessergänzungen nach Art. 37 RPflG</t>
  </si>
  <si>
    <t>VS-PROC-DAY-BERCHTOLD</t>
  </si>
  <si>
    <t>VS-PROC-DAY-EASTER-MONDAY</t>
  </si>
  <si>
    <t>VS-PROC-DAY-WHIT-MONDAY</t>
  </si>
  <si>
    <t>VS-PROC-DAY-ST-STEPHEN</t>
  </si>
  <si>
    <t>CH-FR</t>
  </si>
  <si>
    <t>Freiburg, katholisches BAMG-Gebiet</t>
  </si>
  <si>
    <t>FR-BAMG-CATHOLIC-DAY-NEW-YEAR</t>
  </si>
  <si>
    <t>FR-BAMG-CATHOLIC-DAY-GOOD-FRIDAY</t>
  </si>
  <si>
    <t>FR-BAMG-CATHOLIC-DAY-ASCENSION</t>
  </si>
  <si>
    <t>FR-BAMG-CATHOLIC-DAY-CORPUS-CHRISTI</t>
  </si>
  <si>
    <t>FR-BAMG-CATHOLIC-DAY-NATIONAL-DAY</t>
  </si>
  <si>
    <t>FR-BAMG-CATHOLIC-DAY-ASSUMPTION</t>
  </si>
  <si>
    <t>FR-BAMG-CATHOLIC-DAY-ALL-SAINTS</t>
  </si>
  <si>
    <t>FR-BAMG-CATHOLIC-DAY-IMMACULATE-CONCEPTION</t>
  </si>
  <si>
    <t>FR-BAMG-CATHOLIC-DAY-CHRISTMAS</t>
  </si>
  <si>
    <t>Freiburg, reformiertes BAMG-Gebiet</t>
  </si>
  <si>
    <t>FR-BAMG-REFORMED-DAY-NEW-YEAR</t>
  </si>
  <si>
    <t>FR-BAMG-REFORMED-DAY-BERCHTOLD</t>
  </si>
  <si>
    <t>FR-BAMG-REFORMED-DAY-GOOD-FRIDAY</t>
  </si>
  <si>
    <t>FR-BAMG-REFORMED-DAY-EASTER-MONDAY</t>
  </si>
  <si>
    <t>FR-BAMG-REFORMED-DAY-ASCENSION</t>
  </si>
  <si>
    <t>FR-BAMG-REFORMED-DAY-WHIT-MONDAY</t>
  </si>
  <si>
    <t>FR-BAMG-REFORMED-DAY-NATIONAL-DAY</t>
  </si>
  <si>
    <t>FR-BAMG-REFORMED-DAY-CHRISTMAS</t>
  </si>
  <si>
    <t>FR-BAMG-REFORMED-DAY-ST-STEPHEN</t>
  </si>
  <si>
    <t>Freiburg, kantonsweite JG-Fristenliste</t>
  </si>
  <si>
    <t>FR-JG-ALL-DAY-NEW-YEAR</t>
  </si>
  <si>
    <t>FR-JG-ALL-DAY-BERCHTOLD</t>
  </si>
  <si>
    <t>FR-JG-ALL-DAY-GOOD-FRIDAY</t>
  </si>
  <si>
    <t>FR-JG-ALL-DAY-EASTER</t>
  </si>
  <si>
    <t>FR-JG-ALL-DAY-EASTER-MONDAY</t>
  </si>
  <si>
    <t>FR-JG-ALL-DAY-ASCENSION</t>
  </si>
  <si>
    <t>FR-JG-ALL-DAY-PENTECOST</t>
  </si>
  <si>
    <t>FR-JG-ALL-DAY-WHIT-MONDAY</t>
  </si>
  <si>
    <t>FR-JG-ALL-DAY-CORPUS-CHRISTI</t>
  </si>
  <si>
    <t>FR-JG-ALL-DAY-NATIONAL-DAY</t>
  </si>
  <si>
    <t>FR-JG-ALL-DAY-ASSUMPTION</t>
  </si>
  <si>
    <t>FR-JG-ALL-DAY-ALL-SAINTS</t>
  </si>
  <si>
    <t>FR-JG-ALL-DAY-IMMACULATE-CONCEPTION</t>
  </si>
  <si>
    <t>FR-JG-ALL-DAY-CHRISTMAS</t>
  </si>
  <si>
    <t>FR-JG-ALL-DAY-ST-STEPHEN</t>
  </si>
  <si>
    <t>CH-SO</t>
  </si>
  <si>
    <t>Solothurn, RTG ohne Bezirk Bucheggberg</t>
  </si>
  <si>
    <t>SO-RTG-EXCEPT-BUCHEGGBERG-DAY-NEW-YEAR</t>
  </si>
  <si>
    <t>SO-RTG-EXCEPT-BUCHEGGBERG-DAY-GOOD-FRIDAY</t>
  </si>
  <si>
    <t>SO-RTG-EXCEPT-BUCHEGGBERG-DAY-EASTER</t>
  </si>
  <si>
    <t>SO-RTG-EXCEPT-BUCHEGGBERG-DAY-MAY1</t>
  </si>
  <si>
    <t>Halbtag nach kantonalem Recht. Wirkung auf Tagesfristen offen.</t>
  </si>
  <si>
    <t>SO-RTG-EXCEPT-BUCHEGGBERG-DAY-ASCENSION</t>
  </si>
  <si>
    <t>SO-RTG-EXCEPT-BUCHEGGBERG-DAY-PENTECOST</t>
  </si>
  <si>
    <t>SO-RTG-EXCEPT-BUCHEGGBERG-DAY-CORPUS-CHRISTI</t>
  </si>
  <si>
    <t>SO-RTG-EXCEPT-BUCHEGGBERG-DAY-NATIONAL-DAY</t>
  </si>
  <si>
    <t>SO-RTG-EXCEPT-BUCHEGGBERG-DAY-ASSUMPTION</t>
  </si>
  <si>
    <t>SO-RTG-EXCEPT-BUCHEGGBERG-DAY-FEDERAL-FAST</t>
  </si>
  <si>
    <t>SO-RTG-EXCEPT-BUCHEGGBERG-DAY-ALL-SAINTS</t>
  </si>
  <si>
    <t>SO-RTG-EXCEPT-BUCHEGGBERG-DAY-CHRISTMAS</t>
  </si>
  <si>
    <t>Solothurn, RTG Bezirk Bucheggberg</t>
  </si>
  <si>
    <t>SO-RTG-BUCHEGGBERG-DAY-NEW-YEAR</t>
  </si>
  <si>
    <t>SO-RTG-BUCHEGGBERG-DAY-GOOD-FRIDAY</t>
  </si>
  <si>
    <t>SO-RTG-BUCHEGGBERG-DAY-EASTER</t>
  </si>
  <si>
    <t>SO-RTG-BUCHEGGBERG-DAY-MAY1</t>
  </si>
  <si>
    <t>SO-RTG-BUCHEGGBERG-DAY-ASCENSION</t>
  </si>
  <si>
    <t>SO-RTG-BUCHEGGBERG-DAY-PENTECOST</t>
  </si>
  <si>
    <t>SO-RTG-BUCHEGGBERG-DAY-NATIONAL-DAY</t>
  </si>
  <si>
    <t>SO-RTG-BUCHEGGBERG-DAY-FEDERAL-FAST</t>
  </si>
  <si>
    <t>SO-RTG-BUCHEGGBERG-DAY-CHRISTMAS</t>
  </si>
  <si>
    <t>CH-GE</t>
  </si>
  <si>
    <t>Genf, gesetzliche Feiertage nach Art. 1 Abs. 1 LJF</t>
  </si>
  <si>
    <t>GE-CAL-DAY-NEW-YEAR</t>
  </si>
  <si>
    <t>GE-CAL-DAY-GOOD-FRIDAY</t>
  </si>
  <si>
    <t>GE-CAL-DAY-EASTER-MONDAY</t>
  </si>
  <si>
    <t>GE-CAL-DAY-ASCENSION</t>
  </si>
  <si>
    <t>GE-CAL-DAY-WHIT-MONDAY</t>
  </si>
  <si>
    <t>GE-CAL-DAY-NATIONAL-DAY</t>
  </si>
  <si>
    <t>GE-CAL-DAY-GENEVA-FAST</t>
  </si>
  <si>
    <t>GE-CAL-DAY-CHRISTMAS</t>
  </si>
  <si>
    <t>GE-CAL-DAY-RESTORATION</t>
  </si>
  <si>
    <t>CH-ZH</t>
  </si>
  <si>
    <t>Zürich, RLG-Ruhetage</t>
  </si>
  <si>
    <t>ZH-RLG-ALL-DAY-NEW-YEAR</t>
  </si>
  <si>
    <t>ZH-RLG-ALL-DAY-GOOD-FRIDAY</t>
  </si>
  <si>
    <t>ZH-RLG-ALL-DAY-EASTER-MONDAY</t>
  </si>
  <si>
    <t>ZH-RLG-ALL-DAY-ASCENSION</t>
  </si>
  <si>
    <t>ZH-RLG-ALL-DAY-WHIT-MONDAY</t>
  </si>
  <si>
    <t>ZH-RLG-ALL-DAY-NATIONAL-DAY</t>
  </si>
  <si>
    <t>ZH-RLG-ALL-DAY-CHRISTMAS</t>
  </si>
  <si>
    <t>ZH-RLG-ALL-DAY-ST-STEPHEN</t>
  </si>
  <si>
    <t>ZH-RLG-ALL-DAY-MAY1</t>
  </si>
  <si>
    <t>ZH-RLG-ALL-DAY-EASTER</t>
  </si>
  <si>
    <t>ZH-RLG-ALL-DAY-PENTECOST</t>
  </si>
  <si>
    <t>ZH-RLG-ALL-DAY-FEDERAL-FAST</t>
  </si>
  <si>
    <t>Zürich, GOG-Fristenliste</t>
  </si>
  <si>
    <t>ZH-GOG-ALL-DAY-NEW-YEAR</t>
  </si>
  <si>
    <t>ZH-GOG-ALL-DAY-GOOD-FRIDAY</t>
  </si>
  <si>
    <t>ZH-GOG-ALL-DAY-EASTER-MONDAY</t>
  </si>
  <si>
    <t>ZH-GOG-ALL-DAY-ASCENSION</t>
  </si>
  <si>
    <t>ZH-GOG-ALL-DAY-WHIT-MONDAY</t>
  </si>
  <si>
    <t>ZH-GOG-ALL-DAY-NATIONAL-DAY</t>
  </si>
  <si>
    <t>ZH-GOG-ALL-DAY-CHRISTMAS</t>
  </si>
  <si>
    <t>ZH-GOG-ALL-DAY-ST-STEPHEN</t>
  </si>
  <si>
    <t>ZH-GOG-ALL-DAY-MAY1</t>
  </si>
  <si>
    <t>ZH-GOG-ALL-DAY-BERCHTOLD</t>
  </si>
  <si>
    <t>CH-SH</t>
  </si>
  <si>
    <t>Schaffhausen, RTG-Ruhetage</t>
  </si>
  <si>
    <t>SH-RTG-ALL-DAY-NEW-YEAR</t>
  </si>
  <si>
    <t>SH-RTG-ALL-DAY-GOOD-FRIDAY</t>
  </si>
  <si>
    <t>SH-RTG-ALL-DAY-EASTER-MONDAY</t>
  </si>
  <si>
    <t>SH-RTG-ALL-DAY-ASCENSION</t>
  </si>
  <si>
    <t>SH-RTG-ALL-DAY-WHIT-MONDAY</t>
  </si>
  <si>
    <t>SH-RTG-ALL-DAY-NATIONAL-DAY</t>
  </si>
  <si>
    <t>SH-RTG-ALL-DAY-CHRISTMAS</t>
  </si>
  <si>
    <t>SH-RTG-ALL-DAY-ST-STEPHEN</t>
  </si>
  <si>
    <t>SH-RTG-ALL-DAY-MAY1</t>
  </si>
  <si>
    <t>SH-RTG-ALL-DAY-EASTER</t>
  </si>
  <si>
    <t>SH-RTG-ALL-DAY-PENTECOST</t>
  </si>
  <si>
    <t>SH-RTG-ALL-DAY-FEDERAL-FAST</t>
  </si>
  <si>
    <t>Schaffhausen, ZPO-Ergänzung Berchtoldstag</t>
  </si>
  <si>
    <t>SH-ZPO-ADDITIONAL-DAY-BERCHTOLD</t>
  </si>
  <si>
    <t>CH-TG</t>
  </si>
  <si>
    <t>Thurgau, RTG-Ruhetage ab 2026</t>
  </si>
  <si>
    <t>TG-RTG-ALL-DAY-NEW-YEAR</t>
  </si>
  <si>
    <t>TG-RTG-ALL-DAY-GOOD-FRIDAY</t>
  </si>
  <si>
    <t>TG-RTG-ALL-DAY-EASTER-MONDAY</t>
  </si>
  <si>
    <t>TG-RTG-ALL-DAY-ASCENSION</t>
  </si>
  <si>
    <t>TG-RTG-ALL-DAY-WHIT-MONDAY</t>
  </si>
  <si>
    <t>TG-RTG-ALL-DAY-NATIONAL-DAY</t>
  </si>
  <si>
    <t>TG-RTG-ALL-DAY-CHRISTMAS</t>
  </si>
  <si>
    <t>TG-RTG-ALL-DAY-ST-STEPHEN</t>
  </si>
  <si>
    <t>TG-RTG-ALL-DAY-MAY1</t>
  </si>
  <si>
    <t>TG-RTG-ALL-DAY-BERCHTOLD</t>
  </si>
  <si>
    <t>TG-RTG-ALL-DAY-EASTER</t>
  </si>
  <si>
    <t>TG-RTG-ALL-DAY-PENTECOST</t>
  </si>
  <si>
    <t>TG-RTG-ALL-DAY-FEDERAL-FAST</t>
  </si>
  <si>
    <t>CH-SG</t>
  </si>
  <si>
    <t>St. Gallen, RLG-Ruhetage</t>
  </si>
  <si>
    <t>SG-RLG-ALL-DAY-NEW-YEAR</t>
  </si>
  <si>
    <t>SG-RLG-ALL-DAY-GOOD-FRIDAY</t>
  </si>
  <si>
    <t>SG-RLG-ALL-DAY-EASTER-MONDAY</t>
  </si>
  <si>
    <t>SG-RLG-ALL-DAY-ASCENSION</t>
  </si>
  <si>
    <t>SG-RLG-ALL-DAY-WHIT-MONDAY</t>
  </si>
  <si>
    <t>SG-RLG-ALL-DAY-NATIONAL-DAY</t>
  </si>
  <si>
    <t>SG-RLG-ALL-DAY-CHRISTMAS</t>
  </si>
  <si>
    <t>SG-RLG-ALL-DAY-ST-STEPHEN</t>
  </si>
  <si>
    <t>SG-RLG-ALL-DAY-ALL-SAINTS</t>
  </si>
  <si>
    <t>SG-RLG-ALL-DAY-EASTER</t>
  </si>
  <si>
    <t>SG-RLG-ALL-DAY-PENTECOST</t>
  </si>
  <si>
    <t>SG-RLG-ALL-DAY-FEDERAL-FAST</t>
  </si>
  <si>
    <t>St. Gallen, ZPO-Ergänzung Berchtoldstag</t>
  </si>
  <si>
    <t>SG-ZPO-ADDITIONAL-DAY-BERCHTOLD</t>
  </si>
  <si>
    <t>CH-AR</t>
  </si>
  <si>
    <t>Appenzell Ausserrhoden, Arbeitsfeiertage ohne bedingten Stephanstag</t>
  </si>
  <si>
    <t>AR-ARG-ALL-DAY-NEW-YEAR</t>
  </si>
  <si>
    <t>AR-ARG-ALL-DAY-GOOD-FRIDAY</t>
  </si>
  <si>
    <t>AR-ARG-ALL-DAY-EASTER-MONDAY</t>
  </si>
  <si>
    <t>AR-ARG-ALL-DAY-ASCENSION</t>
  </si>
  <si>
    <t>AR-ARG-ALL-DAY-WHIT-MONDAY</t>
  </si>
  <si>
    <t>AR-ARG-ALL-DAY-NATIONAL-DAY</t>
  </si>
  <si>
    <t>AR-ARG-ALL-DAY-CHRISTMAS</t>
  </si>
  <si>
    <t>CH-AI</t>
  </si>
  <si>
    <t>Appenzell Innerrhoden, kantonsweite RTG-Tage ohne bedingten Stephanstag</t>
  </si>
  <si>
    <t>AI-RTG-ALL-DAY-NEW-YEAR</t>
  </si>
  <si>
    <t>AI-RTG-ALL-DAY-GOOD-FRIDAY</t>
  </si>
  <si>
    <t>AI-RTG-ALL-DAY-EASTER-MONDAY</t>
  </si>
  <si>
    <t>AI-RTG-ALL-DAY-ASCENSION</t>
  </si>
  <si>
    <t>AI-RTG-ALL-DAY-WHIT-MONDAY</t>
  </si>
  <si>
    <t>AI-RTG-ALL-DAY-NATIONAL-DAY</t>
  </si>
  <si>
    <t>AI-RTG-ALL-DAY-CHRISTMAS</t>
  </si>
  <si>
    <t>AI-RTG-ALL-DAY-CORPUS-CHRISTI</t>
  </si>
  <si>
    <t>AI-RTG-ALL-DAY-ASSUMPTION</t>
  </si>
  <si>
    <t>AI-RTG-ALL-DAY-ALL-SAINTS</t>
  </si>
  <si>
    <t>AI-RTG-ALL-DAY-IMMACULATE-CONCEPTION</t>
  </si>
  <si>
    <t>AI-RTG-ALL-DAY-EASTER</t>
  </si>
  <si>
    <t>AI-RTG-ALL-DAY-PENTECOST</t>
  </si>
  <si>
    <t>AI-RTG-ALL-DAY-FEDERAL-FAST</t>
  </si>
  <si>
    <t>Appenzell Innerrhoden, St. Mauritius im inneren Landesteil</t>
  </si>
  <si>
    <t>AI-RTG-INNER-ADDITIONAL-DAY-MAURITIUS</t>
  </si>
  <si>
    <t>CH-LU</t>
  </si>
  <si>
    <t>Luzern, kantonsweite Ruhetagsliste</t>
  </si>
  <si>
    <t>LU-RLG-ALL-DAY-NEW-YEAR</t>
  </si>
  <si>
    <t>LU-RLG-ALL-DAY-GOOD-FRIDAY</t>
  </si>
  <si>
    <t>LU-RLG-ALL-DAY-EASTER</t>
  </si>
  <si>
    <t>LU-RLG-ALL-DAY-ASCENSION</t>
  </si>
  <si>
    <t>LU-RLG-ALL-DAY-PENTECOST</t>
  </si>
  <si>
    <t>LU-RLG-ALL-DAY-CORPUS-CHRISTI</t>
  </si>
  <si>
    <t>LU-RLG-ALL-DAY-NATIONAL-DAY</t>
  </si>
  <si>
    <t>LU-RLG-ALL-DAY-ASSUMPTION</t>
  </si>
  <si>
    <t>LU-RLG-ALL-DAY-FEDERAL-FAST</t>
  </si>
  <si>
    <t>LU-RLG-ALL-DAY-ALL-SAINTS</t>
  </si>
  <si>
    <t>LU-RLG-ALL-DAY-IMMACULATE-CONCEPTION</t>
  </si>
  <si>
    <t>LU-RLG-ALL-DAY-CHRISTMAS</t>
  </si>
  <si>
    <t>LU-RLG-ALL-DAY-ST-STEPHEN</t>
  </si>
  <si>
    <t>Luzern, JusG, eigene Liste für ZPO/StPO</t>
  </si>
  <si>
    <t>LU-JUSG-ART76-DAY-NEW-YEAR</t>
  </si>
  <si>
    <t>LU-JUSG-ART76-DAY-BERCHTOLD</t>
  </si>
  <si>
    <t>LU-JUSG-ART76-DAY-GOOD-FRIDAY</t>
  </si>
  <si>
    <t>LU-JUSG-ART76-DAY-EASTER-MONDAY</t>
  </si>
  <si>
    <t>LU-JUSG-ART76-DAY-ASCENSION</t>
  </si>
  <si>
    <t>LU-JUSG-ART76-DAY-WHIT-MONDAY</t>
  </si>
  <si>
    <t>LU-JUSG-ART76-DAY-CORPUS-CHRISTI</t>
  </si>
  <si>
    <t>LU-JUSG-ART76-DAY-NATIONAL-DAY</t>
  </si>
  <si>
    <t>LU-JUSG-ART76-DAY-ASSUMPTION</t>
  </si>
  <si>
    <t>LU-JUSG-ART76-DAY-ALL-SAINTS</t>
  </si>
  <si>
    <t>LU-JUSG-ART76-DAY-IMMACULATE-CONCEPTION</t>
  </si>
  <si>
    <t>LU-JUSG-ART76-DAY-CHRISTMAS</t>
  </si>
  <si>
    <t>LU-JUSG-ART76-DAY-ST-STEPHEN</t>
  </si>
  <si>
    <t>Luzern, VRG, drei zusätzliche Fristentage</t>
  </si>
  <si>
    <t>LU-VRG-ADDITIONAL-DAY-BERCHTOLD</t>
  </si>
  <si>
    <t>LU-VRG-ADDITIONAL-DAY-EASTER-MONDAY</t>
  </si>
  <si>
    <t>LU-VRG-ADDITIONAL-DAY-WHIT-MONDAY</t>
  </si>
  <si>
    <t>CH-UR</t>
  </si>
  <si>
    <t>Uri, kantonsweite Ruhetagsliste</t>
  </si>
  <si>
    <t>UR-LSG-ALL-DAY-NEW-YEAR</t>
  </si>
  <si>
    <t>UR-LSG-ALL-DAY-EPIPHANY</t>
  </si>
  <si>
    <t>UR-LSG-ALL-DAY-ST-JOSEPH</t>
  </si>
  <si>
    <t>UR-LSG-ALL-DAY-GOOD-FRIDAY</t>
  </si>
  <si>
    <t>UR-LSG-ALL-DAY-EASTER-MONDAY</t>
  </si>
  <si>
    <t>UR-LSG-ALL-DAY-ASCENSION</t>
  </si>
  <si>
    <t>UR-LSG-ALL-DAY-WHIT-MONDAY</t>
  </si>
  <si>
    <t>UR-LSG-ALL-DAY-CORPUS-CHRISTI</t>
  </si>
  <si>
    <t>UR-LSG-ALL-DAY-NATIONAL-DAY</t>
  </si>
  <si>
    <t>UR-LSG-ALL-DAY-ASSUMPTION</t>
  </si>
  <si>
    <t>UR-LSG-ALL-DAY-ALL-SAINTS</t>
  </si>
  <si>
    <t>UR-LSG-ALL-DAY-IMMACULATE-CONCEPTION</t>
  </si>
  <si>
    <t>UR-LSG-ALL-DAY-CHRISTMAS</t>
  </si>
  <si>
    <t>UR-LSG-ALL-DAY-ST-STEPHEN</t>
  </si>
  <si>
    <t>CH-SZ</t>
  </si>
  <si>
    <t>Schwyz, kantonsweite Ruhetagsliste</t>
  </si>
  <si>
    <t>SZ-RTG-ALL-DAY-NEW-YEAR</t>
  </si>
  <si>
    <t>SZ-RTG-ALL-DAY-EPIPHANY</t>
  </si>
  <si>
    <t>SZ-RTG-ALL-DAY-ST-JOSEPH</t>
  </si>
  <si>
    <t>SZ-RTG-ALL-DAY-GOOD-FRIDAY</t>
  </si>
  <si>
    <t>SZ-RTG-ALL-DAY-EASTER-MONDAY</t>
  </si>
  <si>
    <t>SZ-RTG-ALL-DAY-ASCENSION</t>
  </si>
  <si>
    <t>SZ-RTG-ALL-DAY-WHIT-MONDAY</t>
  </si>
  <si>
    <t>SZ-RTG-ALL-DAY-CORPUS-CHRISTI</t>
  </si>
  <si>
    <t>SZ-RTG-ALL-DAY-NATIONAL-DAY</t>
  </si>
  <si>
    <t>SZ-RTG-ALL-DAY-ASSUMPTION</t>
  </si>
  <si>
    <t>SZ-RTG-ALL-DAY-ALL-SAINTS</t>
  </si>
  <si>
    <t>SZ-RTG-ALL-DAY-IMMACULATE-CONCEPTION</t>
  </si>
  <si>
    <t>SZ-RTG-ALL-DAY-CHRISTMAS</t>
  </si>
  <si>
    <t>SZ-RTG-ALL-DAY-ST-STEPHEN</t>
  </si>
  <si>
    <t>SZ-RTG-ALL-DAY-EASTER</t>
  </si>
  <si>
    <t>SZ-RTG-ALL-DAY-PENTECOST</t>
  </si>
  <si>
    <t>SZ-RTG-ALL-DAY-FEDERAL-FAST</t>
  </si>
  <si>
    <t>CH-OW</t>
  </si>
  <si>
    <t>Obwalden, kantonsweite Ruhetagsliste</t>
  </si>
  <si>
    <t>OW-RTG-ALL-DAY-NEW-YEAR</t>
  </si>
  <si>
    <t>OW-RTG-ALL-DAY-GOOD-FRIDAY</t>
  </si>
  <si>
    <t>OW-RTG-ALL-DAY-EASTER</t>
  </si>
  <si>
    <t>OW-RTG-ALL-DAY-ASCENSION</t>
  </si>
  <si>
    <t>OW-RTG-ALL-DAY-PENTECOST</t>
  </si>
  <si>
    <t>OW-RTG-ALL-DAY-CORPUS-CHRISTI</t>
  </si>
  <si>
    <t>OW-RTG-ALL-DAY-NATIONAL-DAY</t>
  </si>
  <si>
    <t>OW-RTG-ALL-DAY-ASSUMPTION</t>
  </si>
  <si>
    <t>OW-RTG-ALL-DAY-FEDERAL-FAST</t>
  </si>
  <si>
    <t>OW-RTG-ALL-DAY-BRUDER-KLAUS</t>
  </si>
  <si>
    <t>OW-RTG-ALL-DAY-ALL-SAINTS</t>
  </si>
  <si>
    <t>OW-RTG-ALL-DAY-IMMACULATE-CONCEPTION</t>
  </si>
  <si>
    <t>OW-RTG-ALL-DAY-CHRISTMAS</t>
  </si>
  <si>
    <t>CH-NW</t>
  </si>
  <si>
    <t>Nidwalden, kantonsweite Ruhetagsliste</t>
  </si>
  <si>
    <t>NW-RTG-ALL-DAY-NEW-YEAR</t>
  </si>
  <si>
    <t>NW-RTG-ALL-DAY-ST-JOSEPH</t>
  </si>
  <si>
    <t>NW-RTG-ALL-DAY-GOOD-FRIDAY</t>
  </si>
  <si>
    <t>NW-RTG-ALL-DAY-EASTER</t>
  </si>
  <si>
    <t>NW-RTG-ALL-DAY-ASCENSION</t>
  </si>
  <si>
    <t>NW-RTG-ALL-DAY-PENTECOST</t>
  </si>
  <si>
    <t>NW-RTG-ALL-DAY-CORPUS-CHRISTI</t>
  </si>
  <si>
    <t>NW-RTG-ALL-DAY-NATIONAL-DAY</t>
  </si>
  <si>
    <t>NW-RTG-ALL-DAY-ASSUMPTION</t>
  </si>
  <si>
    <t>NW-RTG-ALL-DAY-FEDERAL-FAST</t>
  </si>
  <si>
    <t>NW-RTG-ALL-DAY-ALL-SAINTS</t>
  </si>
  <si>
    <t>NW-RTG-ALL-DAY-IMMACULATE-CONCEPTION</t>
  </si>
  <si>
    <t>NW-RTG-ALL-DAY-CHRISTMAS</t>
  </si>
  <si>
    <t>CH-ZG</t>
  </si>
  <si>
    <t>Zug, kantonsweite Ruhetagsliste</t>
  </si>
  <si>
    <t>ZG-RLG-ALL-DAY-NEW-YEAR</t>
  </si>
  <si>
    <t>ZG-RLG-ALL-DAY-GOOD-FRIDAY</t>
  </si>
  <si>
    <t>ZG-RLG-ALL-DAY-ASCENSION</t>
  </si>
  <si>
    <t>ZG-RLG-ALL-DAY-CORPUS-CHRISTI</t>
  </si>
  <si>
    <t>ZG-RLG-ALL-DAY-ASSUMPTION</t>
  </si>
  <si>
    <t>ZG-RLG-ALL-DAY-ALL-SAINTS</t>
  </si>
  <si>
    <t>ZG-RLG-ALL-DAY-IMMACULATE-CONCEPTION</t>
  </si>
  <si>
    <t>ZG-RLG-ALL-DAY-CHRISTMAS</t>
  </si>
  <si>
    <t>ZG-RLG-ALL-DAY-NATIONAL-DAY</t>
  </si>
  <si>
    <t>ZG-RLG-ALL-DAY-EASTER</t>
  </si>
  <si>
    <t>ZG-RLG-ALL-DAY-PENTECOST</t>
  </si>
  <si>
    <t>ZG-RLG-ALL-DAY-FEDERAL-FAST</t>
  </si>
  <si>
    <t>Zug, VRG, eigene Fristenliste</t>
  </si>
  <si>
    <t>ZG-VRG-ART10-DAY-NEW-YEAR</t>
  </si>
  <si>
    <t>ZG-VRG-ART10-DAY-BERCHTOLD</t>
  </si>
  <si>
    <t>ZG-VRG-ART10-DAY-GOOD-FRIDAY</t>
  </si>
  <si>
    <t>ZG-VRG-ART10-DAY-EASTER</t>
  </si>
  <si>
    <t>ZG-VRG-ART10-DAY-EASTER-MONDAY</t>
  </si>
  <si>
    <t>ZG-VRG-ART10-DAY-ASCENSION</t>
  </si>
  <si>
    <t>ZG-VRG-ART10-DAY-PENTECOST</t>
  </si>
  <si>
    <t>ZG-VRG-ART10-DAY-WHIT-MONDAY</t>
  </si>
  <si>
    <t>ZG-VRG-ART10-DAY-CORPUS-CHRISTI</t>
  </si>
  <si>
    <t>ZG-VRG-ART10-DAY-NATIONAL-DAY</t>
  </si>
  <si>
    <t>ZG-VRG-ART10-DAY-ASSUMPTION</t>
  </si>
  <si>
    <t>ZG-VRG-ART10-DAY-FEDERAL-FAST</t>
  </si>
  <si>
    <t>ZG-VRG-ART10-DAY-ALL-SAINTS</t>
  </si>
  <si>
    <t>ZG-VRG-ART10-DAY-IMMACULATE-CONCEPTION</t>
  </si>
  <si>
    <t>ZG-VRG-ART10-DAY-CHRISTMAS</t>
  </si>
  <si>
    <t>ZG-VRG-ART10-DAY-ST-STEPHEN</t>
  </si>
  <si>
    <t>CH-GL</t>
  </si>
  <si>
    <t>Glarus, kantonsweite Ruhetagsliste</t>
  </si>
  <si>
    <t>GL-RTG-ALL-DAY-NEW-YEAR</t>
  </si>
  <si>
    <t>GL-RTG-ALL-DAY-GOOD-FRIDAY</t>
  </si>
  <si>
    <t>GL-RTG-ALL-DAY-EASTER</t>
  </si>
  <si>
    <t>GL-RTG-ALL-DAY-EASTER-MONDAY</t>
  </si>
  <si>
    <t>GL-RTG-ALL-DAY-ASCENSION</t>
  </si>
  <si>
    <t>GL-RTG-ALL-DAY-PENTECOST</t>
  </si>
  <si>
    <t>GL-RTG-ALL-DAY-WHIT-MONDAY</t>
  </si>
  <si>
    <t>GL-RTG-ALL-DAY-NATIONAL-DAY</t>
  </si>
  <si>
    <t>GL-RTG-ALL-DAY-FEDERAL-FAST</t>
  </si>
  <si>
    <t>GL-RTG-ALL-DAY-ALL-SAINTS</t>
  </si>
  <si>
    <t>GL-RTG-ALL-DAY-CHRISTMAS</t>
  </si>
  <si>
    <t>GL-RTG-ALL-DAY-ST-STEPHEN</t>
  </si>
  <si>
    <t>CH-BS</t>
  </si>
  <si>
    <t>Basel-Stadt, namentliche RLG-Ruhetage</t>
  </si>
  <si>
    <t>BS-RLG-ALL-DAY-NEW-YEAR</t>
  </si>
  <si>
    <t>BS-RLG-ALL-DAY-GOOD-FRIDAY</t>
  </si>
  <si>
    <t>BS-RLG-ALL-DAY-EASTER</t>
  </si>
  <si>
    <t>BS-RLG-ALL-DAY-EASTER-MONDAY</t>
  </si>
  <si>
    <t>BS-RLG-ALL-DAY-MAY1</t>
  </si>
  <si>
    <t>BS-RLG-ALL-DAY-ASCENSION</t>
  </si>
  <si>
    <t>BS-RLG-ALL-DAY-PENTECOST</t>
  </si>
  <si>
    <t>BS-RLG-ALL-DAY-WHIT-MONDAY</t>
  </si>
  <si>
    <t>BS-RLG-ALL-DAY-NATIONAL-DAY</t>
  </si>
  <si>
    <t>BS-RLG-ALL-DAY-FEDERAL-FAST</t>
  </si>
  <si>
    <t>BS-RLG-ALL-DAY-CHRISTMAS</t>
  </si>
  <si>
    <t>BS-RLG-ALL-DAY-ST-STEPHEN</t>
  </si>
  <si>
    <t>CH-BL</t>
  </si>
  <si>
    <t>Basel-Landschaft, namentliche RTG-Ruhetage</t>
  </si>
  <si>
    <t>BL-RTG-ALL-DAY-NEW-YEAR</t>
  </si>
  <si>
    <t>BL-RTG-ALL-DAY-GOOD-FRIDAY</t>
  </si>
  <si>
    <t>BL-RTG-ALL-DAY-EASTER</t>
  </si>
  <si>
    <t>BL-RTG-ALL-DAY-EASTER-MONDAY</t>
  </si>
  <si>
    <t>BL-RTG-ALL-DAY-MAY1</t>
  </si>
  <si>
    <t>BL-RTG-ALL-DAY-ASCENSION</t>
  </si>
  <si>
    <t>BL-RTG-ALL-DAY-PENTECOST</t>
  </si>
  <si>
    <t>BL-RTG-ALL-DAY-WHIT-MONDAY</t>
  </si>
  <si>
    <t>BL-RTG-ALL-DAY-NATIONAL-DAY</t>
  </si>
  <si>
    <t>BL-RTG-ALL-DAY-FEDERAL-FAST</t>
  </si>
  <si>
    <t>BL-RTG-ALL-DAY-CHRISTMAS</t>
  </si>
  <si>
    <t>BL-RTG-ALL-DAY-ST-STEPHEN</t>
  </si>
  <si>
    <t>CH-VD</t>
  </si>
  <si>
    <t>Waadt, arbeitsrechtliche LEmp-Liste</t>
  </si>
  <si>
    <t>VD-LEMP-ALL-DAY-NEW-YEAR</t>
  </si>
  <si>
    <t>VD-LEMP-ALL-DAY-BERCHTOLD</t>
  </si>
  <si>
    <t>VD-LEMP-ALL-DAY-GOOD-FRIDAY</t>
  </si>
  <si>
    <t>VD-LEMP-ALL-DAY-EASTER-MONDAY</t>
  </si>
  <si>
    <t>VD-LEMP-ALL-DAY-ASCENSION</t>
  </si>
  <si>
    <t>VD-LEMP-ALL-DAY-WHIT-MONDAY</t>
  </si>
  <si>
    <t>VD-LEMP-ALL-DAY-NATIONAL-DAY</t>
  </si>
  <si>
    <t>VD-LEMP-ALL-DAY-FEDERAL-FAST-MONDAY</t>
  </si>
  <si>
    <t>VD-LEMP-ALL-DAY-CHRISTMAS</t>
  </si>
  <si>
    <t>CH-NE</t>
  </si>
  <si>
    <t>Neuenburg, unbedingte allgemeine Grundliste</t>
  </si>
  <si>
    <t>NE-LDJF-BASE-DAY-NEW-YEAR</t>
  </si>
  <si>
    <t>NE-LDJF-BASE-DAY-NE-REPUBLIC</t>
  </si>
  <si>
    <t>NE-LDJF-BASE-DAY-GOOD-FRIDAY</t>
  </si>
  <si>
    <t>NE-LDJF-BASE-DAY-MAY1</t>
  </si>
  <si>
    <t>NE-LDJF-BASE-DAY-ASCENSION</t>
  </si>
  <si>
    <t>NE-LDJF-BASE-DAY-NATIONAL-DAY</t>
  </si>
  <si>
    <t>NE-LDJF-BASE-DAY-CHRISTMAS</t>
  </si>
  <si>
    <t>Neuenburg, Fronleichnam in Le Landeron</t>
  </si>
  <si>
    <t>NE-LANDERON-ADDITIONAL-DAY-CORPUS-CHRISTI</t>
  </si>
  <si>
    <t>Neuenburg, acht feste LPA-Verwaltungsergänzungen</t>
  </si>
  <si>
    <t>NE-LPA-ADDITIONAL-DAY-BERCHTOLD</t>
  </si>
  <si>
    <t>NE-LPA-ADDITIONAL-DAY-EASTER-MONDAY</t>
  </si>
  <si>
    <t>NE-LPA-ADDITIONAL-DAY-ASCENSION-FRIDAY</t>
  </si>
  <si>
    <t>NE-LPA-ADDITIONAL-DAY-WHIT-MONDAY</t>
  </si>
  <si>
    <t>NE-LPA-ADDITIONAL-DAY-FEDERAL-FAST-MONDAY</t>
  </si>
  <si>
    <t>NE-LPA-ADDITIONAL-DAY-CHRISTMAS-EVE</t>
  </si>
  <si>
    <t>NE-LPA-ADDITIONAL-DAY-ST-STEPHEN</t>
  </si>
  <si>
    <t>NE-LPA-ADDITIONAL-DAY-NEW-YEAR-EVE</t>
  </si>
  <si>
    <t>CH-JU</t>
  </si>
  <si>
    <t>Jura, allgemeine Feiertage nach Art. 3</t>
  </si>
  <si>
    <t>JU-LJF-OFFICIAL-DAY-NEW-YEAR</t>
  </si>
  <si>
    <t>JU-LJF-OFFICIAL-DAY-BERCHTOLD</t>
  </si>
  <si>
    <t>JU-LJF-OFFICIAL-DAY-GOOD-FRIDAY</t>
  </si>
  <si>
    <t>JU-LJF-OFFICIAL-DAY-EASTER</t>
  </si>
  <si>
    <t>JU-LJF-OFFICIAL-DAY-EASTER-MONDAY</t>
  </si>
  <si>
    <t>JU-LJF-OFFICIAL-DAY-MAY1</t>
  </si>
  <si>
    <t>JU-LJF-OFFICIAL-DAY-ASCENSION</t>
  </si>
  <si>
    <t>JU-LJF-OFFICIAL-DAY-PENTECOST</t>
  </si>
  <si>
    <t>JU-LJF-OFFICIAL-DAY-WHIT-MONDAY</t>
  </si>
  <si>
    <t>JU-LJF-OFFICIAL-DAY-CORPUS-CHRISTI</t>
  </si>
  <si>
    <t>JU-LJF-OFFICIAL-DAY-JU-PLEBISCITE</t>
  </si>
  <si>
    <t>JU-LJF-OFFICIAL-DAY-NATIONAL-DAY</t>
  </si>
  <si>
    <t>JU-LJF-OFFICIAL-DAY-ASSUMPTION</t>
  </si>
  <si>
    <t>JU-LJF-OFFICIAL-DAY-ALL-SAINTS</t>
  </si>
  <si>
    <t>JU-LJF-OFFICIAL-DAY-CHRISTMAS</t>
  </si>
  <si>
    <t>Jura, arbeitsrechtliche Liste nach Art. 4</t>
  </si>
  <si>
    <t>JU-LJF-LABOUR-DAY-NEW-YEAR</t>
  </si>
  <si>
    <t>JU-LJF-LABOUR-DAY-GOOD-FRIDAY</t>
  </si>
  <si>
    <t>JU-LJF-LABOUR-DAY-EASTER-MONDAY</t>
  </si>
  <si>
    <t>JU-LJF-LABOUR-DAY-MAY1</t>
  </si>
  <si>
    <t>JU-LJF-LABOUR-DAY-ASCENSION</t>
  </si>
  <si>
    <t>JU-LJF-LABOUR-DAY-WHIT-MONDAY</t>
  </si>
  <si>
    <t>JU-LJF-LABOUR-DAY-CORPUS-CHRISTI</t>
  </si>
  <si>
    <t>JU-LJF-LABOUR-DAY-NATIONAL-DAY</t>
  </si>
  <si>
    <t>JU-LJF-LABOUR-DAY-CHRISTMAS</t>
  </si>
  <si>
    <t>Gemeinwesen und Bearbeitungsstand</t>
  </si>
  <si>
    <t>Erfassungsstand und fachliche Freigabe sind getrennt. Leere Quellen sind noch zu erheben.</t>
  </si>
  <si>
    <t>Code</t>
  </si>
  <si>
    <t>Deutsch</t>
  </si>
  <si>
    <t>Übergeordnet</t>
  </si>
  <si>
    <t>Erfassungsstand</t>
  </si>
  <si>
    <t>Amtliche Feiertagsquelle</t>
  </si>
  <si>
    <t>Bund</t>
  </si>
  <si>
    <t>Confédération</t>
  </si>
  <si>
    <t>Referenzpilot</t>
  </si>
  <si>
    <t>approved</t>
  </si>
  <si>
    <t>https://www.fedlex.admin.ch/eli/cc/1994/1340_1340_1340/de</t>
  </si>
  <si>
    <t>Zürich</t>
  </si>
  <si>
    <t>Zurich</t>
  </si>
  <si>
    <t>Zurigo</t>
  </si>
  <si>
    <t>Turitg</t>
  </si>
  <si>
    <t>AP18B-04, Normlisten erfasst, Fachabnahme offen</t>
  </si>
  <si>
    <t>https://www.notes.zh.ch/appl/zhlex_r.nsf/WebView/663A7F8F1929F218C1256EB7002E6A05/%24File/822.4_26.6.00_45.pdf</t>
  </si>
  <si>
    <t>Bern</t>
  </si>
  <si>
    <t>Berne</t>
  </si>
  <si>
    <t>https://www.belex.sites.be.ch/app/de/texts_of_law/555.1</t>
  </si>
  <si>
    <t>Luzern</t>
  </si>
  <si>
    <t>Lucerne</t>
  </si>
  <si>
    <t>Lucerna</t>
  </si>
  <si>
    <t>https://srl.lu.ch/data/855/de</t>
  </si>
  <si>
    <t>Uri</t>
  </si>
  <si>
    <t>https://rechtsbuch.ur.ch/api/de/versions/963/pdf_file</t>
  </si>
  <si>
    <t>Schwyz</t>
  </si>
  <si>
    <t>Schwytz</t>
  </si>
  <si>
    <t>Svitto</t>
  </si>
  <si>
    <t>Sviz</t>
  </si>
  <si>
    <t>https://www.sz.ch/public/upload/assets/28055/545_110.pdf</t>
  </si>
  <si>
    <t>Obwalden</t>
  </si>
  <si>
    <t>Obwald</t>
  </si>
  <si>
    <t>Obvaldo</t>
  </si>
  <si>
    <t>Sursilvania</t>
  </si>
  <si>
    <t>https://gdb.ow.ch/api/de/versions/103/pdf_file</t>
  </si>
  <si>
    <t>Nidwalden</t>
  </si>
  <si>
    <t>Nidwald</t>
  </si>
  <si>
    <t>Nidvaldo</t>
  </si>
  <si>
    <t>Sutsilvania</t>
  </si>
  <si>
    <t>https://gesetze.nw.ch/app/de/texts_of_law/921.1</t>
  </si>
  <si>
    <t>Glarus</t>
  </si>
  <si>
    <t>Glaris</t>
  </si>
  <si>
    <t>Glarona</t>
  </si>
  <si>
    <t>Glaruna</t>
  </si>
  <si>
    <t>AP18B-04, Teilerfassung mit dokumentierter Lücke, Fachabnahme offen</t>
  </si>
  <si>
    <t>https://gesetze.gl.ch/api/de/versions/2110/pdf_file</t>
  </si>
  <si>
    <t>Zug</t>
  </si>
  <si>
    <t>Zoug</t>
  </si>
  <si>
    <t>Zugo</t>
  </si>
  <si>
    <t>https://bgs.zg.ch/app/de/texts_of_law/942.31</t>
  </si>
  <si>
    <t>Freiburg</t>
  </si>
  <si>
    <t>Fribourg</t>
  </si>
  <si>
    <t>Friburgo</t>
  </si>
  <si>
    <t>Friburg</t>
  </si>
  <si>
    <t>AP18B-03, kantonale Normlisten erfasst, Fachabnahme offen</t>
  </si>
  <si>
    <t>https://bdlf.fr.ch/api/de/versions/8126/pdf_file</t>
  </si>
  <si>
    <t>Solothurn</t>
  </si>
  <si>
    <t>Soleure</t>
  </si>
  <si>
    <t>Soletta</t>
  </si>
  <si>
    <t>Soloturn</t>
  </si>
  <si>
    <t>https://bgs.so.ch/api/de/versions/4319/pdf_file</t>
  </si>
  <si>
    <t>Basel-Stadt</t>
  </si>
  <si>
    <t>Bâle-Ville</t>
  </si>
  <si>
    <t>Basilea Città</t>
  </si>
  <si>
    <t>Basilea-Citad</t>
  </si>
  <si>
    <t>https://www.gesetzessammlung.bs.ch/frontend/versions/4927/download_pdf_file?locale=de</t>
  </si>
  <si>
    <t>Basel-Landschaft</t>
  </si>
  <si>
    <t>Bâle-Campagne</t>
  </si>
  <si>
    <t>Basilea Campagna</t>
  </si>
  <si>
    <t>Basilea-Champagna</t>
  </si>
  <si>
    <t>https://bl.clex.ch/api/versions/2507/pdf_file_with_annexes</t>
  </si>
  <si>
    <t>Schaffhausen</t>
  </si>
  <si>
    <t>Schaffhouse</t>
  </si>
  <si>
    <t>Sciaffusa</t>
  </si>
  <si>
    <t>Schaffusa</t>
  </si>
  <si>
    <t>https://rechtsbuch.sh.ch/api/de/versions/1886/pdf_file</t>
  </si>
  <si>
    <t>Appenzell Ausserrhoden</t>
  </si>
  <si>
    <t>Appenzell Rhodes-Extérieures</t>
  </si>
  <si>
    <t>Appenzello Esterno</t>
  </si>
  <si>
    <t>Appenzell Dadora</t>
  </si>
  <si>
    <t>https://ar.clex.ch/api/de/versions/1058/pdf_file</t>
  </si>
  <si>
    <t>Appenzell Innerrhoden</t>
  </si>
  <si>
    <t>Appenzell Rhodes-Intérieures</t>
  </si>
  <si>
    <t>Appenzello Interno</t>
  </si>
  <si>
    <t>Appenzell Dadens</t>
  </si>
  <si>
    <t>https://ai.clex.ch/api/de/versions/1327/pdf_file</t>
  </si>
  <si>
    <t>St. Gallen</t>
  </si>
  <si>
    <t>Saint-Gall</t>
  </si>
  <si>
    <t>San Gallo</t>
  </si>
  <si>
    <t>Son Gagl</t>
  </si>
  <si>
    <t>https://www.gesetzessammlung.sg.ch/api/de/versions/228/pdf_file</t>
  </si>
  <si>
    <t>Graubünden</t>
  </si>
  <si>
    <t>Grisons</t>
  </si>
  <si>
    <t>Grigioni</t>
  </si>
  <si>
    <t>Grischun</t>
  </si>
  <si>
    <t>AP18B-02, kantonale Normliste erfasst, Fachabnahme offen</t>
  </si>
  <si>
    <t>https://www.gr-lex.gr.ch/api/de/versions/2604/pdf_file</t>
  </si>
  <si>
    <t>Aargau</t>
  </si>
  <si>
    <t>Argovie</t>
  </si>
  <si>
    <t>Kantonspaket AP18B-01, Fachabnahme offen</t>
  </si>
  <si>
    <t>https://gesetzessammlungen.ag.ch/app/de/texts_of_law/961.200</t>
  </si>
  <si>
    <t>Thurgau</t>
  </si>
  <si>
    <t>Thurgovie</t>
  </si>
  <si>
    <t>Turgovia</t>
  </si>
  <si>
    <t>https://www.rechtsbuch.tg.ch/api/de/versions/2949/pdf_file</t>
  </si>
  <si>
    <t>Tessin</t>
  </si>
  <si>
    <t>Ticino</t>
  </si>
  <si>
    <t>https://www3.ti.ch/CAN/RLeggi/public/index.php/raccolta-leggi/legge/num/568</t>
  </si>
  <si>
    <t>Waadt</t>
  </si>
  <si>
    <t>Vaud</t>
  </si>
  <si>
    <t>Vad</t>
  </si>
  <si>
    <t>https://prestations.vd.ch/pub/blv-publication/actes/consolide/822.11?id=c3ef83f5-e736-490d-90a7-1753b31d5ef3</t>
  </si>
  <si>
    <t>Wallis</t>
  </si>
  <si>
    <t>Valais</t>
  </si>
  <si>
    <t>Vallese</t>
  </si>
  <si>
    <t>Vallais</t>
  </si>
  <si>
    <t>https://lex.vs.ch/api/de/versions/2105/pdf_file</t>
  </si>
  <si>
    <t>Neuenburg</t>
  </si>
  <si>
    <t>Neuchâtel</t>
  </si>
  <si>
    <t>https://rsn.ne.ch/DATA/program/books/rsne/pdf/941.02.pdf</t>
  </si>
  <si>
    <t>Genf</t>
  </si>
  <si>
    <t>Genève</t>
  </si>
  <si>
    <t>Ginevra</t>
  </si>
  <si>
    <t>Genevra</t>
  </si>
  <si>
    <t>https://silgeneve.ch/legis/data/rsg_j1_45.htm</t>
  </si>
  <si>
    <t>Jura</t>
  </si>
  <si>
    <t>Giura</t>
  </si>
  <si>
    <t>https://rsju.jura.ch/Htdocs/Files/v/38948.pdf</t>
  </si>
  <si>
    <t>Feiertagsregeln und Berechnung</t>
  </si>
  <si>
    <t>Rechtskategorie und Geltungsbereich sind Pflicht. Datum und Gültigkeit rechts werden aus dem Kalenderjahr berechnet.</t>
  </si>
  <si>
    <t>Geltungs-ID</t>
  </si>
  <si>
    <t>Regeltyp</t>
  </si>
  <si>
    <t>Monat</t>
  </si>
  <si>
    <t>Tag</t>
  </si>
  <si>
    <t>Tagesabstand</t>
  </si>
  <si>
    <t>ISO-Wochentag</t>
  </si>
  <si>
    <t>Vorkommen</t>
  </si>
  <si>
    <t>Gültig ab</t>
  </si>
  <si>
    <t>Gültig bis</t>
  </si>
  <si>
    <t>Priorität</t>
  </si>
  <si>
    <t>Freigabebasis</t>
  </si>
  <si>
    <t>Wirkung</t>
  </si>
  <si>
    <t>Zielregel</t>
  </si>
  <si>
    <t>Exportklasse</t>
  </si>
  <si>
    <t>Rohdatum</t>
  </si>
  <si>
    <t>Datum im Geltungszeitraum</t>
  </si>
  <si>
    <t>Osterrechnung</t>
  </si>
  <si>
    <t>Wert</t>
  </si>
  <si>
    <t>CH-ALL</t>
  </si>
  <si>
    <t>Bundesfeiertag</t>
  </si>
  <si>
    <t>Fête nationale</t>
  </si>
  <si>
    <t>publicHoliday</t>
  </si>
  <si>
    <t>fixedMonthDay</t>
  </si>
  <si>
    <t>2026-08-31-mvp-03-approved.1</t>
  </si>
  <si>
    <t>add</t>
  </si>
  <si>
    <t>referenceOnly</t>
  </si>
  <si>
    <t>SRC-BUNDESFEIERTAG-19940701</t>
  </si>
  <si>
    <t>Art. 1</t>
  </si>
  <si>
    <t>Ganztägig</t>
  </si>
  <si>
    <t>Jahr</t>
  </si>
  <si>
    <t>BE-ALL</t>
  </si>
  <si>
    <t>Neujahr</t>
  </si>
  <si>
    <t>Nouvel An</t>
  </si>
  <si>
    <t>SRC-FRG-BE-20210401</t>
  </si>
  <si>
    <t>Art. 2 Abs. 1 Bst. c</t>
  </si>
  <si>
    <t>a</t>
  </si>
  <si>
    <t>Berchtoldstag</t>
  </si>
  <si>
    <t>Saint-Berchtold</t>
  </si>
  <si>
    <t>b</t>
  </si>
  <si>
    <t>Karfreitag</t>
  </si>
  <si>
    <t>Vendredi saint</t>
  </si>
  <si>
    <t>easterOffsetDays</t>
  </si>
  <si>
    <t>Art. 2 Abs. 1 Bst. b</t>
  </si>
  <si>
    <t>c</t>
  </si>
  <si>
    <t>Ostern</t>
  </si>
  <si>
    <t>Pâques</t>
  </si>
  <si>
    <t>d</t>
  </si>
  <si>
    <t>Ostermontag</t>
  </si>
  <si>
    <t>Lundi de Pâques</t>
  </si>
  <si>
    <t>e</t>
  </si>
  <si>
    <t>Auffahrt</t>
  </si>
  <si>
    <t>Ascension</t>
  </si>
  <si>
    <t>f</t>
  </si>
  <si>
    <t>Pfingsten</t>
  </si>
  <si>
    <t>Pentecôte</t>
  </si>
  <si>
    <t>g</t>
  </si>
  <si>
    <t>Pfingstmontag</t>
  </si>
  <si>
    <t>Lundi de Pentecôte</t>
  </si>
  <si>
    <t>h</t>
  </si>
  <si>
    <t>Eidgenössischer Dank-, Buss- und Bettag</t>
  </si>
  <si>
    <t>Jeûne fédéral</t>
  </si>
  <si>
    <t>nthWeekdayOfMonth</t>
  </si>
  <si>
    <t>i</t>
  </si>
  <si>
    <t>Weihnachten</t>
  </si>
  <si>
    <t>Noël</t>
  </si>
  <si>
    <t>k</t>
  </si>
  <si>
    <t>Stephanstag</t>
  </si>
  <si>
    <t>Saint-Étienne</t>
  </si>
  <si>
    <t>l</t>
  </si>
  <si>
    <t>AG-ARG-BADEN</t>
  </si>
  <si>
    <t>Fronleichnam</t>
  </si>
  <si>
    <t>Fête-Dieu</t>
  </si>
  <si>
    <t>labourLawHoliday</t>
  </si>
  <si>
    <t>blockedScope</t>
  </si>
  <si>
    <t>SRC-AG-EGARR-20250901</t>
  </si>
  <si>
    <t>§ 6 Abs. 1 Bst. b Ziff. 2</t>
  </si>
  <si>
    <t>m</t>
  </si>
  <si>
    <t>AG-ARG-BERGDIETIKON</t>
  </si>
  <si>
    <t>§ 6 Abs. 1 Bst. b Ziff. 1</t>
  </si>
  <si>
    <t>n</t>
  </si>
  <si>
    <t>AG-ZPO-ALL</t>
  </si>
  <si>
    <t>Allerheiligen</t>
  </si>
  <si>
    <t>Toussaint</t>
  </si>
  <si>
    <t>proceduralEquivalentDay</t>
  </si>
  <si>
    <t>blockedEffect</t>
  </si>
  <si>
    <t>SRC-AG-EGZPO</t>
  </si>
  <si>
    <t>§ 21</t>
  </si>
  <si>
    <t>Ostermonat</t>
  </si>
  <si>
    <t>AG-ARG-AARAU-BRUGG-KULM-LENZBURG-ZOFINGEN</t>
  </si>
  <si>
    <t>§ 6 Abs. 1 Bst. a</t>
  </si>
  <si>
    <t>Ostertag</t>
  </si>
  <si>
    <t>Ostersonntag</t>
  </si>
  <si>
    <t>AG-ARG-BREMGARTEN</t>
  </si>
  <si>
    <t>§ 6 Abs. 1 Bst. c</t>
  </si>
  <si>
    <t>Mariä Himmelfahrt</t>
  </si>
  <si>
    <t>Assomption</t>
  </si>
  <si>
    <t>AG-ARG-LAUFENBURG-MURI</t>
  </si>
  <si>
    <t>§ 6 Abs. 1 Bst. d</t>
  </si>
  <si>
    <t>Mariä Empfängnis</t>
  </si>
  <si>
    <t>Immaculée Conception</t>
  </si>
  <si>
    <t>AG-ARG-RHEINFELDEN-E1</t>
  </si>
  <si>
    <t>§ 6 Abs. 1 Bst. e Ziff. 1</t>
  </si>
  <si>
    <t>AG-ARG-RHEINFELDEN-E2</t>
  </si>
  <si>
    <t>§ 6 Abs. 1 Bst. e Ziff. 2</t>
  </si>
  <si>
    <t>AG-ARG-ZURZACH</t>
  </si>
  <si>
    <t>§ 6 Abs. 1 Bst. f</t>
  </si>
  <si>
    <t>Tag der Arbeit (1. Mai)</t>
  </si>
  <si>
    <t>Fête du travail (1er mai)</t>
  </si>
  <si>
    <t>TI-OFFICIAL-ALL</t>
  </si>
  <si>
    <t>Capo d’anno</t>
  </si>
  <si>
    <t>Bumaun</t>
  </si>
  <si>
    <t>SRC-TI-FEIERTAGE-843200</t>
  </si>
  <si>
    <t>Heilige Drei Könige</t>
  </si>
  <si>
    <t>Épiphanie</t>
  </si>
  <si>
    <t>Epifania</t>
  </si>
  <si>
    <t>Bavania</t>
  </si>
  <si>
    <t>Josefstag</t>
  </si>
  <si>
    <t>Saint-Joseph</t>
  </si>
  <si>
    <t>San Giuseppe</t>
  </si>
  <si>
    <t>Son Giusep</t>
  </si>
  <si>
    <t>Lunedì di Pasqua</t>
  </si>
  <si>
    <t>Glindesdi da Pasca</t>
  </si>
  <si>
    <t>Primo maggio</t>
  </si>
  <si>
    <t>Di da la lavur (1. da matg)</t>
  </si>
  <si>
    <t>Ascensione</t>
  </si>
  <si>
    <t>Ascensiun</t>
  </si>
  <si>
    <t>Lunedì di Pentecoste</t>
  </si>
  <si>
    <t>Glindesdi da Tschuncaisma</t>
  </si>
  <si>
    <t>Corpus Domini</t>
  </si>
  <si>
    <t>Sontgilcrest</t>
  </si>
  <si>
    <t>Peter und Paul</t>
  </si>
  <si>
    <t>Saints Pierre et Paul</t>
  </si>
  <si>
    <t>San Pietro e Paolo</t>
  </si>
  <si>
    <t>Son Peder e son Paul</t>
  </si>
  <si>
    <t>Primo agosto</t>
  </si>
  <si>
    <t>Festa naziunala svizra</t>
  </si>
  <si>
    <t>Assunzione</t>
  </si>
  <si>
    <t>Nossadunna d’avust</t>
  </si>
  <si>
    <t>Ognissanti</t>
  </si>
  <si>
    <t>Numnasontga</t>
  </si>
  <si>
    <t>Immacolata</t>
  </si>
  <si>
    <t>Immaculada concepziun da Maria</t>
  </si>
  <si>
    <t>Natale</t>
  </si>
  <si>
    <t>Di da Nadal</t>
  </si>
  <si>
    <t>Santo Stefano</t>
  </si>
  <si>
    <t>Son Steffan</t>
  </si>
  <si>
    <t>GR-PUBLIC-ALL</t>
  </si>
  <si>
    <t>Capodanno</t>
  </si>
  <si>
    <t>SRC-GR-RUHETAGE-520100-20160101</t>
  </si>
  <si>
    <t>Venerdì Santo</t>
  </si>
  <si>
    <t>Venderdi sontg</t>
  </si>
  <si>
    <t>Art. 2 Abs. 1 Bst. b und Abs. 2</t>
  </si>
  <si>
    <t>Domenica di Pasqua</t>
  </si>
  <si>
    <t>Dumengia da Pasca</t>
  </si>
  <si>
    <t>Art. 2 Abs. 2</t>
  </si>
  <si>
    <t>Pfingstsonntag</t>
  </si>
  <si>
    <t>Domenica di Pentecoste</t>
  </si>
  <si>
    <t>Dumengia da Tschuncaisma</t>
  </si>
  <si>
    <t>Eidgenössischer Bettag</t>
  </si>
  <si>
    <t>Festa federale di preghiera</t>
  </si>
  <si>
    <t>Di da la rogaziun federala</t>
  </si>
  <si>
    <t>Weihnachtstag</t>
  </si>
  <si>
    <t>Stefanstag</t>
  </si>
  <si>
    <t>VS-PUBLIC-ALL</t>
  </si>
  <si>
    <t>SRC-VS-RUHEREG-822200-19661202</t>
  </si>
  <si>
    <t>VS-LOJ-ADDITIONAL</t>
  </si>
  <si>
    <t>2. Januar</t>
  </si>
  <si>
    <t>2 janvier</t>
  </si>
  <si>
    <t>SRC-VS-RPFLG-1731-20240101</t>
  </si>
  <si>
    <t>Art. 37 Abs. 1 Bst. c</t>
  </si>
  <si>
    <t>26. Dezember (Stephanstag)</t>
  </si>
  <si>
    <t>26 décembre (Saint-Étienne)</t>
  </si>
  <si>
    <t>FR-BAMG-CATHOLIC</t>
  </si>
  <si>
    <t>SRC-FR-BAMG-866111-V8126</t>
  </si>
  <si>
    <t>Art. 49 Abs. 2</t>
  </si>
  <si>
    <t>Art. 49 Abs. 3 Bst. a</t>
  </si>
  <si>
    <t>SR 116, Art. 1, neue offene Anwendung auf dieses Geltungsprofil</t>
  </si>
  <si>
    <t>FR-BAMG-REFORMED</t>
  </si>
  <si>
    <t>Lendemain du Nouvel-An</t>
  </si>
  <si>
    <t>Giorno di Berchtold</t>
  </si>
  <si>
    <t>Di da Berchtold</t>
  </si>
  <si>
    <t>Art. 49 Abs. 3 Bst. b</t>
  </si>
  <si>
    <t>Lendemain de Noël</t>
  </si>
  <si>
    <t>FR-JG-ALL</t>
  </si>
  <si>
    <t>SRC-FR-JG-1301-V7926</t>
  </si>
  <si>
    <t>Art. 121 Abs. 2</t>
  </si>
  <si>
    <t>SO-RTG-EXCEPT-BUCHEGGBERG</t>
  </si>
  <si>
    <t>SRC-SO-RTG-51241-V4319</t>
  </si>
  <si>
    <t>§ 2 Abs. 1 Bst. b</t>
  </si>
  <si>
    <t>§ 2 Abs. 1 Bst. c</t>
  </si>
  <si>
    <t>1. Mai</t>
  </si>
  <si>
    <t>1er mai</t>
  </si>
  <si>
    <t>1. da matg</t>
  </si>
  <si>
    <t>§ 2 Abs. 1 Bst. b, 1. Mai ab 12.00 Uhr</t>
  </si>
  <si>
    <t>Ab 12.00 Uhr</t>
  </si>
  <si>
    <t>SO-RTG-BUCHEGGBERG</t>
  </si>
  <si>
    <t>GE-OFFICIAL-ALL</t>
  </si>
  <si>
    <t>SRC-GE-LJF-J145-19910101</t>
  </si>
  <si>
    <t>Art. 1 Abs. 1 Bst. a</t>
  </si>
  <si>
    <t>Art. 1 Abs. 1 Bst. b</t>
  </si>
  <si>
    <t>Art. 1 Abs. 1 Bst. c</t>
  </si>
  <si>
    <t>Art. 1 Abs. 1 Bst. d</t>
  </si>
  <si>
    <t>Art. 1 Abs. 1 Bst. e</t>
  </si>
  <si>
    <t>Art. 1 Abs. 1 Bst. f</t>
  </si>
  <si>
    <t>Genfer Bettag</t>
  </si>
  <si>
    <t>Jeûne genevois</t>
  </si>
  <si>
    <t>nthWeekdayOffsetDays</t>
  </si>
  <si>
    <t>Art. 1 Abs. 1 Bst. g und Fussnote a</t>
  </si>
  <si>
    <t>Art. 1 Abs. 1 Bst. h</t>
  </si>
  <si>
    <t>Wiederherstellung der Republik</t>
  </si>
  <si>
    <t>Restauration de la République</t>
  </si>
  <si>
    <t>Art. 1 Abs. 1 Bst. i</t>
  </si>
  <si>
    <t>ZH-RLG-ALL</t>
  </si>
  <si>
    <t>SRC-ZH-RLG-8224-N045</t>
  </si>
  <si>
    <t>§ 1 Abs. 1 und 2</t>
  </si>
  <si>
    <t>SR 116 Art. 1, offene Anwendung auf neues kantonales Profil</t>
  </si>
  <si>
    <t>ZH-GOG-ALL</t>
  </si>
  <si>
    <t>SRC-ZH-GOG-2111-N131</t>
  </si>
  <si>
    <t>§ 122</t>
  </si>
  <si>
    <t>SH-RTG-ALL</t>
  </si>
  <si>
    <t>SRC-SH-RTG-900200-V1886</t>
  </si>
  <si>
    <t>Art. 1 Abs. 1 und Art. 2</t>
  </si>
  <si>
    <t>SH-ZPO-ADDITIONAL</t>
  </si>
  <si>
    <t>SRC-SH-OGE-4020181K-20180824</t>
  </si>
  <si>
    <t>OGE 40/2018/1/K, E. 2.1.1–2.1.4</t>
  </si>
  <si>
    <t>TG-RTG-ALL</t>
  </si>
  <si>
    <t>SRC-TG-RTG-8229-V2949</t>
  </si>
  <si>
    <t>§ 1 und § 2</t>
  </si>
  <si>
    <t>SG-RLG-ALL</t>
  </si>
  <si>
    <t>SRC-SG-RLG-5521-V228</t>
  </si>
  <si>
    <t>Art. 2 und Art. 3</t>
  </si>
  <si>
    <t>SG-ZPO-ADDITIONAL</t>
  </si>
  <si>
    <t>SRC-SG-KGER-FS20121-20120329</t>
  </si>
  <si>
    <t>FS.2012.1, Erwägungen zur Fristwahrung</t>
  </si>
  <si>
    <t>AR-ARG-ALL</t>
  </si>
  <si>
    <t>SRC-AR-ARGV-82211-V1058</t>
  </si>
  <si>
    <t>Art. 7</t>
  </si>
  <si>
    <t>AI-RTG-ALL</t>
  </si>
  <si>
    <t>SRC-AI-RTG-822200-V1327</t>
  </si>
  <si>
    <t>Art. 2 Abs. 1 Bst. b und c sowie Art. 3</t>
  </si>
  <si>
    <t>AI-RTG-INNER-ADDITIONAL</t>
  </si>
  <si>
    <t>St. Mauritiustag</t>
  </si>
  <si>
    <t>Saint-Maurice</t>
  </si>
  <si>
    <t>San Maurizio</t>
  </si>
  <si>
    <t>Son Murezi</t>
  </si>
  <si>
    <t>LU-RLG-ALL</t>
  </si>
  <si>
    <t>SRC-LU-RLG-855-20200501</t>
  </si>
  <si>
    <t>§ 1a Abs. 1 Bst. b und Abs. 2</t>
  </si>
  <si>
    <t>§ 2 / § 1a Abs. 1</t>
  </si>
  <si>
    <t>SR 116 Art. 1, neue offene Anwendung auf dieses Geltungsprofil</t>
  </si>
  <si>
    <t>LU-JUSG-ART76</t>
  </si>
  <si>
    <t>SRC-LU-JUSG-260-20260101</t>
  </si>
  <si>
    <t>§ 76</t>
  </si>
  <si>
    <t>LU-VRG-ADDITIONAL</t>
  </si>
  <si>
    <t>SRC-LU-VRG-40-20210901</t>
  </si>
  <si>
    <t>§ 34 Abs. 1 Satz 2</t>
  </si>
  <si>
    <t>UR-LSG-ALL</t>
  </si>
  <si>
    <t>SRC-UR-LSG-701421-20030101</t>
  </si>
  <si>
    <t>Art. 9 Abs. 1 Bst. b</t>
  </si>
  <si>
    <t>SZ-RTG-ALL</t>
  </si>
  <si>
    <t>SRC-SZ-RTG-545110-20180701</t>
  </si>
  <si>
    <t>§ 2 Abs. 1 Ziff. 3</t>
  </si>
  <si>
    <t>§ 2 Abs. 1 Ziff. 2</t>
  </si>
  <si>
    <t>OW-RTG-ALL</t>
  </si>
  <si>
    <t>SRC-OW-RTG-9752-20090801</t>
  </si>
  <si>
    <t>Bruderklausenfest</t>
  </si>
  <si>
    <t>Fête de saint Nicolas de Flue</t>
  </si>
  <si>
    <t>San Nicolao della Flüe</t>
  </si>
  <si>
    <t>Sontg Clau da Flia</t>
  </si>
  <si>
    <t>NW-RTG-ALL</t>
  </si>
  <si>
    <t>SRC-NW-RTG-9211-20160101</t>
  </si>
  <si>
    <t>Art. 2 Abs. 1 Ziff. 3</t>
  </si>
  <si>
    <t>Art. 2 Abs. 1 Ziff. 2</t>
  </si>
  <si>
    <t>ZG-RLG-ALL</t>
  </si>
  <si>
    <t>SRC-ZG-RLG-94231-20250822</t>
  </si>
  <si>
    <t>§ 1 Abs. 1 Bst. b</t>
  </si>
  <si>
    <t>§ 5 Abs. 2, benannter Sonntag / § 1 Abs. 1 Bst. a</t>
  </si>
  <si>
    <t>ZG-VRG-ART10</t>
  </si>
  <si>
    <t>SRC-ZG-VRG-1621-20251017</t>
  </si>
  <si>
    <t>§ 10 Abs. 3 und 4</t>
  </si>
  <si>
    <t>GL-RTG-ALL</t>
  </si>
  <si>
    <t>SRC-GL-RTG-IXB211-20190701</t>
  </si>
  <si>
    <t>BS-RLG-ALL</t>
  </si>
  <si>
    <t>SRC-BS-RLG-811100-20200701</t>
  </si>
  <si>
    <t>§ 2 Abs. 1 Bst. a und b</t>
  </si>
  <si>
    <t>SR 116 Art. 1, neue Anwendung auf BS-RLG-ALL. Kantonaler Bezug § 2 Abs. 1 Bst. a und b</t>
  </si>
  <si>
    <t>BL-RTG-ALL</t>
  </si>
  <si>
    <t>SRC-BL-RTG-547-20191201</t>
  </si>
  <si>
    <t>§ 2 Abs. 1 Bst. b und c</t>
  </si>
  <si>
    <t>SR 116 Art. 1, neue Anwendung auf BL-RTG-ALL. Kantonaler Bezug § 2 Abs. 1 Bst. b und c</t>
  </si>
  <si>
    <t>VD-LEMP-ALL</t>
  </si>
  <si>
    <t>SRC-VD-LEMP-82211-20120401</t>
  </si>
  <si>
    <t>Art. 47 Abs. 1</t>
  </si>
  <si>
    <t>2 gennaio</t>
  </si>
  <si>
    <t>2 da schaner</t>
  </si>
  <si>
    <t>SR 116 Art. 1, neue Anwendung auf VD-LEMP-ALL. Kantonaler Bezug Art. 47 Abs. 1</t>
  </si>
  <si>
    <t>Bettagsmontag</t>
  </si>
  <si>
    <t>Lundi du Jeûne fédéral</t>
  </si>
  <si>
    <t>Lunedì del Digiuno federale</t>
  </si>
  <si>
    <t>Glindesdi da la Rogaziun federala</t>
  </si>
  <si>
    <t>NE-LDJF-BASE</t>
  </si>
  <si>
    <t>SRC-NE-LDJF-94102-20100101</t>
  </si>
  <si>
    <t>Art. 3 Abs. 1</t>
  </si>
  <si>
    <t>Gründung der Republik Neuenburg</t>
  </si>
  <si>
    <t>Instauration de la République de Neuchâtel</t>
  </si>
  <si>
    <t>Istituzione della Repubblica di Neuchâtel</t>
  </si>
  <si>
    <t>Fundaziun da la Republica da Neuchâtel</t>
  </si>
  <si>
    <t>SR 116 Art. 1, neue Anwendung auf NE-LDJF-BASE. Kantonaler Bezug Art. 3 Abs. 1</t>
  </si>
  <si>
    <t>NE-LANDERON-ADDITIONAL</t>
  </si>
  <si>
    <t>SRC-NE-ADJF-941020-20250527</t>
  </si>
  <si>
    <t>Art. 2</t>
  </si>
  <si>
    <t>NE-LPA-ADDITIONAL</t>
  </si>
  <si>
    <t>SRC-NE-LPA-152130-20260101</t>
  </si>
  <si>
    <t>LPA Art. 33 Abs. 3 in Verbindung mit RDF Art. 11 Abs. 1</t>
  </si>
  <si>
    <t>Freitag nach Auffahrt</t>
  </si>
  <si>
    <t>Vendredi de l’Ascension</t>
  </si>
  <si>
    <t>Venerdì dopo l’Ascensione</t>
  </si>
  <si>
    <t>Venderdi suenter Anzainzas</t>
  </si>
  <si>
    <t>Heiligabend</t>
  </si>
  <si>
    <t>Veille de Noël</t>
  </si>
  <si>
    <t>Vigilia di Natale</t>
  </si>
  <si>
    <t>Vigilia da Nadal</t>
  </si>
  <si>
    <t>Silvester</t>
  </si>
  <si>
    <t>Saint-Sylvestre</t>
  </si>
  <si>
    <t>San Silvestro</t>
  </si>
  <si>
    <t>JU-LJF-OFFICIAL</t>
  </si>
  <si>
    <t>SRC-JU-LJF-5551-20230101</t>
  </si>
  <si>
    <t>Art. 3 Bst. b</t>
  </si>
  <si>
    <t>Gedenktag der Volksabstimmung (23. Juni)</t>
  </si>
  <si>
    <t>Commémoration du Plébiscite (23 juin)</t>
  </si>
  <si>
    <t>Commemorazione del plebiscito (23 giugno)</t>
  </si>
  <si>
    <t>Commemoraziun dal plebiscit (23 da zercladur)</t>
  </si>
  <si>
    <t>SR 116 Art. 1, neue Anwendung auf JU-LJF-OFFICIAL. Kantonaler Bezug Art. 3 Bst. b</t>
  </si>
  <si>
    <t>JU-LJF-LABOUR</t>
  </si>
  <si>
    <t>Art. 4</t>
  </si>
  <si>
    <t>SR 116 Art. 1, neue Anwendung auf JU-LJF-LABOUR. Kantonaler Bezug Art. 4</t>
  </si>
  <si>
    <t>Räumliche Geltungsbereiche</t>
  </si>
  <si>
    <t>Gemeinden und Bezirke konkretisieren kantonales Recht. Keine Geodaten und kein eigenständiges kommunales Feiertagsrecht.</t>
  </si>
  <si>
    <t>Gebiet</t>
  </si>
  <si>
    <t>Gebietstyp</t>
  </si>
  <si>
    <t>Umfang / Grenze</t>
  </si>
  <si>
    <t>Daten ab</t>
  </si>
  <si>
    <t>Daten bis</t>
  </si>
  <si>
    <t>National</t>
  </si>
  <si>
    <t>Kanton</t>
  </si>
  <si>
    <t>Gesamtes Kantonsgebiet</t>
  </si>
  <si>
    <t>Art. 2 Abs. 1</t>
  </si>
  <si>
    <t>Bezirksausnahme</t>
  </si>
  <si>
    <t>Nur § 6 Abs. 1 Bst. b Ziff. 2 EG ArR. Kein allgemeiner Fristenkalender.</t>
  </si>
  <si>
    <t>Gemeinde</t>
  </si>
  <si>
    <t>Nur § 6 Abs. 1 Bst. b Ziff. 1 EG ArR. Kantonale Rechtsgrundlage.</t>
  </si>
  <si>
    <t>§ 21 EG ZPO getrennt vom Arbeitsrecht. Anwendungszuordnung offen.</t>
  </si>
  <si>
    <t>Gebietsgruppe</t>
  </si>
  <si>
    <t>§ 6 Abs. 1 Bst. a EG ArR. Nur arbeitsrechtlicher Feiertagsgeltungsbereich, kein allgemeiner Fristenkalender.</t>
  </si>
  <si>
    <t>Bezirk</t>
  </si>
  <si>
    <t>§ 6 Abs. 1 Bst. c EG ArR. Nur arbeitsrechtlicher Feiertagsgeltungsbereich, kein allgemeiner Fristenkalender.</t>
  </si>
  <si>
    <t>§ 6 Abs. 1 Bst. d EG ArR. Nur arbeitsrechtlicher Feiertagsgeltungsbereich, kein allgemeiner Fristenkalender.</t>
  </si>
  <si>
    <t>Gemeinden Hellikon, Mumpf, Obermumpf, Schupfart, Stein und Wegenstetten</t>
  </si>
  <si>
    <t>§ 6 Abs. 1 Bst. e Ziff. 1 EG ArR. Nur arbeitsrechtlicher Feiertagsgeltungsbereich, kein allgemeiner Fristenkalender.</t>
  </si>
  <si>
    <t>Gemeinden Kaiseraugst, Magden, Möhlin, Olsberg, Rheinfelden, Wallbach, Zeiningen und Zuzgen</t>
  </si>
  <si>
    <t>§ 6 Abs. 1 Bst. e Ziff. 2 EG ArR. Nur arbeitsrechtlicher Feiertagsgeltungsbereich, kein allgemeiner Fristenkalender.</t>
  </si>
  <si>
    <t>§ 6 Abs. 1 Bst. f EG ArR. Nur arbeitsrechtlicher Feiertagsgeltungsbereich, kein allgemeiner Fristenkalender.</t>
  </si>
  <si>
    <t>Canton du Tessin</t>
  </si>
  <si>
    <t>Cantone Ticino</t>
  </si>
  <si>
    <t>Chantun Tessin</t>
  </si>
  <si>
    <t>Alle 15 Tage nach Art. 1 RL 843.200. Keine Einschränkung auf neun arbeitsrechtlich sonntagsgleiche Feiertage.</t>
  </si>
  <si>
    <t>Canton des Grisons</t>
  </si>
  <si>
    <t>Cantone dei Grigioni</t>
  </si>
  <si>
    <t>Chantun Grischun</t>
  </si>
  <si>
    <t>Art. 2 Ruhetagsgesetz plus separat angewendete Bundesregel. Keine kommunalen Beschlüsse. VRG-Annahme und örtliche Wirkung ausschliesslich im Verfahrensbezug.</t>
  </si>
  <si>
    <t>Valais, liste de base des jours fériés nommés</t>
  </si>
  <si>
    <t>Acht namentliche Reglementstage plus Bundesfeier. Keine vollständige Erhebung zusätzlicher diözesaner Festtage. Prozessergänzungen in eigenem Geltungsbereich.</t>
  </si>
  <si>
    <t>Valais, quatre jours supplémentaires selon l’art. 37 LOJ</t>
  </si>
  <si>
    <t>Nur Art. 37 Abs. 1 Bst. c. Kein alleinstehender vollständiger Prozesskalender. Bst. a und b verweisen auf Bundesrecht und Ruhegesetz samt Reglement.</t>
  </si>
  <si>
    <t>Art. 37 Abs. 1</t>
  </si>
  <si>
    <t>Genève, jours fériés selon l’art. 1 al. 1 LJF</t>
  </si>
  <si>
    <t>Neun Tage nach Art. 1 Abs. 1. Keine zusätzlichen Folgetage nach Abs. 2, keine Übernahme von Personalurlaub oder Schliesszeiten.</t>
  </si>
  <si>
    <t>Art. 1 Abs. 1</t>
  </si>
  <si>
    <t>Fribourg, territoire catholique LEMT</t>
  </si>
  <si>
    <t>Friburgo, territorio cattolico LEMT</t>
  </si>
  <si>
    <t>Friburg, territori catolic BAMG</t>
  </si>
  <si>
    <t>Arbeitsrechtliche Gebietsliste: Kanton abzüglich der konkret erfassten zehn Gemeinden und zwei Orte. Geschäftssitz/Zweigniederlassung nach Art. 49 Abs. 5, keine persönliche Konfessionswahl. Acht kantonale Tage plus offene Bundesanwendung.</t>
  </si>
  <si>
    <t>Art. 49 Abs. 2, Abs. 3 Bst. a, Abs. 4 und 5</t>
  </si>
  <si>
    <t>Fribourg, territoire réformé LEMT</t>
  </si>
  <si>
    <t>Friburgo, territorio riformato LEMT</t>
  </si>
  <si>
    <t>Friburg, territori refurmà BAMG</t>
  </si>
  <si>
    <t>Arbeitsrechtliche Gebietsliste: zehn bezeichnete Gemeinden sowie Flamatt und Sensebrügg, nicht ganz Wünnewil-Flamatt. Acht kantonale Tage plus offene Bundesanwendung. Keine Übertragung auf JG.</t>
  </si>
  <si>
    <t>Art. 49 Abs. 2, Abs. 3 Bst. b, Abs. 4 und 5</t>
  </si>
  <si>
    <t>Fribourg, liste cantonale des délais LJ</t>
  </si>
  <si>
    <t>Friburgo, elenco cantonale dei termini LJ</t>
  </si>
  <si>
    <t>Friburg, glista chantunala da termins JG</t>
  </si>
  <si>
    <t>15 eigene Tage nach Art. 121 Abs. 2, unabhängig von den BAMG-Regionalgruppen. Stundenfristen-Ausnahme Abs. 3 und Verfahrensanknüpfung gesondert. 1. August bereits enthalten.</t>
  </si>
  <si>
    <t>Art. 121 Abs. 1–3</t>
  </si>
  <si>
    <t>Soleure, RTG hors district de Bucheggberg</t>
  </si>
  <si>
    <t>Soletta, RTG escluso distretto di Bucheggberg</t>
  </si>
  <si>
    <t>Soloturn, RTG senza district da Bucheggberg</t>
  </si>
  <si>
    <t>Elf benannte kantonale RTG-Tage plus offene Bundesanwendung. 1. Mai ausschliesslich ab 12.00 Uhr. Kantonsgebiet abzüglich Bezirk Bucheggberg. Kommunales Recht ausgeschlossen, Fristwirkung offen.</t>
  </si>
  <si>
    <t>Soleure, RTG district de Bucheggberg</t>
  </si>
  <si>
    <t>Soletta, RTG distretto di Bucheggberg</t>
  </si>
  <si>
    <t>Soloturn, RTG district da Bucheggberg</t>
  </si>
  <si>
    <t>Acht benannte kantonale RTG-Tage plus offene Bundesanwendung. Fronleichnam, Maria Himmelfahrt und Allerheiligen nicht in dieser RTG-Liste. Kein pauschaler Ausschluss möglicher verfahrensrechtlicher Gleichstellungen. 1. Mai ab 12.00 Uhr.</t>
  </si>
  <si>
    <t>Zurich, profil des jours de repos</t>
  </si>
  <si>
    <t>Zurigo, profilo dei giorni di riposo</t>
  </si>
  <si>
    <t>Turitg, profil dals dis da paus</t>
  </si>
  <si>
    <t>Neun namentliche Nichtsonntagstage und drei eigens benannte hohe Sonntage. Berchtoldstag, Sechseläuten und Knabenschiessen nicht in dieser RLG-Liste.</t>
  </si>
  <si>
    <t>Zurich, profil procédural</t>
  </si>
  <si>
    <t>Zurigo, profilo procedurale</t>
  </si>
  <si>
    <t>Turitg, profil procedural</t>
  </si>
  <si>
    <t>Eigenständige Liste von zehn Tagen nach § 122 GOG einschliesslich Berchtoldstag. Keine allgemeine Arbeitsfeiertagsliste und keine pauschale Zuordnung aller Verfahren.</t>
  </si>
  <si>
    <t>Schaffhouse, profil des jours de repos</t>
  </si>
  <si>
    <t>Sciaffusa, profilo dei giorni di riposo</t>
  </si>
  <si>
    <t>Schaffusa, profil dals dis da paus</t>
  </si>
  <si>
    <t>Neun namentliche Nichtsonntagstage und drei eigens benannte hohe Sonntage. Berchtoldstag nur im gesonderten ZPO-Ergänzungsprofil.</t>
  </si>
  <si>
    <t>Schaffhouse, profil procédural</t>
  </si>
  <si>
    <t>Sciaffusa, profilo procedurale</t>
  </si>
  <si>
    <t>Schaffusa, profil procedural</t>
  </si>
  <si>
    <t>Nur Ergänzung zum passenden Grundprofil, keine vollständige Feiertagsliste. ZPO-Rechtsprechung, keine automatische Wirkung auf StPO, BGG, ATSG oder Verwaltungsrecht.</t>
  </si>
  <si>
    <t>Thurgovie, profil des jours de repos</t>
  </si>
  <si>
    <t>Turgovia, profilo dei giorni di riposo</t>
  </si>
  <si>
    <t>Turgovia, profil dals dis da paus</t>
  </si>
  <si>
    <t>Neues RTG vom 05.02.2025, Stand 01.01.2026. Zehn namentliche Nichtsonntagstage und drei eigens benannte hohe Sonntage. Nicht auf die aufgehobene RTG-Fassung abstellen.</t>
  </si>
  <si>
    <t>Saint-Gall, profil des jours de repos</t>
  </si>
  <si>
    <t>San Gallo, profilo dei giorni di riposo</t>
  </si>
  <si>
    <t>Son Gagl, profil dals dis da paus</t>
  </si>
  <si>
    <t>Neun namentliche Nichtsonntagstage und drei eigens benannte hohe Sonntage. Kein 1. Mai, kein Fronleichnam. Berchtoldstag als gesonderte ZPO-Ergänzung.</t>
  </si>
  <si>
    <t>Saint-Gall, profil procédural</t>
  </si>
  <si>
    <t>San Gallo, profilo procedurale</t>
  </si>
  <si>
    <t>Son Gagl, profil procedural</t>
  </si>
  <si>
    <t>Nur Ergänzung zum passenden Grundprofil, keine vollständige Feiertagsliste. Entscheid 29.03.2012, nicht Datum des vorinstanzlichen Entscheids 24.11.2011.</t>
  </si>
  <si>
    <t>Appenzell Rhodes-Extérieures, profil des jours de repos</t>
  </si>
  <si>
    <t>Appenzello Esterno, profilo dei giorni di riposo</t>
  </si>
  <si>
    <t>Appenzell Dadora, profil dals dis da paus</t>
  </si>
  <si>
    <t>Sechs unbedingte kantonale Tage plus offene Bundesanwendung. Bedingter zweiter Weihnachtstag NICHT generiert. Fehlende Wochentagsbedingung als explizite Vertragslücke dokumentiert. Keine Vollständigkeit dieses Teilprofils behauptet.</t>
  </si>
  <si>
    <t>Appenzell Rhodes-Intérieures, profil des jours de repos</t>
  </si>
  <si>
    <t>Appenzello Interno, profilo dei giorni di riposo</t>
  </si>
  <si>
    <t>Appenzell Dadens, profil dals dis da paus</t>
  </si>
  <si>
    <t>14 unbedingte Tage einschliesslich Bundesanwendung und dreier benannter Sonntage. Die drei kantonal geregelten lokalen Tage gelten hier kantonsweit, St. Mauritius separat nur im inneren Landesteil. Bedingter Stephanstag und amtlicher Quellenkonflikt bleiben offen.</t>
  </si>
  <si>
    <t>Appenzell Rhodes-Intérieures, complément Saint-Maurice, partie intérieure</t>
  </si>
  <si>
    <t>Appenzello Interno, complemento San Maurizio, parte interna</t>
  </si>
  <si>
    <t>Appenzell Dadens, cumplettaziun Son Murezi, part interna</t>
  </si>
  <si>
    <t>Nur regionale Ergänzung am 22. September. Innerer Landesteil mit Appenzell, Schwende-Rüte, Schlatt-Haslen und Gonten. Kein Einbezug von Oberegg. Grundlage ist kantonales Recht, kein eigenständiges kommunales Fest.</t>
  </si>
  <si>
    <t>Lucerne, jours de repos cantonaux</t>
  </si>
  <si>
    <t>Lucerna, giorni di riposo cantonali</t>
  </si>
  <si>
    <t>Lucerna, dis da ruaus chantunals</t>
  </si>
  <si>
    <t>Zehn kantonsweite Tage in § 1a Abs. 1 Bst. b, davon 1. August als offene Bundesanwendung. Drei weitere ausdrücklich benannte Sonntage in § 2. Kommunale Patronstage und Josefstag nach Bst. c ausgeschlossen.</t>
  </si>
  <si>
    <t>§ 1a Abs. 1 Bst. b und Abs. 2 / § 2</t>
  </si>
  <si>
    <t>Lucerne, liste des délais JusG</t>
  </si>
  <si>
    <t>Lucerna, elenco dei termini JusG</t>
  </si>
  <si>
    <t>Lucerna, glista da termins JusG</t>
  </si>
  <si>
    <t>13 eigene gesetzlich anerkannte Feiertage für Art. 142 Abs. 3 ZPO und Art. 90 Abs. 2 StPO. Nicht aus der arbeitsrechtlichen Liste abgeleitet. Gesetzliche Ortsanknüpfung und Spezialrecht bleiben zu prüfen.</t>
  </si>
  <si>
    <t>Lucerne, trois jours supplémentaires VRG</t>
  </si>
  <si>
    <t>Lucerna, tre giorni supplementari VRG</t>
  </si>
  <si>
    <t>Lucerna, trais dis supplementars VRG</t>
  </si>
  <si>
    <t>Nur die drei Zusatztage. Keine vollständige VRG-Liste. Öffentliche Ruhetage aus LU-RLG-ALL separat anzuknüpfen, Patroziniumsfest und Josefstag ausdrücklich ausgenommen. Rückwärtsfristen nach Abs. 2 separat.</t>
  </si>
  <si>
    <t>Uri, jours de repos cantonaux</t>
  </si>
  <si>
    <t>Uri, giorni di riposo cantonali</t>
  </si>
  <si>
    <t>Uri, dis da ruaus chantunals</t>
  </si>
  <si>
    <t>14 namentliche kantonsweite Ruhetage. Gemeindefeiertage nach Bst. c nicht erhoben. ArG-Teilmenge aus Art. 6 KAV getrennt. Kein zusätzlicher benannter Sonntag im LSG.</t>
  </si>
  <si>
    <t>Schwytz, jours de repos cantonaux</t>
  </si>
  <si>
    <t>Svitto, giorni di riposo cantonali</t>
  </si>
  <si>
    <t>Sviz, dis da ruaus chantunals</t>
  </si>
  <si>
    <t>Elf Feiertage und sechs hohe Feiertage, insgesamt 17 benannte Tage. Gemeindefeiertage nach Ziff. 4 nicht erhoben. ArG-Teilmenge nach Abs. 2 ausdrücklich enger.</t>
  </si>
  <si>
    <t>§ 2 Abs. 1 Ziff. 2 und 3</t>
  </si>
  <si>
    <t>Obwald, jours de repos cantonaux</t>
  </si>
  <si>
    <t>Obvaldo, giorni di riposo cantonali</t>
  </si>
  <si>
    <t>Sursilvania, dis da ruaus chantunals</t>
  </si>
  <si>
    <t>Acht Feiertage und fünf hohe Feiertage. Bruderklausenfest 25. September ist kantonaler Ruhetag, nicht nur Personalfreitag. Kommunaler Lokalfeiertag nach Abs. 2 nicht erhoben. ArG-Teilmenge nach Abs. 3 enger.</t>
  </si>
  <si>
    <t>Art. 2 Abs. 1 Bst. b und c</t>
  </si>
  <si>
    <t>Nidwald, jours de repos cantonaux</t>
  </si>
  <si>
    <t>Nidvaldo, giorni di riposo cantonali</t>
  </si>
  <si>
    <t>Sutsilvania, dis da ruaus chantunals</t>
  </si>
  <si>
    <t>Acht Feiertage und fünf hohe Feiertage. Josefstag ist Ruhetag, jedoch nicht in ArG-Teilmenge Abs. 2. Kommunale zusätzliche Feiertage und blosse Personal-Schliesstage sind nicht enthalten.</t>
  </si>
  <si>
    <t>Art. 2 Abs. 1 Ziff. 2 und 3</t>
  </si>
  <si>
    <t>Zoug, jours de repos cantonaux</t>
  </si>
  <si>
    <t>Zugo, giorni di riposo cantonali</t>
  </si>
  <si>
    <t>Zug, dis da ruaus chantunals</t>
  </si>
  <si>
    <t>Neun explizite Feiertage aus § 1 plus die drei im Ladenöffnungsrecht § 5 Abs. 2 benannten Sonntage Ostern, Pfingsten, Bettag. Keine eigenständige gesetzliche Kategorie hohe Feiertage behauptet. VRG-Liste separat.</t>
  </si>
  <si>
    <t>§ 1 Abs. 1 Bst. b / § 5 Abs. 2</t>
  </si>
  <si>
    <t>Zoug, liste des délais VRG</t>
  </si>
  <si>
    <t>Zugo, elenco dei termini VRG</t>
  </si>
  <si>
    <t>Zug, glista da termins VRG</t>
  </si>
  <si>
    <t>16 eigenständig aufgezählte Tage. Einschliesslich Berchtoldstag, Oster- und Pfingstmontag sowie Stephanstag. Diese Liste ist nicht auf das allgemeine Ruhe-/Arbeitsrecht zu übertragen. Bundesrecht bleibt vorbehalten.</t>
  </si>
  <si>
    <t>Glaris, jours de repos cantonaux</t>
  </si>
  <si>
    <t>Glarona, giorni di riposo cantonali</t>
  </si>
  <si>
    <t>Glaruna, dis da ruaus chantunals</t>
  </si>
  <si>
    <t>Unvollständiges Datumsprofil. 12 der 13 benannten RTG-Tage berechenbar. Fahrtsfest fehlt bewusst wegen GAP-GL-FAHRT-APRIL. Keine Einmalregel oder unbedingte April-Donnerstagsregel als ewiger Ersatz. Kantonale Fach-/Produktfreigabe offen.</t>
  </si>
  <si>
    <t>Art. 2 Abs. 1 Bst. b und c, ohne offenen Datumsfall Fahrtsfest</t>
  </si>
  <si>
    <t>Bâle-Ville, jours de repos nommés RLG</t>
  </si>
  <si>
    <t>Basilea Città, giorni di riposo nominati RLG</t>
  </si>
  <si>
    <t>Basilea-Citad, dis da ruaus numnads RLG</t>
  </si>
  <si>
    <t>Zwölf Tage einschliesslich drei benannter Sonntage. Keine Fasnacht, kein 2. Januar. Verfahrensanknüpfung offen.</t>
  </si>
  <si>
    <t>Bâle-Campagne, jours de repos nommés RTG</t>
  </si>
  <si>
    <t>Basilea Campagna, giorni di riposo nominati RTG</t>
  </si>
  <si>
    <t>Basilea-Champagna, dis da ruaus numnads RTG</t>
  </si>
  <si>
    <t>Zwölf kantonale Tage, keine selbständigen kommunalen Feiertage nach § 3. 1. Mai ganztägig, keine Personalhalbtage.</t>
  </si>
  <si>
    <t>Vaud, jours assimilés au dimanche LEmp</t>
  </si>
  <si>
    <t>Vaud, giorni equiparati alla domenica LEmp</t>
  </si>
  <si>
    <t>Vad, dis equiparads a dumengias LEmp</t>
  </si>
  <si>
    <t>Neun sonntagsgleiche Tage. Keine unbedingte Aufnahme des verschiebbaren zusätzlichen Personaltags am 26. Dezember. Keine pauschale Fristenfreigabe.</t>
  </si>
  <si>
    <t>Neuchâtel, liste générale inconditionnelle LDJF</t>
  </si>
  <si>
    <t>Neuchâtel, elenco generale incondizionato LDJF</t>
  </si>
  <si>
    <t>Neuchâtel, glista generala nuncondiziunada LDJF</t>
  </si>
  <si>
    <t>Sieben Tage mit Bundesfeier. Unvollständig für bedingte Sonntagsfolgetage. Diese bleiben unter NE-PENDING-SUNDAY-SUBSTITUTION sichtbar offen. Regionale und verfahrensrechtliche Ergänzungen separat.</t>
  </si>
  <si>
    <t>Neuchâtel, Fête-Dieu au Landeron</t>
  </si>
  <si>
    <t>Neuchâtel, Corpus Domini a Le Landeron</t>
  </si>
  <si>
    <t>Neuchâtel, Sontgilcrest a Le Landeron</t>
  </si>
  <si>
    <t>Nur Gemeinde Le Landeron, unmittelbar kantonal festgelegt. Ein zusätzlicher Tag zur Grundliste. Le Cerneux-Péquignot nicht aus nichtamtlichen Kalendern übernommen.</t>
  </si>
  <si>
    <t>Neuchâtel, huit jours supplémentaires fixes LPA</t>
  </si>
  <si>
    <t>Neuchâtel, otto giorni supplementari fissi LPA</t>
  </si>
  <si>
    <t>Neuchâtel, otg dis supplementars fixs LPA</t>
  </si>
  <si>
    <t>Acht zusätzliche ganztägige Daten aus RDF Art. 11 Abs. 1 mit ausdrücklicher LPA-Verweisung. Kein vollständiger selbständiger Kalender. Variable zusätzliche Schliessungen nach Abs. 2 offen.</t>
  </si>
  <si>
    <t>Art. 33 Abs. 3</t>
  </si>
  <si>
    <t>Jura, jours fériés officiels selon l’art. 3</t>
  </si>
  <si>
    <t>Giura, giorni festivi ufficiali secondo l’art. 3</t>
  </si>
  <si>
    <t>Giura, firads uffizials tenor l’art. 3</t>
  </si>
  <si>
    <t>15 genannte Tage einschliesslich Ostern und Pfingsten. 23. Juni, 2. Januar, Mariä Himmelfahrt und Allerheiligen sind nicht Teil der engeren Art.-4-Liste.</t>
  </si>
  <si>
    <t>Jura, jours assimilés au dimanche selon l’art. 4</t>
  </si>
  <si>
    <t>Giura, giorni equiparati alla domenica secondo l’art. 4</t>
  </si>
  <si>
    <t>Giura, dis equiparads a dumengias tenor l’art. 4</t>
  </si>
  <si>
    <t>Neun sonntagsgleiche Tage. Eigenständige Kategorie, keine Übernahme sämtlicher Art.-3-Tage als arbeitsrechtliche Feiertage.</t>
  </si>
  <si>
    <t>Gebietszuordnungen und räumliche Ausnahmen</t>
  </si>
  <si>
    <t>Ein Geltungsbereich umfasst die eingeschlossenen Gebiete abzüglich der ausgeschlossenen Gebiete. Keine automatische Fristwirkung.</t>
  </si>
  <si>
    <t>Zuordnungs-ID</t>
  </si>
  <si>
    <t>Gebiet-ID</t>
  </si>
  <si>
    <t>Übergeordnetes Gebiet</t>
  </si>
  <si>
    <t>Einbezug</t>
  </si>
  <si>
    <t>Kennungssystem</t>
  </si>
  <si>
    <t>Amtliche Kennung</t>
  </si>
  <si>
    <t>Prüfhinweis</t>
  </si>
  <si>
    <t>AREA-AP18A-01</t>
  </si>
  <si>
    <t>GEO-CH</t>
  </si>
  <si>
    <t>include</t>
  </si>
  <si>
    <t>Neue räumliche Zuordnung, fachlich zu prüfen. Interne Gebiet-ID, keine amtliche Kennung. Keine automatische Feiertagsvererbung oder Fristwirkung.</t>
  </si>
  <si>
    <t>AREA-AP18A-02</t>
  </si>
  <si>
    <t>GEO-BE</t>
  </si>
  <si>
    <t>AREA-AP18A-03</t>
  </si>
  <si>
    <t>GEO-AG-BADEN</t>
  </si>
  <si>
    <t>Bezirk Baden</t>
  </si>
  <si>
    <t>GEO-AG</t>
  </si>
  <si>
    <t>AREA-AP18A-04</t>
  </si>
  <si>
    <t>GEO-AG-BERGDIETIKON</t>
  </si>
  <si>
    <t>exclude</t>
  </si>
  <si>
    <t>AREA-AP18A-05</t>
  </si>
  <si>
    <t>AREA-AP18A-06</t>
  </si>
  <si>
    <t>AREA-AP18B-AG-01</t>
  </si>
  <si>
    <t>GEO-AG-BEZIRK-AARAU</t>
  </si>
  <si>
    <t>Bezirk Aarau</t>
  </si>
  <si>
    <t>Normzweig aus § 6 EG ArR, fachliche Abnahme offen. Parent ist das nächste erfasste übergeordnete Gebiet, keine Feiertagsvererbung. Amtliche Kennung noch zu prüfen.</t>
  </si>
  <si>
    <t>AREA-AP18B-AG-02</t>
  </si>
  <si>
    <t>GEO-AG-BEZIRK-BRUGG</t>
  </si>
  <si>
    <t>Bezirk Brugg</t>
  </si>
  <si>
    <t>AREA-AP18B-AG-03</t>
  </si>
  <si>
    <t>GEO-AG-BEZIRK-KULM</t>
  </si>
  <si>
    <t>Bezirk Kulm</t>
  </si>
  <si>
    <t>AREA-AP18B-AG-04</t>
  </si>
  <si>
    <t>GEO-AG-BEZIRK-LENZBURG</t>
  </si>
  <si>
    <t>Bezirk Lenzburg</t>
  </si>
  <si>
    <t>AREA-AP18B-AG-05</t>
  </si>
  <si>
    <t>GEO-AG-BEZIRK-ZOFINGEN</t>
  </si>
  <si>
    <t>Bezirk Zofingen</t>
  </si>
  <si>
    <t>AREA-AP18B-AG-06</t>
  </si>
  <si>
    <t>GEO-AG-BEZIRK-BREMGARTEN</t>
  </si>
  <si>
    <t>AREA-AP18B-AG-07</t>
  </si>
  <si>
    <t>GEO-AG-BEZIRK-LAUFENBURG</t>
  </si>
  <si>
    <t>Bezirk Laufenburg</t>
  </si>
  <si>
    <t>AREA-AP18B-AG-08</t>
  </si>
  <si>
    <t>GEO-AG-BEZIRK-MURI</t>
  </si>
  <si>
    <t>Bezirk Muri</t>
  </si>
  <si>
    <t>AREA-AP18B-AG-09</t>
  </si>
  <si>
    <t>GEO-AG-GEMEINDE-HELLIKON</t>
  </si>
  <si>
    <t>Gemeinde Hellikon</t>
  </si>
  <si>
    <t>AREA-AP18B-AG-10</t>
  </si>
  <si>
    <t>GEO-AG-GEMEINDE-MUMPF</t>
  </si>
  <si>
    <t>Gemeinde Mumpf</t>
  </si>
  <si>
    <t>AREA-AP18B-AG-11</t>
  </si>
  <si>
    <t>GEO-AG-GEMEINDE-OBERMUMPF</t>
  </si>
  <si>
    <t>Gemeinde Obermumpf</t>
  </si>
  <si>
    <t>AREA-AP18B-AG-12</t>
  </si>
  <si>
    <t>GEO-AG-GEMEINDE-SCHUPFART</t>
  </si>
  <si>
    <t>Gemeinde Schupfart</t>
  </si>
  <si>
    <t>AREA-AP18B-AG-13</t>
  </si>
  <si>
    <t>GEO-AG-GEMEINDE-STEIN</t>
  </si>
  <si>
    <t>Gemeinde Stein</t>
  </si>
  <si>
    <t>AREA-AP18B-AG-14</t>
  </si>
  <si>
    <t>GEO-AG-GEMEINDE-WEGENSTETTEN</t>
  </si>
  <si>
    <t>Gemeinde Wegenstetten</t>
  </si>
  <si>
    <t>AREA-AP18B-AG-15</t>
  </si>
  <si>
    <t>GEO-AG-GEMEINDE-KAISERAUGST</t>
  </si>
  <si>
    <t>Gemeinde Kaiseraugst</t>
  </si>
  <si>
    <t>AREA-AP18B-AG-16</t>
  </si>
  <si>
    <t>GEO-AG-GEMEINDE-MAGDEN</t>
  </si>
  <si>
    <t>Gemeinde Magden</t>
  </si>
  <si>
    <t>AREA-AP18B-AG-17</t>
  </si>
  <si>
    <t>GEO-AG-GEMEINDE-MOEHLIN</t>
  </si>
  <si>
    <t>Gemeinde Möhlin</t>
  </si>
  <si>
    <t>AREA-AP18B-AG-18</t>
  </si>
  <si>
    <t>GEO-AG-GEMEINDE-OLSBERG</t>
  </si>
  <si>
    <t>Gemeinde Olsberg</t>
  </si>
  <si>
    <t>AREA-AP18B-AG-19</t>
  </si>
  <si>
    <t>GEO-AG-GEMEINDE-RHEINFELDEN</t>
  </si>
  <si>
    <t>Gemeinde Rheinfelden</t>
  </si>
  <si>
    <t>AREA-AP18B-AG-20</t>
  </si>
  <si>
    <t>GEO-AG-GEMEINDE-WALLBACH</t>
  </si>
  <si>
    <t>Gemeinde Wallbach</t>
  </si>
  <si>
    <t>AREA-AP18B-AG-21</t>
  </si>
  <si>
    <t>GEO-AG-GEMEINDE-ZEININGEN</t>
  </si>
  <si>
    <t>Gemeinde Zeiningen</t>
  </si>
  <si>
    <t>AREA-AP18B-AG-22</t>
  </si>
  <si>
    <t>GEO-AG-GEMEINDE-ZUZGEN</t>
  </si>
  <si>
    <t>Gemeinde Zuzgen</t>
  </si>
  <si>
    <t>AREA-AP18B-AG-23</t>
  </si>
  <si>
    <t>GEO-AG-BEZIRK-ZURZACH</t>
  </si>
  <si>
    <t>AREA-AP18B-TI-GR-01</t>
  </si>
  <si>
    <t>GEO-TI</t>
  </si>
  <si>
    <t>Kantonsgebiet für die offizielle Liste. IT/RM-Kantonsnamen amtlich belegt, keine automatische Verfahrensfreigabe.</t>
  </si>
  <si>
    <t>AREA-AP18B-TI-GR-02</t>
  </si>
  <si>
    <t>GEO-GR</t>
  </si>
  <si>
    <t>Kantonsgebiet nur für die Grundliste. Lokale Ruhetage nicht vollständig erhoben. Begrenzte VRG-Annahme separat, OF-008 offen.</t>
  </si>
  <si>
    <t>AREA-AP18B-VS-GE-01</t>
  </si>
  <si>
    <t>GEO-VS</t>
  </si>
  <si>
    <t>Kantonsgebiet als interne Gebiet-ID. Norm- und Gebietsbeleg identisch. Keine automatische Feiertagsvererbung oder Verfahrensfreigabe.</t>
  </si>
  <si>
    <t>AREA-AP18B-VS-GE-02</t>
  </si>
  <si>
    <t>AREA-AP18B-VS-GE-03</t>
  </si>
  <si>
    <t>GEO-GE</t>
  </si>
  <si>
    <t>AREA-FR-BAMG-CATHOLIC-GEO-FR-INCLUDE</t>
  </si>
  <si>
    <t>GEO-FR</t>
  </si>
  <si>
    <t>Art. 49 Abs. 2–5</t>
  </si>
  <si>
    <t>Gesamtkanton als Ausgangsgebiet, abzüglich sämtlicher konkret erfasster reformierter Gemeinden/Orte. Keine persönliche Konfessionszuordnung.</t>
  </si>
  <si>
    <t>AREA-FR-JG-ALL-GEO-FR-INCLUDE</t>
  </si>
  <si>
    <t>Eigene kantonsweite JG-Liste. BAMG-Ausnahmen werden nicht übernommen.</t>
  </si>
  <si>
    <t>AREA-FR-BAMG-CATHOLIC-GEO-FR-WUENNEWIL-FLAMATT-INCLUDE</t>
  </si>
  <si>
    <t>GEO-FR-WUENNEWIL-FLAMATT</t>
  </si>
  <si>
    <t>Wünnewil-Flamatt</t>
  </si>
  <si>
    <t>SRC-FR-AMA-FEIERTAGE-2026</t>
  </si>
  <si>
    <t>Feiertage 2026, Fussnote zu reformierten Gemeinden</t>
  </si>
  <si>
    <t>Redundanter räumlicher Elternknoten innerhalb des bereits einbezogenen Kantons. Die beiden Ortsteilausschlüsse bleiben wirksam. Keine Ausdehnung des reformierten Profils auf die ganze Gemeinde. 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t>
  </si>
  <si>
    <t>AREA-FR-BAMG-CATHOLIC-GEO-FR-COURGEVAUX-EXCLUDE</t>
  </si>
  <si>
    <t>GEO-FR-COURGEVAUX</t>
  </si>
  <si>
    <t>Courgevaux</t>
  </si>
  <si>
    <t>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t>
  </si>
  <si>
    <t>AREA-FR-BAMG-REFORMED-GEO-FR-COURGEVAUX-INCLUDE</t>
  </si>
  <si>
    <t>AREA-FR-BAMG-CATHOLIC-GEO-FR-FRAESCHELS-EXCLUDE</t>
  </si>
  <si>
    <t>GEO-FR-FRAESCHELS</t>
  </si>
  <si>
    <t>Fräschels</t>
  </si>
  <si>
    <t>AREA-FR-BAMG-REFORMED-GEO-FR-FRAESCHELS-INCLUDE</t>
  </si>
  <si>
    <t>AREA-FR-BAMG-CATHOLIC-GEO-FR-GRENG-EXCLUDE</t>
  </si>
  <si>
    <t>GEO-FR-GRENG</t>
  </si>
  <si>
    <t>Greng</t>
  </si>
  <si>
    <t>AREA-FR-BAMG-REFORMED-GEO-FR-GRENG-INCLUDE</t>
  </si>
  <si>
    <t>AREA-FR-BAMG-CATHOLIC-GEO-FR-KERZERS-EXCLUDE</t>
  </si>
  <si>
    <t>GEO-FR-KERZERS</t>
  </si>
  <si>
    <t>Kerzers</t>
  </si>
  <si>
    <t>AREA-FR-BAMG-REFORMED-GEO-FR-KERZERS-INCLUDE</t>
  </si>
  <si>
    <t>AREA-FR-BAMG-CATHOLIC-GEO-FR-MEYRIEZ-EXCLUDE</t>
  </si>
  <si>
    <t>GEO-FR-MEYRIEZ</t>
  </si>
  <si>
    <t>Meyriez</t>
  </si>
  <si>
    <t>AREA-FR-BAMG-REFORMED-GEO-FR-MEYRIEZ-INCLUDE</t>
  </si>
  <si>
    <t>AREA-FR-BAMG-CATHOLIC-GEO-FR-MUNTELIER-EXCLUDE</t>
  </si>
  <si>
    <t>GEO-FR-MUNTELIER</t>
  </si>
  <si>
    <t>Muntelier</t>
  </si>
  <si>
    <t>AREA-FR-BAMG-REFORMED-GEO-FR-MUNTELIER-INCLUDE</t>
  </si>
  <si>
    <t>AREA-FR-BAMG-CATHOLIC-GEO-FR-MURTEN-EXCLUDE</t>
  </si>
  <si>
    <t>GEO-FR-MURTEN</t>
  </si>
  <si>
    <t>Murten</t>
  </si>
  <si>
    <t>AREA-FR-BAMG-REFORMED-GEO-FR-MURTEN-INCLUDE</t>
  </si>
  <si>
    <t>AREA-FR-BAMG-CATHOLIC-GEO-FR-RIED-BEI-KERZERS-EXCLUDE</t>
  </si>
  <si>
    <t>GEO-FR-RIED-BEI-KERZERS</t>
  </si>
  <si>
    <t>Ried bei Kerzers</t>
  </si>
  <si>
    <t>AREA-FR-BAMG-REFORMED-GEO-FR-RIED-BEI-KERZERS-INCLUDE</t>
  </si>
  <si>
    <t>AREA-FR-BAMG-CATHOLIC-GEO-FR-ULMIZ-EXCLUDE</t>
  </si>
  <si>
    <t>GEO-FR-ULMIZ</t>
  </si>
  <si>
    <t>Ulmiz</t>
  </si>
  <si>
    <t>AREA-FR-BAMG-REFORMED-GEO-FR-ULMIZ-INCLUDE</t>
  </si>
  <si>
    <t>AREA-FR-BAMG-CATHOLIC-GEO-FR-MONT-VULLY-EXCLUDE</t>
  </si>
  <si>
    <t>GEO-FR-MONT-VULLY</t>
  </si>
  <si>
    <t>Mont-Vully</t>
  </si>
  <si>
    <t>AREA-FR-BAMG-REFORMED-GEO-FR-MONT-VULLY-INCLUDE</t>
  </si>
  <si>
    <t>AREA-FR-BAMG-CATHOLIC-GEO-FR-FLAMATT-EXCLUDE</t>
  </si>
  <si>
    <t>GEO-FR-FLAMATT</t>
  </si>
  <si>
    <t>Flamatt</t>
  </si>
  <si>
    <t>Ortsteil</t>
  </si>
  <si>
    <t>AREA-FR-BAMG-REFORMED-GEO-FR-FLAMATT-INCLUDE</t>
  </si>
  <si>
    <t>AREA-FR-BAMG-CATHOLIC-GEO-FR-SENSEBRUEGG-EXCLUDE</t>
  </si>
  <si>
    <t>GEO-FR-SENSEBRUEGG</t>
  </si>
  <si>
    <t>Sensebrügg</t>
  </si>
  <si>
    <t>AREA-FR-BAMG-REFORMED-GEO-FR-SENSEBRUEGG-INCLUDE</t>
  </si>
  <si>
    <t>AREA-SO-RTG-EXCEPT-BUCHEGGBERG-GEO-SO-INCLUDE</t>
  </si>
  <si>
    <t>GEO-SO</t>
  </si>
  <si>
    <t>Kanton als Ausgangsgebiet. Regionalausnahme durch expliziten Bezirkseintrag, kein kommunales Recht erhoben.</t>
  </si>
  <si>
    <t>AREA-SO-RTG-EXCEPT-BUCHEGGBERG-GEO-SO-BUCHEGGBERG-EXCLUDE</t>
  </si>
  <si>
    <t>GEO-SO-BUCHEGGBERG</t>
  </si>
  <si>
    <t>Bezirk Bucheggberg</t>
  </si>
  <si>
    <t>District de Bucheggberg</t>
  </si>
  <si>
    <t>Distretto di Bucheggberg</t>
  </si>
  <si>
    <t>District da Bucheggberg</t>
  </si>
  <si>
    <t>Aus diesem RTG-Profil ausgeschlossen, im separaten Bucheggberg-Profil mit eigener Grundliste enthalten. Keine pauschale Aussage zu sämtlichen Fristenverfahren.</t>
  </si>
  <si>
    <t>AREA-SO-RTG-BUCHEGGBERG-GEO-SO-BUCHEGGBERG-INCLUDE</t>
  </si>
  <si>
    <t>Bezirk als unmittelbar kantonal bezeichnetes Gebiet. FR/IT/RM-Bezirksbeschreibungen sind provisorische Produktübersetzungen.</t>
  </si>
  <si>
    <t>AREA-ZH-RLG-ALL</t>
  </si>
  <si>
    <t>GEO-ZH</t>
  </si>
  <si>
    <t>Kantonaler Geltungsbereich dieses begrenzten Profils. Räumliche Zuordnung ist keine Verfahrens- oder Sprachfreigabe.</t>
  </si>
  <si>
    <t>AREA-ZH-GOG-ALL</t>
  </si>
  <si>
    <t>AREA-SH-RTG-ALL</t>
  </si>
  <si>
    <t>GEO-SH</t>
  </si>
  <si>
    <t>AREA-SH-ZPO-ADDITIONAL</t>
  </si>
  <si>
    <t>AREA-TG-RTG-ALL</t>
  </si>
  <si>
    <t>GEO-TG</t>
  </si>
  <si>
    <t>AREA-SG-RLG-ALL</t>
  </si>
  <si>
    <t>GEO-SG</t>
  </si>
  <si>
    <t>AREA-SG-ZPO-ADDITIONAL</t>
  </si>
  <si>
    <t>AREA-AR-ARG-ALL</t>
  </si>
  <si>
    <t>GEO-AR</t>
  </si>
  <si>
    <t>AREA-AI-RTG-ALL</t>
  </si>
  <si>
    <t>GEO-AI</t>
  </si>
  <si>
    <t>AREA-AI-INNER-APPENZELL</t>
  </si>
  <si>
    <t>GEO-AI-APPENZELL</t>
  </si>
  <si>
    <t>Appenzell</t>
  </si>
  <si>
    <t>SRC-AI-INNERRHODEN-ZAHLEN-2025</t>
  </si>
  <si>
    <t>Gebietstabelle Stand 31.12.2025, innerer Landesteil</t>
  </si>
  <si>
    <t>Kantonaler Gebietsbeleg konkretisiert inneren Landesteil nach Art. 2 Abs. 1 Bst. c RTG. Bezirke in AI entsprechen der kommunalen Ebene, keine Feiertagssetzung des Bezirks erhoben. Klosterparzellen nicht eigenständig geocodiert.</t>
  </si>
  <si>
    <t>AREA-AI-INNER-SCHWENDE-RUETE</t>
  </si>
  <si>
    <t>GEO-AI-SCHWENDE-RUETE</t>
  </si>
  <si>
    <t>Schwende-Rüte</t>
  </si>
  <si>
    <t>AREA-AI-INNER-SCHLATT-HASLEN</t>
  </si>
  <si>
    <t>GEO-AI-SCHLATT-HASLEN</t>
  </si>
  <si>
    <t>Schlatt-Haslen</t>
  </si>
  <si>
    <t>AREA-AI-INNER-GONTEN</t>
  </si>
  <si>
    <t>GEO-AI-GONTEN</t>
  </si>
  <si>
    <t>Gonten</t>
  </si>
  <si>
    <t>AREA-LU-RLG-ALL-CANTON</t>
  </si>
  <si>
    <t>GEO-LU</t>
  </si>
  <si>
    <t>Kantonsweites gesetzliches Profil. Keine separate kommunale Norm erhoben. IT/RM-Namen aus dem bestehenden Bestand provisorisch übernommen. Neue Scope-Namen, Kantonsnamen und Bruderklausenfest-Übersetzungen sind provisorische Produkttexte, keine amtlichen Sprachfassungen. Sprachabnahme offen.</t>
  </si>
  <si>
    <t>AREA-LU-JUSG-ART76-CANTON</t>
  </si>
  <si>
    <t>AREA-LU-VRG-ADDITIONAL-CANTON</t>
  </si>
  <si>
    <t>AREA-UR-LSG-ALL-CANTON</t>
  </si>
  <si>
    <t>GEO-UR</t>
  </si>
  <si>
    <t>AREA-SZ-RTG-ALL-CANTON</t>
  </si>
  <si>
    <t>GEO-SZ</t>
  </si>
  <si>
    <t>AREA-OW-RTG-ALL-CANTON</t>
  </si>
  <si>
    <t>GEO-OW</t>
  </si>
  <si>
    <t>AREA-NW-RTG-ALL-CANTON</t>
  </si>
  <si>
    <t>GEO-NW</t>
  </si>
  <si>
    <t>AREA-ZG-RLG-ALL-CANTON</t>
  </si>
  <si>
    <t>GEO-ZG</t>
  </si>
  <si>
    <t>AREA-ZG-VRG-ART10-CANTON</t>
  </si>
  <si>
    <t>AREA-GL-RTG-ALL-CANTON</t>
  </si>
  <si>
    <t>GEO-GL</t>
  </si>
  <si>
    <t>AREA-BS-RLG-ALL</t>
  </si>
  <si>
    <t>GEO-BS</t>
  </si>
  <si>
    <t>Kantonsgebiet als interne Gebiet-ID. Keine automatische Profilvererbung. IT/RM-Kantonsnamen provisorische Produktnamen, nicht neue amtliche IDs.</t>
  </si>
  <si>
    <t>AREA-BL-RTG-ALL</t>
  </si>
  <si>
    <t>GEO-BL</t>
  </si>
  <si>
    <t>AREA-VD-LEMP-ALL</t>
  </si>
  <si>
    <t>GEO-VD</t>
  </si>
  <si>
    <t>AREA-NE-LDJF-BASE</t>
  </si>
  <si>
    <t>GEO-NE</t>
  </si>
  <si>
    <t>AREA-NE-LANDERON-ADDITIONAL</t>
  </si>
  <si>
    <t>GEO-NE-LE-LANDERON</t>
  </si>
  <si>
    <t>Le Landeron</t>
  </si>
  <si>
    <t>Kantonaler Erlass bezeichnet Gemeinde ausdrücklich. Keine zusätzliche kommunale Norm. IT/RM-Kantonsnamen provisorische Produktnamen, nicht neue amtliche IDs.</t>
  </si>
  <si>
    <t>AREA-NE-LPA-ADDITIONAL</t>
  </si>
  <si>
    <t>AREA-JU-LJF-OFFICIAL</t>
  </si>
  <si>
    <t>GEO-JU</t>
  </si>
  <si>
    <t>AREA-JU-LJF-LABOUR</t>
  </si>
  <si>
    <t>include = einschliessen, exclude = ausschliessen. Neue Zuordnungen sind open, keine zusätzliche Fachfreigabe.</t>
  </si>
  <si>
    <t>GEO-IDs sind interne Kennungen. Amtliche Gebietskennungen sind noch zu erfassen und zu prüfen.</t>
  </si>
  <si>
    <t>Übergeordnetes Gebiet beschreibt nur Geografie. Daraus werden keine Feiertagsregeln vererbt.</t>
  </si>
  <si>
    <t>Erfasst sind nur die für das Quellenpaket benötigten Gebiete. Amtliche Kennungen bleiben noch offen.</t>
  </si>
  <si>
    <t>Änderungen an Gebietszuordnungen benötigen eine kontrollierte Neugenerierung des Kalenders. Keine automatische Ortsauflösung.</t>
  </si>
  <si>
    <t>Rechtsgrundlagen und amtliche Quellen</t>
  </si>
  <si>
    <t>Quellen-IDs sind stabil. Originalstand, Abruf und Fachfreigabe sind verschiedene Angaben.</t>
  </si>
  <si>
    <t>Erlass / Quelle</t>
  </si>
  <si>
    <t>Amtlicher Link</t>
  </si>
  <si>
    <t>Fassungsstand</t>
  </si>
  <si>
    <t>Abgerufen</t>
  </si>
  <si>
    <t>Frühere Freigabebasis</t>
  </si>
  <si>
    <t>URL (Original)</t>
  </si>
  <si>
    <t>Verordnung über den Bundesfeiertag, SR 116</t>
  </si>
  <si>
    <t>SR 116, Art. 1</t>
  </si>
  <si>
    <t>Amtliche Quelle öffnen</t>
  </si>
  <si>
    <t>Originaltext geöffnet</t>
  </si>
  <si>
    <t>Gesetz über die Ruhe an öffentlichen Feiertagen, BSG 555.1</t>
  </si>
  <si>
    <t>BSG 555.1, Art. 2</t>
  </si>
  <si>
    <t>Einführungsgesetz zum Arbeitsrecht</t>
  </si>
  <si>
    <t>SAR 961.200, § 6</t>
  </si>
  <si>
    <t>Alle acht Normzweige von § 6 Abs. 1 am 13.09.2026 vollständig abgeglichen, Fachabnahme offen</t>
  </si>
  <si>
    <t>Einführungsgesetz zur Schweizerischen Zivilprozessordnung</t>
  </si>
  <si>
    <t>SAR 221.200, § 21 Abs. 1</t>
  </si>
  <si>
    <t>Alle 14 Tage von § 21 Abs. 1 am 13.09.2026 vollständig abgeglichen, Orts-/Profilanknüpfung und Freigabe offen</t>
  </si>
  <si>
    <t>https://gesetzessammlungen.ag.ch/app/de/texts_of_law/221.200</t>
  </si>
  <si>
    <t>SRC-BJ-FRISTENHINWEISE-20121217</t>
  </si>
  <si>
    <t>Hinweise zum Verzeichnis gesetzlicher Feiertage und gleichgestellter Tage</t>
  </si>
  <si>
    <t>Ziff. 1–3, Stand 17.12.2012</t>
  </si>
  <si>
    <t>Methodische Abgrenzung, keine aktuelle Feiertagsvollerhebung</t>
  </si>
  <si>
    <t>https://www.bj.admin.ch/dam/de/sd-web/4Ad6GMn8rA0i/hinweise-kant-feiertage.pdf</t>
  </si>
  <si>
    <t>SRC-AG-AWA-FEIERTAGE</t>
  </si>
  <si>
    <t>Gesetzliche Feiertage im Kanton Aargau, AWA-Übersicht</t>
  </si>
  <si>
    <t>Amtliche Übersicht zu Art. 20a ArG und § 6 EG ArR</t>
  </si>
  <si>
    <t>Undatiertes amtliches Merkblatt, am 13.09.2026 mit § 6 EG ArR abgeglichen</t>
  </si>
  <si>
    <t>https://www.ag.ch/media/kanton-aargau/dvi/dokumente/awa/awa/arbeitnehmerschutz-im-betrieb/feiertage.pdf</t>
  </si>
  <si>
    <t>Legge concernente i giorni festivi ufficiali nel Cantone Ticino</t>
  </si>
  <si>
    <t>RL 843.200, Art. 1</t>
  </si>
  <si>
    <t>15 offizielle Tage. IT amtlich, DE/FR Produktübersetzungen. Acht RG-Namen provisorisch ergänzt, keine amtliche TI-Sprachfassung. Kein gesonderter Fassungsstand, Inkrafttreten 09.02.2010.</t>
  </si>
  <si>
    <t>SRC-TI-LALL-843100</t>
  </si>
  <si>
    <t>Legge di applicazione della legge federale sul lavoro, LALL</t>
  </si>
  <si>
    <t>RL 843.100, Art. 6 lit. a und b</t>
  </si>
  <si>
    <t>Arbeitsrechtliche Gruppen 9/6 separat. Alle 15 bleiben offiziell. Kein Ausschluss der sechs Tage aus LPAmm. Kein gesonderter Fassungsstand ausgewiesen, Inkrafttreten 01.06.2011.</t>
  </si>
  <si>
    <t>https://m3.ti.ch/CAN/RLeggi/public/index.php/raccolta-leggi/legge/num/569</t>
  </si>
  <si>
    <t>SRC-TI-LPAMM-165100-20250601</t>
  </si>
  <si>
    <t>Legge sulla procedura amministrativa, LPAmm</t>
  </si>
  <si>
    <t>RL 165.100, Art. 1 und Art. 13 Abs. 3</t>
  </si>
  <si>
    <t>Art. 13 Abs. 3 erfasst offiziell anerkannte Feiertage. Sonderrecht Art. 1 Abs. 2 und Ausschluss von Titel II nach Art. 1 Abs. 3 bleiben vorbehalten.</t>
  </si>
  <si>
    <t>https://www3.ti.ch/CAN/RLeggi/public/index.php/raccolta-leggi/legge/num/151</t>
  </si>
  <si>
    <t>Gesetz über die öffentlichen Ruhetage, Ruhetagsgesetz</t>
  </si>
  <si>
    <t>BR 520.100, Art. 2–4</t>
  </si>
  <si>
    <t>DE amtlich. IT/RM separat belegt, FR Produktübersetzung. Art. 2 Abs. 2: hohe Tage samt drei benannten Sonntagen. Bundesfeier aus Bundesregel, lokale Ruhetage nicht erfasst.</t>
  </si>
  <si>
    <t>SRC-GR-VRG-370100-V3521</t>
  </si>
  <si>
    <t>Gesetz über die Verwaltungsrechtspflege, VRG</t>
  </si>
  <si>
    <t>BR 370.100, Art. 1, 2 und 7 Abs. 2, Version 3521</t>
  </si>
  <si>
    <t>Bestätigte Projektannahme nur für Art.-1-VRG-Kontext vor kantonalen Behörden: zusätzliche lokale Ruhetage werden nicht erhoben. Art. 7 Abs. 2 schliesst sie nicht ausdrücklich aus. Örtliche Fristenwirkung bleibt OF-008, keine automatische Berechenbarkeit.</t>
  </si>
  <si>
    <t>https://www.gr-lex.gr.ch/api/de/versions/3521/pdf_file</t>
  </si>
  <si>
    <t>SRC-GR-RUHETAGE-520100-IT-V2604</t>
  </si>
  <si>
    <t>Legge sui giorni di riposo pubblici, amtliche italienische Sprachfassung</t>
  </si>
  <si>
    <t>BR 520.100, Art. 2, Version 2604, IT</t>
  </si>
  <si>
    <t>Sprachbeleg IT: unter anderem Domenica di Pasqua, Domenica di Pentecoste und Festa federale di preghiera. Keine zusätzliche Rechtswirkung durch Sprachübernahme.</t>
  </si>
  <si>
    <t>https://www.gr-lex.gr.ch/app/it/texts_of_law/520.100/versions/2604</t>
  </si>
  <si>
    <t>SRC-GR-RUHETAGE-520100-RM-V2604</t>
  </si>
  <si>
    <t>Lescha davart ils dis da paus publics, amtliche rätoromanische Sprachfassung</t>
  </si>
  <si>
    <t>BR 520.100, Art. 2, Version 2604, RM</t>
  </si>
  <si>
    <t>Amtliche RG-Namen. Anzeige teilweise ohne Satzartikel und mit grossem Anfangsbuchstaben. Gemeinsame TI-Namen übernehmen nur diesen Sprachbeleg, nicht GR-Recht.</t>
  </si>
  <si>
    <t>https://www.gr-lex.gr.ch/api/rm/versions/2604/pdf_file</t>
  </si>
  <si>
    <t>SRC-GR-VRG-370100-RM-V3521</t>
  </si>
  <si>
    <t>Lescha davart la giurisdicziun administrativa, rätoromanischer Namensbeleg</t>
  </si>
  <si>
    <t>BR 370.100, Präambel, Version 3521, RM</t>
  </si>
  <si>
    <t>Amtlicher Beleg des Kantonsnamens Grischun. Eigenständiger Sprachbeleg, keine zusätzliche Freigabe der Verfahrenszuordnung.</t>
  </si>
  <si>
    <t>https://www.gr-lex.gr.ch/api/rm/versions/3521/pdf_file</t>
  </si>
  <si>
    <t>SRC-TI-UIL-FEIERTAGE-2026-2027</t>
  </si>
  <si>
    <t>Giorni festivi in Ticino, amtlicher UIL-Kalender 2026/2027</t>
  </si>
  <si>
    <t>Amtliche Informationsseite und Jahreslisten 2026/2027</t>
  </si>
  <si>
    <t>Datumskontrolle 2026/2027. Die Ausprägung 2028 ist regelbasiert abgeleitet, keine behauptete amtliche Jahresliste 2028.</t>
  </si>
  <si>
    <t>https://www4.ti.ch/dfe/de/uil/legge-lavoro/giorni-festivi-in-ticino-1</t>
  </si>
  <si>
    <t>SRC-CH-PARL-BUNDESFEIER-RM-2026</t>
  </si>
  <si>
    <t>Parlamentsagenda, Bundesfeier 2026, rätoromanischer Sprachbeleg</t>
  </si>
  <si>
    <t>Agendaeintrag: festa naziunala svizra</t>
  </si>
  <si>
    <t>Nur Sprachbeleg für Festa naziunala svizra. Der Veranstaltungsbezug 2026 ist kein Normstand. Rechtsgrundlage bleibt die bestehende Bundesquelle.</t>
  </si>
  <si>
    <t>https://www.parlament.ch/agenda/Pages/agenda-1-august-2026.aspx?lang=1047</t>
  </si>
  <si>
    <t>SRC-TI-KANTONSNAME-RM</t>
  </si>
  <si>
    <t>Kanton Tessin, Föderalismusdarstellung in Rumantsch Grischun</t>
  </si>
  <si>
    <t>Infurmaziuns generalas: chantun Tessin</t>
  </si>
  <si>
    <t>Amtlicher Beleg des Kantonsnamens Tessin. Undatierte Webseite, nur Namensbeleg, keine Feiertagsnorm.</t>
  </si>
  <si>
    <t>https://www4.ti.ch/generale/foederalismus11/rumantsch/foederalismus/preschentaziun</t>
  </si>
  <si>
    <t>SRC-VS-RUHE-8222-20130301</t>
  </si>
  <si>
    <t>Gesetz über die Ruhe an Sonn- und Feiertagen</t>
  </si>
  <si>
    <t>SGS 822.2, Art. 1 und 2</t>
  </si>
  <si>
    <t>Kantonales Ruhegesetz. Gebotene Feiertage über Diözese und Reglement bestimmt. Keine Personalurlaubsliste und keine universelle Prozesszuordnung.</t>
  </si>
  <si>
    <t>Ausführungsreglement zur Sonn- und Feiertagsruhe / Règlement d’exécution</t>
  </si>
  <si>
    <t>SGS 822.200, Art. 1</t>
  </si>
  <si>
    <t>Acht namentliche Tage erhoben. Das französische notamment wird nicht als abschliessende diözesane Feiertagsvollerhebung umgedeutet. Bundesfeier separat aus SR 116. IT/RM nur provisorische gemeinsame Produktnamen.</t>
  </si>
  <si>
    <t>https://lex.vs.ch/api/fr/versions/2108/pdf_file</t>
  </si>
  <si>
    <t>SRC-VS-VEKARG-822100-20161001</t>
  </si>
  <si>
    <t>Verordnung zum kantonalen Arbeitsgesetz, VEkArG</t>
  </si>
  <si>
    <t>SGS 822.100, Art. 7 Abs. 1</t>
  </si>
  <si>
    <t>Acht kantonale Sonntagsgleichstellungen im Sinne von Art. 20a ArG. Datumsgegenkontrolle der Grundliste, kein eigenständiger Nachweis der Prozesswirkung.</t>
  </si>
  <si>
    <t>https://lex.vs.ch/api/de/versions/2103/pdf_file</t>
  </si>
  <si>
    <t>Gesetz über die Rechtspflege, RPflG / Loi sur l’organisation de la Justice, LOJ</t>
  </si>
  <si>
    <t>SGS 173.1, Art. 37 Abs. 1 Bst. a–c</t>
  </si>
  <si>
    <t>Aktuelle Version 3260, Änderung beschlossen 07.09.2023. Vier zusätzliche Tage nach Bst. c getrennt erfasst. Behörden-/Verfahrensbezug und Bundesrechtsvorrang bleiben vor Automatik zu prüfen.</t>
  </si>
  <si>
    <t>https://lex.vs.ch/api/fr/versions/3260/pdf_file</t>
  </si>
  <si>
    <t>SRC-VS-PERSONALBEZUEGE-1724-20260501</t>
  </si>
  <si>
    <t>Loi fixant le traitement des employés de l’Etat du Valais</t>
  </si>
  <si>
    <t>SGS 172.4, Art. 1 und 29</t>
  </si>
  <si>
    <t>Nur Abgrenzungsbeleg aus dem Personalbesoldungsrecht. Karfreitag, Personalhalbtage und zusätzliche arbeitsfreie Tage werden nicht als allgemeine Feiertage oder Prozessergänzungen übernommen.</t>
  </si>
  <si>
    <t>https://lex.vs.ch/data/172.4/fr</t>
  </si>
  <si>
    <t>Loi sur les jours fériés, LJF</t>
  </si>
  <si>
    <t>RSG J 1 45, Art. 1 Abs. 1 und 2 sowie Fussnote a zu Bst. g</t>
  </si>
  <si>
    <t>Neun gesetzliche Feiertage. Sonntagsfolgetag nach Abs. 2 nur für nicht dem ArG unterstellte Unternehmen. Keine allgemeine Folgetagsautomatik. FR-Namen normnah, DE Produktnamen, IT/RM gemeinsame Namen nur provisorisch.</t>
  </si>
  <si>
    <t>SRC-GE-FEIERTAGE-INFO-20260429</t>
  </si>
  <si>
    <t>Jours fériés officiels, amtliche Jahresübersicht</t>
  </si>
  <si>
    <t>Jahreslisten 2026, 2027 und 2028, Informationsseite</t>
  </si>
  <si>
    <t>Datumskontrolle, kein Normfassungsdatum. Textliche Folgetagshinweise nicht über den begrenzten Anwendungsbereich von Art. 1 Abs. 2 LJF hinaus verallgemeinern.</t>
  </si>
  <si>
    <t>https://www.ge.ch/vacances-scolaires-jours-feries/jours-feries-officiels</t>
  </si>
  <si>
    <t>SRC-BGER-7B32-2023-20230906</t>
  </si>
  <si>
    <t>Bundesgericht, Urteil 7B_32/2023 vom 6. September 2023</t>
  </si>
  <si>
    <t>E. 4.3.2, 4.4 und 5.2</t>
  </si>
  <si>
    <t>Entscheiddatum, kein Normstand. Im vorgängigen Modellcheck amtlich abgeglichener Volltext. Erneuter Entscheidsuche-Abruf im Erfassungsteil toolseitig gesperrt. Konkreter StPO-Fall, kantonale Auslegung unter Willkürmassstab, keine Aussage zu sämtlichen Prozessordnungen.</t>
  </si>
  <si>
    <t>https://search.bger.ch/ext/eurospider/live/it/php/aza/http/index.php?highlight_docid=aza%3A%2F%2F06-09-2023-7B_32-2023&amp;lang=it&amp;type=show_document&amp;zoom=NO</t>
  </si>
  <si>
    <t>SRC-AP18B03-VSGE-KANTONSNAMEN-IT</t>
  </si>
  <si>
    <t>swisstopo, Scambio di geodati tra le autorità</t>
  </si>
  <si>
    <t>Liste der Kantone: Ginevra und Vallese</t>
  </si>
  <si>
    <t>Publikationsdatum der Informationsseite, kein Normstand. Amtlicher IT-Sprachbeleg ausschliesslich für die Kantonsnamen, keine Feiertags- oder Prozessgrundlage.</t>
  </si>
  <si>
    <t>https://www.swisstopo.admin.ch/it/scambio-di-geodati-tra-le-autorita</t>
  </si>
  <si>
    <t>SRC-AP18B03-VSGE-KANTONSNAMEN-RM</t>
  </si>
  <si>
    <t>Kanton Graubünden, Epocas en chartas geograficas</t>
  </si>
  <si>
    <t>Abschnitt 1814/1815: chantuns Genevra, Vallais e Neuchâtel</t>
  </si>
  <si>
    <t>Amtlicher RG-Sprachbeleg ausschliesslich für die Kantonsnamen Genevra und Vallais. Historische Kartendarstellung, kein Feiertagsrecht und kein normativer Fassungsstand.</t>
  </si>
  <si>
    <t>https://www.gr.ch/RM/chantun/175-Jahre/Seiten/Epochen-in-Karten.aspx</t>
  </si>
  <si>
    <t>Gesetz über die Beschäftigung und den Arbeitsmarkt, BAMG</t>
  </si>
  <si>
    <t>SGF 866.1.1, Art. 49 Abs. 1–5, Version 8126</t>
  </si>
  <si>
    <t>Erlass 06.10.2010. Geltende Fassung seit 01.01.2020. Vier gemeinsame und je vier regionale arbeitsrechtliche Tage. Bundesanwendung separat offen. Gebietsliste amtlicher Seite über geprüfte Quellenbeziehung. Sprachprüfung offen. Gemeinsame IT/RM-Namen aus dem geprüften TI/GR-Bestand nur als provisorische Produktnamen übernommen. Keine amtliche FR-/SO-Sprachfassung behauptet. Berchtold IT/RM und Scope-Übersetzungen sind eigene provisorische Vorschläge.</t>
  </si>
  <si>
    <t>SRC-FR-LEMT-866111-FR-V8126</t>
  </si>
  <si>
    <t>Loi sur l’emploi et le marché du travail, LEMT, französische Sprachfassung</t>
  </si>
  <si>
    <t>RSF 866.1.1, art. 49, version 8126, FR</t>
  </si>
  <si>
    <t>Amtlicher FR-Sprachabgleich. Produktanzeige normalisiert Schreibweisen. Lendemain du Nouvel-An und lendemain de Noël werden nicht als zusätzliche Tage erfasst.</t>
  </si>
  <si>
    <t>https://bdlf.fr.ch/api/fr/versions/8126/pdf_file</t>
  </si>
  <si>
    <t>Justizgesetz, JG</t>
  </si>
  <si>
    <t>SGF 130.1, Art. 121 Abs. 1–3, Version 7926</t>
  </si>
  <si>
    <t>Erlass 31.05.2010. Fassung seit 01.01.2024. Eigene kantonsweite Liste von 15 Tagen einschliesslich Ostern, Pfingsten und 1. August. Strafrechtliche Stundenfristen nach Abs. 3 ausgenommen. Keine pauschale Bundesverfahrensfreigabe. Sprachprüfung offen. Gemeinsame IT/RM-Namen aus dem geprüften TI/GR-Bestand nur als provisorische Produktnamen übernommen. Keine amtliche FR-/SO-Sprachfassung behauptet. Berchtold IT/RM und Scope-Übersetzungen sind eigene provisorische Vorschläge.</t>
  </si>
  <si>
    <t>https://bdlf.fr.ch/api/de/versions/7926/pdf_file</t>
  </si>
  <si>
    <t>SRC-FR-LJ-1301-FR-V7926</t>
  </si>
  <si>
    <t>Loi sur la justice, LJ, französische Sprachfassung</t>
  </si>
  <si>
    <t>RSF 130.1, art. 121, version 7926, FR</t>
  </si>
  <si>
    <t>Amtlicher FR-Sprachabgleich der eigenen Liste. Vier Feiertag-/Folgetagspaare plus sieben weitere Tage, zusammen 15. Kalendertagsnamen für numerisch genannte Daten sind Produktbezeichnungen.</t>
  </si>
  <si>
    <t>https://bdlf.fr.ch/api/fr/versions/7926/pdf_file</t>
  </si>
  <si>
    <t>Amt für den Arbeitsmarkt, Feiertage 2026 und regionale Gebietsliste</t>
  </si>
  <si>
    <t>Seitenänderung 06.07.2026, kein Normversionsdatum. Zehn Gemeinden und nur Flamatt/Sensebrügg in Wünnewil-Flamatt. Anwendungsbeleg zu Art. 49 BAMG, kein separat verifizierter Staatsratsbeschluss. 18 Datumswerte 2026 abgeglichen. Freiwillige arbeitsfreie Tage ausgeschlossen.</t>
  </si>
  <si>
    <t>https://www.fr.ch/de/arbeit-und-unternehmen/arbeitnehmer/feiertage</t>
  </si>
  <si>
    <t>Gesetz über die öffentlichen Ruhetage, Ruhetagsgesetz RTG</t>
  </si>
  <si>
    <t>BGS 512.41, § 1, § 2 Abs. 1 und 2, § 3, Version 4319</t>
  </si>
  <si>
    <t>Erlass 18.05.2014, seit 01.09.2014 geltend. Aktuelle Liste in § 2, nicht alter § 1. 1. Mai ab 12.00 Uhr. Drei Tage ausser Bezirk Bucheggberg. Kommunale Ruhetage nach § 2 Abs. 2 nicht erhoben. Sprachprüfung offen. Gemeinsame IT/RM-Namen aus dem geprüften TI/GR-Bestand nur als provisorische Produktnamen übernommen. Keine amtliche FR-/SO-Sprachfassung behauptet. Berchtold IT/RM und Scope-Übersetzungen sind eigene provisorische Vorschläge.</t>
  </si>
  <si>
    <t>SRC-SO-FRISTENKALENDER-2026</t>
  </si>
  <si>
    <t>Kanton Solothurn, gesetzliche Feiertage für die Berechnung rechtlicher Fristen 2026</t>
  </si>
  <si>
    <t>Jahresliste 2026 und Hinweis zum Bezirk Bucheggberg</t>
  </si>
  <si>
    <t>Aktuelle amtliche Informationsseite, ohne eigenen Normstand. Nennt 1. Mai ab 12.00 Uhr ausdrücklich im Fristenkontext. Keine Freigabe einer ganztägigen Verschiebung für alle Verfahren. Nicht als Arbeits-/Ladenöffnungskalender verwenden.</t>
  </si>
  <si>
    <t>https://so.ch/allgemeine-informationen/gesetzliche-feiertage/</t>
  </si>
  <si>
    <t>SRC-SO-BJ-FEIERTAGSVERZEICHNIS-20110101</t>
  </si>
  <si>
    <t>BJ-Verzeichnis gesetzlicher Feiertage, historische auf so.ch verlinkte Fassung</t>
  </si>
  <si>
    <t>Stand 01.01.2011, Solothurn, S. 15–16</t>
  </si>
  <si>
    <t>Historisch, nicht geltender RTG-Stand. Feiertage und gleichbehandelte Tage im Kontext des Europäischen Fristenübereinkommens unterscheiden. 1. Mai und regionale Gleichstellungen nicht als universelle heutige Freigabe übernehmen. Hinweise Stand 17.12.2012 begrenzen den Kontext.</t>
  </si>
  <si>
    <t>https://so.ch/fileadmin/internet/administrator/dokumente/Gesetzliche_Feiertage.pdf</t>
  </si>
  <si>
    <t>SRC-CH-ESTV-KANTONSNAMEN-IT-AP18B03</t>
  </si>
  <si>
    <t>ESTV, italienische Kantonsnamen</t>
  </si>
  <si>
    <t>Link alle autorità cantonali per l’imposta alla fonte</t>
  </si>
  <si>
    <t>Amtlicher Namensbeleg für Friburgo und Soletta. Undatierte Linkliste, keine Feiertagsnorm oder sprachliche Fachabnahme des Produkts.</t>
  </si>
  <si>
    <t>https://www.estv.admin.ch/it/imposta-alla-fonte-link-amministrazioni-cantonale</t>
  </si>
  <si>
    <t>SRC-CH-BK-KANTONSNAMEN-RM-2025-AP18B03</t>
  </si>
  <si>
    <t>Bundeskanzlei, La Confederaziun 2025, rätoromanische Kantonsnamen</t>
  </si>
  <si>
    <t>Ausgabe 2025, S. 8, Kantonskarte</t>
  </si>
  <si>
    <t>Amtlicher Namensbeleg Friburg und Soloturn. Publikationsjahr 2025, kein präzises Versionsdatum und keine Feiertagsnorm.</t>
  </si>
  <si>
    <t>https://www.bk.admin.ch/dam/bk/de/dokumente/komm-ue/Buku2025/BUKU_2025_RM.pdf.download.pdf/BUKU_2025_RM.pdf</t>
  </si>
  <si>
    <t>Ruhetags- und Ladenöffnungsgesetz, RLG</t>
  </si>
  <si>
    <t>LS 822.4, § 1, Nachtrag 045</t>
  </si>
  <si>
    <t>Erlass 26.06.2000. Aktueller Nachtrag 045 laut ZH-Lex, Publikationsstand 01.07.2004, einzelne letzte Inkraftsetzung 01.05.2004. Drei hohe Sonntage ergänzen die neun Nichtsonntagstage. DE-Normbegriffe normalisiert. Gemeinsame FR/IT/RM-Produktnamen aus Vorbestand, neue Bereichs- und Kantonsübersetzungen sowie St. Mauritius provisorisch. Keine neue amtliche Sprachfassung oder Sprachabnahme behauptet.</t>
  </si>
  <si>
    <t>Gesetz über die Gerichts- und Behördenorganisation im Zivil- und Strafprozess, GOG</t>
  </si>
  <si>
    <t>LS 211.1, § 122, Nachtrag 131</t>
  </si>
  <si>
    <t>Erlass 10.05.2010. Aktueller Nachtrag 131 und zehn Tage unmittelbar im geltenden PDF gelesen. GOG-Berchtoldstag nicht in die RLG-Arbeitsfeiertagsliste übertragen. DE-Normbegriffe normalisiert. Gemeinsame FR/IT/RM-Produktnamen aus Vorbestand, neue Bereichs- und Kantonsübersetzungen sowie St. Mauritius provisorisch. Keine neue amtliche Sprachfassung oder Sprachabnahme behauptet.</t>
  </si>
  <si>
    <t>https://www.notes.zh.ch/appl/zhlex_r.nsf/WebView/43B3BDA36DB02CBDC1258D4C004EC591/%24File/211.1_10.5.10_131.pdf</t>
  </si>
  <si>
    <t>SRC-ZH-AWA-FEIERTAGE-2026</t>
  </si>
  <si>
    <t>Amt für Wirtschaft, Feiertage</t>
  </si>
  <si>
    <t>Gesetzliche Feiertage 2025/2026 und Abgrenzung lokaler Tage</t>
  </si>
  <si>
    <t>Neun arbeitsrechtliche Feiertage, Datumsvergleich 2026. Die Seite warnt ausdrücklich vor Verwechslung mit BJ-Fristenverzeichnis. Berchtoldstag, Sechseläuten und Knabenschiessen arbeitsrechtlich nicht allgemein gesetzlich. DE-Normbegriffe normalisiert. Gemeinsame FR/IT/RM-Produktnamen aus Vorbestand, neue Bereichs- und Kantonsübersetzungen sowie St. Mauritius provisorisch. Keine neue amtliche Sprachfassung oder Sprachabnahme behauptet.</t>
  </si>
  <si>
    <t>https://www.zh.ch/de/wirtschaft-arbeit/arbeitsbedingungen/arbeitsssicherheit-gesundheitsschutz/arbeits-ruhezeiten/feiertage.html</t>
  </si>
  <si>
    <t>Gesetz betreffend die öffentlichen Ruhetage und den Ladenschluss, Ruhetagsgesetz</t>
  </si>
  <si>
    <t>SHR 900.200, Art. 1 und 2, Version 1886</t>
  </si>
  <si>
    <t>Erlass 05.12.1977. Neun Nichtsonntagstage einschliesslich 1. Mai, drei benannte hohe Sonntage. Art. 1 Abs. 2 verweist für arbeitsrechtliche Gleichstellung auf separate Verordnung, kein personeller Kalender. DE-Normbegriffe normalisiert. Gemeinsame FR/IT/RM-Produktnamen aus Vorbestand, neue Bereichs- und Kantonsübersetzungen sowie St. Mauritius provisorisch. Keine neue amtliche Sprachfassung oder Sprachabnahme behauptet.</t>
  </si>
  <si>
    <t>Obergericht, OGE 40/2018/1/K vom 24.08.2018</t>
  </si>
  <si>
    <t>Amtsbericht 2018, S. 84–87, E. 2.1.1–2.1.4</t>
  </si>
  <si>
    <t>Entscheidsdatum, kein Normversionsdatum. Amtlicher Volltext plus Entscheidsuche und OpenCaseLaw abgeglichen. Berchtoldstag für Art. 142 Abs. 3 ZPO anerkannt. Publikationsdatum 02.02.2021 nicht als Entscheidsdatum übernehmen. DE-Normbegriffe normalisiert. Gemeinsame FR/IT/RM-Produktnamen aus Vorbestand, neue Bereichs- und Kantonsübersetzungen sowie St. Mauritius provisorisch. Keine neue amtliche Sprachfassung oder Sprachabnahme behauptet.</t>
  </si>
  <si>
    <t>https://sh.ch/CMS/get/file/771a1a2e-4ef2-47bb-9b04-f4afc5aed3ea</t>
  </si>
  <si>
    <t>Ruhetagsgesetz, RTG</t>
  </si>
  <si>
    <t>RB 822.9, § 1 und 2, Version 2949</t>
  </si>
  <si>
    <t>Neuer Erlass vom 05.02.2025, in Kraft 01.01.2026. Zehn namentliche Nichtsonntagstage einschliesslich 2. Januar und 1. Mai. Hohe Sonntage einzeln, keine Sonntagsserie. DE-Normbegriffe normalisiert. Gemeinsame FR/IT/RM-Produktnamen aus Vorbestand, neue Bereichs- und Kantonsübersetzungen sowie St. Mauritius provisorisch. Keine neue amtliche Sprachfassung oder Sprachabnahme behauptet.</t>
  </si>
  <si>
    <t>Gesetz über Ruhetag und Ladenöffnung, RLG</t>
  </si>
  <si>
    <t>sGS 552.1, Art. 2 und 3, Version 228</t>
  </si>
  <si>
    <t>Erlass 29.06.2004, PDF-Stand 22.01.2008. Neun namentliche Nichtsonntagstage plus drei hohe Sonntage. Allerheiligen enthalten, Berchtoldstag fehlt in der RLG-Liste. DE-Normbegriffe normalisiert. Gemeinsame FR/IT/RM-Produktnamen aus Vorbestand, neue Bereichs- und Kantonsübersetzungen sowie St. Mauritius provisorisch. Keine neue amtliche Sprachfassung oder Sprachabnahme behauptet.</t>
  </si>
  <si>
    <t>Kantonsgericht, Einzelrichter im Familienrecht, FS.2012.1 vom 29.03.2012</t>
  </si>
  <si>
    <t>Erwägungen zur Fristwahrung am Berchtoldstag, Publikation 18.02.2020</t>
  </si>
  <si>
    <t>Entscheidsdatum, kein Normversionsdatum. Volltext via OpenCaseLaw und amtliche Publikationsmetadaten/Entscheidsuche. Ein OpenCaseLaw-Datensatz ordnet fälschlich das Vorinstanzdatum 24.11.2011 zu, Titel und Volltext nennen 29.03.2012. Nur ZPO-Ergänzung, keine allgemeine Feiertagsfreigabe. DE-Normbegriffe normalisiert. Gemeinsame FR/IT/RM-Produktnamen aus Vorbestand, neue Bereichs- und Kantonsübersetzungen sowie St. Mauritius provisorisch. Keine neue amtliche Sprachfassung oder Sprachabnahme behauptet.</t>
  </si>
  <si>
    <t>https://publikationen.sg.ch/rechtsprechung-gerichte-detail/6031/</t>
  </si>
  <si>
    <t>Verordnung zum Bundesgesetz über die Arbeit in Industrie, Gewerbe und Handel</t>
  </si>
  <si>
    <t>bGS 822.11, Art. 7, Version 1058</t>
  </si>
  <si>
    <t>Erlass 21.02.1966. Zweiter Weihnachtstag entfällt bei Weihnachten Montag oder Freitag. Sieben regelbasierte Einträge einschliesslich Bundesanwendung, bedingter Stephanstag bewusst nicht als fixe Jahresregel erfasst. DE-Normbegriffe normalisiert. Gemeinsame FR/IT/RM-Produktnamen aus Vorbestand, neue Bereichs- und Kantonsübersetzungen sowie St. Mauritius provisorisch. Keine neue amtliche Sprachfassung oder Sprachabnahme behauptet.</t>
  </si>
  <si>
    <t>GS 822.200, Art. 2 und 3, Version 1327</t>
  </si>
  <si>
    <t>Erlass 25.04.1982. Drei weitere lokale Tage kantonsweit, St. Mauritius nur innerer Landesteil. Stephanstag nur ohne drei aufeinanderfolgende Ruhetage. Bedingung unter 0.5.0 nicht generierbar, Widerspruch zur Liste 26.12.2026 offen. DE-Normbegriffe normalisiert. Gemeinsame FR/IT/RM-Produktnamen aus Vorbestand, neue Bereichs- und Kantonsübersetzungen sowie St. Mauritius provisorisch. Keine neue amtliche Sprachfassung oder Sprachabnahme behauptet.</t>
  </si>
  <si>
    <t>SRC-AI-RUHETAGE-INFO-2026</t>
  </si>
  <si>
    <t>Kantonale Informationsseite Feiertage / Ruhetage</t>
  </si>
  <si>
    <t>Öffentliche Ruhetage und geschlossene Verwaltungstage</t>
  </si>
  <si>
    <t>Amtliche Erläuterung bestätigt Bedingung des Stephanstags und Unterschied kantonaler lokaler Ruhetage zur arbeitsrechtlichen Gleichstellung. 2. Januar, Freitag nach Auffahrt, 24. und 31. Dezember sind gesonderte Schliessungstage und werden nicht als allgemeine Feiertage erzeugt. DE-Normbegriffe normalisiert. Gemeinsame FR/IT/RM-Produktnamen aus Vorbestand, neue Bereichs- und Kantonsübersetzungen sowie St. Mauritius provisorisch. Keine neue amtliche Sprachfassung oder Sprachabnahme behauptet.</t>
  </si>
  <si>
    <t>https://ai.ch/themen/wirtschaft-und-arbeit/feiertage-ruhetage</t>
  </si>
  <si>
    <t>SRC-AI-RUHETAGE-LISTE-2026</t>
  </si>
  <si>
    <t>Kantonale Auflistung der bevorstehenden Feiertage</t>
  </si>
  <si>
    <t>St. Mauritius 22.09.2026 und Stephanstag 26.12.2026</t>
  </si>
  <si>
    <t>Datumsbeleg für St. Mauritius. Liste nennt Stephanstag 26.12.2026 als Sonntagsgleichstellung trotz Freitags-Weihnachten. Möglicher Widerspruch zu Art. 2 Abs. 1 Bst. b, nicht durch Annahme aufgelöst. Nur kommende Jahrestermine, keine vollständige Jahresliste. DE-Normbegriffe normalisiert. Gemeinsame FR/IT/RM-Produktnamen aus Vorbestand, neue Bereichs- und Kantonsübersetzungen sowie St. Mauritius provisorisch. Keine neue amtliche Sprachfassung oder Sprachabnahme behauptet.</t>
  </si>
  <si>
    <t>https://ai.ch/themen/wirtschaft-und-arbeit/feiertage-ruhetage/feiertage</t>
  </si>
  <si>
    <t>Innerrhoden in Zahlen, amtlicher Einwohnerbestand</t>
  </si>
  <si>
    <t>Gebietstabelle Stand 31.12.2025, Quelle Einwohnerkontrolle</t>
  </si>
  <si>
    <t>Territorialer Beleg für inneren Landesteil: Appenzell, Schwende-Rüte, Schlatt-Haslen und Gonten. Oberegg separat. Fussnoten ordnen Wonnenstein statistisch Schlatt-Haslen, Grimmenstein Oberegg zu, keine eigene Normauslegung zur Feiertagsgeltung auf Klosterparzellen. DE-Normbegriffe normalisiert. Gemeinsame FR/IT/RM-Produktnamen aus Vorbestand, neue Bereichs- und Kantonsübersetzungen sowie St. Mauritius provisorisch. Keine neue amtliche Sprachfassung oder Sprachabnahme behauptet.</t>
  </si>
  <si>
    <t>https://ai.ch/land-und-leute/innerrhoden-in-zahlen</t>
  </si>
  <si>
    <t>SRC-AI-STK-FEIERTAGE-20150929</t>
  </si>
  <si>
    <t>Standeskommission, Überprüfung der Feiertage im Kanton</t>
  </si>
  <si>
    <t>Bericht 29.09.2015, Ziff. 2, 3 und 4.3, S. 3–4 und 7</t>
  </si>
  <si>
    <t>Materialie, kein aktueller Erlass. Erläutert kantonale gesetzliche Verankerung der lokalen Tage und nennt Samstag/Dienstag als Ausschluss des Stephanstags. Stützt Quellenkonflikt zur 2026-Liste, ersetzt keine heutige Norm. Keine Reformideen übernommen. DE-Normbegriffe normalisiert. Gemeinsame FR/IT/RM-Produktnamen aus Vorbestand, neue Bereichs- und Kantonsübersetzungen sowie St. Mauritius provisorisch. Keine neue amtliche Sprachfassung oder Sprachabnahme behauptet.</t>
  </si>
  <si>
    <t>https://ai.ch/themen/wirtschaft-und-arbeit/feiertage-ruhetage/dokumente/20150929-stk-bericht-feiertage.pdf</t>
  </si>
  <si>
    <t>Ruhetags- und Ladenschlussgesetz, RLG</t>
  </si>
  <si>
    <t>SRL 855, § 1a Abs. 1–3 und § 2</t>
  </si>
  <si>
    <t>Erlass 23.11.1987. Aktiver Stand über amtliche Sammlung und LexFind/Swiss Caselaw abgeglichen. Kommunale Erklärungen nach § 1a Abs. 1c ausgeschlossen. IT/RM-Namen aus dem bestehenden Bestand provisorisch übernommen. Neue Scope-Namen, Kantonsnamen und Bruderklausenfest-Übersetzungen sind provisorische Produkttexte, keine amtlichen Sprachfassungen. Sprachabnahme offen.</t>
  </si>
  <si>
    <t>SRL 40, § 34 Abs. 1 und 2</t>
  </si>
  <si>
    <t>Drei zusätzliche Tage. Öffentliche Ruhetage gelten unter ausdrücklicher Ausnahme Josefstag/Patrozinium. Rückwärtszählung gesondert. Erhebung aktiviert keinen VRG-LU-Rechner. IT/RM-Namen aus dem bestehenden Bestand provisorisch übernommen. Neue Scope-Namen, Kantonsnamen und Bruderklausenfest-Übersetzungen sind provisorische Produkttexte, keine amtlichen Sprachfassungen. Sprachabnahme offen.</t>
  </si>
  <si>
    <t>https://srl.lu.ch/data/40/de</t>
  </si>
  <si>
    <t>Justizgesetz, JusG</t>
  </si>
  <si>
    <t>SRL 260, § 76</t>
  </si>
  <si>
    <t>Eigene Liste von 13 Tagen für ZPO/StPO. Geltende Fassung mit Beschluss 20.10.2025 geprüft. Keine allgemeine ArG-Liste. IT/RM-Namen aus dem bestehenden Bestand provisorisch übernommen. Neue Scope-Namen, Kantonsnamen und Bruderklausenfest-Übersetzungen sind provisorische Produkttexte, keine amtlichen Sprachfassungen. Sprachabnahme offen.</t>
  </si>
  <si>
    <t>https://srl.lu.ch/data/260/de</t>
  </si>
  <si>
    <t>Gesetz über den Ladenschluss und die Sonntagsruhe, LSG</t>
  </si>
  <si>
    <t>RB 70.1421, Art. 9 und 10</t>
  </si>
  <si>
    <t>Amtlicher Text nennt Erlass 09.02.2003 und Stand/Inkrafttreten 01.01.2003. Datierung unverändert wiedergegeben. 14 kantonsweite Tage, Gemeindefeiertage separat ausgeschlossen. IT/RM-Namen aus dem bestehenden Bestand provisorisch übernommen. Neue Scope-Namen, Kantonsnamen und Bruderklausenfest-Übersetzungen sind provisorische Produkttexte, keine amtlichen Sprachfassungen. Sprachabnahme offen.</t>
  </si>
  <si>
    <t>SRC-UR-KAV-201111-20020201</t>
  </si>
  <si>
    <t>Kantonale Arbeitsverordnung, KAV</t>
  </si>
  <si>
    <t>RB 20.1111, Art. 6</t>
  </si>
  <si>
    <t>Acht kantonale arbeitsgesetzliche Feiertage. LSG Art. 10 verweist darauf. Keine Übernahme sämtlicher 14 LSG-Tage in ArG. IT/RM-Namen aus dem bestehenden Bestand provisorisch übernommen. Neue Scope-Namen, Kantonsnamen und Bruderklausenfest-Übersetzungen sind provisorische Produkttexte, keine amtlichen Sprachfassungen. Sprachabnahme offen.</t>
  </si>
  <si>
    <t>https://rechtsbuch.ur.ch/data/20.1111/de</t>
  </si>
  <si>
    <t>SRC-UR-FEIERTAGE-20230406</t>
  </si>
  <si>
    <t>Amt für Arbeit und Migration, Feiertage im Kanton Uri</t>
  </si>
  <si>
    <t>Ausgabe 04/2023, Stand 06.04.2023, S. 1</t>
  </si>
  <si>
    <t>Amtlicher Listenabgleich 14 LSG-Tage versus neun sonntagsgleiche Tage einschliesslich Bundesfeier. Publikationsstand ist kein eigener Normstand. IT/RM-Namen aus dem bestehenden Bestand provisorisch übernommen. Neue Scope-Namen, Kantonsnamen und Bruderklausenfest-Übersetzungen sind provisorische Produkttexte, keine amtlichen Sprachfassungen. Sprachabnahme offen.</t>
  </si>
  <si>
    <t>https://www.ur.ch/publikationen/6581</t>
  </si>
  <si>
    <t>Ruhetagsgesetz</t>
  </si>
  <si>
    <t>SRSZ 545.110, § 2 Abs. 1 und 2</t>
  </si>
  <si>
    <t>Erlass 21.11.2001. Letzte im PDF belegte Änderung in Kraft 01.07.2018, PDF-Ausgabe SRSZ 01.02.2019 ist kein neues Inkrafttreten. 17 kantonsweite benannte Tage. IT/RM-Namen aus dem bestehenden Bestand provisorisch übernommen. Neue Scope-Namen, Kantonsnamen und Bruderklausenfest-Übersetzungen sind provisorische Produkttexte, keine amtlichen Sprachfassungen. Sprachabnahme offen.</t>
  </si>
  <si>
    <t>SRC-SZ-FEIERTAGSREGELUNG-AP18B04</t>
  </si>
  <si>
    <t>Amt für Arbeit, Feiertagsregelung Kanton Schwyz</t>
  </si>
  <si>
    <t>Ziff. 1–4</t>
  </si>
  <si>
    <t>Aktuell verlinktes amtliches Merkblatt. Interner Dateiname enthält 20251211, kein eigener Normstand abgeleitet. Kommunal festgelegte Patronstage ausdrücklich nicht übernommen. IT/RM-Namen aus dem bestehenden Bestand provisorisch übernommen. Neue Scope-Namen, Kantonsnamen und Bruderklausenfest-Übersetzungen sind provisorische Produkttexte, keine amtlichen Sprachfassungen. Sprachabnahme offen.</t>
  </si>
  <si>
    <t>https://www.sz.ch/public/upload/assets/36693/Feiertagsregelung_Kanton_Schwyz.pdf?fp=6</t>
  </si>
  <si>
    <t>GDB 975.2, Art. 2 Abs. 1–3</t>
  </si>
  <si>
    <t>Erlass 27.04.2007, geltender Stand 01.08.2009. Bruderklausenfest 25.09. ausdrücklich in Abs. 1b. Abs. 3 enthält engere ArG-Liste. IT/RM-Namen aus dem bestehenden Bestand provisorisch übernommen. Neue Scope-Namen, Kantonsnamen und Bruderklausenfest-Übersetzungen sind provisorische Produkttexte, keine amtlichen Sprachfassungen. Sprachabnahme offen.</t>
  </si>
  <si>
    <t>Gesetz über die öffentlichen Ruhetage, RTG</t>
  </si>
  <si>
    <t>NG 921.1, Art. 2 Abs. 1 und 2</t>
  </si>
  <si>
    <t>Erlass 01.06.2005, geltender Stand 01.01.2016. Dreizehn benannte Tage. Kommunale Reglemente nach Abs. 1 Ziff. 4 sind ausserhalb Erhebung. IT/RM-Namen aus dem bestehenden Bestand provisorisch übernommen. Neue Scope-Namen, Kantonsnamen und Bruderklausenfest-Übersetzungen sind provisorische Produkttexte, keine amtlichen Sprachfassungen. Sprachabnahme offen.</t>
  </si>
  <si>
    <t>Ruhetags- und Ladenöffnungsgesetz</t>
  </si>
  <si>
    <t>BGS 942.31, § 1 und § 5 Abs. 2</t>
  </si>
  <si>
    <t>Erlass 28.08.2003. Aktuelle Fassung Stand 22.08.2025. Neun Feiertage plus drei namentliche Sonntage im Ladenöffnungs-Ausnahmekatalog. Kein gleichlautender VRG-Katalog. IT/RM-Namen aus dem bestehenden Bestand provisorisch übernommen. Neue Scope-Namen, Kantonsnamen und Bruderklausenfest-Übersetzungen sind provisorische Produkttexte, keine amtlichen Sprachfassungen. Sprachabnahme offen.</t>
  </si>
  <si>
    <t>Gesetz über den Rechtsschutz in Verwaltungssachen, VRG</t>
  </si>
  <si>
    <t>BGS 162.1, § 1 Abs. 2 und § 10 Abs. 3–4</t>
  </si>
  <si>
    <t>Erlass 01.04.1976. Eigene Fristenliste mit 16 Tagen. Aktueller Stand über LexFind/Swiss Caselaw und amtlichen Normtext verifiziert. IT/RM-Namen aus dem bestehenden Bestand provisorisch übernommen. Neue Scope-Namen, Kantonsnamen und Bruderklausenfest-Übersetzungen sind provisorische Produkttexte, keine amtlichen Sprachfassungen. Sprachabnahme offen.</t>
  </si>
  <si>
    <t>https://bgs.zg.ch/app/de/texts_of_law/162.1/versions/2740</t>
  </si>
  <si>
    <t>SRC-ZG-FEIERTAGE-2026-2027</t>
  </si>
  <si>
    <t>Amt für Wirtschaft und Arbeit, Feiertage 2026 und 2027</t>
  </si>
  <si>
    <t>Jahreslisten 2026/2027 und Hinweis zu feiertagsähnlichen Tagen</t>
  </si>
  <si>
    <t>18 amtliche Datumswerte zur Neuner-Grundliste geprüft. Berchtold, Oster-/Pfingstmontag und Stephanstag sind arbeitsrechtlich nicht automatisch frei. Daraus folgt kein Ausschluss ihrer ausdrücklichen VRG-Fristwirkung. IT/RM-Namen aus dem bestehenden Bestand provisorisch übernommen. Neue Scope-Namen, Kantonsnamen und Bruderklausenfest-Übersetzungen sind provisorische Produkttexte, keine amtlichen Sprachfassungen. Sprachabnahme offen.</t>
  </si>
  <si>
    <t>https://zg.ch/dam/jcr:d241f3f6-4c0c-4bb2-9096-b53dd371501c/Feiertage_2026_2027_Kt-ZG_Daten.pdf</t>
  </si>
  <si>
    <t>GS IX B/21/1, Art. 2 Abs. 1 und 5 / Art. 7</t>
  </si>
  <si>
    <t>Erlass 06.05.2012. Dreizehn benannte Tage, davon Fahrtsfest in GAP-GL-FAHRT-APRIL ungeklärt modellierbar. Art. 2 Abs. 5 gilt für nicht auf Sonntag fallende Ruhetage. Ladenöffnungsausnahmen erzeugen keine neuen Feiertage. IT/RM-Namen aus dem bestehenden Bestand provisorisch übernommen. Neue Scope-Namen, Kantonsnamen und Bruderklausenfest-Übersetzungen sind provisorische Produkttexte, keine amtlichen Sprachfassungen. Sprachabnahme offen.</t>
  </si>
  <si>
    <t>SRC-GL-FAHRT-IA31-18350524</t>
  </si>
  <si>
    <t>Gesetz betreffend die Feier der Näfelser Fahrt</t>
  </si>
  <si>
    <t>GS I A/3/1, Art. 7</t>
  </si>
  <si>
    <t>Art. 7 beauftragt den Regierungsrat mit dem jährlichen Programm. Das Gesetz enthält keine ausformulierte April-/Karwochen-Datumsformel. Keine solche Formel als Gesetzeszitat ausgeben. IT/RM-Namen aus dem bestehenden Bestand provisorisch übernommen. Neue Scope-Namen, Kantonsnamen und Bruderklausenfest-Übersetzungen sind provisorische Produkttexte, keine amtlichen Sprachfassungen. Sprachabnahme offen.</t>
  </si>
  <si>
    <t>https://gesetze.gl.ch/data/I-A.3.1/de</t>
  </si>
  <si>
    <t>SRC-GL-FAHRT-RR-20260106</t>
  </si>
  <si>
    <t>Regierungsrat, Näfelser Fahrt 2026</t>
  </si>
  <si>
    <t>Regierungsratssitzung 06.01.2026, Termin und Karwochen-Ausnahme</t>
  </si>
  <si>
    <t>Amtlich 09.04.2026. Erklärung: erster Donnerstag im April, bei Karwoche Verschiebung um eine Woche. Bedingung ist mit Vertrag 0.5.0 nicht als unbefristete Einzelregel abgebildet. GAP-GL-FAHRT-APRIL. IT/RM-Namen aus dem bestehenden Bestand provisorisch übernommen. Neue Scope-Namen, Kantonsnamen und Bruderklausenfest-Übersetzungen sind provisorische Produkttexte, keine amtlichen Sprachfassungen. Sprachabnahme offen.</t>
  </si>
  <si>
    <t>https://www.gl.ch/public-newsroom.html/31/newsroomnews/14237/title/n%C3%A4felser-fahrt</t>
  </si>
  <si>
    <t>Gesetz über öffentliche Ruhetage und Ladenöffnung, RLG</t>
  </si>
  <si>
    <t>SG 811.100, § 2 Abs. 1, Version 4927</t>
  </si>
  <si>
    <t>Zwölf namentliche Tage, davon vier hohe Feiertage. Bettag seit 2013 übriger Feiertag. Alte Suchtreffer mit fünf hohen Feiertagen verworfen. DE/FR normnahe Produktnamen. IT/RM aus vorhandenen gemeinsamen Namen übernommen oder provisorisch übersetzt. Sprachabnahme offen, keine amtliche IT/RM-Fassung dieser Norm behauptet.</t>
  </si>
  <si>
    <t>SRC-BS-FEIERTAGE-2026-2028</t>
  </si>
  <si>
    <t>Feiertage im Kanton Basel-Stadt</t>
  </si>
  <si>
    <t>Amtliche Jahreslisten 2026 bis 2028</t>
  </si>
  <si>
    <t>Je neun Datumswerte abgeglichen. Die Jahresliste lässt die drei stets sonntäglichen namentlichen RLG-Tage weg. Kein Widerspruch zur Zwölferliste und keine neue Fristenfreigabe.</t>
  </si>
  <si>
    <t>https://www.bs.ch/themen/arbeit-und-steuern/feiertage-im-kanton-basel-stadt</t>
  </si>
  <si>
    <t>Gesetz über die öffentlichen Ruhetage und den Sonntagsverkauf, RTG</t>
  </si>
  <si>
    <t>SGS 547, § 2, § 3 und § 10, Version 2507</t>
  </si>
  <si>
    <t>Zwölf namentliche kantonale Tage. 1. Mai ganztägig. Selbständige kommunale Feiertage nach § 3 nicht erhoben. Arbeitsrecht und Ruheordnung nicht gleichsetzen. DE/FR normnahe Produktnamen. IT/RM aus vorhandenen gemeinsamen Namen übernommen oder provisorisch übersetzt. Sprachabnahme offen, keine amtliche IT/RM-Fassung dieser Norm behauptet.</t>
  </si>
  <si>
    <t>SRC-BL-PERSONAL-FEIERTAGE-2026</t>
  </si>
  <si>
    <t>Personalamt, Feiertage, arbeitsfreie Tage und Kompensationstage 2026</t>
  </si>
  <si>
    <t>Nur als gesetzliche Feiertage bezeichnete Zeilen zum Datumsabgleich</t>
  </si>
  <si>
    <t>Personalquelle nur ergänzend. Fasnacht, Gründonnerstag, Freitag nach Auffahrt, Kompensation und Schliessungen nicht als allgemeine Feiertage übernommen. Gesetz bleibt Primärbeleg.</t>
  </si>
  <si>
    <t>https://bl-api.webcloud7.ch/politik-und-behorden/direktionen/finanz-und-kirchendirektion/personalamt/arbeitszeiten/dateien_arbeitszeiten/2026_ubersicht-feiertage-arbeitsfreie-tage-kompensationstage-und-netto-sollarbeitszeit.pdf/%40%40download/file/2026_U%CC%88bersicht%20Feiertage%20arbeitsfreie%20Tage%20Kompensationstage%20und%20Netto-Sollarbeitszeit.pdf</t>
  </si>
  <si>
    <t>Loi sur l’emploi, LEmp</t>
  </si>
  <si>
    <t>BLV 822.11, Art. 47 Abs. 1 und 2</t>
  </si>
  <si>
    <t>Neun arbeitsrechtlich sonntagsgleiche Tage. Direktportal lieferte keinen auslesbaren Volltext. Aktiver LexFind-Bestand 20296, amtlicher PDF-Spiegel Version 107233 und DGEM-FAQ 2026 abgeglichen. Kein historischer Siebentage-Stand. DE/FR normnahe Produktnamen. IT/RM aus vorhandenen gemeinsamen Namen übernommen oder provisorisch übersetzt. Sprachabnahme offen, keine amtliche IT/RM-Fassung dieser Norm behauptet.</t>
  </si>
  <si>
    <t>SRC-VD-DGEM-FAQ-2026</t>
  </si>
  <si>
    <t>DGEM, FAQ en droit du travail, Ausgabe 2026</t>
  </si>
  <si>
    <t>S. 32, Art. 47 LEmp / Art. 20a LTr</t>
  </si>
  <si>
    <t>Jahresausgabe 2026, kein genaues Normdatum. Amtliche aktuelle Neunerliste einschliesslich 2. Januar und Pfingstmontag. Weder der 26. Dezember noch zusätzliche vertragliche freie Tage sind Teil von Art. 47 Abs. 1.</t>
  </si>
  <si>
    <t>https://www.vd.ch/fileadmin/user_upload/themes/economie_emploi/emploi/fichiers_pdf/FAQ-droit_du_travail-DGEM.pdf</t>
  </si>
  <si>
    <t>SRC-VD-FEIERTAGE-2026</t>
  </si>
  <si>
    <t>Vaud, jours fériés officiels 2026</t>
  </si>
  <si>
    <t>Abschnitt Jours fériés officiels</t>
  </si>
  <si>
    <t>Amtlicher Datumsabgleich der neun Feiertage. Schulferien und zusätzliche verschiebbare Personalferien nach Art. 123 RLPers ausdrücklich nicht übernommen.</t>
  </si>
  <si>
    <t>https://www.vd.ch/formation/jours-feries-et-vacances-scolaires/jours-feries-et-vacances-scolaires-2026</t>
  </si>
  <si>
    <t>SRC-VD-FEIERTAGE-2027</t>
  </si>
  <si>
    <t>Vaud, jours fériés officiels 2027</t>
  </si>
  <si>
    <t>https://www.vd.ch/formation/jours-feries-et-vacances-scolaires/jours-feries-et-vacances-scolaires-2027</t>
  </si>
  <si>
    <t>SRC-VD-FEIERTAGE-2028</t>
  </si>
  <si>
    <t>Vaud, jours fériés officiels 2028</t>
  </si>
  <si>
    <t>https://www.vd.ch/formation/jours-feries-et-vacances-scolaires/jours-feries-et-vacances-scolaires-2028</t>
  </si>
  <si>
    <t>Loi sur le dimanche et les jours fériés, LDJF</t>
  </si>
  <si>
    <t>RSN 941.02, Art. 3 Abs. 1 und 2</t>
  </si>
  <si>
    <t>Sechs unbedingte kantonale Tage plus Bundesfeier. Aktiver Volltext über Swiss Caselaw/LexFind 10049, mit amtlicher Liste und Circulaire 2026 abgeglichen. NE-PENDING-SUNDAY-SUBSTITUTION: 2. Januar/26. Dezember nur nach Sonntag, nicht als unbedingte Regeln. DE/FR normnahe Produktnamen. IT/RM aus vorhandenen gemeinsamen Namen übernommen oder provisorisch übersetzt. Sprachabnahme offen, keine amtliche IT/RM-Fassung dieser Norm behauptet.</t>
  </si>
  <si>
    <t>Arrêté d’application de la loi sur le dimanche et les jours fériés</t>
  </si>
  <si>
    <t>RSN 941.020, Art. 2</t>
  </si>
  <si>
    <t>Kantonaler Erlass bezeichnet ausschliesslich Le Landeron für Fronleichnam. Erfasst als örtliche Ergänzung, nicht als eigener vollständiger Kantonskalender. Keine kommunale Norm verwendet.</t>
  </si>
  <si>
    <t>https://rsn.ne.ch/DATA/program/books/rsne/pdf/941.020.pdf</t>
  </si>
  <si>
    <t>Loi sur la procédure administrative, LPA</t>
  </si>
  <si>
    <t>RSN 152.130, Art. 1–3 und Art. 33 Abs. 2 und 3</t>
  </si>
  <si>
    <t>Gesetz vom 18.03.2025, ersetzt LPJA seit 01.01.2026. Mindestens halbtägige Schliessung der kantonalen Verwaltung ausdrücklich gleichgestellt. Konkrete acht RDF-Ergänzungen separat, Bundesverfahren nicht pauschal zugeordnet.</t>
  </si>
  <si>
    <t>https://rsn.ne.ch/DATA/program/books/rsne/pdf/152.130.pdf</t>
  </si>
  <si>
    <t>SRC-NE-RDF-152512-20230101</t>
  </si>
  <si>
    <t>Règlement des fonctionnaires, RDF</t>
  </si>
  <si>
    <t>RSN 152.512, Art. 11 Abs. 1 und 2</t>
  </si>
  <si>
    <t>Aktiver Volltext über Swiss Caselaw/LexFind 11005. Normfeste ganztägige Liste nur über LPA-Verweis genutzt. NE-PENDING-COMPENSATION: zusätzliche vom Conseil d’Etat gewährte Ausgleichstage nach Abs. 2 separat offen, kein erfundener ewiger Ersatz.</t>
  </si>
  <si>
    <t>https://rsn.ne.ch/DATA/program/books/rsne/pdf/152.512.pdf</t>
  </si>
  <si>
    <t>SRC-NE-DELAIS-CIRCULAIRE-20260101</t>
  </si>
  <si>
    <t>Service de l’aménagement du territoire, Computation des délais en procédure administrative</t>
  </si>
  <si>
    <t>Circulaire 01.01.2026, S. 1</t>
  </si>
  <si>
    <t>Amtliche aktuelle Bestätigung von LPA Art. 33, sieben allgemeinen Tagen, acht Verwaltungsergänzungen und Le Landeron. 2026-Ausgabe statt historischer LPJA-Circulaire verwendet. Baurechtliche Sonderregeln und Fristenstillstände sind nicht Teil dieser Feiertagserfassung.</t>
  </si>
  <si>
    <t>https://www.ne.ch/sites/default/files/migration/autorites/DDTE/SCAT/Documents/06_07_Documents_communs/PConstr_CirculaireComputationDelais.pdf</t>
  </si>
  <si>
    <t>SRC-NE-FEIERTAGE-2026-2027</t>
  </si>
  <si>
    <t>Neuchâtel, jours fériés officiels et dans l’administration cantonale</t>
  </si>
  <si>
    <t>Getrennte Jahreslisten 2026 und 2027</t>
  </si>
  <si>
    <t>Allgemeine Feiertage und Verwaltungstage getrennt. 2026/2027 beide bedingten allgemeinen Zusatzfeiertage nicht anwendbar. Ladenöffnungsschliessungen nicht als allgemeine Feiertage übernommen.</t>
  </si>
  <si>
    <t>https://www.ne.ch/themes/economie-et-emploi/jours-feries-officiels</t>
  </si>
  <si>
    <t>Loi sur les jours fériés officiels et le repos dominical</t>
  </si>
  <si>
    <t>RSJU 555.1, Art. 3, Art. 4 und Art. 9</t>
  </si>
  <si>
    <t>Gesetz vom 31.08.2022. Art. 3 nennt 15 Tage, Art. 4 eigenständig neun arbeitsrechtliche Tage. Altes Gesetz und Dekret 555.10 aufgehoben. DE/FR normnahe Produktnamen. IT/RM aus vorhandenen gemeinsamen Namen übernommen oder provisorisch übersetzt. Sprachabnahme offen, keine amtliche IT/RM-Fassung dieser Norm behauptet.</t>
  </si>
  <si>
    <t>SRC-JU-FEIERTAGE-2026-2027</t>
  </si>
  <si>
    <t>Jura, jours fériés officiels 2026–2027</t>
  </si>
  <si>
    <t>Amtliche Jahrestabelle mit 13 datierten Tagen, ohne Ostern/Pfingstsonntag</t>
  </si>
  <si>
    <t>Nur Datumsabgleich. Formatierungen der arbeitsrechtlichen Untergruppe nicht aus einer linearen Textextraktion ableiten, dafür Art. 4 verwenden. Lundi de Saint-Martin ist ausdrücklich kein Feiertag. Quellenseite verlinkt noch das aufgehobene Dekret 555.10.</t>
  </si>
  <si>
    <t>https://www.jura.ch/Htdocs/Files/v/7818f8eb129d227f2892b240cfbf77d3597c47169f83a6d57891c45fbd7b66df.pdf/2026-2027.pdf?download=1</t>
  </si>
  <si>
    <t>Sachliche und verfahrensrechtliche Zuordnung</t>
  </si>
  <si>
    <t>Ein arbeitsrechtlicher Feiertag ist nicht automatisch ein prozessualer Fristenverlängerungstag.</t>
  </si>
  <si>
    <t>Anwendungsbereich</t>
  </si>
  <si>
    <t>Wirkung / Grenze</t>
  </si>
  <si>
    <t>Norm / Referenz</t>
  </si>
  <si>
    <t>MAP-BE-PARITY</t>
  </si>
  <si>
    <t>MVP-0.3-Referenzprofile</t>
  </si>
  <si>
    <t>Bestehende Anknüpfung unverändert, keine neue Profilfreigabe</t>
  </si>
  <si>
    <t>Referenzrelease / jeweiliges Rechtsprofil</t>
  </si>
  <si>
    <t>MAP-CH-PARITY</t>
  </si>
  <si>
    <t>Nur Bundesfeiertag vererben, keine kantonale Vollständigkeit ableiten</t>
  </si>
  <si>
    <t>SR 116 Art. 1 / Referenzrelease</t>
  </si>
  <si>
    <t>MAP-AG-LABOUR</t>
  </si>
  <si>
    <t>Arbeitsrecht, nicht pauschal Fristenrecht</t>
  </si>
  <si>
    <t>Keine automatische Übernahme in Fristenrechner</t>
  </si>
  <si>
    <t>SAR 961.200 § 6 Abs. 1 Bst. b</t>
  </si>
  <si>
    <t>blocked</t>
  </si>
  <si>
    <t>MAP-AG-ZPO</t>
  </si>
  <si>
    <t>Art. 142 Abs. 3 ZPO / § 21 Abs. 1 EG ZPO</t>
  </si>
  <si>
    <t>Orts-/Profilanknüpfung und Freigabe offen</t>
  </si>
  <si>
    <t>SAR 221.200 § 21 Abs. 1 / Art. 142 Abs. 3 ZPO</t>
  </si>
  <si>
    <t>MAP-AP18B-AG-A</t>
  </si>
  <si>
    <t>SAR 961.200 § 6 Abs. 1 Bst. a</t>
  </si>
  <si>
    <t>MAP-AP18B-AG-B1</t>
  </si>
  <si>
    <t>SAR 961.200 § 6 Abs. 1 Bst. b Ziff. 1</t>
  </si>
  <si>
    <t>MAP-AP18B-AG-C</t>
  </si>
  <si>
    <t>SAR 961.200 § 6 Abs. 1 Bst. c</t>
  </si>
  <si>
    <t>MAP-AP18B-AG-D</t>
  </si>
  <si>
    <t>SAR 961.200 § 6 Abs. 1 Bst. d</t>
  </si>
  <si>
    <t>MAP-AP18B-AG-E1</t>
  </si>
  <si>
    <t>SAR 961.200 § 6 Abs. 1 Bst. e Ziff. 1</t>
  </si>
  <si>
    <t>MAP-AP18B-AG-E2</t>
  </si>
  <si>
    <t>SAR 961.200 § 6 Abs. 1 Bst. e Ziff. 2</t>
  </si>
  <si>
    <t>MAP-AP18B-AG-F</t>
  </si>
  <si>
    <t>SAR 961.200 § 6 Abs. 1 Bst. f</t>
  </si>
  <si>
    <t>MAP-TI-LPAMM-ART13</t>
  </si>
  <si>
    <t>LPAmm Art. 13 Abs. 3 im Anwendungsbereich von Art. 1</t>
  </si>
  <si>
    <t>Alle 15 offiziellen Tage. Sonderrecht nach Art. 1 Abs. 2 und Ausschluss von Titel II nach Art. 1 Abs. 3 vorbehalten. Orts-/Profilanknüpfung und Freigabe offen.</t>
  </si>
  <si>
    <t>RL 165.100 Art. 1 und 13 Abs. 3 / RL 843.200 Art. 1</t>
  </si>
  <si>
    <t>MAP-TI-LALL-A</t>
  </si>
  <si>
    <t>LALL Art. 6 lit. a, neun sonntagsgleiche Tage</t>
  </si>
  <si>
    <t>Neujahr, Dreikönige, Ostermontag, Auffahrt, Bundesfeier, Mariä Himmelfahrt, Allerheiligen, Weihnachten, Stephanstag. Arbeitsrechtliche Einteilung, kein Filter für LPAmm.</t>
  </si>
  <si>
    <t>RL 843.100 Art. 6 lit. a</t>
  </si>
  <si>
    <t>MAP-TI-LALL-B</t>
  </si>
  <si>
    <t>LALL Art. 6 lit. b, sechs weitere offizielle Tage</t>
  </si>
  <si>
    <t>Josefstag, 1. Mai, Pfingstmontag, Fronleichnam, Peter und Paul, Mariä Empfängnis. Weiterhin offiziell und im LPAmm-Anwendungsbereich zu berücksichtigen.</t>
  </si>
  <si>
    <t>RL 843.100 Art. 6 lit. b / RL 165.100 Art. 13 Abs. 3</t>
  </si>
  <si>
    <t>MAP-TI-OTHER-PROCESS</t>
  </si>
  <si>
    <t>Andere Verfahren, Sonderrecht und ausgenommene Erstinstanzverfahren</t>
  </si>
  <si>
    <t>Keine pauschale Übertragung. Art. 1 Abs. 3 LPAmm nimmt bestimmte formlos durch sofort vollstreckbare Entscheide erledigte Erstinstanzverfahren von Titel II aus.</t>
  </si>
  <si>
    <t>RL 165.100 Art. 1 Abs. 2 und 3</t>
  </si>
  <si>
    <t>MAP-GR-VRG-ART1</t>
  </si>
  <si>
    <t>VRG Art. 1, kantonale Behörden einschliesslich gleichgestellter Privater nach Abs. 3</t>
  </si>
  <si>
    <t>BR 370.100 Art. 1 Abs. 1–3 und Art. 7 Abs. 2 / BR 520.100 Art. 2 und 3</t>
  </si>
  <si>
    <t>MAP-GR-VRG-ART2</t>
  </si>
  <si>
    <t>VRG Art. 2, Regional- und Gemeindebehörden</t>
  </si>
  <si>
    <t>Aus dem bestätigten Modellkontext ausgeschlossen. Keine Ableitung einer Fristberechenbarkeit aus der kantonalen Grundliste.</t>
  </si>
  <si>
    <t>BR 370.100 Art. 2</t>
  </si>
  <si>
    <t>MAP-GR-OTHER-PROCESS</t>
  </si>
  <si>
    <t>StPO, ZPO, BGG, SchKG, ATSG und andere Spezialverfahren</t>
  </si>
  <si>
    <t>Keine Übertragung der VRG-Projektannahme. Gesetzlicher Ortsbezug, allfällige lokale Ruhetage und Sonderrecht gesondert prüfen. OF-008 bleibt offen.</t>
  </si>
  <si>
    <t>BR 370.100 Art. 1 Abs. 2 / BR 520.100 Art. 3</t>
  </si>
  <si>
    <t>MAP-VS-RUHE-GRUNDLISTE</t>
  </si>
  <si>
    <t>Ruhegesetz und namentliche Reglementstage</t>
  </si>
  <si>
    <t>Grundliste, keine Vollerhebung weiterer kirchlich bestimmter gebotener Tage. Allgemeine Sonntagsruhe bleibt von den einzelnen Jahresregeln getrennt.</t>
  </si>
  <si>
    <t>SGS 822.2 Art. 1 / SGS 822.200 Art. 1 / SR 116 Art. 1</t>
  </si>
  <si>
    <t>MAP-VS-VEKARG</t>
  </si>
  <si>
    <t>Sonntagsgleichstellung nach Art. 20a ArG</t>
  </si>
  <si>
    <t>Acht Tage nach Art. 7 VEkArG, Bundesfeier aus Bundesrecht. Arbeitsrechtliche Klassifikation, keine pauschale Fristenwirkung.</t>
  </si>
  <si>
    <t>SGS 822.100 Art. 7 Abs. 1 / Art. 20a ArG</t>
  </si>
  <si>
    <t>MAP-VS-RPFLG-GRUNDLISTE</t>
  </si>
  <si>
    <t>Art. 37 Abs. 1 Bst. a und b RPflG</t>
  </si>
  <si>
    <t>Gesetzliche oder behördliche Fristen im gesetzlichen Behördenkontext. Erst zusammen mit VS-LOJ-ADDITIONAL lesen. Konkrete Verfahrens- und Ortsanknüpfung sowie Bundesrechtsvorrang vor Automatik prüfen.</t>
  </si>
  <si>
    <t>SGS 173.1 Art. 37 Abs. 1 Bst. a und b</t>
  </si>
  <si>
    <t>MAP-VS-RPFLG-ERGAENZUNG</t>
  </si>
  <si>
    <t>Art. 37 Abs. 1 Bst. c RPflG, vier zusätzliche Tage</t>
  </si>
  <si>
    <t>2. Januar, Oster- und Pfingstmontag, 26. Dezember. Ergänzt VS-PUBLIC-ALL, ersetzt die Grundliste nicht. Keine selbsttätige Übertragung auf StPO, ZPO, BGG, SchKG, ATSG oder weitere Spezialverfahren.</t>
  </si>
  <si>
    <t>SGS 173.1 Art. 37 Abs. 1 Bst. c</t>
  </si>
  <si>
    <t>MAP-VS-PERSONAL-AUSSCHLUSS</t>
  </si>
  <si>
    <t>Personalbesoldungsrecht und Verwaltungsschliesszeiten</t>
  </si>
  <si>
    <t>Art. 29 SGS 172.4 ist nur Abgrenzungsbeleg. Karfreitag, Personalhalbtage und zusätzlich gewährte freie Tage sind nicht Teil dieser Grundliste. Andere ausdrückliche Prozessgrundlagen bleiben gesondert zu prüfen.</t>
  </si>
  <si>
    <t>SGS 172.4 Art. 1 und 29 / SGS 173.1 Art. 37</t>
  </si>
  <si>
    <t>MAP-GE-LJF-GRUNDLISTE</t>
  </si>
  <si>
    <t>Gesetzliche Feiertage nach Art. 1 Abs. 1 LJF</t>
  </si>
  <si>
    <t>Neun Tage, einschliesslich Genfer Bettag und 31. Dezember. Rechtsordnungsspezifische Anknüpfung und Ortsbezug vor einer Fristenprofilfreigabe separat prüfen.</t>
  </si>
  <si>
    <t>RSG J 1 45 Art. 1 Abs. 1 und Fussnote a</t>
  </si>
  <si>
    <t>MAP-GE-LJF-SONNTAGSFOLGETAG</t>
  </si>
  <si>
    <t>Art. 1 Abs. 2 LJF, ausschliesslich nicht ArG-unterstellte Unternehmen</t>
  </si>
  <si>
    <t>Keine generelle Montagsverschiebung. BGer 7B_32/2023 E. 4.3.2, 4.4 und 5.2 bestätigte im konkreten Strafverfahren den Fristablauf am 02.01.2023 trotz geschlossener Gerichtskanzlei. Kantonale Auslegung unter Willkürmassstab, keine Vollprüfung aller Prozessordnungen.</t>
  </si>
  <si>
    <t>RSG J 1 45 Art. 1 Abs. 2 / BGer 7B_32/2023 vom 06.09.2023</t>
  </si>
  <si>
    <t>MAP-GE-SCHLIESSZEITEN</t>
  </si>
  <si>
    <t>Personalurlaub, Schliesszeiten und Spezialverfahren</t>
  </si>
  <si>
    <t>Keine Übernahme von Verwaltungs- oder Gerichtsschliessungen als zusätzliche Feiertage. Keine Folgetagsregeln aus einem Personalkalender oder aus einem allgemeinen Webseitenhinweis ableiten.</t>
  </si>
  <si>
    <t>RSG J 1 45 Art. 1 / BGer 7B_32/2023 E. 5.2</t>
  </si>
  <si>
    <t>MAP-FR-BAMG-CATHOLIC-LABOUR</t>
  </si>
  <si>
    <t>BAMG Art. 49, arbeitsrechtliche Sonntagsgleichstellung</t>
  </si>
  <si>
    <t>Geschäftssitz/Zweigniederlassung bestimmt die Gebietsanknüpfung. Keine persönliche Konfessionswahl. Keine automatische Fristenwirkung, auch nicht aus der gesonderten offenen Bundesanwendung.</t>
  </si>
  <si>
    <t>SGF 866.1.1 Art. 49 / SR 116 Art. 1</t>
  </si>
  <si>
    <t>MAP-FR-BAMG-REFORMED-LABOUR</t>
  </si>
  <si>
    <t>MAP-FR-JG-ART121</t>
  </si>
  <si>
    <t>JG Art. 121, kantonale Verfahren im gesetzlichen Anwendungsbereich</t>
  </si>
  <si>
    <t>Eigene kantonsweite Liste mit 15 Tagen. Keine Vererbung der BAMG-Gebiete. Konkrete Verfahrensanknüpfung und Fachabnahme bleiben offen.</t>
  </si>
  <si>
    <t>SGF 130.1 Art. 121 Abs. 1 und 2</t>
  </si>
  <si>
    <t>MAP-FR-JG-HOURS</t>
  </si>
  <si>
    <t>Strafverfahren mit in Stunden gesetzten Fristen</t>
  </si>
  <si>
    <t>Abs. 1 ist hier nach Abs. 3 nicht anwendbar. Kein Stundenrechner und keine Fristverschiebung aktiviert.</t>
  </si>
  <si>
    <t>SGF 130.1 Art. 121 Abs. 3</t>
  </si>
  <si>
    <t>MAP-FR-JG-OTHER</t>
  </si>
  <si>
    <t>Bundesrechtliche und andere besondere Verfahrensprofile</t>
  </si>
  <si>
    <t>ZPO, StPO, BGG, SchKG, ATSG und Sonderrecht erhalten durch die Kantonswahl keine pauschale Zuordnung. Anwendbarkeit und gesetzlicher Ortsbezug getrennt prüfen.</t>
  </si>
  <si>
    <t>SGF 130.1 Art. 121 / jeweiliges Verfahrensrecht</t>
  </si>
  <si>
    <t>MAP-SO-RTG-EXCEPT-BUCHEGGBERG-REST</t>
  </si>
  <si>
    <t>RTG, Schutz der öffentlichen Ruhe</t>
  </si>
  <si>
    <t>Hohe Feiertage sind Karfreitag, Ostern, Pfingsten und Weihnachten. Benannte Sonntage bleiben eine Regel pro Profil. 1. Mai nur ab 12.00 Uhr. Keine allgemeine Arbeits- oder Fristenprofilfreigabe.</t>
  </si>
  <si>
    <t>BGS 512.41 § 1–3 / SR 116 Art. 1</t>
  </si>
  <si>
    <t>MAP-SO-RTG-EXCEPT-BUCHEGGBERG-DEADLINE</t>
  </si>
  <si>
    <t>Amtlicher SO-Fristenkalender, Profilprüfung offen</t>
  </si>
  <si>
    <t>Amtliche Seite nennt 1. Mai ab 12.00 Uhr im Fristenkontext. Umfang einer Fristverschiebung und allfällige Bucheggberg-Gleichstellungen separat klären. BJ-Liste 2011 ist historisch und übereinkommensbezogen, keine universelle Ganztagsfreigabe.</t>
  </si>
  <si>
    <t>SO-Informationsseite 2026 / historisches BJ-Verzeichnis S. 15–16 und Hinweise 17.12.2012</t>
  </si>
  <si>
    <t>MAP-SO-RTG-EXCEPT-BUCHEGGBERG-MUNICIPAL</t>
  </si>
  <si>
    <t>Kommunale Ruhetage nach kantonaler Ermächtigung</t>
  </si>
  <si>
    <t>§ 2 Abs. 2 ermächtigt Gemeinden zu zusätzlichen Ruhetagen. Diese kommunalen Normen sind ausserhalb des bestätigten Erhebungsscope und werden nicht erzeugt. Keine Behauptung ihres rechtlichen Ausschlusses in sämtlichen Verfahren.</t>
  </si>
  <si>
    <t>BGS 512.41 § 2 Abs. 2</t>
  </si>
  <si>
    <t>MAP-SO-RTG-BUCHEGGBERG-REST</t>
  </si>
  <si>
    <t>MAP-SO-RTG-BUCHEGGBERG-DEADLINE</t>
  </si>
  <si>
    <t>MAP-SO-RTG-BUCHEGGBERG-MUNICIPAL</t>
  </si>
  <si>
    <t>MAP-ZH-RLG-ALL</t>
  </si>
  <si>
    <t>Ruhetags-/Arbeitsgrundlage, keine automatische Fristwirkung</t>
  </si>
  <si>
    <t>Neun namentliche Nichtsonntagstage und drei eigens benannte hohe Sonntage. Berchtoldstag, Sechseläuten und Knabenschiessen nicht in dieser RLG-Liste. ZPO, StPO, BGG, ATSG und kantonales Verfahrensrecht gesondert zuordnen.</t>
  </si>
  <si>
    <t>MAP-ZH-GOG-ALL</t>
  </si>
  <si>
    <t>Verfahrensspezifische Feiertagsgrundlage, Zuordnung offen</t>
  </si>
  <si>
    <t>Eigenständige Liste von zehn Tagen nach § 122 GOG einschliesslich Berchtoldstag. Keine allgemeine Arbeitsfeiertagsliste und keine pauschale Zuordnung aller Verfahren. ZPO, StPO, BGG, ATSG und kantonales Verfahrensrecht gesondert zuordnen.</t>
  </si>
  <si>
    <t>MAP-SH-RTG-ALL</t>
  </si>
  <si>
    <t>Neun namentliche Nichtsonntagstage und drei eigens benannte hohe Sonntage. Berchtoldstag nur im gesonderten ZPO-Ergänzungsprofil. ZPO, StPO, BGG, ATSG und kantonales Verfahrensrecht gesondert zuordnen.</t>
  </si>
  <si>
    <t>MAP-SH-ZPO-ADDITIONAL</t>
  </si>
  <si>
    <t>Nur Ergänzung zum passenden Grundprofil, keine vollständige Feiertagsliste. ZPO-Rechtsprechung, keine automatische Wirkung auf StPO, BGG, ATSG oder Verwaltungsrecht. ZPO, StPO, BGG, ATSG und kantonales Verfahrensrecht gesondert zuordnen.</t>
  </si>
  <si>
    <t>MAP-TG-RTG-ALL</t>
  </si>
  <si>
    <t>Neues RTG vom 05.02.2025, Stand 01.01.2026. Zehn namentliche Nichtsonntagstage und drei eigens benannte hohe Sonntage. Nicht auf die aufgehobene RTG-Fassung abstellen. ZPO, StPO, BGG, ATSG und kantonales Verfahrensrecht gesondert zuordnen.</t>
  </si>
  <si>
    <t>MAP-SG-RLG-ALL</t>
  </si>
  <si>
    <t>Neun namentliche Nichtsonntagstage und drei eigens benannte hohe Sonntage. Kein 1. Mai, kein Fronleichnam. Berchtoldstag als gesonderte ZPO-Ergänzung. ZPO, StPO, BGG, ATSG und kantonales Verfahrensrecht gesondert zuordnen.</t>
  </si>
  <si>
    <t>MAP-SG-ZPO-ADDITIONAL</t>
  </si>
  <si>
    <t>Nur Ergänzung zum passenden Grundprofil, keine vollständige Feiertagsliste. Entscheid 29.03.2012, nicht Datum des vorinstanzlichen Entscheids 24.11.2011. ZPO, StPO, BGG, ATSG und kantonales Verfahrensrecht gesondert zuordnen.</t>
  </si>
  <si>
    <t>MAP-AR-ARG-ALL</t>
  </si>
  <si>
    <t>Sechs unbedingte kantonale Tage plus offene Bundesanwendung. Bedingter zweiter Weihnachtstag NICHT generiert. Fehlende Wochentagsbedingung als explizite Vertragslücke dokumentiert. Keine Vollständigkeit dieses Teilprofils behauptet. ZPO, StPO, BGG, ATSG und kantonales Verfahrensrecht gesondert zuordnen.</t>
  </si>
  <si>
    <t>MAP-AI-RTG-ALL</t>
  </si>
  <si>
    <t>14 unbedingte Tage einschliesslich Bundesanwendung und dreier benannter Sonntage. Die drei kantonal geregelten lokalen Tage gelten hier kantonsweit, St. Mauritius separat nur im inneren Landesteil. Bedingter Stephanstag und amtlicher Quellenkonflikt bleiben offen. ZPO, StPO, BGG, ATSG und kantonales Verfahrensrecht gesondert zuordnen.</t>
  </si>
  <si>
    <t>MAP-AI-RTG-INNER-ADDITIONAL</t>
  </si>
  <si>
    <t>Nur regionale Ergänzung am 22. September. Innerer Landesteil mit Appenzell, Schwende-Rüte, Schlatt-Haslen und Gonten. Kein Einbezug von Oberegg. Grundlage ist kantonales Recht, kein eigenständiges kommunales Fest. ZPO, StPO, BGG, ATSG und kantonales Verfahrensrecht gesondert zuordnen.</t>
  </si>
  <si>
    <t>MAP-AP18B04-AR-STEPHAN-CONDITION</t>
  </si>
  <si>
    <t>NICHT GENERIERT: Stephanstag</t>
  </si>
  <si>
    <t>Kein zweiter Weihnachtstag bei Weihnachten Montag oder Freitag. Vertrag 0.5.0 enthält keine Wochentagsbedingung. Nicht generiert, auch keine jahresweise Scheinlösung.</t>
  </si>
  <si>
    <t>MAP-AP18B04-AI-STEPHAN-CONDITION</t>
  </si>
  <si>
    <t>Drei aufeinanderfolgende Ruhetage schliessen die Feier aus. Bedingung nicht abgebildet, amtliche Liste nennt trotzdem 26.12.2026. Quellenkonflikt und technische Grenze vor Erfassung auflösen.</t>
  </si>
  <si>
    <t>Art. 2 Abs. 1 Bst. b / Feiertagsliste 26.12.2026 / Bericht 2015 S. 7</t>
  </si>
  <si>
    <t>MAP-LU-RLG-ALL-REST</t>
  </si>
  <si>
    <t>Öffentliche Ruhe / benannte Sonn- und Feiertage</t>
  </si>
  <si>
    <t>Zehn kantonsweite Tage in § 1a Abs. 1 Bst. b, davon 1. August als offene Bundesanwendung. Drei weitere ausdrücklich benannte Sonntage in § 2. Kommunale Patronstage und Josefstag nach Bst. c ausgeschlossen. Kein universelles Fristenprofil.</t>
  </si>
  <si>
    <t>MAP-LU-RLG-ALL-PROCEDURE</t>
  </si>
  <si>
    <t>Verfahrensrechtliche Zuordnung vor Produkteinsatz</t>
  </si>
  <si>
    <t>ZPO, StPO, BGG, SchKG, ATSG und kantonales Verfahrensrecht benötigen eine eigenständige Zuordnung samt gesetzlichem Ortsbezug. Keine Ableitung aus Personal-/Ladenschliessung. Dieses Kantonspaket gibt keine Automatik frei.</t>
  </si>
  <si>
    <t>Jeweils anwendbares Verfahrensrecht / hier belegtes kantonales Ruhetagsrecht</t>
  </si>
  <si>
    <t>MAP-LU-RLG-ALL-LABOUR</t>
  </si>
  <si>
    <t>Arbeitsrechtliche Teilmenge, kein Fristenautomatismus</t>
  </si>
  <si>
    <t>Nur diese acht kantonalen Tage sind arbeitsrechtlich sonntagsgleich: Neujahr, Karfreitag, Auffahrt, Fronleichnam, Mariä Himmelfahrt, Allerheiligen, Weihnachten, Stephanstag. Bundesfeiertag gesondert. Keine Gleichstellung der gesamten Ruhetagsliste und keine Prozessfreigabe.</t>
  </si>
  <si>
    <t>SRL 855 § 1a Abs. 3</t>
  </si>
  <si>
    <t>MAP-UR-LSG-ALL-REST</t>
  </si>
  <si>
    <t>14 namentliche kantonsweite Ruhetage. Gemeindefeiertage nach Bst. c nicht erhoben. ArG-Teilmenge aus Art. 6 KAV getrennt. Kein zusätzlicher benannter Sonntag im LSG. Kein universelles Fristenprofil.</t>
  </si>
  <si>
    <t>MAP-UR-LSG-ALL-PROCEDURE</t>
  </si>
  <si>
    <t>MAP-UR-LSG-ALL-LABOUR</t>
  </si>
  <si>
    <t>Nur diese acht kantonalen Tage sind arbeitsrechtlich sonntagsgleich: Neujahr, Karfreitag, Auffahrt, Fronleichnam, Mariä Himmelfahrt, Allerheiligen, Mariä Empfängnis, Weihnachten. Bundesfeiertag gesondert. Keine Gleichstellung der gesamten Ruhetagsliste und keine Prozessfreigabe.</t>
  </si>
  <si>
    <t>RB 20.1111 Art. 6 / RB 70.1421 Art. 10</t>
  </si>
  <si>
    <t>MAP-SZ-RTG-ALL-REST</t>
  </si>
  <si>
    <t>Elf Feiertage und sechs hohe Feiertage, insgesamt 17 benannte Tage. Gemeindefeiertage nach Ziff. 4 nicht erhoben. ArG-Teilmenge nach Abs. 2 ausdrücklich enger. Kein universelles Fristenprofil.</t>
  </si>
  <si>
    <t>MAP-SZ-RTG-ALL-PROCEDURE</t>
  </si>
  <si>
    <t>MAP-SZ-RTG-ALL-LABOUR</t>
  </si>
  <si>
    <t>Nur diese acht kantonalen Tage sind arbeitsrechtlich sonntagsgleich: Neujahr, Karfreitag, Auffahrt, Fronleichnam, Mariä Himmelfahrt, Allerheiligen, Weihnachten, Josefstag. Bundesfeiertag gesondert. Keine Gleichstellung der gesamten Ruhetagsliste und keine Prozessfreigabe.</t>
  </si>
  <si>
    <t>SRSZ 545.110 § 2 Abs. 2</t>
  </si>
  <si>
    <t>MAP-OW-RTG-ALL-REST</t>
  </si>
  <si>
    <t>Acht Feiertage und fünf hohe Feiertage. Bruderklausenfest 25. September ist kantonaler Ruhetag, nicht nur Personalfreitag. Kommunaler Lokalfeiertag nach Abs. 2 nicht erhoben. ArG-Teilmenge nach Abs. 3 enger. Kein universelles Fristenprofil.</t>
  </si>
  <si>
    <t>MAP-OW-RTG-ALL-PROCEDURE</t>
  </si>
  <si>
    <t>MAP-OW-RTG-ALL-LABOUR</t>
  </si>
  <si>
    <t>GDB 975.2 Art. 2 Abs. 3</t>
  </si>
  <si>
    <t>MAP-NW-RTG-ALL-REST</t>
  </si>
  <si>
    <t>Acht Feiertage und fünf hohe Feiertage. Josefstag ist Ruhetag, jedoch nicht in ArG-Teilmenge Abs. 2. Kommunale zusätzliche Feiertage und blosse Personal-Schliesstage sind nicht enthalten. Kein universelles Fristenprofil.</t>
  </si>
  <si>
    <t>MAP-NW-RTG-ALL-PROCEDURE</t>
  </si>
  <si>
    <t>MAP-NW-RTG-ALL-LABOUR</t>
  </si>
  <si>
    <t>NG 921.1 Art. 2 Abs. 2</t>
  </si>
  <si>
    <t>MAP-ZG-RLG-ALL-REST</t>
  </si>
  <si>
    <t>Neun explizite Feiertage aus § 1 plus die drei im Ladenöffnungsrecht § 5 Abs. 2 benannten Sonntage Ostern, Pfingsten, Bettag. Keine eigenständige gesetzliche Kategorie hohe Feiertage behauptet. VRG-Liste separat. Kein universelles Fristenprofil.</t>
  </si>
  <si>
    <t>MAP-ZG-RLG-ALL-PROCEDURE</t>
  </si>
  <si>
    <t>MAP-ZG-RLG-ALL-LABOUR</t>
  </si>
  <si>
    <t>BGS 942.31 § 1 Abs. 2</t>
  </si>
  <si>
    <t>MAP-GL-RTG-ALL-REST</t>
  </si>
  <si>
    <t>Unvollständiges Datumsprofil. 12 der 13 benannten RTG-Tage berechenbar. Fahrtsfest fehlt bewusst wegen GAP-GL-FAHRT-APRIL. Keine Einmalregel oder unbedingte April-Donnerstagsregel als ewiger Ersatz. Kantonale Fach-/Produktfreigabe offen. Kein universelles Fristenprofil.</t>
  </si>
  <si>
    <t>MAP-GL-RTG-ALL-PROCEDURE</t>
  </si>
  <si>
    <t>MAP-GL-RTG-ALL-LABOUR</t>
  </si>
  <si>
    <t>Art. 2 Abs. 5 stellt die nicht auf Sonntag fallenden öffentlichen Ruhetage arbeitsrechtlich gleich. Fahrtsfest bleibt GAP-GL-FAHRT-APRIL. Diese Bedingung begründet keine allgemeine Fristenwirkung und erzeugt keinen Ersatzmontag.</t>
  </si>
  <si>
    <t>GS IX B/21/1 Art. 2 Abs. 5</t>
  </si>
  <si>
    <t>MAP-LU-RLG-ALL-LOCAL-OUT</t>
  </si>
  <si>
    <t>Kommunal erklärte zusätzliche Feiertage, nicht erhoben</t>
  </si>
  <si>
    <t>Kantonale Ermächtigung ersetzt die notwendige kommunale Festlegung nicht. Selbständige kommunale Normen sind ausserhalb des bestätigten Auftrags. Keine pauschale Aussage, sie seien in allen Verfahren bedeutungslos.</t>
  </si>
  <si>
    <t>SRL 855 § 1a Abs. 1 Bst. c</t>
  </si>
  <si>
    <t>MAP-UR-LSG-ALL-LOCAL-OUT</t>
  </si>
  <si>
    <t>RB 70.1421 Art. 9 Abs. 1 Bst. c</t>
  </si>
  <si>
    <t>MAP-SZ-RTG-ALL-LOCAL-OUT</t>
  </si>
  <si>
    <t>SRSZ 545.110 § 2 Abs. 1 Ziff. 4</t>
  </si>
  <si>
    <t>MAP-OW-RTG-ALL-LOCAL-OUT</t>
  </si>
  <si>
    <t>GDB 975.2 Art. 2 Abs. 2</t>
  </si>
  <si>
    <t>MAP-NW-RTG-ALL-LOCAL-OUT</t>
  </si>
  <si>
    <t>NG 921.1 Art. 2 Abs. 1 Ziff. 4</t>
  </si>
  <si>
    <t>MAP-LU-JUSG-ART76-PROCEDURE</t>
  </si>
  <si>
    <t>JusG, eigene Liste für ZPO/StPO</t>
  </si>
  <si>
    <t>13 eigene gesetzlich anerkannte Feiertage für Art. 142 Abs. 3 ZPO und Art. 90 Abs. 2 StPO. Nicht aus der arbeitsrechtlichen Liste abgeleitet. Gesetzliche Ortsanknüpfung und Spezialrecht bleiben zu prüfen. Fachabnahme und Produktzuordnung bleiben offen.</t>
  </si>
  <si>
    <t>MAP-LU-VRG-ADDITIONAL-PROCEDURE</t>
  </si>
  <si>
    <t>VRG, drei zusätzliche Fristentage</t>
  </si>
  <si>
    <t>Nur die drei Zusatztage. Keine vollständige VRG-Liste. Öffentliche Ruhetage aus LU-RLG-ALL separat anzuknüpfen, Patroziniumsfest und Josefstag ausdrücklich ausgenommen. Rückwärtsfristen nach Abs. 2 separat. Fachabnahme und Produktzuordnung bleiben offen.</t>
  </si>
  <si>
    <t>MAP-ZG-VRG-ART10-PROCEDURE</t>
  </si>
  <si>
    <t>VRG, eigene Fristenliste</t>
  </si>
  <si>
    <t>16 eigenständig aufgezählte Tage. Einschliesslich Berchtoldstag, Oster- und Pfingstmontag sowie Stephanstag. Diese Liste ist nicht auf das allgemeine Ruhe-/Arbeitsrecht zu übertragen. Bundesrecht bleibt vorbehalten. Fachabnahme und Produktzuordnung bleiben offen.</t>
  </si>
  <si>
    <t>MAP-GL-FAHRT-GAP</t>
  </si>
  <si>
    <t>GAP-GL-FAHRT-APRIL, nicht berechneter Feiertag</t>
  </si>
  <si>
    <t>GAP-GL-FAHRT-APRIL: Feiertag rechtlich belegt. Erster Donnerstag im April, bei Karwoche eine Woche später. 2026 amtlich 9. April. Bedingte Datumslogik fehlt in Vertrag 0.5.0. Nicht durch feste Einzeldaten oder eine unbedingte Formel ersetzt.</t>
  </si>
  <si>
    <t>GS IX B/21/1 Art. 2 Abs. 1b / GS I A/3/1 Art. 7 / RR 06.01.2026</t>
  </si>
  <si>
    <t>MAP-BS-RLG-ALL</t>
  </si>
  <si>
    <t>Allgemeine Ruhe- und Feiertagsordnung</t>
  </si>
  <si>
    <t>Normkategorie, Verfahrensordnung und gesetzlicher Ortsbezug getrennt prüfen. Erfassung ist keine Aktivierung. Keine Übernahme von Personalferien, Fasnacht oder allgemeinen Ladenschliessungen.</t>
  </si>
  <si>
    <t>MAP-BL-RTG-ALL</t>
  </si>
  <si>
    <t>MAP-VD-LEMP-ALL</t>
  </si>
  <si>
    <t>Arbeitsrechtliche Sonntagsgleichstellung</t>
  </si>
  <si>
    <t>MAP-NE-LDJF-BASE</t>
  </si>
  <si>
    <t>MAP-NE-LANDERON-ADDITIONAL</t>
  </si>
  <si>
    <t>MAP-NE-LPA-ADDITIONAL</t>
  </si>
  <si>
    <t>LPA-Verfahren, ausdrückliche Feiertagsgleichstellung</t>
  </si>
  <si>
    <t>Art. 33 Abs. 3 LPA verweist auf Verwaltungsschliessung. Acht feste Zusatzdaten nach RDF Art. 11 Abs. 1. Nur mit Grundliste und territorialer Prüfung verwenden. Keine Freigabe für sämtliche Bundesverfahren.</t>
  </si>
  <si>
    <t>MAP-JU-LJF-OFFICIAL</t>
  </si>
  <si>
    <t>MAP-JU-LJF-LABOUR</t>
  </si>
  <si>
    <t>MAP-BL-MUNICIPAL-EXCLUSION</t>
  </si>
  <si>
    <t>Selbständiges kommunales Recht nach § 3 RTG</t>
  </si>
  <si>
    <t>Ausserhalb des beschlossenen Erhebungsscope. Kein Schluss, dass kommunale Tage in allen denkbaren Verfahren rechtlich irrelevant seien.</t>
  </si>
  <si>
    <t>SGS 547 § 3</t>
  </si>
  <si>
    <t>MAP-NE-PENDING-SUNDAY-SUBSTITUTION</t>
  </si>
  <si>
    <t>NE-PENDING-SUNDAY-SUBSTITUTION, bedingte allgemeine Zusatzfeiertage</t>
  </si>
  <si>
    <t>2. Januar und 26. Dezember nur wenn Neujahr beziehungsweise Weihnachten Sonntag ist. Vertrag 0.5.0 kann diese Bedingung nicht ausdrücken. Keine falschen jährlichen Fixregeln. 2026–2028 entsteht aus dieser Regel kein zusätzlicher allgemeiner Feiertag.</t>
  </si>
  <si>
    <t>RSN 941.02 Art. 3 Abs. 1</t>
  </si>
  <si>
    <t>MAP-NE-PENDING-COMPENSATION</t>
  </si>
  <si>
    <t>NE-PENDING-COMPENSATION, zusätzliche Verwaltungsschliessungen</t>
  </si>
  <si>
    <t>RDF Art. 11 Abs. 2 erlaubt zusätzliche Ausgleichstage. Konkrete jährliche Beschlüsse wurden nicht vollständig erhoben. Über LPA Art. 33 Abs. 3 möglicherweise fristrelevant, deshalb LPA-Profil nicht als vollständigen ewigen Kalender freigeben.</t>
  </si>
  <si>
    <t>RSN 152.512 Art. 11 Abs. 2 / RSN 152.130 Art. 33 Abs. 3</t>
  </si>
  <si>
    <t>MAP-VD-PERSONAL-EXCLUSION</t>
  </si>
  <si>
    <t>Zusätzlicher verschiebbarer Personaltag</t>
  </si>
  <si>
    <t>Art. 123 RLPers nennt grundsätzlich 26. Dezember als zusätzlichen Personaltag und erlaubt Verlegung. Nicht Teil der LEmp-Neunerliste, keine universelle Fristenwirkung oder jährliche feste Kalenderregel abgeleitet.</t>
  </si>
  <si>
    <t>Amtliche VD-Jahresseiten, Abschnitt zu Art. 123 RLPers</t>
  </si>
  <si>
    <t>MAP-JU-NORM-VS-CALENDAR</t>
  </si>
  <si>
    <t>Allgemeine Feiertage versus engere Art.-4-Liste</t>
  </si>
  <si>
    <t>15 namentliche Art.-3-Tage, davon 13 auf amtlicher Jahresliste ohne Ostern/Pfingstsonntag. Arbeitsaussage ausschliesslich aus Art. 4, nicht aus verlorener Hervorhebung im PDF-Text. Saint-Martin-Montag ausdrücklich kein Feiertag.</t>
  </si>
  <si>
    <t>RSJU 555.1 Art. 3, 4 und 9 / amtliche Jahresliste 2026–2027</t>
  </si>
  <si>
    <t>Quellenprüfung nach AP13</t>
  </si>
  <si>
    <t>Vorbereitete Prüfnotizen, keine Erweiterung des freigegebenen append-only-Protokolls.</t>
  </si>
  <si>
    <t>Prüf-ID</t>
  </si>
  <si>
    <t>Auslöser</t>
  </si>
  <si>
    <t>Ergebnis</t>
  </si>
  <si>
    <t>Vergleichsbasis</t>
  </si>
  <si>
    <t>Befund</t>
  </si>
  <si>
    <t>Ereignisstatus</t>
  </si>
  <si>
    <t>Fachverantwortung</t>
  </si>
  <si>
    <t>Arbeitsinstrument</t>
  </si>
  <si>
    <t>Nächster Schritt</t>
  </si>
  <si>
    <t>AP18A-20260913-CH</t>
  </si>
  <si>
    <t>newScope</t>
  </si>
  <si>
    <t>unchanged</t>
  </si>
  <si>
    <t>Art. 1 und aktuelle Fassung im Original verglichen</t>
  </si>
  <si>
    <t>candidate</t>
  </si>
  <si>
    <t>David Steimer</t>
  </si>
  <si>
    <t>Codex</t>
  </si>
  <si>
    <t>Prüfereignis fachlich abnehmen</t>
  </si>
  <si>
    <t>AP18A-20260913-BE</t>
  </si>
  <si>
    <t>Art. 2 und aktuelle Fassung im Original verglichen</t>
  </si>
  <si>
    <t>AP18A-20260913-AG</t>
  </si>
  <si>
    <t>unclear</t>
  </si>
  <si>
    <t>Regionale Arbeitsfeiertage sind kein generischer Fristenkalender</t>
  </si>
  <si>
    <t>AG-Fristenanknüpfung separat prüfen</t>
  </si>
  <si>
    <t>AP18A-20260913-AG-ZPO</t>
  </si>
  <si>
    <t>Prozessuale Liste getrennt von regionalem Arbeitsrecht führen</t>
  </si>
  <si>
    <t>Anwendungsbereich und Quellenstand abnehmen</t>
  </si>
  <si>
    <t>AP18B-AG-EGARR-20260913</t>
  </si>
  <si>
    <t>Normtext gegenüber AP18A unverändert. Acht Normzweige von § 6 Abs. 1 jetzt vollständig erfasst</t>
  </si>
  <si>
    <t>Vollständigen Erfassungsumfang und räumliche Zuordnungen fachlich abnehmen</t>
  </si>
  <si>
    <t>AP18B-AG-EGZPO-20260913</t>
  </si>
  <si>
    <t>Normtext gegenüber AP18A unverändert. Liste der 14 Tage von § 21 Abs. 1 jetzt vollständig erfasst</t>
  </si>
  <si>
    <t>Vollständigen Erfassungsumfang sowie Orts-/Profilanknüpfung fachlich abnehmen</t>
  </si>
  <si>
    <t>AP18B-AG-AWA-20260913</t>
  </si>
  <si>
    <t>Acht Normzweige gegen undatierte AWA-Übersicht abgeglichen, Quellenprüfung als Kandidat</t>
  </si>
  <si>
    <t>Fachabnahme des vollständigen AG-Erfassungsstands und Verfahrensanknüpfung offen</t>
  </si>
  <si>
    <t>AP18B-TI-GR-01-20260913</t>
  </si>
  <si>
    <t>15 offizielle Tage. IT amtlich, DE/FR Produktübersetzungen. Acht RG-Namen auf Nutzerwunsch provisorisch ergänzt. Sprachbelege separat dokumentiert, keine amtliche TI-Sprachfassung. Rechtsprüfung und Fachstatus unverändert.</t>
  </si>
  <si>
    <t>Fachabnahme der Erhebung offen. Sprachbeleg ersetzt keine Verfahrensfreigabe.</t>
  </si>
  <si>
    <t>AP18B-TI-GR-02-20260913</t>
  </si>
  <si>
    <t>Arbeitsrechtliche Gruppen 9/6 separat. Alle 15 bleiben offiziell. Kein Ausschluss der sechs Tage aus LPAmm. Kein gesonderter Fassungsstand ausgewiesen, Inkrafttreten 01.06.2011. Erstaufnahme als Prüfgrundlage, kein behaupteter Vergleich mit früherem freigegebenem TI-/GR-Stand.</t>
  </si>
  <si>
    <t>AP18B-TI-GR-03-20260913</t>
  </si>
  <si>
    <t>Art. 13 Abs. 3 erfasst offiziell anerkannte Feiertage. Sonderrecht Art. 1 Abs. 2 und Ausschluss von Titel II nach Art. 1 Abs. 3 bleiben vorbehalten. Erstaufnahme als Prüfgrundlage, kein behaupteter Vergleich mit früherem freigegebenem TI-/GR-Stand.</t>
  </si>
  <si>
    <t>AP18B-TI-GR-04-20260913</t>
  </si>
  <si>
    <t>DE amtlich. IT/RM separat belegt, FR Produktübersetzung. Art. 2 Abs. 2: hohe Tage samt drei benannten Sonntagen. Bundesfeier aus Bundesregel, lokale Ruhetage nicht erfasst. Erstaufnahme als Prüfgrundlage, kein behaupteter Vergleich mit früherem freigegebenem TI-/GR-Stand.</t>
  </si>
  <si>
    <t>AP18B-TI-GR-05-20260913</t>
  </si>
  <si>
    <t>Bestätigte Projektannahme nur für Art.-1-VRG-Kontext vor kantonalen Behörden: zusätzliche lokale Ruhetage werden nicht erhoben. Art. 7 Abs. 2 schliesst sie nicht ausdrücklich aus. Örtliche Fristenwirkung bleibt OF-008, keine automatische Berechenbarkeit. Erstaufnahme als Prüfgrundlage, kein behaupteter Vergleich mit früherem freigegebenem TI-/GR-Stand.</t>
  </si>
  <si>
    <t>AP18B-TI-GR-06-20260913</t>
  </si>
  <si>
    <t>Sprachbeleg IT: unter anderem Domenica di Pasqua, Domenica di Pentecoste und Festa federale di preghiera. Keine zusätzliche Rechtswirkung durch Sprachübernahme. Erstaufnahme als Prüfgrundlage, kein behaupteter Vergleich mit früherem freigegebenem TI-/GR-Stand.</t>
  </si>
  <si>
    <t>AP18B-TI-GR-07-20260913</t>
  </si>
  <si>
    <t>Amtliche RG-Namen. Anzeige teilweise ohne Satzartikel und mit grossem Anfangsbuchstaben. Gemeinsame TI-Namen übernehmen nur diesen Sprachbeleg, nicht GR-Recht. Erstaufnahme als Prüfgrundlage, kein behaupteter Vergleich mit früherem freigegebenem TI-/GR-Stand.</t>
  </si>
  <si>
    <t>AP18B-TI-GR-08-20260913</t>
  </si>
  <si>
    <t>Amtlicher Beleg des Kantonsnamens Grischun. Eigenständiger Sprachbeleg, keine zusätzliche Freigabe der Verfahrenszuordnung. Erstaufnahme als Prüfgrundlage, kein behaupteter Vergleich mit früherem freigegebenem TI-/GR-Stand.</t>
  </si>
  <si>
    <t>AP18B-TI-GR-09-20260913</t>
  </si>
  <si>
    <t>Datumskontrolle 2026/2027. Die Ausprägung 2028 ist regelbasiert abgeleitet, keine behauptete amtliche Jahresliste 2028. Erstaufnahme als Prüfgrundlage, kein behaupteter Vergleich mit früherem freigegebenem TI-/GR-Stand.</t>
  </si>
  <si>
    <t>AP18B-TI-GR-10-20260913</t>
  </si>
  <si>
    <t>Nur Sprachbeleg für Festa naziunala svizra. Der Veranstaltungsbezug 2026 ist kein Normstand. Rechtsgrundlage bleibt die bestehende Bundesquelle. Erstaufnahme als Prüfgrundlage, kein behaupteter Vergleich mit früherem freigegebenem TI-/GR-Stand.</t>
  </si>
  <si>
    <t>AP18B-TI-GR-11-20260913</t>
  </si>
  <si>
    <t>Amtlicher Beleg des Kantonsnamens Tessin. Undatierte Webseite, nur Namensbeleg, keine Feiertagsnorm. Erstaufnahme als Prüfgrundlage, kein behaupteter Vergleich mit früherem freigegebenem TI-/GR-Stand.</t>
  </si>
  <si>
    <t>AP18B-VS-GE-01-20260913</t>
  </si>
  <si>
    <t>Kantonales Ruhegesetz. Gebotene Feiertage über Diözese und Reglement bestimmt. Keine Personalurlaubsliste und keine universelle Prozesszuordnung. Erstaufnahme in diesen Quellenbatch, kein behaupteter Vorher-Nachher-Normvergleich.</t>
  </si>
  <si>
    <t>Fachabnahme, Quellenabgrenzung und konkrete Verfahrenszuordnung offen. Keine Runtime-Freigabe.</t>
  </si>
  <si>
    <t>AP18B-VS-GE-02-20260913</t>
  </si>
  <si>
    <t>Acht namentliche Tage erhoben. Das französische notamment wird nicht als abschliessende diözesane Feiertagsvollerhebung umgedeutet. Bundesfeier separat aus SR 116. IT/RM nur provisorische gemeinsame Produktnamen. Erstaufnahme in diesen Quellenbatch, kein behaupteter Vorher-Nachher-Normvergleich.</t>
  </si>
  <si>
    <t>AP18B-VS-GE-03-20260913</t>
  </si>
  <si>
    <t>Acht kantonale Sonntagsgleichstellungen im Sinne von Art. 20a ArG. Datumsgegenkontrolle der Grundliste, kein eigenständiger Nachweis der Prozesswirkung. Erstaufnahme in diesen Quellenbatch, kein behaupteter Vorher-Nachher-Normvergleich.</t>
  </si>
  <si>
    <t>AP18B-VS-GE-04-20260913</t>
  </si>
  <si>
    <t>Aktuelle Version 3260, Änderung beschlossen 07.09.2023. Vier zusätzliche Tage nach Bst. c getrennt erfasst. Behörden-/Verfahrensbezug und Bundesrechtsvorrang bleiben vor Automatik zu prüfen. Erstaufnahme in diesen Quellenbatch, kein behaupteter Vorher-Nachher-Normvergleich.</t>
  </si>
  <si>
    <t>AP18B-VS-GE-05-20260913</t>
  </si>
  <si>
    <t>Nur Abgrenzungsbeleg aus dem Personalbesoldungsrecht. Karfreitag, Personalhalbtage und zusätzliche arbeitsfreie Tage werden nicht als allgemeine Feiertage oder Prozessergänzungen übernommen. Erstaufnahme in diesen Quellenbatch, kein behaupteter Vorher-Nachher-Normvergleich.</t>
  </si>
  <si>
    <t>AP18B-VS-GE-06-20260913</t>
  </si>
  <si>
    <t>Neun gesetzliche Feiertage. Sonntagsfolgetag nach Abs. 2 nur für nicht dem ArG unterstellte Unternehmen. Keine allgemeine Folgetagsautomatik. FR-Namen normnah, DE Produktnamen, IT/RM gemeinsame Namen nur provisorisch. Erstaufnahme in diesen Quellenbatch, kein behaupteter Vorher-Nachher-Normvergleich.</t>
  </si>
  <si>
    <t>AP18B-VS-GE-07-20260913</t>
  </si>
  <si>
    <t>Datumskontrolle, kein Normfassungsdatum. Textliche Folgetagshinweise nicht über den begrenzten Anwendungsbereich von Art. 1 Abs. 2 LJF hinaus verallgemeinern. Erstaufnahme in diesen Quellenbatch, kein behaupteter Vorher-Nachher-Normvergleich.</t>
  </si>
  <si>
    <t>AP18B-VS-GE-08-20260913</t>
  </si>
  <si>
    <t>Entscheiddatum, kein Normstand. Im vorgängigen Modellcheck amtlich abgeglichener Volltext. Erneuter Entscheidsuche-Abruf im Erfassungsteil toolseitig gesperrt. Konkreter StPO-Fall, kantonale Auslegung unter Willkürmassstab, keine Aussage zu sämtlichen Prozessordnungen. Erstaufnahme in diesen Quellenbatch, kein behaupteter Vorher-Nachher-Normvergleich.</t>
  </si>
  <si>
    <t>AP18B-VS-GE-09-20260913</t>
  </si>
  <si>
    <t>Publikationsdatum der Informationsseite, kein Normstand. Amtlicher IT-Sprachbeleg ausschliesslich für die Kantonsnamen, keine Feiertags- oder Prozessgrundlage. Erstaufnahme in diesen Quellenbatch, kein behaupteter Vorher-Nachher-Normvergleich.</t>
  </si>
  <si>
    <t>AP18B-VS-GE-10-20260913</t>
  </si>
  <si>
    <t>Amtlicher RG-Sprachbeleg ausschliesslich für die Kantonsnamen Genevra und Vallais. Historische Kartendarstellung, kein Feiertagsrecht und kein normativer Fassungsstand. Erstaufnahme in diesen Quellenbatch, kein behaupteter Vorher-Nachher-Normvergleich.</t>
  </si>
  <si>
    <t>AP18B03-FRSO-SOURCE-01</t>
  </si>
  <si>
    <t>Erlass 06.10.2010. Geltende Fassung seit 01.01.2020. Vier gemeinsame und je vier regionale arbeitsrechtliche Tage. Bundesanwendung separat offen. Gebietsliste amtlicher Seite über geprüfte Quellenbeziehung. Sprachprüfung offen. Gemeinsame IT/RM-Namen aus dem geprüften TI/GR-Bestand nur als provisorische Produktnamen übernommen. Keine amtliche FR-/SO-Sprachfassung behauptet. Berchtold IT/RM und Scope-Übersetzungen sind eigene provisorische Vorschläge. Neuaufnahme als Prüfgrundlage, kein behaupteter Vergleich mit einem früher freigegebenen FR-/SO-Paket.</t>
  </si>
  <si>
    <t>Fach-, Sprach- und Verfahrensabnahme offen. Teilumfang SO und regionale Quellenbeziehung FR ausdrücklich prüfen.</t>
  </si>
  <si>
    <t>AP18B03-FRSO-SOURCE-02</t>
  </si>
  <si>
    <t>Amtlicher FR-Sprachabgleich. Produktanzeige normalisiert Schreibweisen. Lendemain du Nouvel-An und lendemain de Noël werden nicht als zusätzliche Tage erfasst. Neuaufnahme als Prüfgrundlage, kein behaupteter Vergleich mit einem früher freigegebenen FR-/SO-Paket.</t>
  </si>
  <si>
    <t>AP18B03-FRSO-SOURCE-03</t>
  </si>
  <si>
    <t>Erlass 31.05.2010. Fassung seit 01.01.2024. Eigene kantonsweite Liste von 15 Tagen einschliesslich Ostern, Pfingsten und 1. August. Strafrechtliche Stundenfristen nach Abs. 3 ausgenommen. Keine pauschale Bundesverfahrensfreigabe. Sprachprüfung offen. Gemeinsame IT/RM-Namen aus dem geprüften TI/GR-Bestand nur als provisorische Produktnamen übernommen. Keine amtliche FR-/SO-Sprachfassung behauptet. Berchtold IT/RM und Scope-Übersetzungen sind eigene provisorische Vorschläge. Neuaufnahme als Prüfgrundlage, kein behaupteter Vergleich mit einem früher freigegebenen FR-/SO-Paket.</t>
  </si>
  <si>
    <t>AP18B03-FRSO-SOURCE-04</t>
  </si>
  <si>
    <t>Amtlicher FR-Sprachabgleich der eigenen Liste. Vier Feiertag-/Folgetagspaare plus sieben weitere Tage, zusammen 15. Kalendertagsnamen für numerisch genannte Daten sind Produktbezeichnungen. Neuaufnahme als Prüfgrundlage, kein behaupteter Vergleich mit einem früher freigegebenen FR-/SO-Paket.</t>
  </si>
  <si>
    <t>AP18B03-FRSO-SOURCE-05</t>
  </si>
  <si>
    <t>Seitenänderung 06.07.2026, kein Normversionsdatum. Zehn Gemeinden und nur Flamatt/Sensebrügg in Wünnewil-Flamatt. Anwendungsbeleg zu Art. 49 BAMG, kein separat verifizierter Staatsratsbeschluss. 18 Datumswerte 2026 abgeglichen. Freiwillige arbeitsfreie Tage ausgeschlossen. Neuaufnahme als Prüfgrundlage, kein behaupteter Vergleich mit einem früher freigegebenen FR-/SO-Paket.</t>
  </si>
  <si>
    <t>AP18B03-FRSO-SOURCE-06</t>
  </si>
  <si>
    <t>Erlass 18.05.2014, seit 01.09.2014 geltend. Aktuelle Liste in § 2, nicht alter § 1. 1. Mai ab 12.00 Uhr. Drei Tage ausser Bezirk Bucheggberg. Kommunale Ruhetage nach § 2 Abs. 2 nicht erhoben. Sprachprüfung offen. Gemeinsame IT/RM-Namen aus dem geprüften TI/GR-Bestand nur als provisorische Produktnamen übernommen. Keine amtliche FR-/SO-Sprachfassung behauptet. Berchtold IT/RM und Scope-Übersetzungen sind eigene provisorische Vorschläge. Neuaufnahme als Prüfgrundlage, kein behaupteter Vergleich mit einem früher freigegebenen FR-/SO-Paket.</t>
  </si>
  <si>
    <t>AP18B03-FRSO-SOURCE-07</t>
  </si>
  <si>
    <t>Aktuelle amtliche Informationsseite, ohne eigenen Normstand. Nennt 1. Mai ab 12.00 Uhr ausdrücklich im Fristenkontext. Keine Freigabe einer ganztägigen Verschiebung für alle Verfahren. Nicht als Arbeits-/Ladenöffnungskalender verwenden. Neuaufnahme als Prüfgrundlage, kein behaupteter Vergleich mit einem früher freigegebenen FR-/SO-Paket.</t>
  </si>
  <si>
    <t>AP18B03-FRSO-SOURCE-08</t>
  </si>
  <si>
    <t>Historisch, nicht geltender RTG-Stand. Feiertage und gleichbehandelte Tage im Kontext des Europäischen Fristenübereinkommens unterscheiden. 1. Mai und regionale Gleichstellungen nicht als universelle heutige Freigabe übernehmen. Hinweise Stand 17.12.2012 begrenzen den Kontext. Neuaufnahme als Prüfgrundlage, kein behaupteter Vergleich mit einem früher freigegebenen FR-/SO-Paket.</t>
  </si>
  <si>
    <t>AP18B03-FRSO-SOURCE-09</t>
  </si>
  <si>
    <t>Amtlicher Namensbeleg für Friburgo und Soletta. Undatierte Linkliste, keine Feiertagsnorm oder sprachliche Fachabnahme des Produkts. Neuaufnahme als Prüfgrundlage, kein behaupteter Vergleich mit einem früher freigegebenen FR-/SO-Paket.</t>
  </si>
  <si>
    <t>AP18B03-FRSO-SOURCE-10</t>
  </si>
  <si>
    <t>Amtlicher Namensbeleg Friburg und Soloturn. Publikationsjahr 2025, kein präzises Versionsdatum und keine Feiertagsnorm. Neuaufnahme als Prüfgrundlage, kein behaupteter Vergleich mit einem früher freigegebenen FR-/SO-Paket.</t>
  </si>
  <si>
    <t>AP18B04-EAST-SOURCE-01</t>
  </si>
  <si>
    <t>Erlass 26.06.2000. Aktueller Nachtrag 045 laut ZH-Lex, Publikationsstand 01.07.2004, einzelne letzte Inkraftsetzung 01.05.2004. Drei hohe Sonntage ergänzen die neun Nichtsonntagstage.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t>
  </si>
  <si>
    <t>Fachliche Abnahme und konkrete Verfahrenszuordnung offen.</t>
  </si>
  <si>
    <t>AP18B04-EAST-SOURCE-02</t>
  </si>
  <si>
    <t>Erlass 10.05.2010. Aktueller Nachtrag 131 und zehn Tage unmittelbar im geltenden PDF gelesen. GOG-Berchtoldstag nicht in die RLG-Arbeitsfeiertagsliste übertragen.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t>
  </si>
  <si>
    <t>AP18B04-EAST-SOURCE-03</t>
  </si>
  <si>
    <t>Neun arbeitsrechtliche Feiertage, Datumsvergleich 2026. Die Seite warnt ausdrücklich vor Verwechslung mit BJ-Fristenverzeichnis. Berchtoldstag, Sechseläuten und Knabenschiessen arbeitsrechtlich nicht allgemein gesetzlich.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t>
  </si>
  <si>
    <t>AP18B04-EAST-SOURCE-04</t>
  </si>
  <si>
    <t>Erlass 05.12.1977. Neun Nichtsonntagstage einschliesslich 1. Mai, drei benannte hohe Sonntage. Art. 1 Abs. 2 verweist für arbeitsrechtliche Gleichstellung auf separate Verordnung, kein personeller Kalender.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t>
  </si>
  <si>
    <t>AP18B04-EAST-SOURCE-05</t>
  </si>
  <si>
    <t>Entscheidsdatum, kein Normversionsdatum. Amtlicher Volltext plus Entscheidsuche und OpenCaseLaw abgeglichen. Berchtoldstag für Art. 142 Abs. 3 ZPO anerkannt. Publikationsdatum 02.02.2021 nicht als Entscheidsdatum übernehmen.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t>
  </si>
  <si>
    <t>AP18B04-EAST-SOURCE-06</t>
  </si>
  <si>
    <t>Neuer Erlass vom 05.02.2025, in Kraft 01.01.2026. Zehn namentliche Nichtsonntagstage einschliesslich 2. Januar und 1. Mai. Hohe Sonntage einzeln, keine Sonntagsserie.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t>
  </si>
  <si>
    <t>AP18B04-EAST-SOURCE-07</t>
  </si>
  <si>
    <t>Erlass 29.06.2004, PDF-Stand 22.01.2008. Neun namentliche Nichtsonntagstage plus drei hohe Sonntage. Allerheiligen enthalten, Berchtoldstag fehlt in der RLG-Liste.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t>
  </si>
  <si>
    <t>AP18B04-EAST-SOURCE-08</t>
  </si>
  <si>
    <t>Entscheidsdatum, kein Normversionsdatum. Volltext via OpenCaseLaw und amtliche Publikationsmetadaten/Entscheidsuche. Ein OpenCaseLaw-Datensatz ordnet fälschlich das Vorinstanzdatum 24.11.2011 zu, Titel und Volltext nennen 29.03.2012. Nur ZPO-Ergänzung, keine allgemeine Feiertagsfreigabe.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t>
  </si>
  <si>
    <t>AP18B04-EAST-SOURCE-09</t>
  </si>
  <si>
    <t>Erlass 21.02.1966. Zweiter Weihnachtstag entfällt bei Weihnachten Montag oder Freitag. Sieben regelbasierte Einträge einschliesslich Bundesanwendung, bedingter Stephanstag bewusst nicht als fixe Jahresregel erfasst.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t>
  </si>
  <si>
    <t>AP18B04-AR-STEPHAN-CONDITION: Kein zweiter Weihnachtstag bei Weihnachten Montag oder Freitag. Vertrag 0.5.0 enthält keine Wochentagsbedingung. Nicht generiert, auch keine jahresweise Scheinlösung.</t>
  </si>
  <si>
    <t>AP18B04-EAST-SOURCE-10</t>
  </si>
  <si>
    <t>Erlass 25.04.1982. Drei weitere lokale Tage kantonsweit, St. Mauritius nur innerer Landesteil. Stephanstag nur ohne drei aufeinanderfolgende Ruhetage. Bedingung unter 0.5.0 nicht generierbar, Widerspruch zur Liste 26.12.2026 offen.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t>
  </si>
  <si>
    <t>AP18B04-AI-STEPHAN-CONDITION: Drei aufeinanderfolgende Ruhetage schliessen die Feier aus. Bedingung nicht abgebildet, amtliche Liste nennt trotzdem 26.12.2026. Quellenkonflikt und technische Grenze vor Erfassung auflösen.</t>
  </si>
  <si>
    <t>AP18B04-EAST-SOURCE-11</t>
  </si>
  <si>
    <t>Amtliche Erläuterung bestätigt Bedingung des Stephanstags und Unterschied kantonaler lokaler Ruhetage zur arbeitsrechtlichen Gleichstellung. 2. Januar, Freitag nach Auffahrt, 24. und 31. Dezember sind gesonderte Schliessungstage und werden nicht als allgemeine Feiertage erzeugt.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t>
  </si>
  <si>
    <t>AP18B04-EAST-SOURCE-12</t>
  </si>
  <si>
    <t>Datumsbeleg für St. Mauritius. Liste nennt Stephanstag 26.12.2026 als Sonntagsgleichstellung trotz Freitags-Weihnachten. Möglicher Widerspruch zu Art. 2 Abs. 1 Bst. b, nicht durch Annahme aufgelöst. Nur kommende Jahrestermine, keine vollständige Jahresliste.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t>
  </si>
  <si>
    <t>AP18B04-EAST-SOURCE-13</t>
  </si>
  <si>
    <t>Territorialer Beleg für inneren Landesteil: Appenzell, Schwende-Rüte, Schlatt-Haslen und Gonten. Oberegg separat. Fussnoten ordnen Wonnenstein statistisch Schlatt-Haslen, Grimmenstein Oberegg zu, keine eigene Normauslegung zur Feiertagsgeltung auf Klosterparzellen.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t>
  </si>
  <si>
    <t>AP18B04-EAST-SOURCE-14</t>
  </si>
  <si>
    <t>Materialie, kein aktueller Erlass. Erläutert kantonale gesetzliche Verankerung der lokalen Tage und nennt Samstag/Dienstag als Ausschluss des Stephanstags. Stützt Quellenkonflikt zur 2026-Liste, ersetzt keine heutige Norm. Keine Reformideen übernommen.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t>
  </si>
  <si>
    <t>AP18B04-CENTRAL-SOURCE-01</t>
  </si>
  <si>
    <t>Erlass 23.11.1987. Aktiver Stand über amtliche Sammlung und LexFind/Swiss Caselaw abgeglichen. Kommunale Erklärungen nach § 1a Abs. 1c ausgeschlossen. IT/RM-Namen aus dem bestehenden Bestand provisorisch übernommen. Neue Scope-Namen, Kantonsnamen und Bruderklausenfest-Übersetzungen sind provisorische Produkttexte, keine amtlichen Sprachfassungen. Sprachabnahme offen. Neuaufnahme als Prüfgrundlage, keine Fach- oder Produktfreigabe.</t>
  </si>
  <si>
    <t>Quellen-/Profilprüfung und provisorische Sprachnamen abnehmen. Glarus bleibt wegen GAP-GL-FAHRT-APRIL ausdrücklich unvollständig.</t>
  </si>
  <si>
    <t>AP18B04-CENTRAL-SOURCE-02</t>
  </si>
  <si>
    <t>Drei zusätzliche Tage. Öffentliche Ruhetage gelten unter ausdrücklicher Ausnahme Josefstag/Patrozinium. Rückwärtszählung gesondert. Erhebung aktiviert keinen VRG-LU-Rechner. IT/RM-Namen aus dem bestehenden Bestand provisorisch übernommen. Neue Scope-Namen, Kantonsnamen und Bruderklausenfest-Übersetzungen sind provisorische Produkttexte, keine amtlichen Sprachfassungen. Sprachabnahme offen. Neuaufnahme als Prüfgrundlage, keine Fach- oder Produktfreigabe.</t>
  </si>
  <si>
    <t>AP18B04-CENTRAL-SOURCE-03</t>
  </si>
  <si>
    <t>Eigene Liste von 13 Tagen für ZPO/StPO. Geltende Fassung mit Beschluss 20.10.2025 geprüft. Keine allgemeine ArG-Liste. IT/RM-Namen aus dem bestehenden Bestand provisorisch übernommen. Neue Scope-Namen, Kantonsnamen und Bruderklausenfest-Übersetzungen sind provisorische Produkttexte, keine amtlichen Sprachfassungen. Sprachabnahme offen. Neuaufnahme als Prüfgrundlage, keine Fach- oder Produktfreigabe.</t>
  </si>
  <si>
    <t>AP18B04-CENTRAL-SOURCE-04</t>
  </si>
  <si>
    <t>Amtlicher Text nennt Erlass 09.02.2003 und Stand/Inkrafttreten 01.01.2003. Datierung unverändert wiedergegeben. 14 kantonsweite Tage, Gemeindefeiertage separat ausgeschlossen. IT/RM-Namen aus dem bestehenden Bestand provisorisch übernommen. Neue Scope-Namen, Kantonsnamen und Bruderklausenfest-Übersetzungen sind provisorische Produkttexte, keine amtlichen Sprachfassungen. Sprachabnahme offen. Neuaufnahme als Prüfgrundlage, keine Fach- oder Produktfreigabe.</t>
  </si>
  <si>
    <t>AP18B04-CENTRAL-SOURCE-05</t>
  </si>
  <si>
    <t>Acht kantonale arbeitsgesetzliche Feiertage. LSG Art. 10 verweist darauf. Keine Übernahme sämtlicher 14 LSG-Tage in ArG. IT/RM-Namen aus dem bestehenden Bestand provisorisch übernommen. Neue Scope-Namen, Kantonsnamen und Bruderklausenfest-Übersetzungen sind provisorische Produkttexte, keine amtlichen Sprachfassungen. Sprachabnahme offen. Neuaufnahme als Prüfgrundlage, keine Fach- oder Produktfreigabe.</t>
  </si>
  <si>
    <t>AP18B04-CENTRAL-SOURCE-06</t>
  </si>
  <si>
    <t>Amtlicher Listenabgleich 14 LSG-Tage versus neun sonntagsgleiche Tage einschliesslich Bundesfeier. Publikationsstand ist kein eigener Normstand. IT/RM-Namen aus dem bestehenden Bestand provisorisch übernommen. Neue Scope-Namen, Kantonsnamen und Bruderklausenfest-Übersetzungen sind provisorische Produkttexte, keine amtlichen Sprachfassungen. Sprachabnahme offen. Neuaufnahme als Prüfgrundlage, keine Fach- oder Produktfreigabe.</t>
  </si>
  <si>
    <t>AP18B04-CENTRAL-SOURCE-07</t>
  </si>
  <si>
    <t>Erlass 21.11.2001. Letzte im PDF belegte Änderung in Kraft 01.07.2018, PDF-Ausgabe SRSZ 01.02.2019 ist kein neues Inkrafttreten. 17 kantonsweite benannte Tage. IT/RM-Namen aus dem bestehenden Bestand provisorisch übernommen. Neue Scope-Namen, Kantonsnamen und Bruderklausenfest-Übersetzungen sind provisorische Produkttexte, keine amtlichen Sprachfassungen. Sprachabnahme offen. Neuaufnahme als Prüfgrundlage, keine Fach- oder Produktfreigabe.</t>
  </si>
  <si>
    <t>AP18B04-CENTRAL-SOURCE-08</t>
  </si>
  <si>
    <t>Aktuell verlinktes amtliches Merkblatt. Interner Dateiname enthält 20251211, kein eigener Normstand abgeleitet. Kommunal festgelegte Patronstage ausdrücklich nicht übernommen. IT/RM-Namen aus dem bestehenden Bestand provisorisch übernommen. Neue Scope-Namen, Kantonsnamen und Bruderklausenfest-Übersetzungen sind provisorische Produkttexte, keine amtlichen Sprachfassungen. Sprachabnahme offen. Neuaufnahme als Prüfgrundlage, keine Fach- oder Produktfreigabe.</t>
  </si>
  <si>
    <t>AP18B04-CENTRAL-SOURCE-09</t>
  </si>
  <si>
    <t>Erlass 27.04.2007, geltender Stand 01.08.2009. Bruderklausenfest 25.09. ausdrücklich in Abs. 1b. Abs. 3 enthält engere ArG-Liste. IT/RM-Namen aus dem bestehenden Bestand provisorisch übernommen. Neue Scope-Namen, Kantonsnamen und Bruderklausenfest-Übersetzungen sind provisorische Produkttexte, keine amtlichen Sprachfassungen. Sprachabnahme offen. Neuaufnahme als Prüfgrundlage, keine Fach- oder Produktfreigabe.</t>
  </si>
  <si>
    <t>AP18B04-CENTRAL-SOURCE-10</t>
  </si>
  <si>
    <t>Erlass 01.06.2005, geltender Stand 01.01.2016. Dreizehn benannte Tage. Kommunale Reglemente nach Abs. 1 Ziff. 4 sind ausserhalb Erhebung. IT/RM-Namen aus dem bestehenden Bestand provisorisch übernommen. Neue Scope-Namen, Kantonsnamen und Bruderklausenfest-Übersetzungen sind provisorische Produkttexte, keine amtlichen Sprachfassungen. Sprachabnahme offen. Neuaufnahme als Prüfgrundlage, keine Fach- oder Produktfreigabe.</t>
  </si>
  <si>
    <t>AP18B04-CENTRAL-SOURCE-11</t>
  </si>
  <si>
    <t>Erlass 28.08.2003. Aktuelle Fassung Stand 22.08.2025. Neun Feiertage plus drei namentliche Sonntage im Ladenöffnungs-Ausnahmekatalog. Kein gleichlautender VRG-Katalog. IT/RM-Namen aus dem bestehenden Bestand provisorisch übernommen. Neue Scope-Namen, Kantonsnamen und Bruderklausenfest-Übersetzungen sind provisorische Produkttexte, keine amtlichen Sprachfassungen. Sprachabnahme offen. Neuaufnahme als Prüfgrundlage, keine Fach- oder Produktfreigabe.</t>
  </si>
  <si>
    <t>AP18B04-CENTRAL-SOURCE-12</t>
  </si>
  <si>
    <t>Erlass 01.04.1976. Eigene Fristenliste mit 16 Tagen. Aktueller Stand über LexFind/Swiss Caselaw und amtlichen Normtext verifiziert. IT/RM-Namen aus dem bestehenden Bestand provisorisch übernommen. Neue Scope-Namen, Kantonsnamen und Bruderklausenfest-Übersetzungen sind provisorische Produkttexte, keine amtlichen Sprachfassungen. Sprachabnahme offen. Neuaufnahme als Prüfgrundlage, keine Fach- oder Produktfreigabe.</t>
  </si>
  <si>
    <t>AP18B04-CENTRAL-SOURCE-13</t>
  </si>
  <si>
    <t>18 amtliche Datumswerte zur Neuner-Grundliste geprüft. Berchtold, Oster-/Pfingstmontag und Stephanstag sind arbeitsrechtlich nicht automatisch frei. Daraus folgt kein Ausschluss ihrer ausdrücklichen VRG-Fristwirkung. IT/RM-Namen aus dem bestehenden Bestand provisorisch übernommen. Neue Scope-Namen, Kantonsnamen und Bruderklausenfest-Übersetzungen sind provisorische Produkttexte, keine amtlichen Sprachfassungen. Sprachabnahme offen. Neuaufnahme als Prüfgrundlage, keine Fach- oder Produktfreigabe.</t>
  </si>
  <si>
    <t>AP18B04-CENTRAL-SOURCE-14</t>
  </si>
  <si>
    <t>Erlass 06.05.2012. Dreizehn benannte Tage, davon Fahrtsfest in GAP-GL-FAHRT-APRIL ungeklärt modellierbar. Art. 2 Abs. 5 gilt für nicht auf Sonntag fallende Ruhetage. Ladenöffnungsausnahmen erzeugen keine neuen Feiertage. IT/RM-Namen aus dem bestehenden Bestand provisorisch übernommen. Neue Scope-Namen, Kantonsnamen und Bruderklausenfest-Übersetzungen sind provisorische Produkttexte, keine amtlichen Sprachfassungen. Sprachabnahme offen. Neuaufnahme als Prüfgrundlage, keine Fach- oder Produktfreigabe.</t>
  </si>
  <si>
    <t>AP18B04-CENTRAL-SOURCE-15</t>
  </si>
  <si>
    <t>Art. 7 beauftragt den Regierungsrat mit dem jährlichen Programm. Das Gesetz enthält keine ausformulierte April-/Karwochen-Datumsformel. Keine solche Formel als Gesetzeszitat ausgeben. IT/RM-Namen aus dem bestehenden Bestand provisorisch übernommen. Neue Scope-Namen, Kantonsnamen und Bruderklausenfest-Übersetzungen sind provisorische Produkttexte, keine amtlichen Sprachfassungen. Sprachabnahme offen. Neuaufnahme als Prüfgrundlage, keine Fach- oder Produktfreigabe.</t>
  </si>
  <si>
    <t>AP18B04-CENTRAL-SOURCE-16</t>
  </si>
  <si>
    <t>Amtlich 09.04.2026. Erklärung: erster Donnerstag im April, bei Karwoche Verschiebung um eine Woche. Bedingung ist mit Vertrag 0.5.0 nicht als unbefristete Einzelregel abgebildet. GAP-GL-FAHRT-APRIL. IT/RM-Namen aus dem bestehenden Bestand provisorisch übernommen. Neue Scope-Namen, Kantonsnamen und Bruderklausenfest-Übersetzungen sind provisorische Produkttexte, keine amtlichen Sprachfassungen. Sprachabnahme offen. Neuaufnahme als Prüfgrundlage, keine Fach- oder Produktfreigabe.</t>
  </si>
  <si>
    <t>AP18B04-WEST-SOURCE-01</t>
  </si>
  <si>
    <t>Zwölf namentliche Tage, davon vier hohe Feiertage. Bettag seit 2013 übriger Feiertag. Alte Suchtreffer mit fünf hohen Feiertagen verworfen. DE/FR normnahe Produktnamen. IT/RM aus vorhandenen gemeinsamen Namen übernommen oder provisorisch übersetzt. Sprachabnahme offen, keine amtliche IT/RM-Fassung dieser Norm behauptet. Ersterhebung, kein behaupteter Normänderungsvergleich.</t>
  </si>
  <si>
    <t>Fach-, Sprach- und Verfahrensabnahme offen. Keine Produktfreigabe.</t>
  </si>
  <si>
    <t>AP18B04-WEST-SOURCE-02</t>
  </si>
  <si>
    <t>Je neun Datumswerte abgeglichen. Die Jahresliste lässt die drei stets sonntäglichen namentlichen RLG-Tage weg. Kein Widerspruch zur Zwölferliste und keine neue Fristenfreigabe. Ersterhebung, kein behaupteter Normänderungsvergleich.</t>
  </si>
  <si>
    <t>AP18B04-WEST-SOURCE-03</t>
  </si>
  <si>
    <t>Zwölf namentliche kantonale Tage. 1. Mai ganztägig. Selbständige kommunale Feiertage nach § 3 nicht erhoben. Arbeitsrecht und Ruheordnung nicht gleichsetzen. DE/FR normnahe Produktnamen. IT/RM aus vorhandenen gemeinsamen Namen übernommen oder provisorisch übersetzt. Sprachabnahme offen, keine amtliche IT/RM-Fassung dieser Norm behauptet. Ersterhebung, kein behaupteter Normänderungsvergleich.</t>
  </si>
  <si>
    <t>AP18B04-WEST-SOURCE-04</t>
  </si>
  <si>
    <t>Personalquelle nur ergänzend. Fasnacht, Gründonnerstag, Freitag nach Auffahrt, Kompensation und Schliessungen nicht als allgemeine Feiertage übernommen. Gesetz bleibt Primärbeleg. Ersterhebung, kein behaupteter Normänderungsvergleich.</t>
  </si>
  <si>
    <t>AP18B04-WEST-SOURCE-05</t>
  </si>
  <si>
    <t>Neun arbeitsrechtlich sonntagsgleiche Tage. Direktportal lieferte keinen auslesbaren Volltext. Aktiver LexFind-Bestand 20296, amtlicher PDF-Spiegel Version 107233 und DGEM-FAQ 2026 abgeglichen. Kein historischer Siebentage-Stand. DE/FR normnahe Produktnamen. IT/RM aus vorhandenen gemeinsamen Namen übernommen oder provisorisch übersetzt. Sprachabnahme offen, keine amtliche IT/RM-Fassung dieser Norm behauptet. Ersterhebung, kein behaupteter Normänderungsvergleich.</t>
  </si>
  <si>
    <t>AP18B04-WEST-SOURCE-06</t>
  </si>
  <si>
    <t>Jahresausgabe 2026, kein genaues Normdatum. Amtliche aktuelle Neunerliste einschliesslich 2. Januar und Pfingstmontag. Weder der 26. Dezember noch zusätzliche vertragliche freie Tage sind Teil von Art. 47 Abs. 1. Ersterhebung, kein behaupteter Normänderungsvergleich.</t>
  </si>
  <si>
    <t>AP18B04-WEST-SOURCE-07</t>
  </si>
  <si>
    <t>Amtlicher Datumsabgleich der neun Feiertage. Schulferien und zusätzliche verschiebbare Personalferien nach Art. 123 RLPers ausdrücklich nicht übernommen. Ersterhebung, kein behaupteter Normänderungsvergleich.</t>
  </si>
  <si>
    <t>AP18B04-WEST-SOURCE-08</t>
  </si>
  <si>
    <t>AP18B04-WEST-SOURCE-09</t>
  </si>
  <si>
    <t>AP18B04-WEST-SOURCE-10</t>
  </si>
  <si>
    <t>Sechs unbedingte kantonale Tage plus Bundesfeier. Aktiver Volltext über Swiss Caselaw/LexFind 10049, mit amtlicher Liste und Circulaire 2026 abgeglichen. NE-PENDING-SUNDAY-SUBSTITUTION: 2. Januar/26. Dezember nur nach Sonntag, nicht als unbedingte Regeln. DE/FR normnahe Produktnamen. IT/RM aus vorhandenen gemeinsamen Namen übernommen oder provisorisch übersetzt. Sprachabnahme offen, keine amtliche IT/RM-Fassung dieser Norm behauptet. Ersterhebung, kein behaupteter Normänderungsvergleich.</t>
  </si>
  <si>
    <t>AP18B04-WEST-SOURCE-11</t>
  </si>
  <si>
    <t>Kantonaler Erlass bezeichnet ausschliesslich Le Landeron für Fronleichnam. Erfasst als örtliche Ergänzung, nicht als eigener vollständiger Kantonskalender. Keine kommunale Norm verwendet. Ersterhebung, kein behaupteter Normänderungsvergleich.</t>
  </si>
  <si>
    <t>AP18B04-WEST-SOURCE-12</t>
  </si>
  <si>
    <t>Gesetz vom 18.03.2025, ersetzt LPJA seit 01.01.2026. Mindestens halbtägige Schliessung der kantonalen Verwaltung ausdrücklich gleichgestellt. Konkrete acht RDF-Ergänzungen separat, Bundesverfahren nicht pauschal zugeordnet. Ersterhebung, kein behaupteter Normänderungsvergleich.</t>
  </si>
  <si>
    <t>AP18B04-WEST-SOURCE-13</t>
  </si>
  <si>
    <t>Aktiver Volltext über Swiss Caselaw/LexFind 11005. Normfeste ganztägige Liste nur über LPA-Verweis genutzt. NE-PENDING-COMPENSATION: zusätzliche vom Conseil d’Etat gewährte Ausgleichstage nach Abs. 2 separat offen, kein erfundener ewiger Ersatz. Ersterhebung, kein behaupteter Normänderungsvergleich.</t>
  </si>
  <si>
    <t>AP18B04-WEST-SOURCE-14</t>
  </si>
  <si>
    <t>Amtliche aktuelle Bestätigung von LPA Art. 33, sieben allgemeinen Tagen, acht Verwaltungsergänzungen und Le Landeron. 2026-Ausgabe statt historischer LPJA-Circulaire verwendet. Baurechtliche Sonderregeln und Fristenstillstände sind nicht Teil dieser Feiertagserfassung. Ersterhebung, kein behaupteter Normänderungsvergleich.</t>
  </si>
  <si>
    <t>AP18B04-WEST-SOURCE-15</t>
  </si>
  <si>
    <t>Allgemeine Feiertage und Verwaltungstage getrennt. 2026/2027 beide bedingten allgemeinen Zusatzfeiertage nicht anwendbar. Ladenöffnungsschliessungen nicht als allgemeine Feiertage übernommen. Ersterhebung, kein behaupteter Normänderungsvergleich.</t>
  </si>
  <si>
    <t>AP18B04-WEST-SOURCE-16</t>
  </si>
  <si>
    <t>Gesetz vom 31.08.2022. Art. 3 nennt 15 Tage, Art. 4 eigenständig neun arbeitsrechtliche Tage. Altes Gesetz und Dekret 555.10 aufgehoben. DE/FR normnahe Produktnamen. IT/RM aus vorhandenen gemeinsamen Namen übernommen oder provisorisch übersetzt. Sprachabnahme offen, keine amtliche IT/RM-Fassung dieser Norm behauptet. Ersterhebung, kein behaupteter Normänderungsvergleich.</t>
  </si>
  <si>
    <t>AP18B04-WEST-SOURCE-17</t>
  </si>
  <si>
    <t>Nur Datumsabgleich. Formatierungen der arbeitsrechtlichen Untergruppe nicht aus einer linearen Textextraktion ableiten, dafür Art. 4 verwenden. Lundi de Saint-Martin ist ausdrücklich kein Feiertag. Quellenseite verlinkt noch das aufgehobene Dekret 555.10. Ersterhebung, kein behaupteter Normänderungsvergleich.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</si>
</sst>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quot;.&quot;mm&quot;.&quot;yyyy"/>
  </numFmts>
  <fonts count="14">
    <font>
      <sz val="11"/>
      <name val="Carlito"/>
    </font>
    <font>
      <sz val="10"/>
      <color rgb="FF172126"/>
      <name val="Arial"/>
      <family val="2"/>
    </font>
    <font>
      <b/>
      <sz val="16"/>
      <color rgb="FF122C40"/>
      <name val="Arial"/>
      <family val="2"/>
    </font>
    <font>
      <b/>
      <sz val="10"/>
      <color rgb="FF122C40"/>
      <name val="Arial"/>
      <family val="2"/>
    </font>
    <font>
      <b/>
      <sz val="10"/>
      <color rgb="FFA6532D"/>
      <name val="Arial"/>
      <family val="2"/>
    </font>
    <font>
      <b/>
      <sz val="10"/>
      <color rgb="FFFFFFFF"/>
      <name val="Arial"/>
      <family val="2"/>
    </font>
    <font>
      <i/>
      <sz val="10"/>
      <color rgb="FF566168"/>
      <name val="Arial"/>
      <family val="2"/>
    </font>
    <font>
      <sz val="10"/>
      <color rgb="FF2F6F73"/>
      <name val="Arial"/>
      <family val="2"/>
    </font>
    <font>
      <sz val="11"/>
      <name val="Carlito"/>
    </font>
    <font>
      <sz val="10"/>
      <color rgb="FF172126"/>
      <name val="Arial"/>
      <family val="2"/>
    </font>
    <font>
      <b/>
      <sz val="16"/>
      <color rgb="FF122C40"/>
      <name val="Arial"/>
      <family val="2"/>
    </font>
    <font>
      <b/>
      <sz val="10"/>
      <color rgb="FFFFFFFF"/>
      <name val="Arial"/>
      <family val="2"/>
    </font>
    <font>
      <i/>
      <sz val="10"/>
      <color rgb="FF566168"/>
      <name val="Arial"/>
      <family val="2"/>
    </font>
    <font>
      <u/>
      <sz val="11"/>
      <color theme="10"/>
      <name val="Carlito"/>
    </font>
  </fonts>
  <fills count="13">
    <fill>
      <patternFill patternType="none"/>
    </fill>
    <fill>
      <patternFill patternType="gray125"/>
    </fill>
    <fill>
      <patternFill patternType="solid">
        <fgColor rgb="FFFFF1CB"/>
      </patternFill>
    </fill>
    <fill>
      <patternFill patternType="solid">
        <fgColor rgb="FF122C40"/>
      </patternFill>
    </fill>
    <fill>
      <patternFill patternType="solid">
        <fgColor rgb="FFE7EEEE"/>
      </patternFill>
    </fill>
    <fill>
      <patternFill patternType="solid">
        <fgColor rgb="FFFFFFFF"/>
      </patternFill>
    </fill>
    <fill>
      <patternFill patternType="solid">
        <fgColor rgb="FF122C40"/>
      </patternFill>
    </fill>
    <fill>
      <patternFill patternType="solid">
        <fgColor rgb="FFE7EEEE"/>
      </patternFill>
    </fill>
    <fill>
      <patternFill patternType="solid">
        <fgColor rgb="FFFFFFFF"/>
      </patternFill>
    </fill>
    <fill>
      <patternFill patternType="none"/>
    </fill>
    <fill>
      <patternFill patternType="solid">
        <fgColor rgb="FF122C40"/>
      </patternFill>
    </fill>
    <fill>
      <patternFill patternType="solid">
        <fgColor rgb="FFE7EEEE"/>
      </patternFill>
    </fill>
    <fill>
      <patternFill patternType="solid">
        <fgColor rgb="FFFFFFFF"/>
      </patternFill>
    </fill>
  </fills>
  <borders count="4">
    <border>
      <left/>
      <right/>
      <top/>
      <bottom/>
      <diagonal/>
    </border>
    <border>
      <left/>
      <right/>
      <top/>
      <bottom style="thin">
        <color rgb="FFA6532D"/>
      </bottom>
      <diagonal/>
    </border>
    <border>
      <left/>
      <right/>
      <top/>
      <bottom/>
      <diagonal/>
    </border>
    <border>
      <left/>
      <right/>
      <top/>
      <bottom style="thin">
        <color rgb="FFA6532D"/>
      </bottom>
      <diagonal/>
    </border>
  </borders>
  <cellStyleXfs count="3">
    <xf numFmtId="0" fontId="0" fillId="0" borderId="0"/>
    <xf numFmtId="0" fontId="13" fillId="0" borderId="0" applyNumberFormat="0" applyFill="0" applyBorder="0" applyAlignment="0" applyProtection="0"/>
    <xf numFmtId="0" fontId="8" fillId="0" borderId="0"/>
  </cellStyleXfs>
  <cellXfs count="41">
    <xf numFmtId="0" fontId="0" fillId="0" borderId="0" xfId="0"/>
    <xf numFmtId="0" fontId="1" fillId="0" borderId="0" xfId="2" applyFont="1"/>
    <xf numFmtId="0" fontId="1" fillId="0" borderId="0" xfId="2" applyFont="1" applyAlignment="1">
      <alignment vertical="center"/>
    </xf>
    <xf numFmtId="0" fontId="2" fillId="0" borderId="0" xfId="2" applyFont="1" applyAlignment="1">
      <alignment vertical="center"/>
    </xf>
    <xf numFmtId="0" fontId="1" fillId="0" borderId="1" xfId="2" applyFont="1" applyBorder="1" applyAlignment="1">
      <alignment vertical="center"/>
    </xf>
    <xf numFmtId="0" fontId="4" fillId="0" borderId="0" xfId="2" applyFont="1" applyAlignment="1">
      <alignment vertical="center"/>
    </xf>
    <xf numFmtId="0" fontId="5" fillId="3" borderId="0" xfId="2" applyFont="1" applyFill="1" applyAlignment="1">
      <alignment vertical="center"/>
    </xf>
    <xf numFmtId="1" fontId="1" fillId="0" borderId="0" xfId="2" applyNumberFormat="1" applyFont="1" applyAlignment="1">
      <alignment vertical="center"/>
    </xf>
    <xf numFmtId="0" fontId="6" fillId="0" borderId="0" xfId="2" applyFont="1" applyAlignment="1">
      <alignment vertical="center"/>
    </xf>
    <xf numFmtId="0" fontId="5" fillId="3" borderId="0" xfId="2" applyFont="1" applyFill="1" applyAlignment="1">
      <alignment horizontal="center" vertical="center" wrapText="1"/>
    </xf>
    <xf numFmtId="0" fontId="1" fillId="4" borderId="0" xfId="2" applyFont="1" applyFill="1" applyAlignment="1">
      <alignment vertical="center" wrapText="1"/>
    </xf>
    <xf numFmtId="0" fontId="1" fillId="5" borderId="0" xfId="2" applyFont="1" applyFill="1" applyAlignment="1">
      <alignment vertical="center" wrapText="1"/>
    </xf>
    <xf numFmtId="1" fontId="1" fillId="4" borderId="0" xfId="2" applyNumberFormat="1" applyFont="1" applyFill="1" applyAlignment="1">
      <alignment vertical="center" wrapText="1"/>
    </xf>
    <xf numFmtId="1" fontId="1" fillId="5" borderId="0" xfId="2" applyNumberFormat="1" applyFont="1" applyFill="1" applyAlignment="1">
      <alignment vertical="center" wrapText="1"/>
    </xf>
    <xf numFmtId="164" fontId="1" fillId="4" borderId="0" xfId="2" applyNumberFormat="1" applyFont="1" applyFill="1" applyAlignment="1">
      <alignment vertical="center" wrapText="1"/>
    </xf>
    <xf numFmtId="164" fontId="1" fillId="5" borderId="0" xfId="2" applyNumberFormat="1" applyFont="1" applyFill="1" applyAlignment="1">
      <alignment vertical="center" wrapText="1"/>
    </xf>
    <xf numFmtId="0" fontId="5" fillId="3" borderId="0" xfId="2" applyFont="1" applyFill="1"/>
    <xf numFmtId="164" fontId="1" fillId="0" borderId="0" xfId="2" applyNumberFormat="1" applyFont="1"/>
    <xf numFmtId="0" fontId="7" fillId="4" borderId="0" xfId="2" applyFont="1" applyFill="1" applyAlignment="1">
      <alignment vertical="center" wrapText="1"/>
    </xf>
    <xf numFmtId="0" fontId="7" fillId="5" borderId="0" xfId="2" applyFont="1" applyFill="1" applyAlignment="1">
      <alignment vertical="center" wrapText="1"/>
    </xf>
    <xf numFmtId="0" fontId="5" fillId="6" borderId="0" xfId="2" applyFont="1" applyFill="1" applyAlignment="1">
      <alignment horizontal="center" vertical="center" wrapText="1"/>
    </xf>
    <xf numFmtId="0" fontId="1" fillId="7" borderId="0" xfId="2" applyFont="1" applyFill="1" applyAlignment="1">
      <alignment horizontal="left" vertical="center" wrapText="1"/>
    </xf>
    <xf numFmtId="0" fontId="1" fillId="8" borderId="0" xfId="2" applyFont="1" applyFill="1" applyAlignment="1">
      <alignment horizontal="left" vertical="center" wrapText="1"/>
    </xf>
    <xf numFmtId="0" fontId="3" fillId="2" borderId="0" xfId="2" applyFont="1" applyFill="1" applyAlignment="1" applyProtection="1">
      <alignment horizontal="center" vertical="center"/>
      <protection locked="0"/>
    </xf>
    <xf numFmtId="0" fontId="1" fillId="4" borderId="0" xfId="2" applyFont="1" applyFill="1" applyAlignment="1" applyProtection="1">
      <alignment vertical="center" wrapText="1"/>
      <protection locked="0"/>
    </xf>
    <xf numFmtId="0" fontId="1" fillId="7" borderId="0" xfId="2" applyFont="1" applyFill="1" applyAlignment="1" applyProtection="1">
      <alignment horizontal="left" vertical="center" wrapText="1"/>
      <protection locked="0"/>
    </xf>
    <xf numFmtId="0" fontId="1" fillId="5" borderId="0" xfId="2" applyFont="1" applyFill="1" applyAlignment="1" applyProtection="1">
      <alignment vertical="center" wrapText="1"/>
      <protection locked="0"/>
    </xf>
    <xf numFmtId="0" fontId="1" fillId="8" borderId="0" xfId="2" applyFont="1" applyFill="1" applyAlignment="1" applyProtection="1">
      <alignment horizontal="left" vertical="center" wrapText="1"/>
      <protection locked="0"/>
    </xf>
    <xf numFmtId="1" fontId="1" fillId="4" borderId="0" xfId="2" applyNumberFormat="1" applyFont="1" applyFill="1" applyAlignment="1" applyProtection="1">
      <alignment vertical="center" wrapText="1"/>
      <protection locked="0"/>
    </xf>
    <xf numFmtId="164" fontId="1" fillId="4" borderId="0" xfId="2" applyNumberFormat="1" applyFont="1" applyFill="1" applyAlignment="1" applyProtection="1">
      <alignment vertical="center" wrapText="1"/>
      <protection locked="0"/>
    </xf>
    <xf numFmtId="1" fontId="1" fillId="5" borderId="0" xfId="2" applyNumberFormat="1" applyFont="1" applyFill="1" applyAlignment="1" applyProtection="1">
      <alignment vertical="center" wrapText="1"/>
      <protection locked="0"/>
    </xf>
    <xf numFmtId="164" fontId="1" fillId="5" borderId="0" xfId="2" applyNumberFormat="1" applyFont="1" applyFill="1" applyAlignment="1" applyProtection="1">
      <alignment vertical="center" wrapText="1"/>
      <protection locked="0"/>
    </xf>
    <xf numFmtId="0" fontId="9" fillId="9" borderId="2" xfId="1" applyFont="1" applyAlignment="1">
      <alignment vertical="center"/>
    </xf>
    <xf numFmtId="0" fontId="10" fillId="9" borderId="2" xfId="1" applyFont="1" applyAlignment="1">
      <alignment vertical="center"/>
    </xf>
    <xf numFmtId="0" fontId="9" fillId="9" borderId="3" xfId="1" applyFont="1" applyBorder="1" applyAlignment="1">
      <alignment vertical="center"/>
    </xf>
    <xf numFmtId="0" fontId="12" fillId="9" borderId="2" xfId="1" applyFont="1" applyAlignment="1">
      <alignment vertical="center"/>
    </xf>
    <xf numFmtId="0" fontId="11" fillId="10" borderId="2" xfId="1" applyFont="1" applyFill="1" applyAlignment="1">
      <alignment horizontal="center" vertical="center" wrapText="1"/>
    </xf>
    <xf numFmtId="0" fontId="9" fillId="11" borderId="2" xfId="1" applyFont="1" applyFill="1" applyAlignment="1" applyProtection="1">
      <alignment vertical="center" wrapText="1"/>
      <protection locked="0"/>
    </xf>
    <xf numFmtId="164" fontId="9" fillId="11" borderId="2" xfId="1" applyNumberFormat="1" applyFont="1" applyFill="1" applyAlignment="1" applyProtection="1">
      <alignment vertical="center" wrapText="1"/>
      <protection locked="0"/>
    </xf>
    <xf numFmtId="0" fontId="9" fillId="12" borderId="2" xfId="1" applyFont="1" applyFill="1" applyAlignment="1" applyProtection="1">
      <alignment vertical="center" wrapText="1"/>
      <protection locked="0"/>
    </xf>
    <xf numFmtId="164" fontId="9" fillId="12" borderId="2" xfId="1" applyNumberFormat="1" applyFont="1" applyFill="1" applyAlignment="1" applyProtection="1">
      <alignment vertical="center" wrapText="1"/>
      <protection locked="0"/>
    </xf>
  </cellXfs>
  <cellStyles count="3">
    <cellStyle name="Link" xfId="1" builtinId="8"/>
    <cellStyle name="Normal" xfId="2" xr:uid="{00000000-0005-0000-0000-000000000000}"/>
    <cellStyle name="Standard" xfId="0" builtinId="0"/>
  </cellStyles>
  <dxfs count="26">
    <dxf>
      <font>
        <color rgb="FF9B2920"/>
      </font>
      <fill>
        <patternFill>
          <bgColor rgb="FFFCE3DE"/>
        </patternFill>
      </fill>
    </dxf>
    <dxf>
      <font>
        <color rgb="FF785300"/>
      </font>
      <fill>
        <patternFill>
          <bgColor rgb="FFFFF1CB"/>
        </patternFill>
      </fill>
    </dxf>
    <dxf>
      <font>
        <color rgb="FF9B2920"/>
      </font>
      <fill>
        <patternFill>
          <bgColor rgb="FFFCE3DE"/>
        </patternFill>
      </fill>
    </dxf>
    <dxf>
      <font>
        <color rgb="FF785300"/>
      </font>
      <fill>
        <patternFill>
          <bgColor rgb="FFFFF1CB"/>
        </patternFill>
      </fill>
    </dxf>
    <dxf>
      <font>
        <color rgb="FF9B2920"/>
      </font>
      <fill>
        <patternFill patternType="solid">
          <bgColor rgb="FFFCE3DE"/>
        </patternFill>
      </fill>
    </dxf>
    <dxf>
      <font>
        <color rgb="FF785300"/>
      </font>
      <fill>
        <patternFill patternType="solid">
          <bgColor rgb="FFFFF1CB"/>
        </patternFill>
      </fill>
    </dxf>
    <dxf>
      <fill>
        <patternFill patternType="solid">
          <bgColor rgb="FFFFF1CB"/>
        </patternFill>
      </fill>
    </dxf>
    <dxf>
      <fill>
        <patternFill patternType="solid">
          <bgColor rgb="FFFFF1CB"/>
        </patternFill>
      </fill>
    </dxf>
    <dxf>
      <fill>
        <patternFill patternType="solid">
          <bgColor rgb="FFFFF1CB"/>
        </patternFill>
      </fill>
    </dxf>
    <dxf>
      <fill>
        <patternFill patternType="solid">
          <bgColor rgb="FFFFF1CB"/>
        </patternFill>
      </fill>
    </dxf>
    <dxf>
      <fill>
        <patternFill patternType="solid">
          <bgColor rgb="FFFFF1CB"/>
        </patternFill>
      </fill>
    </dxf>
    <dxf>
      <font>
        <color rgb="FF9B2920"/>
      </font>
      <fill>
        <patternFill>
          <bgColor rgb="FFFCE3DE"/>
        </patternFill>
      </fill>
    </dxf>
    <dxf>
      <font>
        <color rgb="FF785300"/>
      </font>
      <fill>
        <patternFill>
          <bgColor rgb="FFFFF1CB"/>
        </patternFill>
      </fill>
    </dxf>
    <dxf>
      <fill>
        <patternFill patternType="solid">
          <bgColor rgb="FFFFF1CB"/>
        </patternFill>
      </fill>
    </dxf>
    <dxf>
      <fill>
        <patternFill patternType="solid">
          <bgColor rgb="FFFFF1CB"/>
        </patternFill>
      </fill>
    </dxf>
    <dxf>
      <fill>
        <patternFill patternType="solid">
          <bgColor rgb="FFFFF1CB"/>
        </patternFill>
      </fill>
    </dxf>
    <dxf>
      <font>
        <color rgb="FF9B2920"/>
      </font>
      <fill>
        <patternFill>
          <bgColor rgb="FFFCE3DE"/>
        </patternFill>
      </fill>
    </dxf>
    <dxf>
      <font>
        <color rgb="FF785300"/>
      </font>
      <fill>
        <patternFill>
          <bgColor rgb="FFFFF1CB"/>
        </patternFill>
      </fill>
    </dxf>
    <dxf>
      <fill>
        <patternFill patternType="solid">
          <bgColor rgb="FFFFF1CB"/>
        </patternFill>
      </fill>
    </dxf>
    <dxf>
      <fill>
        <patternFill patternType="solid">
          <bgColor rgb="FFFFF1CB"/>
        </patternFill>
      </fill>
    </dxf>
    <dxf>
      <font>
        <color rgb="FF9B2920"/>
      </font>
      <fill>
        <patternFill>
          <bgColor rgb="FFFCE3DE"/>
        </patternFill>
      </fill>
    </dxf>
    <dxf>
      <font>
        <color rgb="FF785300"/>
      </font>
      <fill>
        <patternFill>
          <bgColor rgb="FFFFF1CB"/>
        </patternFill>
      </fill>
    </dxf>
    <dxf>
      <fill>
        <patternFill patternType="solid">
          <bgColor rgb="FFFFF1CB"/>
        </patternFill>
      </fill>
    </dxf>
    <dxf>
      <fill>
        <patternFill patternType="solid">
          <bgColor rgb="FFFFF1CB"/>
        </patternFill>
      </fill>
    </dxf>
    <dxf>
      <font>
        <color rgb="FF9B2920"/>
      </font>
      <fill>
        <patternFill>
          <bgColor rgb="FFFCE3DE"/>
        </patternFill>
      </fill>
    </dxf>
    <dxf>
      <font>
        <color rgb="FF785300"/>
      </font>
      <fill>
        <patternFill>
          <bgColor rgb="FFFFF1C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0000000}" name="AP18_Feiertagskalender" displayName="AP18_Feiertagskalender" ref="A6:O489" totalsRowShown="0">
  <autoFilter ref="A6:O489" xr:uid="{00000000-0009-0000-0100-000007000000}"/>
  <tableColumns count="15">
    <tableColumn id="1" xr3:uid="{00000000-0010-0000-0000-000001000000}" name="Datum"/>
    <tableColumn id="2" xr3:uid="{00000000-0010-0000-0000-000002000000}" name="Wochentag"/>
    <tableColumn id="3" xr3:uid="{00000000-0010-0000-0000-000003000000}" name="Gemeinwesen"/>
    <tableColumn id="4" xr3:uid="{00000000-0010-0000-0000-000004000000}" name="Geltungsbereich"/>
    <tableColumn id="5" xr3:uid="{00000000-0010-0000-0000-000005000000}" name="Feiertag"/>
    <tableColumn id="6" xr3:uid="{00000000-0010-0000-0000-000006000000}" name="Französisch"/>
    <tableColumn id="13" xr3:uid="{00000000-0010-0000-0000-00000D000000}" name="Italienisch"/>
    <tableColumn id="14" xr3:uid="{00000000-0010-0000-0000-00000E000000}" name="Rumantsch Grischun"/>
    <tableColumn id="7" xr3:uid="{00000000-0010-0000-0000-000007000000}" name="Rechtskategorie"/>
    <tableColumn id="8" xr3:uid="{00000000-0010-0000-0000-000008000000}" name="Fachstatus"/>
    <tableColumn id="9" xr3:uid="{00000000-0010-0000-0000-000009000000}" name="Regel-ID"/>
    <tableColumn id="10" xr3:uid="{00000000-0010-0000-0000-00000A000000}" name="Quellen-ID"/>
    <tableColumn id="11" xr3:uid="{00000000-0010-0000-0000-00000B000000}" name="Fundstelle"/>
    <tableColumn id="12" xr3:uid="{00000000-0010-0000-0000-00000C000000}" name="Abdeckung"/>
    <tableColumn id="15" xr3:uid="{00000000-0010-0000-0000-00000F000000}" name="Tagesumfang"/>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AP18_Gemeinwesen" displayName="AP18_Gemeinwesen" ref="A6:I33" totalsRowShown="0">
  <autoFilter ref="A6:I33" xr:uid="{00000000-0009-0000-0100-000001000000}"/>
  <tableColumns count="9">
    <tableColumn id="1" xr3:uid="{00000000-0010-0000-0100-000001000000}" name="Code"/>
    <tableColumn id="2" xr3:uid="{00000000-0010-0000-0100-000002000000}" name="Deutsch"/>
    <tableColumn id="3" xr3:uid="{00000000-0010-0000-0100-000003000000}" name="Französisch"/>
    <tableColumn id="8" xr3:uid="{00000000-0010-0000-0100-000008000000}" name="Italienisch"/>
    <tableColumn id="9" xr3:uid="{00000000-0010-0000-0100-000009000000}" name="Rumantsch Grischun"/>
    <tableColumn id="4" xr3:uid="{00000000-0010-0000-0100-000004000000}" name="Übergeordnet"/>
    <tableColumn id="5" xr3:uid="{00000000-0010-0000-0100-000005000000}" name="Erfassungsstand"/>
    <tableColumn id="6" xr3:uid="{00000000-0010-0000-0100-000006000000}" name="Fachstatus"/>
    <tableColumn id="7" xr3:uid="{00000000-0010-0000-0100-000007000000}" name="Amtliche Feiertagsquell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AP18_Feiertagsregeln" displayName="AP18_Feiertagsregeln" ref="A6:AA480" totalsRowShown="0">
  <autoFilter ref="A6:AA480" xr:uid="{00000000-0009-0000-0100-000002000000}"/>
  <tableColumns count="27">
    <tableColumn id="1" xr3:uid="{00000000-0010-0000-0200-000001000000}" name="Regel-ID"/>
    <tableColumn id="2" xr3:uid="{00000000-0010-0000-0200-000002000000}" name="Gemeinwesen"/>
    <tableColumn id="3" xr3:uid="{00000000-0010-0000-0200-000003000000}" name="Geltungs-ID"/>
    <tableColumn id="4" xr3:uid="{00000000-0010-0000-0200-000004000000}" name="Deutsch"/>
    <tableColumn id="5" xr3:uid="{00000000-0010-0000-0200-000005000000}" name="Französisch"/>
    <tableColumn id="25" xr3:uid="{00000000-0010-0000-0200-000019000000}" name="Italienisch"/>
    <tableColumn id="26" xr3:uid="{00000000-0010-0000-0200-00001A000000}" name="Rumantsch Grischun"/>
    <tableColumn id="6" xr3:uid="{00000000-0010-0000-0200-000006000000}" name="Rechtskategorie"/>
    <tableColumn id="7" xr3:uid="{00000000-0010-0000-0200-000007000000}" name="Regeltyp"/>
    <tableColumn id="8" xr3:uid="{00000000-0010-0000-0200-000008000000}" name="Monat"/>
    <tableColumn id="9" xr3:uid="{00000000-0010-0000-0200-000009000000}" name="Tag"/>
    <tableColumn id="10" xr3:uid="{00000000-0010-0000-0200-00000A000000}" name="Tagesabstand"/>
    <tableColumn id="11" xr3:uid="{00000000-0010-0000-0200-00000B000000}" name="ISO-Wochentag"/>
    <tableColumn id="12" xr3:uid="{00000000-0010-0000-0200-00000C000000}" name="Vorkommen"/>
    <tableColumn id="13" xr3:uid="{00000000-0010-0000-0200-00000D000000}" name="Gültig ab"/>
    <tableColumn id="14" xr3:uid="{00000000-0010-0000-0200-00000E000000}" name="Gültig bis"/>
    <tableColumn id="15" xr3:uid="{00000000-0010-0000-0200-00000F000000}" name="Priorität"/>
    <tableColumn id="16" xr3:uid="{00000000-0010-0000-0200-000010000000}" name="Fachstatus"/>
    <tableColumn id="17" xr3:uid="{00000000-0010-0000-0200-000011000000}" name="Freigabebasis"/>
    <tableColumn id="18" xr3:uid="{00000000-0010-0000-0200-000012000000}" name="Wirkung"/>
    <tableColumn id="19" xr3:uid="{00000000-0010-0000-0200-000013000000}" name="Zielregel"/>
    <tableColumn id="20" xr3:uid="{00000000-0010-0000-0200-000014000000}" name="Exportklasse"/>
    <tableColumn id="21" xr3:uid="{00000000-0010-0000-0200-000015000000}" name="Rohdatum"/>
    <tableColumn id="22" xr3:uid="{00000000-0010-0000-0200-000016000000}" name="Datum im Geltungszeitraum"/>
    <tableColumn id="23" xr3:uid="{00000000-0010-0000-0200-000017000000}" name="Quellen-ID"/>
    <tableColumn id="24" xr3:uid="{00000000-0010-0000-0200-000018000000}" name="Fundstelle"/>
    <tableColumn id="27" xr3:uid="{00000000-0010-0000-0200-00001B000000}" name="Tagesumfang"/>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AP18_Geltungsbereiche" displayName="AP18_Geltungsbereiche" ref="A6:M55" totalsRowShown="0">
  <autoFilter ref="A6:M55" xr:uid="{00000000-0009-0000-0100-000003000000}"/>
  <tableColumns count="13">
    <tableColumn id="1" xr3:uid="{00000000-0010-0000-0300-000001000000}" name="Geltungs-ID"/>
    <tableColumn id="2" xr3:uid="{00000000-0010-0000-0300-000002000000}" name="Gemeinwesen"/>
    <tableColumn id="3" xr3:uid="{00000000-0010-0000-0300-000003000000}" name="Gebiet"/>
    <tableColumn id="13" xr3:uid="{00000000-0010-0000-0300-00000D000000}" name="Französisch"/>
    <tableColumn id="11" xr3:uid="{00000000-0010-0000-0300-00000B000000}" name="Italienisch"/>
    <tableColumn id="12" xr3:uid="{00000000-0010-0000-0300-00000C000000}" name="Rumantsch Grischun"/>
    <tableColumn id="4" xr3:uid="{00000000-0010-0000-0300-000004000000}" name="Gebietstyp"/>
    <tableColumn id="5" xr3:uid="{00000000-0010-0000-0300-000005000000}" name="Umfang / Grenze"/>
    <tableColumn id="6" xr3:uid="{00000000-0010-0000-0300-000006000000}" name="Quellen-ID"/>
    <tableColumn id="7" xr3:uid="{00000000-0010-0000-0300-000007000000}" name="Fundstelle"/>
    <tableColumn id="8" xr3:uid="{00000000-0010-0000-0300-000008000000}" name="Fachstatus"/>
    <tableColumn id="9" xr3:uid="{00000000-0010-0000-0300-000009000000}" name="Daten ab"/>
    <tableColumn id="10" xr3:uid="{00000000-0010-0000-0300-00000A000000}" name="Daten bis"/>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4000000}" name="AP18_Gebietszuordnungen" displayName="AP18_Gebietszuordnungen" ref="A6:R101" totalsRowShown="0">
  <autoFilter ref="A6:R101" xr:uid="{00000000-0009-0000-0100-000008000000}"/>
  <tableColumns count="18">
    <tableColumn id="1" xr3:uid="{00000000-0010-0000-0400-000001000000}" name="Zuordnungs-ID"/>
    <tableColumn id="2" xr3:uid="{00000000-0010-0000-0400-000002000000}" name="Geltungs-ID"/>
    <tableColumn id="3" xr3:uid="{00000000-0010-0000-0400-000003000000}" name="Gebiet-ID"/>
    <tableColumn id="4" xr3:uid="{00000000-0010-0000-0400-000004000000}" name="Deutsch"/>
    <tableColumn id="5" xr3:uid="{00000000-0010-0000-0400-000005000000}" name="Französisch"/>
    <tableColumn id="6" xr3:uid="{00000000-0010-0000-0400-000006000000}" name="Italienisch"/>
    <tableColumn id="7" xr3:uid="{00000000-0010-0000-0400-000007000000}" name="Rumantsch Grischun"/>
    <tableColumn id="8" xr3:uid="{00000000-0010-0000-0400-000008000000}" name="Gebietstyp"/>
    <tableColumn id="9" xr3:uid="{00000000-0010-0000-0400-000009000000}" name="Übergeordnetes Gebiet"/>
    <tableColumn id="10" xr3:uid="{00000000-0010-0000-0400-00000A000000}" name="Einbezug"/>
    <tableColumn id="11" xr3:uid="{00000000-0010-0000-0400-00000B000000}" name="Kennungssystem"/>
    <tableColumn id="12" xr3:uid="{00000000-0010-0000-0400-00000C000000}" name="Amtliche Kennung"/>
    <tableColumn id="13" xr3:uid="{00000000-0010-0000-0400-00000D000000}" name="Gültig ab"/>
    <tableColumn id="14" xr3:uid="{00000000-0010-0000-0400-00000E000000}" name="Gültig bis"/>
    <tableColumn id="15" xr3:uid="{00000000-0010-0000-0400-00000F000000}" name="Quellen-ID"/>
    <tableColumn id="16" xr3:uid="{00000000-0010-0000-0400-000010000000}" name="Fundstelle"/>
    <tableColumn id="17" xr3:uid="{00000000-0010-0000-0400-000011000000}" name="Fachstatus"/>
    <tableColumn id="18" xr3:uid="{00000000-0010-0000-0400-000012000000}" name="Prüfhinwei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5000000}" name="AP18_Rechtsquellen" displayName="AP18_Rechtsquellen" ref="A6:K90" totalsRowShown="0">
  <autoFilter ref="A6:K90" xr:uid="{00000000-0009-0000-0100-000004000000}"/>
  <tableColumns count="11">
    <tableColumn id="1" xr3:uid="{00000000-0010-0000-0500-000001000000}" name="Quellen-ID"/>
    <tableColumn id="2" xr3:uid="{00000000-0010-0000-0500-000002000000}" name="Gemeinwesen"/>
    <tableColumn id="3" xr3:uid="{00000000-0010-0000-0500-000003000000}" name="Erlass / Quelle"/>
    <tableColumn id="4" xr3:uid="{00000000-0010-0000-0500-000004000000}" name="Fundstelle"/>
    <tableColumn id="5" xr3:uid="{00000000-0010-0000-0500-000005000000}" name="Amtlicher Link"/>
    <tableColumn id="6" xr3:uid="{00000000-0010-0000-0500-000006000000}" name="Fassungsstand"/>
    <tableColumn id="7" xr3:uid="{00000000-0010-0000-0500-000007000000}" name="Abgerufen"/>
    <tableColumn id="8" xr3:uid="{00000000-0010-0000-0500-000008000000}" name="Prüfhinweis"/>
    <tableColumn id="9" xr3:uid="{00000000-0010-0000-0500-000009000000}" name="Fachstatus"/>
    <tableColumn id="10" xr3:uid="{00000000-0010-0000-0500-00000A000000}" name="Frühere Freigabebasis"/>
    <tableColumn id="11" xr3:uid="{00000000-0010-0000-0500-00000B000000}" name="URL (Original)"/>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6000000}" name="AP18_Verfahrensbezug" displayName="AP18_Verfahrensbezug" ref="A6:H98" totalsRowShown="0">
  <autoFilter ref="A6:H98" xr:uid="{00000000-0009-0000-0100-000005000000}"/>
  <tableColumns count="8">
    <tableColumn id="1" xr3:uid="{00000000-0010-0000-0600-000001000000}" name="Zuordnungs-ID"/>
    <tableColumn id="2" xr3:uid="{00000000-0010-0000-0600-000002000000}" name="Geltungs-ID"/>
    <tableColumn id="3" xr3:uid="{00000000-0010-0000-0600-000003000000}" name="Rechtskategorie"/>
    <tableColumn id="4" xr3:uid="{00000000-0010-0000-0600-000004000000}" name="Anwendungsbereich"/>
    <tableColumn id="5" xr3:uid="{00000000-0010-0000-0600-000005000000}" name="Wirkung / Grenze"/>
    <tableColumn id="6" xr3:uid="{00000000-0010-0000-0600-000006000000}" name="Norm / Referenz"/>
    <tableColumn id="7" xr3:uid="{00000000-0010-0000-0600-000007000000}" name="Fachstatus"/>
    <tableColumn id="8" xr3:uid="{00000000-0010-0000-0600-000008000000}" name="Freigabebasis"/>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7000000}" name="AP18_Quellenprufung" displayName="AP18_Quellenprufung" ref="A6:K91" totalsRowShown="0">
  <autoFilter ref="A6:K91" xr:uid="{00000000-0009-0000-0100-000006000000}"/>
  <tableColumns count="11">
    <tableColumn id="1" xr3:uid="{00000000-0010-0000-0700-000001000000}" name="Prüf-ID"/>
    <tableColumn id="2" xr3:uid="{00000000-0010-0000-0700-000002000000}" name="Quellen-ID"/>
    <tableColumn id="3" xr3:uid="{00000000-0010-0000-0700-000003000000}" name="Auslöser"/>
    <tableColumn id="4" xr3:uid="{00000000-0010-0000-0700-000004000000}" name="Datum"/>
    <tableColumn id="5" xr3:uid="{00000000-0010-0000-0700-000005000000}" name="Ergebnis"/>
    <tableColumn id="6" xr3:uid="{00000000-0010-0000-0700-000006000000}" name="Vergleichsbasis"/>
    <tableColumn id="7" xr3:uid="{00000000-0010-0000-0700-000007000000}" name="Befund"/>
    <tableColumn id="8" xr3:uid="{00000000-0010-0000-0700-000008000000}" name="Ereignisstatus"/>
    <tableColumn id="9" xr3:uid="{00000000-0010-0000-0700-000009000000}" name="Fachverantwortung"/>
    <tableColumn id="10" xr3:uid="{00000000-0010-0000-0700-00000A000000}" name="Arbeitsinstrument"/>
    <tableColumn id="11" xr3:uid="{00000000-0010-0000-0700-00000B000000}" name="Nächster Schritt"/>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6" Type="http://schemas.openxmlformats.org/officeDocument/2006/relationships/hyperlink" Target="https://www.swisstopo.admin.ch/it/scambio-di-geodati-tra-le-autorita" TargetMode="External"/><Relationship Id="rId21" Type="http://schemas.openxmlformats.org/officeDocument/2006/relationships/hyperlink" Target="https://lex.vs.ch/api/fr/versions/3260/pdf_file" TargetMode="External"/><Relationship Id="rId42" Type="http://schemas.openxmlformats.org/officeDocument/2006/relationships/hyperlink" Target="https://sh.ch/CMS/get/file/771a1a2e-4ef2-47bb-9b04-f4afc5aed3ea" TargetMode="External"/><Relationship Id="rId47" Type="http://schemas.openxmlformats.org/officeDocument/2006/relationships/hyperlink" Target="https://ai.clex.ch/api/de/versions/1327/pdf_file" TargetMode="External"/><Relationship Id="rId63" Type="http://schemas.openxmlformats.org/officeDocument/2006/relationships/hyperlink" Target="https://bgs.zg.ch/app/de/texts_of_law/162.1/versions/2740" TargetMode="External"/><Relationship Id="rId68" Type="http://schemas.openxmlformats.org/officeDocument/2006/relationships/hyperlink" Target="https://www.gesetzessammlung.bs.ch/frontend/versions/4927/download_pdf_file?locale=de" TargetMode="External"/><Relationship Id="rId84" Type="http://schemas.openxmlformats.org/officeDocument/2006/relationships/hyperlink" Target="https://www.jura.ch/Htdocs/Files/v/7818f8eb129d227f2892b240cfbf77d3597c47169f83a6d57891c45fbd7b66df.pdf/2026-2027.pdf?download=1" TargetMode="External"/><Relationship Id="rId16" Type="http://schemas.openxmlformats.org/officeDocument/2006/relationships/hyperlink" Target="https://www.parlament.ch/agenda/Pages/agenda-1-august-2026.aspx?lang=1047" TargetMode="External"/><Relationship Id="rId11" Type="http://schemas.openxmlformats.org/officeDocument/2006/relationships/hyperlink" Target="https://www.gr-lex.gr.ch/api/de/versions/3521/pdf_file" TargetMode="External"/><Relationship Id="rId32" Type="http://schemas.openxmlformats.org/officeDocument/2006/relationships/hyperlink" Target="https://www.fr.ch/de/arbeit-und-unternehmen/arbeitnehmer/feiertage" TargetMode="External"/><Relationship Id="rId37" Type="http://schemas.openxmlformats.org/officeDocument/2006/relationships/hyperlink" Target="https://www.bk.admin.ch/dam/bk/de/dokumente/komm-ue/Buku2025/BUKU_2025_RM.pdf.download.pdf/BUKU_2025_RM.pdf" TargetMode="External"/><Relationship Id="rId53" Type="http://schemas.openxmlformats.org/officeDocument/2006/relationships/hyperlink" Target="https://srl.lu.ch/data/40/de" TargetMode="External"/><Relationship Id="rId58" Type="http://schemas.openxmlformats.org/officeDocument/2006/relationships/hyperlink" Target="https://www.sz.ch/public/upload/assets/28055/545_110.pdf" TargetMode="External"/><Relationship Id="rId74" Type="http://schemas.openxmlformats.org/officeDocument/2006/relationships/hyperlink" Target="https://www.vd.ch/formation/jours-feries-et-vacances-scolaires/jours-feries-et-vacances-scolaires-2026" TargetMode="External"/><Relationship Id="rId79" Type="http://schemas.openxmlformats.org/officeDocument/2006/relationships/hyperlink" Target="https://rsn.ne.ch/DATA/program/books/rsne/pdf/152.130.pdf" TargetMode="External"/><Relationship Id="rId5" Type="http://schemas.openxmlformats.org/officeDocument/2006/relationships/hyperlink" Target="https://www.bj.admin.ch/dam/de/sd-web/4Ad6GMn8rA0i/hinweise-kant-feiertage.pdf" TargetMode="External"/><Relationship Id="rId19" Type="http://schemas.openxmlformats.org/officeDocument/2006/relationships/hyperlink" Target="https://lex.vs.ch/api/fr/versions/2108/pdf_file" TargetMode="External"/><Relationship Id="rId14" Type="http://schemas.openxmlformats.org/officeDocument/2006/relationships/hyperlink" Target="https://www.gr-lex.gr.ch/api/rm/versions/3521/pdf_file" TargetMode="External"/><Relationship Id="rId22" Type="http://schemas.openxmlformats.org/officeDocument/2006/relationships/hyperlink" Target="https://lex.vs.ch/data/172.4/fr" TargetMode="External"/><Relationship Id="rId27" Type="http://schemas.openxmlformats.org/officeDocument/2006/relationships/hyperlink" Target="https://www.gr.ch/RM/chantun/175-Jahre/Seiten/Epochen-in-Karten.aspx" TargetMode="External"/><Relationship Id="rId30" Type="http://schemas.openxmlformats.org/officeDocument/2006/relationships/hyperlink" Target="https://bdlf.fr.ch/api/de/versions/7926/pdf_file" TargetMode="External"/><Relationship Id="rId35" Type="http://schemas.openxmlformats.org/officeDocument/2006/relationships/hyperlink" Target="https://so.ch/fileadmin/internet/administrator/dokumente/Gesetzliche_Feiertage.pdf" TargetMode="External"/><Relationship Id="rId43" Type="http://schemas.openxmlformats.org/officeDocument/2006/relationships/hyperlink" Target="https://www.rechtsbuch.tg.ch/api/de/versions/2949/pdf_file" TargetMode="External"/><Relationship Id="rId48" Type="http://schemas.openxmlformats.org/officeDocument/2006/relationships/hyperlink" Target="https://ai.ch/themen/wirtschaft-und-arbeit/feiertage-ruhetage" TargetMode="External"/><Relationship Id="rId56" Type="http://schemas.openxmlformats.org/officeDocument/2006/relationships/hyperlink" Target="https://rechtsbuch.ur.ch/data/20.1111/de" TargetMode="External"/><Relationship Id="rId64" Type="http://schemas.openxmlformats.org/officeDocument/2006/relationships/hyperlink" Target="https://zg.ch/dam/jcr:d241f3f6-4c0c-4bb2-9096-b53dd371501c/Feiertage_2026_2027_Kt-ZG_Daten.pdf" TargetMode="External"/><Relationship Id="rId69" Type="http://schemas.openxmlformats.org/officeDocument/2006/relationships/hyperlink" Target="https://www.bs.ch/themen/arbeit-und-steuern/feiertage-im-kanton-basel-stadt" TargetMode="External"/><Relationship Id="rId77" Type="http://schemas.openxmlformats.org/officeDocument/2006/relationships/hyperlink" Target="https://rsn.ne.ch/DATA/program/books/rsne/pdf/941.02.pdf" TargetMode="External"/><Relationship Id="rId8" Type="http://schemas.openxmlformats.org/officeDocument/2006/relationships/hyperlink" Target="https://m3.ti.ch/CAN/RLeggi/public/index.php/raccolta-leggi/legge/num/569" TargetMode="External"/><Relationship Id="rId51" Type="http://schemas.openxmlformats.org/officeDocument/2006/relationships/hyperlink" Target="https://ai.ch/themen/wirtschaft-und-arbeit/feiertage-ruhetage/dokumente/20150929-stk-bericht-feiertage.pdf" TargetMode="External"/><Relationship Id="rId72" Type="http://schemas.openxmlformats.org/officeDocument/2006/relationships/hyperlink" Target="https://prestations.vd.ch/pub/blv-publication/actes/consolide/822.11?id=c3ef83f5-e736-490d-90a7-1753b31d5ef3" TargetMode="External"/><Relationship Id="rId80" Type="http://schemas.openxmlformats.org/officeDocument/2006/relationships/hyperlink" Target="https://rsn.ne.ch/DATA/program/books/rsne/pdf/152.512.pdf" TargetMode="External"/><Relationship Id="rId85" Type="http://schemas.openxmlformats.org/officeDocument/2006/relationships/table" Target="../tables/table6.xml"/><Relationship Id="rId3" Type="http://schemas.openxmlformats.org/officeDocument/2006/relationships/hyperlink" Target="https://gesetzessammlungen.ag.ch/app/de/texts_of_law/961.200" TargetMode="External"/><Relationship Id="rId12" Type="http://schemas.openxmlformats.org/officeDocument/2006/relationships/hyperlink" Target="https://www.gr-lex.gr.ch/app/it/texts_of_law/520.100/versions/2604" TargetMode="External"/><Relationship Id="rId17" Type="http://schemas.openxmlformats.org/officeDocument/2006/relationships/hyperlink" Target="https://www4.ti.ch/generale/foederalismus11/rumantsch/foederalismus/preschentaziun" TargetMode="External"/><Relationship Id="rId25" Type="http://schemas.openxmlformats.org/officeDocument/2006/relationships/hyperlink" Target="https://search.bger.ch/ext/eurospider/live/it/php/aza/http/index.php?highlight_docid=aza%3A%2F%2F06-09-2023-7B_32-2023&amp;lang=it&amp;type=show_document&amp;zoom=NO" TargetMode="External"/><Relationship Id="rId33" Type="http://schemas.openxmlformats.org/officeDocument/2006/relationships/hyperlink" Target="https://bgs.so.ch/api/de/versions/4319/pdf_file" TargetMode="External"/><Relationship Id="rId38" Type="http://schemas.openxmlformats.org/officeDocument/2006/relationships/hyperlink" Target="https://www.notes.zh.ch/appl/zhlex_r.nsf/WebView/663A7F8F1929F218C1256EB7002E6A05/%24File/822.4_26.6.00_45.pdf" TargetMode="External"/><Relationship Id="rId46" Type="http://schemas.openxmlformats.org/officeDocument/2006/relationships/hyperlink" Target="https://ar.clex.ch/api/de/versions/1058/pdf_file" TargetMode="External"/><Relationship Id="rId59" Type="http://schemas.openxmlformats.org/officeDocument/2006/relationships/hyperlink" Target="https://www.sz.ch/public/upload/assets/36693/Feiertagsregelung_Kanton_Schwyz.pdf?fp=6" TargetMode="External"/><Relationship Id="rId67" Type="http://schemas.openxmlformats.org/officeDocument/2006/relationships/hyperlink" Target="https://www.gl.ch/public-newsroom.html/31/newsroomnews/14237/title/n%C3%A4felser-fahrt" TargetMode="External"/><Relationship Id="rId20" Type="http://schemas.openxmlformats.org/officeDocument/2006/relationships/hyperlink" Target="https://lex.vs.ch/api/de/versions/2103/pdf_file" TargetMode="External"/><Relationship Id="rId41" Type="http://schemas.openxmlformats.org/officeDocument/2006/relationships/hyperlink" Target="https://rechtsbuch.sh.ch/api/de/versions/1886/pdf_file" TargetMode="External"/><Relationship Id="rId54" Type="http://schemas.openxmlformats.org/officeDocument/2006/relationships/hyperlink" Target="https://srl.lu.ch/data/260/de" TargetMode="External"/><Relationship Id="rId62" Type="http://schemas.openxmlformats.org/officeDocument/2006/relationships/hyperlink" Target="https://bgs.zg.ch/app/de/texts_of_law/942.31" TargetMode="External"/><Relationship Id="rId70" Type="http://schemas.openxmlformats.org/officeDocument/2006/relationships/hyperlink" Target="https://bl.clex.ch/api/versions/2507/pdf_file_with_annexes" TargetMode="External"/><Relationship Id="rId75" Type="http://schemas.openxmlformats.org/officeDocument/2006/relationships/hyperlink" Target="https://www.vd.ch/formation/jours-feries-et-vacances-scolaires/jours-feries-et-vacances-scolaires-2027" TargetMode="External"/><Relationship Id="rId83" Type="http://schemas.openxmlformats.org/officeDocument/2006/relationships/hyperlink" Target="https://rsju.jura.ch/Htdocs/Files/v/38948.pdf" TargetMode="External"/><Relationship Id="rId1" Type="http://schemas.openxmlformats.org/officeDocument/2006/relationships/hyperlink" Target="https://www.fedlex.admin.ch/eli/cc/1994/1340_1340_1340/de" TargetMode="External"/><Relationship Id="rId6" Type="http://schemas.openxmlformats.org/officeDocument/2006/relationships/hyperlink" Target="https://www.ag.ch/media/kanton-aargau/dvi/dokumente/awa/awa/arbeitnehmerschutz-im-betrieb/feiertage.pdf" TargetMode="External"/><Relationship Id="rId15" Type="http://schemas.openxmlformats.org/officeDocument/2006/relationships/hyperlink" Target="https://www4.ti.ch/dfe/de/uil/legge-lavoro/giorni-festivi-in-ticino-1" TargetMode="External"/><Relationship Id="rId23" Type="http://schemas.openxmlformats.org/officeDocument/2006/relationships/hyperlink" Target="https://silgeneve.ch/legis/data/rsg_j1_45.htm" TargetMode="External"/><Relationship Id="rId28" Type="http://schemas.openxmlformats.org/officeDocument/2006/relationships/hyperlink" Target="https://bdlf.fr.ch/api/de/versions/8126/pdf_file" TargetMode="External"/><Relationship Id="rId36" Type="http://schemas.openxmlformats.org/officeDocument/2006/relationships/hyperlink" Target="https://www.estv.admin.ch/it/imposta-alla-fonte-link-amministrazioni-cantonale" TargetMode="External"/><Relationship Id="rId49" Type="http://schemas.openxmlformats.org/officeDocument/2006/relationships/hyperlink" Target="https://ai.ch/themen/wirtschaft-und-arbeit/feiertage-ruhetage/feiertage" TargetMode="External"/><Relationship Id="rId57" Type="http://schemas.openxmlformats.org/officeDocument/2006/relationships/hyperlink" Target="https://www.ur.ch/publikationen/6581" TargetMode="External"/><Relationship Id="rId10" Type="http://schemas.openxmlformats.org/officeDocument/2006/relationships/hyperlink" Target="https://www.gr-lex.gr.ch/api/de/versions/2604/pdf_file" TargetMode="External"/><Relationship Id="rId31" Type="http://schemas.openxmlformats.org/officeDocument/2006/relationships/hyperlink" Target="https://bdlf.fr.ch/api/fr/versions/7926/pdf_file" TargetMode="External"/><Relationship Id="rId44" Type="http://schemas.openxmlformats.org/officeDocument/2006/relationships/hyperlink" Target="https://www.gesetzessammlung.sg.ch/api/de/versions/228/pdf_file" TargetMode="External"/><Relationship Id="rId52" Type="http://schemas.openxmlformats.org/officeDocument/2006/relationships/hyperlink" Target="https://srl.lu.ch/data/855/de" TargetMode="External"/><Relationship Id="rId60" Type="http://schemas.openxmlformats.org/officeDocument/2006/relationships/hyperlink" Target="https://gdb.ow.ch/api/de/versions/103/pdf_file" TargetMode="External"/><Relationship Id="rId65" Type="http://schemas.openxmlformats.org/officeDocument/2006/relationships/hyperlink" Target="https://gesetze.gl.ch/api/de/versions/2110/pdf_file" TargetMode="External"/><Relationship Id="rId73" Type="http://schemas.openxmlformats.org/officeDocument/2006/relationships/hyperlink" Target="https://www.vd.ch/fileadmin/user_upload/themes/economie_emploi/emploi/fichiers_pdf/FAQ-droit_du_travail-DGEM.pdf" TargetMode="External"/><Relationship Id="rId78" Type="http://schemas.openxmlformats.org/officeDocument/2006/relationships/hyperlink" Target="https://rsn.ne.ch/DATA/program/books/rsne/pdf/941.020.pdf" TargetMode="External"/><Relationship Id="rId81" Type="http://schemas.openxmlformats.org/officeDocument/2006/relationships/hyperlink" Target="https://www.ne.ch/sites/default/files/migration/autorites/DDTE/SCAT/Documents/06_07_Documents_communs/PConstr_CirculaireComputationDelais.pdf" TargetMode="External"/><Relationship Id="rId4" Type="http://schemas.openxmlformats.org/officeDocument/2006/relationships/hyperlink" Target="https://gesetzessammlungen.ag.ch/app/de/texts_of_law/221.200" TargetMode="External"/><Relationship Id="rId9" Type="http://schemas.openxmlformats.org/officeDocument/2006/relationships/hyperlink" Target="https://www3.ti.ch/CAN/RLeggi/public/index.php/raccolta-leggi/legge/num/151" TargetMode="External"/><Relationship Id="rId13" Type="http://schemas.openxmlformats.org/officeDocument/2006/relationships/hyperlink" Target="https://www.gr-lex.gr.ch/api/rm/versions/2604/pdf_file" TargetMode="External"/><Relationship Id="rId18" Type="http://schemas.openxmlformats.org/officeDocument/2006/relationships/hyperlink" Target="https://lex.vs.ch/api/de/versions/2105/pdf_file" TargetMode="External"/><Relationship Id="rId39" Type="http://schemas.openxmlformats.org/officeDocument/2006/relationships/hyperlink" Target="https://www.notes.zh.ch/appl/zhlex_r.nsf/WebView/43B3BDA36DB02CBDC1258D4C004EC591/%24File/211.1_10.5.10_131.pdf" TargetMode="External"/><Relationship Id="rId34" Type="http://schemas.openxmlformats.org/officeDocument/2006/relationships/hyperlink" Target="https://so.ch/allgemeine-informationen/gesetzliche-feiertage/" TargetMode="External"/><Relationship Id="rId50" Type="http://schemas.openxmlformats.org/officeDocument/2006/relationships/hyperlink" Target="https://ai.ch/land-und-leute/innerrhoden-in-zahlen" TargetMode="External"/><Relationship Id="rId55" Type="http://schemas.openxmlformats.org/officeDocument/2006/relationships/hyperlink" Target="https://rechtsbuch.ur.ch/api/de/versions/963/pdf_file" TargetMode="External"/><Relationship Id="rId76" Type="http://schemas.openxmlformats.org/officeDocument/2006/relationships/hyperlink" Target="https://www.vd.ch/formation/jours-feries-et-vacances-scolaires/jours-feries-et-vacances-scolaires-2028" TargetMode="External"/><Relationship Id="rId7" Type="http://schemas.openxmlformats.org/officeDocument/2006/relationships/hyperlink" Target="https://www3.ti.ch/CAN/RLeggi/public/index.php/raccolta-leggi/legge/num/568" TargetMode="External"/><Relationship Id="rId71" Type="http://schemas.openxmlformats.org/officeDocument/2006/relationships/hyperlink" Target="https://bl-api.webcloud7.ch/politik-und-behorden/direktionen/finanz-und-kirchendirektion/personalamt/arbeitszeiten/dateien_arbeitszeiten/2026_ubersicht-feiertage-arbeitsfreie-tage-kompensationstage-und-netto-sollarbeitszeit.pdf/%40%40download/file/2026_U%CC%88bersicht%20Feiertage%20arbeitsfreie%20Tage%20Kompensationstage%20und%20Netto-Sollarbeitszeit.pdf" TargetMode="External"/><Relationship Id="rId2" Type="http://schemas.openxmlformats.org/officeDocument/2006/relationships/hyperlink" Target="https://www.belex.sites.be.ch/app/de/texts_of_law/555.1" TargetMode="External"/><Relationship Id="rId29" Type="http://schemas.openxmlformats.org/officeDocument/2006/relationships/hyperlink" Target="https://bdlf.fr.ch/api/fr/versions/8126/pdf_file" TargetMode="External"/><Relationship Id="rId24" Type="http://schemas.openxmlformats.org/officeDocument/2006/relationships/hyperlink" Target="https://www.ge.ch/vacances-scolaires-jours-feries/jours-feries-officiels" TargetMode="External"/><Relationship Id="rId40" Type="http://schemas.openxmlformats.org/officeDocument/2006/relationships/hyperlink" Target="https://www.zh.ch/de/wirtschaft-arbeit/arbeitsbedingungen/arbeitsssicherheit-gesundheitsschutz/arbeits-ruhezeiten/feiertage.html" TargetMode="External"/><Relationship Id="rId45" Type="http://schemas.openxmlformats.org/officeDocument/2006/relationships/hyperlink" Target="https://publikationen.sg.ch/rechtsprechung-gerichte-detail/6031/" TargetMode="External"/><Relationship Id="rId66" Type="http://schemas.openxmlformats.org/officeDocument/2006/relationships/hyperlink" Target="https://gesetze.gl.ch/data/I-A.3.1/de" TargetMode="External"/><Relationship Id="rId61" Type="http://schemas.openxmlformats.org/officeDocument/2006/relationships/hyperlink" Target="https://gesetze.nw.ch/app/de/texts_of_law/921.1" TargetMode="External"/><Relationship Id="rId82" Type="http://schemas.openxmlformats.org/officeDocument/2006/relationships/hyperlink" Target="https://www.ne.ch/themes/economie-et-emploi/jours-feries-officiels"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22C40"/>
  </sheetPr>
  <dimension ref="A1:H36"/>
  <sheetViews>
    <sheetView showGridLines="0" workbookViewId="0">
      <selection activeCell="B5" sqref="B5"/>
    </sheetView>
  </sheetViews>
  <sheetFormatPr baseColWidth="10" defaultColWidth="8.83203125" defaultRowHeight="14"/>
  <cols>
    <col min="1" max="1" width="27" customWidth="1"/>
    <col min="2" max="8" width="16" customWidth="1"/>
  </cols>
  <sheetData>
    <row r="1" spans="1:8" ht="24" customHeight="1">
      <c r="A1" s="2"/>
      <c r="B1" s="2"/>
      <c r="C1" s="2"/>
      <c r="D1" s="2"/>
      <c r="E1" s="2"/>
      <c r="F1" s="2"/>
      <c r="G1" s="2"/>
      <c r="H1" s="2"/>
    </row>
    <row r="2" spans="1:8" ht="24" customHeight="1">
      <c r="A2" s="3" t="s">
        <v>0</v>
      </c>
      <c r="B2" s="2"/>
      <c r="C2" s="2"/>
      <c r="D2" s="2"/>
      <c r="E2" s="2"/>
      <c r="F2" s="2"/>
      <c r="G2" s="2"/>
      <c r="H2" s="2"/>
    </row>
    <row r="3" spans="1:8" ht="24" customHeight="1">
      <c r="A3" s="4"/>
      <c r="B3" s="4"/>
      <c r="C3" s="4"/>
      <c r="D3" s="4"/>
      <c r="E3" s="4"/>
      <c r="F3" s="4"/>
      <c r="G3" s="4"/>
      <c r="H3" s="4"/>
    </row>
    <row r="4" spans="1:8" ht="24" customHeight="1">
      <c r="A4" s="2" t="s">
        <v>1</v>
      </c>
      <c r="B4" s="23">
        <v>2028</v>
      </c>
      <c r="C4" s="2"/>
      <c r="D4" s="2" t="s">
        <v>2</v>
      </c>
      <c r="E4" s="2"/>
      <c r="F4" s="2"/>
      <c r="G4" s="2"/>
      <c r="H4" s="2"/>
    </row>
    <row r="5" spans="1:8" ht="24" customHeight="1">
      <c r="A5" s="2"/>
      <c r="B5" s="2"/>
      <c r="C5" s="2"/>
      <c r="D5" s="2"/>
      <c r="E5" s="2"/>
      <c r="F5" s="2"/>
      <c r="G5" s="2"/>
      <c r="H5" s="2"/>
    </row>
    <row r="6" spans="1:8" ht="24" customHeight="1">
      <c r="A6" s="5" t="s">
        <v>3</v>
      </c>
      <c r="B6" s="2"/>
      <c r="C6" s="2"/>
      <c r="D6" s="2"/>
      <c r="E6" s="2"/>
      <c r="F6" s="2"/>
      <c r="G6" s="2"/>
      <c r="H6" s="2"/>
    </row>
    <row r="7" spans="1:8" ht="24" customHeight="1">
      <c r="A7" s="2"/>
      <c r="B7" s="2"/>
      <c r="C7" s="2"/>
      <c r="D7" s="2"/>
      <c r="E7" s="2"/>
      <c r="F7" s="2"/>
      <c r="G7" s="2"/>
      <c r="H7" s="2"/>
    </row>
    <row r="8" spans="1:8" ht="25" customHeight="1">
      <c r="A8" s="2" t="s">
        <v>4</v>
      </c>
      <c r="B8" s="2"/>
      <c r="C8" s="2"/>
      <c r="D8" s="2"/>
      <c r="E8" s="2"/>
      <c r="F8" s="2"/>
      <c r="G8" s="2"/>
      <c r="H8" s="2"/>
    </row>
    <row r="9" spans="1:8" ht="25" customHeight="1">
      <c r="A9" s="2" t="s">
        <v>5</v>
      </c>
      <c r="B9" s="2"/>
      <c r="C9" s="2"/>
      <c r="D9" s="2"/>
      <c r="E9" s="2"/>
      <c r="F9" s="2"/>
      <c r="G9" s="2"/>
      <c r="H9" s="2"/>
    </row>
    <row r="10" spans="1:8" ht="25" customHeight="1">
      <c r="A10" s="2" t="s">
        <v>6</v>
      </c>
      <c r="B10" s="2"/>
      <c r="C10" s="2"/>
      <c r="D10" s="2"/>
      <c r="E10" s="2"/>
      <c r="F10" s="2"/>
      <c r="G10" s="2"/>
      <c r="H10" s="2"/>
    </row>
    <row r="11" spans="1:8" ht="25" customHeight="1">
      <c r="A11" s="2" t="s">
        <v>7</v>
      </c>
      <c r="B11" s="2"/>
      <c r="C11" s="2"/>
      <c r="D11" s="2"/>
      <c r="E11" s="2"/>
      <c r="F11" s="2"/>
      <c r="G11" s="2"/>
      <c r="H11" s="2"/>
    </row>
    <row r="12" spans="1:8" ht="25" customHeight="1">
      <c r="A12" s="2" t="s">
        <v>8</v>
      </c>
      <c r="B12" s="2"/>
      <c r="C12" s="2"/>
      <c r="D12" s="2"/>
      <c r="E12" s="2"/>
      <c r="F12" s="2"/>
      <c r="G12" s="2"/>
      <c r="H12" s="2"/>
    </row>
    <row r="13" spans="1:8" ht="25" customHeight="1">
      <c r="A13" s="2" t="s">
        <v>9</v>
      </c>
      <c r="B13" s="2"/>
      <c r="C13" s="2"/>
      <c r="D13" s="2"/>
      <c r="E13" s="2"/>
      <c r="F13" s="2"/>
      <c r="G13" s="2"/>
      <c r="H13" s="2"/>
    </row>
    <row r="14" spans="1:8" ht="25" customHeight="1">
      <c r="A14" s="2" t="s">
        <v>10</v>
      </c>
      <c r="B14" s="2"/>
      <c r="C14" s="2"/>
      <c r="D14" s="2"/>
      <c r="E14" s="2"/>
      <c r="F14" s="2"/>
      <c r="G14" s="2"/>
      <c r="H14" s="2"/>
    </row>
    <row r="15" spans="1:8" ht="25" customHeight="1">
      <c r="A15" s="2" t="s">
        <v>11</v>
      </c>
      <c r="B15" s="2"/>
      <c r="C15" s="2"/>
      <c r="D15" s="2"/>
      <c r="E15" s="2"/>
      <c r="F15" s="2"/>
      <c r="G15" s="2"/>
      <c r="H15" s="2"/>
    </row>
    <row r="16" spans="1:8" ht="25" customHeight="1">
      <c r="A16" s="2" t="s">
        <v>12</v>
      </c>
      <c r="B16" s="2"/>
      <c r="C16" s="2"/>
      <c r="D16" s="2"/>
      <c r="E16" s="2"/>
      <c r="F16" s="2"/>
      <c r="G16" s="2"/>
      <c r="H16" s="2"/>
    </row>
    <row r="17" spans="1:8" ht="25" customHeight="1">
      <c r="A17" s="2" t="s">
        <v>13</v>
      </c>
      <c r="B17" s="2"/>
      <c r="C17" s="2"/>
      <c r="D17" s="2"/>
      <c r="E17" s="2"/>
      <c r="F17" s="2"/>
      <c r="G17" s="2"/>
      <c r="H17" s="2"/>
    </row>
    <row r="18" spans="1:8" ht="25" customHeight="1">
      <c r="A18" s="2" t="s">
        <v>14</v>
      </c>
      <c r="B18" s="2"/>
      <c r="C18" s="2"/>
      <c r="D18" s="2"/>
      <c r="E18" s="2"/>
      <c r="F18" s="2"/>
      <c r="G18" s="2"/>
      <c r="H18" s="2"/>
    </row>
    <row r="19" spans="1:8" ht="25" customHeight="1">
      <c r="A19" s="2" t="s">
        <v>15</v>
      </c>
      <c r="B19" s="2"/>
      <c r="C19" s="2"/>
      <c r="D19" s="2"/>
      <c r="E19" s="2"/>
      <c r="F19" s="2"/>
      <c r="G19" s="2"/>
      <c r="H19" s="2"/>
    </row>
    <row r="20" spans="1:8" ht="25" customHeight="1">
      <c r="A20" s="2" t="s">
        <v>16</v>
      </c>
      <c r="B20" s="2"/>
      <c r="C20" s="2"/>
      <c r="D20" s="2"/>
      <c r="E20" s="2"/>
      <c r="F20" s="2"/>
      <c r="G20" s="2"/>
      <c r="H20" s="2"/>
    </row>
    <row r="21" spans="1:8" ht="24" customHeight="1">
      <c r="A21" s="2"/>
      <c r="B21" s="2"/>
      <c r="C21" s="2"/>
      <c r="D21" s="2"/>
      <c r="E21" s="2"/>
      <c r="F21" s="2"/>
      <c r="G21" s="2"/>
      <c r="H21" s="2"/>
    </row>
    <row r="22" spans="1:8" ht="24" customHeight="1">
      <c r="A22" s="2"/>
      <c r="B22" s="2"/>
      <c r="C22" s="2"/>
      <c r="D22" s="2"/>
      <c r="E22" s="2"/>
      <c r="F22" s="2"/>
      <c r="G22" s="2"/>
      <c r="H22" s="2"/>
    </row>
    <row r="23" spans="1:8" ht="24" customHeight="1">
      <c r="A23" s="6" t="s">
        <v>17</v>
      </c>
      <c r="B23" s="6" t="s">
        <v>18</v>
      </c>
      <c r="C23" s="2"/>
      <c r="D23" s="2"/>
      <c r="E23" s="2"/>
      <c r="F23" s="2"/>
      <c r="G23" s="2"/>
      <c r="H23" s="2"/>
    </row>
    <row r="24" spans="1:8" ht="24" customHeight="1">
      <c r="A24" s="2" t="s">
        <v>19</v>
      </c>
      <c r="B24" s="7">
        <f>COUNTA(Gemeinwesen!$A$7:$A$33)</f>
        <v>27</v>
      </c>
      <c r="C24" s="2"/>
      <c r="D24" s="2" t="s">
        <v>20</v>
      </c>
      <c r="E24" s="2"/>
      <c r="F24" s="2"/>
      <c r="G24" s="2"/>
      <c r="H24" s="2"/>
    </row>
    <row r="25" spans="1:8" ht="24" customHeight="1">
      <c r="A25" s="2" t="s">
        <v>21</v>
      </c>
      <c r="B25" s="7">
        <f>COUNTIFS(Feiertagsregeln!$R$7:$R$96,"approved")</f>
        <v>12</v>
      </c>
      <c r="C25" s="2"/>
      <c r="D25" s="2" t="s">
        <v>22</v>
      </c>
      <c r="E25" s="2"/>
      <c r="F25" s="2"/>
      <c r="G25" s="2"/>
      <c r="H25" s="2"/>
    </row>
    <row r="26" spans="1:8" ht="24" customHeight="1">
      <c r="A26" s="2" t="s">
        <v>23</v>
      </c>
      <c r="B26" s="7">
        <f>COUNTIFS(Feiertagsregeln!$R$7:$R$480,"open")</f>
        <v>462</v>
      </c>
      <c r="C26" s="2"/>
      <c r="D26" s="2" t="s">
        <v>24</v>
      </c>
      <c r="E26" s="2"/>
      <c r="F26" s="2"/>
      <c r="G26" s="2"/>
      <c r="H26" s="2"/>
    </row>
    <row r="27" spans="1:8" ht="24" customHeight="1">
      <c r="A27" s="2"/>
      <c r="B27" s="2"/>
      <c r="C27" s="2"/>
      <c r="D27" s="2"/>
      <c r="E27" s="2"/>
      <c r="F27" s="2"/>
      <c r="G27" s="2"/>
      <c r="H27" s="2"/>
    </row>
    <row r="28" spans="1:8" ht="24" customHeight="1">
      <c r="A28" s="2"/>
      <c r="B28" s="2"/>
      <c r="C28" s="2"/>
      <c r="D28" s="2"/>
      <c r="E28" s="2"/>
      <c r="F28" s="2"/>
      <c r="G28" s="2"/>
      <c r="H28" s="2"/>
    </row>
    <row r="29" spans="1:8" ht="24" customHeight="1">
      <c r="A29" s="2" t="s">
        <v>25</v>
      </c>
      <c r="B29" s="2"/>
      <c r="C29" s="2"/>
      <c r="D29" s="2"/>
      <c r="E29" s="2"/>
      <c r="F29" s="2"/>
      <c r="G29" s="2"/>
      <c r="H29" s="2"/>
    </row>
    <row r="30" spans="1:8" ht="24" customHeight="1">
      <c r="A30" s="2" t="s">
        <v>26</v>
      </c>
      <c r="B30" s="2"/>
      <c r="C30" s="2"/>
      <c r="D30" s="2"/>
      <c r="E30" s="2"/>
      <c r="F30" s="2"/>
      <c r="G30" s="2"/>
      <c r="H30" s="2"/>
    </row>
    <row r="31" spans="1:8" ht="24" customHeight="1">
      <c r="A31" s="2" t="s">
        <v>27</v>
      </c>
      <c r="B31" s="2"/>
      <c r="C31" s="2"/>
      <c r="D31" s="2"/>
      <c r="E31" s="2"/>
      <c r="F31" s="2"/>
      <c r="G31" s="2"/>
      <c r="H31" s="2"/>
    </row>
    <row r="32" spans="1:8" ht="24" customHeight="1">
      <c r="A32" s="2" t="s">
        <v>28</v>
      </c>
      <c r="B32" s="2"/>
      <c r="C32" s="2"/>
      <c r="D32" s="2"/>
      <c r="E32" s="2"/>
      <c r="F32" s="2"/>
      <c r="G32" s="2"/>
      <c r="H32" s="2"/>
    </row>
    <row r="33" spans="1:8" ht="24" customHeight="1">
      <c r="A33" s="2" t="s">
        <v>29</v>
      </c>
      <c r="B33" s="2"/>
      <c r="C33" s="2"/>
      <c r="D33" s="2"/>
      <c r="E33" s="2"/>
      <c r="F33" s="2"/>
      <c r="G33" s="2"/>
      <c r="H33" s="2"/>
    </row>
    <row r="34" spans="1:8" ht="24" customHeight="1">
      <c r="A34" s="2" t="s">
        <v>30</v>
      </c>
      <c r="B34" s="2"/>
      <c r="C34" s="2"/>
      <c r="D34" s="2"/>
      <c r="E34" s="2"/>
      <c r="F34" s="2"/>
      <c r="G34" s="2"/>
      <c r="H34" s="2"/>
    </row>
    <row r="35" spans="1:8" ht="24" customHeight="1">
      <c r="A35" s="2" t="s">
        <v>31</v>
      </c>
      <c r="B35" s="2"/>
      <c r="C35" s="2"/>
      <c r="D35" s="2"/>
      <c r="E35" s="2"/>
      <c r="F35" s="2"/>
      <c r="G35" s="2"/>
      <c r="H35" s="2"/>
    </row>
    <row r="36" spans="1:8" ht="24" customHeight="1">
      <c r="A36" s="2" t="s">
        <v>32</v>
      </c>
      <c r="B36" s="2"/>
      <c r="C36" s="2"/>
      <c r="D36" s="2"/>
      <c r="E36" s="2"/>
      <c r="F36" s="2"/>
      <c r="G36" s="2"/>
      <c r="H36" s="2"/>
    </row>
  </sheetData>
  <sheetProtection sheet="1" objects="1" scenarios="1" sort="0" autoFilter="0"/>
  <dataValidations count="1">
    <dataValidation type="whole" sqref="B4" xr:uid="{00000000-0002-0000-0000-000000000000}">
      <formula1>2026</formula1>
      <formula2>2028</formula2>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F6F73"/>
  </sheetPr>
  <dimension ref="A1:O489"/>
  <sheetViews>
    <sheetView showGridLines="0" tabSelected="1" zoomScale="130" zoomScaleNormal="130" workbookViewId="0">
      <pane xSplit="1" ySplit="6" topLeftCell="B7" activePane="bottomRight" state="frozen"/>
      <selection pane="topRight"/>
      <selection pane="bottomLeft"/>
      <selection pane="bottomRight" activeCell="B7" sqref="B7"/>
    </sheetView>
  </sheetViews>
  <sheetFormatPr baseColWidth="10" defaultColWidth="8.83203125" defaultRowHeight="14"/>
  <cols>
    <col min="1" max="1" width="17" customWidth="1"/>
    <col min="2" max="2" width="30" customWidth="1"/>
    <col min="3" max="3" width="17" customWidth="1"/>
    <col min="4" max="4" width="38" customWidth="1"/>
    <col min="5" max="5" width="40" customWidth="1"/>
    <col min="6" max="6" width="34" customWidth="1"/>
    <col min="7" max="8" width="32" customWidth="1"/>
    <col min="9" max="9" width="29" customWidth="1"/>
    <col min="10" max="10" width="17" customWidth="1"/>
    <col min="11" max="12" width="43" customWidth="1"/>
    <col min="13" max="13" width="35" customWidth="1"/>
    <col min="14" max="14" width="29" customWidth="1"/>
    <col min="15" max="15" width="22" customWidth="1"/>
  </cols>
  <sheetData>
    <row r="1" spans="1:15" ht="24" customHeight="1">
      <c r="A1" s="2"/>
      <c r="B1" s="2"/>
      <c r="C1" s="2"/>
      <c r="D1" s="2"/>
      <c r="E1" s="2"/>
      <c r="F1" s="2"/>
      <c r="I1" s="2"/>
      <c r="J1" s="2"/>
      <c r="K1" s="2"/>
      <c r="L1" s="2"/>
      <c r="M1" s="2"/>
      <c r="N1" s="2"/>
    </row>
    <row r="2" spans="1:15" ht="24" customHeight="1">
      <c r="A2" s="3" t="s">
        <v>33</v>
      </c>
      <c r="B2" s="2"/>
      <c r="C2" s="2"/>
      <c r="D2" s="2"/>
      <c r="E2" s="2"/>
      <c r="F2" s="2"/>
      <c r="I2" s="2"/>
      <c r="J2" s="2"/>
      <c r="K2" s="2"/>
      <c r="L2" s="2"/>
      <c r="M2" s="2"/>
      <c r="N2" s="2"/>
    </row>
    <row r="3" spans="1:15" ht="24" customHeight="1">
      <c r="A3" s="4"/>
      <c r="B3" s="4"/>
      <c r="C3" s="4"/>
      <c r="D3" s="4"/>
      <c r="E3" s="4"/>
      <c r="F3" s="4"/>
      <c r="I3" s="4"/>
      <c r="J3" s="4"/>
      <c r="K3" s="4"/>
      <c r="L3" s="4"/>
      <c r="M3" s="4"/>
      <c r="N3" s="4"/>
    </row>
    <row r="4" spans="1:15" ht="24" customHeight="1">
      <c r="A4" s="8" t="s">
        <v>34</v>
      </c>
      <c r="B4" s="2"/>
      <c r="C4" s="2"/>
      <c r="D4" s="2"/>
      <c r="E4" s="2"/>
      <c r="F4" s="2"/>
      <c r="I4" s="2"/>
      <c r="J4" s="2"/>
      <c r="K4" s="2"/>
      <c r="L4" s="2"/>
      <c r="M4" s="2"/>
      <c r="N4" s="2"/>
    </row>
    <row r="5" spans="1:15" ht="24" customHeight="1">
      <c r="A5" s="2"/>
      <c r="B5" s="2"/>
      <c r="C5" s="2"/>
      <c r="D5" s="2"/>
      <c r="E5" s="2"/>
      <c r="F5" s="2"/>
      <c r="I5" s="2"/>
      <c r="J5" s="2"/>
      <c r="K5" s="2"/>
      <c r="L5" s="2"/>
      <c r="M5" s="2"/>
      <c r="N5" s="2"/>
    </row>
    <row r="6" spans="1:15" ht="42" customHeight="1">
      <c r="A6" s="9" t="s">
        <v>35</v>
      </c>
      <c r="B6" s="9" t="s">
        <v>36</v>
      </c>
      <c r="C6" s="9" t="s">
        <v>19</v>
      </c>
      <c r="D6" s="9" t="s">
        <v>37</v>
      </c>
      <c r="E6" s="9" t="s">
        <v>38</v>
      </c>
      <c r="F6" s="9" t="s">
        <v>39</v>
      </c>
      <c r="G6" s="20" t="s">
        <v>40</v>
      </c>
      <c r="H6" s="20" t="s">
        <v>41</v>
      </c>
      <c r="I6" s="9" t="s">
        <v>42</v>
      </c>
      <c r="J6" s="9" t="s">
        <v>43</v>
      </c>
      <c r="K6" s="9" t="s">
        <v>44</v>
      </c>
      <c r="L6" s="9" t="s">
        <v>45</v>
      </c>
      <c r="M6" s="9" t="s">
        <v>46</v>
      </c>
      <c r="N6" s="9" t="s">
        <v>47</v>
      </c>
      <c r="O6" s="9" t="s">
        <v>48</v>
      </c>
    </row>
    <row r="7" spans="1:15" ht="38" customHeight="1">
      <c r="A7" s="14">
        <f>INDEX(Feiertagsregeln!$X$7:$X$480,MATCH($K7,Feiertagsregeln!$A$7:$A$480,0))</f>
        <v>46966</v>
      </c>
      <c r="B7" s="10" t="str">
        <f t="shared" ref="B7:B70" si="0">IF(ISNUMBER(A7),CHOOSE(WEEKDAY(A7,2),"Montag","Dienstag","Mittwoch","Donnerstag","Freitag","Samstag","Sonntag")&amp;IF(O7="Ab 12.00 Uhr",", ab 12.00 Uhr",""),"n.a.")</f>
        <v>Dienstag</v>
      </c>
      <c r="C7" s="10" t="s">
        <v>49</v>
      </c>
      <c r="D7" s="10" t="s">
        <v>50</v>
      </c>
      <c r="E7" s="10" t="str">
        <f>INDEX(Feiertagsregeln!$D$7:$D$480,MATCH($K7,Feiertagsregeln!$A$7:$A$480,0))</f>
        <v>Bundesfeiertag</v>
      </c>
      <c r="F7" s="10" t="str">
        <f>INDEX(Feiertagsregeln!$E$7:$E$480,MATCH($K7,Feiertagsregeln!$A$7:$A$480,0))</f>
        <v>Fête nationale</v>
      </c>
      <c r="G7" s="21" t="str">
        <f>IF(INDEX(Feiertagsregeln!$F$7:$F$480,MATCH($K7,Feiertagsregeln!$A$7:$A$480,0))="","Noch zu erfassen",INDEX(Feiertagsregeln!$F$7:$F$480,MATCH($K7,Feiertagsregeln!$A$7:$A$480,0)))</f>
        <v>Noch zu erfassen</v>
      </c>
      <c r="H7" s="21" t="str">
        <f>IF(INDEX(Feiertagsregeln!$G$7:$G$480,MATCH($K7,Feiertagsregeln!$A$7:$A$480,0))="","Noch zu erfassen",INDEX(Feiertagsregeln!$G$7:$G$480,MATCH($K7,Feiertagsregeln!$A$7:$A$480,0)))</f>
        <v>Noch zu erfassen</v>
      </c>
      <c r="I7" s="10" t="str">
        <f>INDEX(Feiertagsregeln!$H$7:$H$480,MATCH($K7,Feiertagsregeln!$A$7:$A$480,0))</f>
        <v>publicHoliday</v>
      </c>
      <c r="J7" s="10" t="str">
        <f>INDEX(Feiertagsregeln!$R$7:$R$96,MATCH($K7,Feiertagsregeln!$A$7:$A$96,0))</f>
        <v>approved</v>
      </c>
      <c r="K7" s="10" t="s">
        <v>51</v>
      </c>
      <c r="L7" s="10" t="str">
        <f>INDEX(Feiertagsregeln!$Y$7:$Y$480,MATCH($K7,Feiertagsregeln!$A$7:$A$480,0))</f>
        <v>SRC-BUNDESFEIERTAG-19940701</v>
      </c>
      <c r="M7" s="10" t="str">
        <f>INDEX(Feiertagsregeln!$Z$7:$Z$480,MATCH($K7,Feiertagsregeln!$A$7:$A$480,0))</f>
        <v>Art. 1</v>
      </c>
      <c r="N7" s="10" t="s">
        <v>52</v>
      </c>
      <c r="O7" s="10" t="str">
        <f>INDEX(Feiertagsregeln!$AA$7:$AA$480,MATCH($K7,Feiertagsregeln!$A$7:$A$480,0))</f>
        <v>Ganztägig</v>
      </c>
    </row>
    <row r="8" spans="1:15" ht="38" customHeight="1">
      <c r="A8" s="15">
        <f>INDEX(Feiertagsregeln!$X$7:$X$480,MATCH($K8,Feiertagsregeln!$A$7:$A$480,0))</f>
        <v>46966</v>
      </c>
      <c r="B8" s="11" t="str">
        <f t="shared" si="0"/>
        <v>Dienstag</v>
      </c>
      <c r="C8" s="11" t="s">
        <v>53</v>
      </c>
      <c r="D8" s="11" t="s">
        <v>54</v>
      </c>
      <c r="E8" s="11" t="str">
        <f>INDEX(Feiertagsregeln!$D$7:$D$480,MATCH($K8,Feiertagsregeln!$A$7:$A$480,0))</f>
        <v>Bundesfeiertag</v>
      </c>
      <c r="F8" s="11" t="str">
        <f>INDEX(Feiertagsregeln!$E$7:$E$480,MATCH($K8,Feiertagsregeln!$A$7:$A$480,0))</f>
        <v>Fête nationale</v>
      </c>
      <c r="G8" s="22" t="str">
        <f>IF(INDEX(Feiertagsregeln!$F$7:$F$480,MATCH($K8,Feiertagsregeln!$A$7:$A$480,0))="","Noch zu erfassen",INDEX(Feiertagsregeln!$F$7:$F$480,MATCH($K8,Feiertagsregeln!$A$7:$A$480,0)))</f>
        <v>Noch zu erfassen</v>
      </c>
      <c r="H8" s="22" t="str">
        <f>IF(INDEX(Feiertagsregeln!$G$7:$G$480,MATCH($K8,Feiertagsregeln!$A$7:$A$480,0))="","Noch zu erfassen",INDEX(Feiertagsregeln!$G$7:$G$480,MATCH($K8,Feiertagsregeln!$A$7:$A$480,0)))</f>
        <v>Noch zu erfassen</v>
      </c>
      <c r="I8" s="11" t="str">
        <f>INDEX(Feiertagsregeln!$H$7:$H$480,MATCH($K8,Feiertagsregeln!$A$7:$A$480,0))</f>
        <v>publicHoliday</v>
      </c>
      <c r="J8" s="11" t="str">
        <f>INDEX(Feiertagsregeln!$R$7:$R$96,MATCH($K8,Feiertagsregeln!$A$7:$A$96,0))</f>
        <v>approved</v>
      </c>
      <c r="K8" s="11" t="s">
        <v>51</v>
      </c>
      <c r="L8" s="11" t="str">
        <f>INDEX(Feiertagsregeln!$Y$7:$Y$480,MATCH($K8,Feiertagsregeln!$A$7:$A$480,0))</f>
        <v>SRC-BUNDESFEIERTAG-19940701</v>
      </c>
      <c r="M8" s="11" t="str">
        <f>INDEX(Feiertagsregeln!$Z$7:$Z$480,MATCH($K8,Feiertagsregeln!$A$7:$A$480,0))</f>
        <v>Art. 1</v>
      </c>
      <c r="N8" s="11" t="s">
        <v>55</v>
      </c>
      <c r="O8" s="11" t="str">
        <f>INDEX(Feiertagsregeln!$AA$7:$AA$480,MATCH($K8,Feiertagsregeln!$A$7:$A$480,0))</f>
        <v>Ganztägig</v>
      </c>
    </row>
    <row r="9" spans="1:15" ht="38" customHeight="1">
      <c r="A9" s="14">
        <f>INDEX(Feiertagsregeln!$X$7:$X$480,MATCH($K9,Feiertagsregeln!$A$7:$A$480,0))</f>
        <v>46753</v>
      </c>
      <c r="B9" s="10" t="str">
        <f t="shared" si="0"/>
        <v>Samstag</v>
      </c>
      <c r="C9" s="10" t="s">
        <v>53</v>
      </c>
      <c r="D9" s="10" t="s">
        <v>54</v>
      </c>
      <c r="E9" s="10" t="str">
        <f>INDEX(Feiertagsregeln!$D$7:$D$480,MATCH($K9,Feiertagsregeln!$A$7:$A$480,0))</f>
        <v>Neujahr</v>
      </c>
      <c r="F9" s="10" t="str">
        <f>INDEX(Feiertagsregeln!$E$7:$E$480,MATCH($K9,Feiertagsregeln!$A$7:$A$480,0))</f>
        <v>Nouvel An</v>
      </c>
      <c r="G9" s="21" t="str">
        <f>IF(INDEX(Feiertagsregeln!$F$7:$F$480,MATCH($K9,Feiertagsregeln!$A$7:$A$480,0))="","Noch zu erfassen",INDEX(Feiertagsregeln!$F$7:$F$480,MATCH($K9,Feiertagsregeln!$A$7:$A$480,0)))</f>
        <v>Noch zu erfassen</v>
      </c>
      <c r="H9" s="21" t="str">
        <f>IF(INDEX(Feiertagsregeln!$G$7:$G$480,MATCH($K9,Feiertagsregeln!$A$7:$A$480,0))="","Noch zu erfassen",INDEX(Feiertagsregeln!$G$7:$G$480,MATCH($K9,Feiertagsregeln!$A$7:$A$480,0)))</f>
        <v>Noch zu erfassen</v>
      </c>
      <c r="I9" s="10" t="str">
        <f>INDEX(Feiertagsregeln!$H$7:$H$480,MATCH($K9,Feiertagsregeln!$A$7:$A$480,0))</f>
        <v>publicHoliday</v>
      </c>
      <c r="J9" s="10" t="str">
        <f>INDEX(Feiertagsregeln!$R$7:$R$96,MATCH($K9,Feiertagsregeln!$A$7:$A$96,0))</f>
        <v>approved</v>
      </c>
      <c r="K9" s="10" t="s">
        <v>56</v>
      </c>
      <c r="L9" s="10" t="str">
        <f>INDEX(Feiertagsregeln!$Y$7:$Y$480,MATCH($K9,Feiertagsregeln!$A$7:$A$480,0))</f>
        <v>SRC-FRG-BE-20210401</v>
      </c>
      <c r="M9" s="10" t="str">
        <f>INDEX(Feiertagsregeln!$Z$7:$Z$480,MATCH($K9,Feiertagsregeln!$A$7:$A$480,0))</f>
        <v>Art. 2 Abs. 1 Bst. c</v>
      </c>
      <c r="N9" s="10" t="s">
        <v>55</v>
      </c>
      <c r="O9" s="10" t="str">
        <f>INDEX(Feiertagsregeln!$AA$7:$AA$480,MATCH($K9,Feiertagsregeln!$A$7:$A$480,0))</f>
        <v>Ganztägig</v>
      </c>
    </row>
    <row r="10" spans="1:15" ht="38" customHeight="1">
      <c r="A10" s="15">
        <f>INDEX(Feiertagsregeln!$X$7:$X$480,MATCH($K10,Feiertagsregeln!$A$7:$A$480,0))</f>
        <v>46754</v>
      </c>
      <c r="B10" s="11" t="str">
        <f t="shared" si="0"/>
        <v>Sonntag</v>
      </c>
      <c r="C10" s="11" t="s">
        <v>53</v>
      </c>
      <c r="D10" s="11" t="s">
        <v>54</v>
      </c>
      <c r="E10" s="11" t="str">
        <f>INDEX(Feiertagsregeln!$D$7:$D$480,MATCH($K10,Feiertagsregeln!$A$7:$A$480,0))</f>
        <v>Berchtoldstag</v>
      </c>
      <c r="F10" s="11" t="str">
        <f>INDEX(Feiertagsregeln!$E$7:$E$480,MATCH($K10,Feiertagsregeln!$A$7:$A$480,0))</f>
        <v>Saint-Berchtold</v>
      </c>
      <c r="G10" s="22" t="str">
        <f>IF(INDEX(Feiertagsregeln!$F$7:$F$480,MATCH($K10,Feiertagsregeln!$A$7:$A$480,0))="","Noch zu erfassen",INDEX(Feiertagsregeln!$F$7:$F$480,MATCH($K10,Feiertagsregeln!$A$7:$A$480,0)))</f>
        <v>Noch zu erfassen</v>
      </c>
      <c r="H10" s="22" t="str">
        <f>IF(INDEX(Feiertagsregeln!$G$7:$G$480,MATCH($K10,Feiertagsregeln!$A$7:$A$480,0))="","Noch zu erfassen",INDEX(Feiertagsregeln!$G$7:$G$480,MATCH($K10,Feiertagsregeln!$A$7:$A$480,0)))</f>
        <v>Noch zu erfassen</v>
      </c>
      <c r="I10" s="11" t="str">
        <f>INDEX(Feiertagsregeln!$H$7:$H$480,MATCH($K10,Feiertagsregeln!$A$7:$A$480,0))</f>
        <v>publicHoliday</v>
      </c>
      <c r="J10" s="11" t="str">
        <f>INDEX(Feiertagsregeln!$R$7:$R$96,MATCH($K10,Feiertagsregeln!$A$7:$A$96,0))</f>
        <v>approved</v>
      </c>
      <c r="K10" s="11" t="s">
        <v>57</v>
      </c>
      <c r="L10" s="11" t="str">
        <f>INDEX(Feiertagsregeln!$Y$7:$Y$480,MATCH($K10,Feiertagsregeln!$A$7:$A$480,0))</f>
        <v>SRC-FRG-BE-20210401</v>
      </c>
      <c r="M10" s="11" t="str">
        <f>INDEX(Feiertagsregeln!$Z$7:$Z$480,MATCH($K10,Feiertagsregeln!$A$7:$A$480,0))</f>
        <v>Art. 2 Abs. 1 Bst. c</v>
      </c>
      <c r="N10" s="11" t="s">
        <v>55</v>
      </c>
      <c r="O10" s="11" t="str">
        <f>INDEX(Feiertagsregeln!$AA$7:$AA$480,MATCH($K10,Feiertagsregeln!$A$7:$A$480,0))</f>
        <v>Ganztägig</v>
      </c>
    </row>
    <row r="11" spans="1:15" ht="38" customHeight="1">
      <c r="A11" s="14">
        <f>INDEX(Feiertagsregeln!$X$7:$X$480,MATCH($K11,Feiertagsregeln!$A$7:$A$480,0))</f>
        <v>46857</v>
      </c>
      <c r="B11" s="10" t="str">
        <f t="shared" si="0"/>
        <v>Freitag</v>
      </c>
      <c r="C11" s="10" t="s">
        <v>53</v>
      </c>
      <c r="D11" s="10" t="s">
        <v>54</v>
      </c>
      <c r="E11" s="10" t="str">
        <f>INDEX(Feiertagsregeln!$D$7:$D$480,MATCH($K11,Feiertagsregeln!$A$7:$A$480,0))</f>
        <v>Karfreitag</v>
      </c>
      <c r="F11" s="10" t="str">
        <f>INDEX(Feiertagsregeln!$E$7:$E$480,MATCH($K11,Feiertagsregeln!$A$7:$A$480,0))</f>
        <v>Vendredi saint</v>
      </c>
      <c r="G11" s="21" t="str">
        <f>IF(INDEX(Feiertagsregeln!$F$7:$F$480,MATCH($K11,Feiertagsregeln!$A$7:$A$480,0))="","Noch zu erfassen",INDEX(Feiertagsregeln!$F$7:$F$480,MATCH($K11,Feiertagsregeln!$A$7:$A$480,0)))</f>
        <v>Noch zu erfassen</v>
      </c>
      <c r="H11" s="21" t="str">
        <f>IF(INDEX(Feiertagsregeln!$G$7:$G$480,MATCH($K11,Feiertagsregeln!$A$7:$A$480,0))="","Noch zu erfassen",INDEX(Feiertagsregeln!$G$7:$G$480,MATCH($K11,Feiertagsregeln!$A$7:$A$480,0)))</f>
        <v>Noch zu erfassen</v>
      </c>
      <c r="I11" s="10" t="str">
        <f>INDEX(Feiertagsregeln!$H$7:$H$480,MATCH($K11,Feiertagsregeln!$A$7:$A$480,0))</f>
        <v>publicHoliday</v>
      </c>
      <c r="J11" s="10" t="str">
        <f>INDEX(Feiertagsregeln!$R$7:$R$96,MATCH($K11,Feiertagsregeln!$A$7:$A$96,0))</f>
        <v>approved</v>
      </c>
      <c r="K11" s="10" t="s">
        <v>58</v>
      </c>
      <c r="L11" s="10" t="str">
        <f>INDEX(Feiertagsregeln!$Y$7:$Y$480,MATCH($K11,Feiertagsregeln!$A$7:$A$480,0))</f>
        <v>SRC-FRG-BE-20210401</v>
      </c>
      <c r="M11" s="10" t="str">
        <f>INDEX(Feiertagsregeln!$Z$7:$Z$480,MATCH($K11,Feiertagsregeln!$A$7:$A$480,0))</f>
        <v>Art. 2 Abs. 1 Bst. b</v>
      </c>
      <c r="N11" s="10" t="s">
        <v>55</v>
      </c>
      <c r="O11" s="10" t="str">
        <f>INDEX(Feiertagsregeln!$AA$7:$AA$480,MATCH($K11,Feiertagsregeln!$A$7:$A$480,0))</f>
        <v>Ganztägig</v>
      </c>
    </row>
    <row r="12" spans="1:15" ht="38" customHeight="1">
      <c r="A12" s="15">
        <f>INDEX(Feiertagsregeln!$X$7:$X$480,MATCH($K12,Feiertagsregeln!$A$7:$A$480,0))</f>
        <v>46859</v>
      </c>
      <c r="B12" s="11" t="str">
        <f t="shared" si="0"/>
        <v>Sonntag</v>
      </c>
      <c r="C12" s="11" t="s">
        <v>53</v>
      </c>
      <c r="D12" s="11" t="s">
        <v>54</v>
      </c>
      <c r="E12" s="11" t="str">
        <f>INDEX(Feiertagsregeln!$D$7:$D$480,MATCH($K12,Feiertagsregeln!$A$7:$A$480,0))</f>
        <v>Ostern</v>
      </c>
      <c r="F12" s="11" t="str">
        <f>INDEX(Feiertagsregeln!$E$7:$E$480,MATCH($K12,Feiertagsregeln!$A$7:$A$480,0))</f>
        <v>Pâques</v>
      </c>
      <c r="G12" s="22" t="str">
        <f>IF(INDEX(Feiertagsregeln!$F$7:$F$480,MATCH($K12,Feiertagsregeln!$A$7:$A$480,0))="","Noch zu erfassen",INDEX(Feiertagsregeln!$F$7:$F$480,MATCH($K12,Feiertagsregeln!$A$7:$A$480,0)))</f>
        <v>Noch zu erfassen</v>
      </c>
      <c r="H12" s="22" t="str">
        <f>IF(INDEX(Feiertagsregeln!$G$7:$G$480,MATCH($K12,Feiertagsregeln!$A$7:$A$480,0))="","Noch zu erfassen",INDEX(Feiertagsregeln!$G$7:$G$480,MATCH($K12,Feiertagsregeln!$A$7:$A$480,0)))</f>
        <v>Noch zu erfassen</v>
      </c>
      <c r="I12" s="11" t="str">
        <f>INDEX(Feiertagsregeln!$H$7:$H$480,MATCH($K12,Feiertagsregeln!$A$7:$A$480,0))</f>
        <v>publicHoliday</v>
      </c>
      <c r="J12" s="11" t="str">
        <f>INDEX(Feiertagsregeln!$R$7:$R$96,MATCH($K12,Feiertagsregeln!$A$7:$A$96,0))</f>
        <v>approved</v>
      </c>
      <c r="K12" s="11" t="s">
        <v>59</v>
      </c>
      <c r="L12" s="11" t="str">
        <f>INDEX(Feiertagsregeln!$Y$7:$Y$480,MATCH($K12,Feiertagsregeln!$A$7:$A$480,0))</f>
        <v>SRC-FRG-BE-20210401</v>
      </c>
      <c r="M12" s="11" t="str">
        <f>INDEX(Feiertagsregeln!$Z$7:$Z$480,MATCH($K12,Feiertagsregeln!$A$7:$A$480,0))</f>
        <v>Art. 2 Abs. 1 Bst. b</v>
      </c>
      <c r="N12" s="11" t="s">
        <v>55</v>
      </c>
      <c r="O12" s="11" t="str">
        <f>INDEX(Feiertagsregeln!$AA$7:$AA$480,MATCH($K12,Feiertagsregeln!$A$7:$A$480,0))</f>
        <v>Ganztägig</v>
      </c>
    </row>
    <row r="13" spans="1:15" ht="38" customHeight="1">
      <c r="A13" s="14">
        <f>INDEX(Feiertagsregeln!$X$7:$X$480,MATCH($K13,Feiertagsregeln!$A$7:$A$480,0))</f>
        <v>46860</v>
      </c>
      <c r="B13" s="10" t="str">
        <f t="shared" si="0"/>
        <v>Montag</v>
      </c>
      <c r="C13" s="10" t="s">
        <v>53</v>
      </c>
      <c r="D13" s="10" t="s">
        <v>54</v>
      </c>
      <c r="E13" s="10" t="str">
        <f>INDEX(Feiertagsregeln!$D$7:$D$480,MATCH($K13,Feiertagsregeln!$A$7:$A$480,0))</f>
        <v>Ostermontag</v>
      </c>
      <c r="F13" s="10" t="str">
        <f>INDEX(Feiertagsregeln!$E$7:$E$480,MATCH($K13,Feiertagsregeln!$A$7:$A$480,0))</f>
        <v>Lundi de Pâques</v>
      </c>
      <c r="G13" s="21" t="str">
        <f>IF(INDEX(Feiertagsregeln!$F$7:$F$480,MATCH($K13,Feiertagsregeln!$A$7:$A$480,0))="","Noch zu erfassen",INDEX(Feiertagsregeln!$F$7:$F$480,MATCH($K13,Feiertagsregeln!$A$7:$A$480,0)))</f>
        <v>Noch zu erfassen</v>
      </c>
      <c r="H13" s="21" t="str">
        <f>IF(INDEX(Feiertagsregeln!$G$7:$G$480,MATCH($K13,Feiertagsregeln!$A$7:$A$480,0))="","Noch zu erfassen",INDEX(Feiertagsregeln!$G$7:$G$480,MATCH($K13,Feiertagsregeln!$A$7:$A$480,0)))</f>
        <v>Noch zu erfassen</v>
      </c>
      <c r="I13" s="10" t="str">
        <f>INDEX(Feiertagsregeln!$H$7:$H$480,MATCH($K13,Feiertagsregeln!$A$7:$A$480,0))</f>
        <v>publicHoliday</v>
      </c>
      <c r="J13" s="10" t="str">
        <f>INDEX(Feiertagsregeln!$R$7:$R$96,MATCH($K13,Feiertagsregeln!$A$7:$A$96,0))</f>
        <v>approved</v>
      </c>
      <c r="K13" s="10" t="s">
        <v>60</v>
      </c>
      <c r="L13" s="10" t="str">
        <f>INDEX(Feiertagsregeln!$Y$7:$Y$480,MATCH($K13,Feiertagsregeln!$A$7:$A$480,0))</f>
        <v>SRC-FRG-BE-20210401</v>
      </c>
      <c r="M13" s="10" t="str">
        <f>INDEX(Feiertagsregeln!$Z$7:$Z$480,MATCH($K13,Feiertagsregeln!$A$7:$A$480,0))</f>
        <v>Art. 2 Abs. 1 Bst. c</v>
      </c>
      <c r="N13" s="10" t="s">
        <v>55</v>
      </c>
      <c r="O13" s="10" t="str">
        <f>INDEX(Feiertagsregeln!$AA$7:$AA$480,MATCH($K13,Feiertagsregeln!$A$7:$A$480,0))</f>
        <v>Ganztägig</v>
      </c>
    </row>
    <row r="14" spans="1:15" ht="38" customHeight="1">
      <c r="A14" s="15">
        <f>INDEX(Feiertagsregeln!$X$7:$X$480,MATCH($K14,Feiertagsregeln!$A$7:$A$480,0))</f>
        <v>46898</v>
      </c>
      <c r="B14" s="11" t="str">
        <f t="shared" si="0"/>
        <v>Donnerstag</v>
      </c>
      <c r="C14" s="11" t="s">
        <v>53</v>
      </c>
      <c r="D14" s="11" t="s">
        <v>54</v>
      </c>
      <c r="E14" s="11" t="str">
        <f>INDEX(Feiertagsregeln!$D$7:$D$480,MATCH($K14,Feiertagsregeln!$A$7:$A$480,0))</f>
        <v>Auffahrt</v>
      </c>
      <c r="F14" s="11" t="str">
        <f>INDEX(Feiertagsregeln!$E$7:$E$480,MATCH($K14,Feiertagsregeln!$A$7:$A$480,0))</f>
        <v>Ascension</v>
      </c>
      <c r="G14" s="22" t="str">
        <f>IF(INDEX(Feiertagsregeln!$F$7:$F$480,MATCH($K14,Feiertagsregeln!$A$7:$A$480,0))="","Noch zu erfassen",INDEX(Feiertagsregeln!$F$7:$F$480,MATCH($K14,Feiertagsregeln!$A$7:$A$480,0)))</f>
        <v>Noch zu erfassen</v>
      </c>
      <c r="H14" s="22" t="str">
        <f>IF(INDEX(Feiertagsregeln!$G$7:$G$480,MATCH($K14,Feiertagsregeln!$A$7:$A$480,0))="","Noch zu erfassen",INDEX(Feiertagsregeln!$G$7:$G$480,MATCH($K14,Feiertagsregeln!$A$7:$A$480,0)))</f>
        <v>Noch zu erfassen</v>
      </c>
      <c r="I14" s="11" t="str">
        <f>INDEX(Feiertagsregeln!$H$7:$H$480,MATCH($K14,Feiertagsregeln!$A$7:$A$480,0))</f>
        <v>publicHoliday</v>
      </c>
      <c r="J14" s="11" t="str">
        <f>INDEX(Feiertagsregeln!$R$7:$R$96,MATCH($K14,Feiertagsregeln!$A$7:$A$96,0))</f>
        <v>approved</v>
      </c>
      <c r="K14" s="11" t="s">
        <v>61</v>
      </c>
      <c r="L14" s="11" t="str">
        <f>INDEX(Feiertagsregeln!$Y$7:$Y$480,MATCH($K14,Feiertagsregeln!$A$7:$A$480,0))</f>
        <v>SRC-FRG-BE-20210401</v>
      </c>
      <c r="M14" s="11" t="str">
        <f>INDEX(Feiertagsregeln!$Z$7:$Z$480,MATCH($K14,Feiertagsregeln!$A$7:$A$480,0))</f>
        <v>Art. 2 Abs. 1 Bst. b</v>
      </c>
      <c r="N14" s="11" t="s">
        <v>55</v>
      </c>
      <c r="O14" s="11" t="str">
        <f>INDEX(Feiertagsregeln!$AA$7:$AA$480,MATCH($K14,Feiertagsregeln!$A$7:$A$480,0))</f>
        <v>Ganztägig</v>
      </c>
    </row>
    <row r="15" spans="1:15" ht="38" customHeight="1">
      <c r="A15" s="14">
        <f>INDEX(Feiertagsregeln!$X$7:$X$480,MATCH($K15,Feiertagsregeln!$A$7:$A$480,0))</f>
        <v>46908</v>
      </c>
      <c r="B15" s="10" t="str">
        <f t="shared" si="0"/>
        <v>Sonntag</v>
      </c>
      <c r="C15" s="10" t="s">
        <v>53</v>
      </c>
      <c r="D15" s="10" t="s">
        <v>54</v>
      </c>
      <c r="E15" s="10" t="str">
        <f>INDEX(Feiertagsregeln!$D$7:$D$480,MATCH($K15,Feiertagsregeln!$A$7:$A$480,0))</f>
        <v>Pfingsten</v>
      </c>
      <c r="F15" s="10" t="str">
        <f>INDEX(Feiertagsregeln!$E$7:$E$480,MATCH($K15,Feiertagsregeln!$A$7:$A$480,0))</f>
        <v>Pentecôte</v>
      </c>
      <c r="G15" s="21" t="str">
        <f>IF(INDEX(Feiertagsregeln!$F$7:$F$480,MATCH($K15,Feiertagsregeln!$A$7:$A$480,0))="","Noch zu erfassen",INDEX(Feiertagsregeln!$F$7:$F$480,MATCH($K15,Feiertagsregeln!$A$7:$A$480,0)))</f>
        <v>Noch zu erfassen</v>
      </c>
      <c r="H15" s="21" t="str">
        <f>IF(INDEX(Feiertagsregeln!$G$7:$G$480,MATCH($K15,Feiertagsregeln!$A$7:$A$480,0))="","Noch zu erfassen",INDEX(Feiertagsregeln!$G$7:$G$480,MATCH($K15,Feiertagsregeln!$A$7:$A$480,0)))</f>
        <v>Noch zu erfassen</v>
      </c>
      <c r="I15" s="10" t="str">
        <f>INDEX(Feiertagsregeln!$H$7:$H$480,MATCH($K15,Feiertagsregeln!$A$7:$A$480,0))</f>
        <v>publicHoliday</v>
      </c>
      <c r="J15" s="10" t="str">
        <f>INDEX(Feiertagsregeln!$R$7:$R$96,MATCH($K15,Feiertagsregeln!$A$7:$A$96,0))</f>
        <v>approved</v>
      </c>
      <c r="K15" s="10" t="s">
        <v>62</v>
      </c>
      <c r="L15" s="10" t="str">
        <f>INDEX(Feiertagsregeln!$Y$7:$Y$480,MATCH($K15,Feiertagsregeln!$A$7:$A$480,0))</f>
        <v>SRC-FRG-BE-20210401</v>
      </c>
      <c r="M15" s="10" t="str">
        <f>INDEX(Feiertagsregeln!$Z$7:$Z$480,MATCH($K15,Feiertagsregeln!$A$7:$A$480,0))</f>
        <v>Art. 2 Abs. 1 Bst. b</v>
      </c>
      <c r="N15" s="10" t="s">
        <v>55</v>
      </c>
      <c r="O15" s="10" t="str">
        <f>INDEX(Feiertagsregeln!$AA$7:$AA$480,MATCH($K15,Feiertagsregeln!$A$7:$A$480,0))</f>
        <v>Ganztägig</v>
      </c>
    </row>
    <row r="16" spans="1:15" ht="38" customHeight="1">
      <c r="A16" s="15">
        <f>INDEX(Feiertagsregeln!$X$7:$X$480,MATCH($K16,Feiertagsregeln!$A$7:$A$480,0))</f>
        <v>46909</v>
      </c>
      <c r="B16" s="11" t="str">
        <f t="shared" si="0"/>
        <v>Montag</v>
      </c>
      <c r="C16" s="11" t="s">
        <v>53</v>
      </c>
      <c r="D16" s="11" t="s">
        <v>54</v>
      </c>
      <c r="E16" s="11" t="str">
        <f>INDEX(Feiertagsregeln!$D$7:$D$480,MATCH($K16,Feiertagsregeln!$A$7:$A$480,0))</f>
        <v>Pfingstmontag</v>
      </c>
      <c r="F16" s="11" t="str">
        <f>INDEX(Feiertagsregeln!$E$7:$E$480,MATCH($K16,Feiertagsregeln!$A$7:$A$480,0))</f>
        <v>Lundi de Pentecôte</v>
      </c>
      <c r="G16" s="22" t="str">
        <f>IF(INDEX(Feiertagsregeln!$F$7:$F$480,MATCH($K16,Feiertagsregeln!$A$7:$A$480,0))="","Noch zu erfassen",INDEX(Feiertagsregeln!$F$7:$F$480,MATCH($K16,Feiertagsregeln!$A$7:$A$480,0)))</f>
        <v>Noch zu erfassen</v>
      </c>
      <c r="H16" s="22" t="str">
        <f>IF(INDEX(Feiertagsregeln!$G$7:$G$480,MATCH($K16,Feiertagsregeln!$A$7:$A$480,0))="","Noch zu erfassen",INDEX(Feiertagsregeln!$G$7:$G$480,MATCH($K16,Feiertagsregeln!$A$7:$A$480,0)))</f>
        <v>Noch zu erfassen</v>
      </c>
      <c r="I16" s="11" t="str">
        <f>INDEX(Feiertagsregeln!$H$7:$H$480,MATCH($K16,Feiertagsregeln!$A$7:$A$480,0))</f>
        <v>publicHoliday</v>
      </c>
      <c r="J16" s="11" t="str">
        <f>INDEX(Feiertagsregeln!$R$7:$R$96,MATCH($K16,Feiertagsregeln!$A$7:$A$96,0))</f>
        <v>approved</v>
      </c>
      <c r="K16" s="11" t="s">
        <v>63</v>
      </c>
      <c r="L16" s="11" t="str">
        <f>INDEX(Feiertagsregeln!$Y$7:$Y$480,MATCH($K16,Feiertagsregeln!$A$7:$A$480,0))</f>
        <v>SRC-FRG-BE-20210401</v>
      </c>
      <c r="M16" s="11" t="str">
        <f>INDEX(Feiertagsregeln!$Z$7:$Z$480,MATCH($K16,Feiertagsregeln!$A$7:$A$480,0))</f>
        <v>Art. 2 Abs. 1 Bst. c</v>
      </c>
      <c r="N16" s="11" t="s">
        <v>55</v>
      </c>
      <c r="O16" s="11" t="str">
        <f>INDEX(Feiertagsregeln!$AA$7:$AA$480,MATCH($K16,Feiertagsregeln!$A$7:$A$480,0))</f>
        <v>Ganztägig</v>
      </c>
    </row>
    <row r="17" spans="1:15" ht="38" customHeight="1">
      <c r="A17" s="14">
        <f>INDEX(Feiertagsregeln!$X$7:$X$480,MATCH($K17,Feiertagsregeln!$A$7:$A$480,0))</f>
        <v>47013</v>
      </c>
      <c r="B17" s="10" t="str">
        <f t="shared" si="0"/>
        <v>Sonntag</v>
      </c>
      <c r="C17" s="10" t="s">
        <v>53</v>
      </c>
      <c r="D17" s="10" t="s">
        <v>54</v>
      </c>
      <c r="E17" s="10" t="str">
        <f>INDEX(Feiertagsregeln!$D$7:$D$480,MATCH($K17,Feiertagsregeln!$A$7:$A$480,0))</f>
        <v>Eidgenössischer Dank-, Buss- und Bettag</v>
      </c>
      <c r="F17" s="10" t="str">
        <f>INDEX(Feiertagsregeln!$E$7:$E$480,MATCH($K17,Feiertagsregeln!$A$7:$A$480,0))</f>
        <v>Jeûne fédéral</v>
      </c>
      <c r="G17" s="21" t="str">
        <f>IF(INDEX(Feiertagsregeln!$F$7:$F$480,MATCH($K17,Feiertagsregeln!$A$7:$A$480,0))="","Noch zu erfassen",INDEX(Feiertagsregeln!$F$7:$F$480,MATCH($K17,Feiertagsregeln!$A$7:$A$480,0)))</f>
        <v>Noch zu erfassen</v>
      </c>
      <c r="H17" s="21" t="str">
        <f>IF(INDEX(Feiertagsregeln!$G$7:$G$480,MATCH($K17,Feiertagsregeln!$A$7:$A$480,0))="","Noch zu erfassen",INDEX(Feiertagsregeln!$G$7:$G$480,MATCH($K17,Feiertagsregeln!$A$7:$A$480,0)))</f>
        <v>Noch zu erfassen</v>
      </c>
      <c r="I17" s="10" t="str">
        <f>INDEX(Feiertagsregeln!$H$7:$H$480,MATCH($K17,Feiertagsregeln!$A$7:$A$480,0))</f>
        <v>publicHoliday</v>
      </c>
      <c r="J17" s="10" t="str">
        <f>INDEX(Feiertagsregeln!$R$7:$R$96,MATCH($K17,Feiertagsregeln!$A$7:$A$96,0))</f>
        <v>approved</v>
      </c>
      <c r="K17" s="10" t="s">
        <v>64</v>
      </c>
      <c r="L17" s="10" t="str">
        <f>INDEX(Feiertagsregeln!$Y$7:$Y$480,MATCH($K17,Feiertagsregeln!$A$7:$A$480,0))</f>
        <v>SRC-FRG-BE-20210401</v>
      </c>
      <c r="M17" s="10" t="str">
        <f>INDEX(Feiertagsregeln!$Z$7:$Z$480,MATCH($K17,Feiertagsregeln!$A$7:$A$480,0))</f>
        <v>Art. 2 Abs. 1 Bst. b</v>
      </c>
      <c r="N17" s="10" t="s">
        <v>55</v>
      </c>
      <c r="O17" s="10" t="str">
        <f>INDEX(Feiertagsregeln!$AA$7:$AA$480,MATCH($K17,Feiertagsregeln!$A$7:$A$480,0))</f>
        <v>Ganztägig</v>
      </c>
    </row>
    <row r="18" spans="1:15" ht="38" customHeight="1">
      <c r="A18" s="15">
        <f>INDEX(Feiertagsregeln!$X$7:$X$480,MATCH($K18,Feiertagsregeln!$A$7:$A$480,0))</f>
        <v>47112</v>
      </c>
      <c r="B18" s="11" t="str">
        <f t="shared" si="0"/>
        <v>Montag</v>
      </c>
      <c r="C18" s="11" t="s">
        <v>53</v>
      </c>
      <c r="D18" s="11" t="s">
        <v>54</v>
      </c>
      <c r="E18" s="11" t="str">
        <f>INDEX(Feiertagsregeln!$D$7:$D$480,MATCH($K18,Feiertagsregeln!$A$7:$A$480,0))</f>
        <v>Weihnachten</v>
      </c>
      <c r="F18" s="11" t="str">
        <f>INDEX(Feiertagsregeln!$E$7:$E$480,MATCH($K18,Feiertagsregeln!$A$7:$A$480,0))</f>
        <v>Noël</v>
      </c>
      <c r="G18" s="22" t="str">
        <f>IF(INDEX(Feiertagsregeln!$F$7:$F$480,MATCH($K18,Feiertagsregeln!$A$7:$A$480,0))="","Noch zu erfassen",INDEX(Feiertagsregeln!$F$7:$F$480,MATCH($K18,Feiertagsregeln!$A$7:$A$480,0)))</f>
        <v>Noch zu erfassen</v>
      </c>
      <c r="H18" s="22" t="str">
        <f>IF(INDEX(Feiertagsregeln!$G$7:$G$480,MATCH($K18,Feiertagsregeln!$A$7:$A$480,0))="","Noch zu erfassen",INDEX(Feiertagsregeln!$G$7:$G$480,MATCH($K18,Feiertagsregeln!$A$7:$A$480,0)))</f>
        <v>Noch zu erfassen</v>
      </c>
      <c r="I18" s="11" t="str">
        <f>INDEX(Feiertagsregeln!$H$7:$H$480,MATCH($K18,Feiertagsregeln!$A$7:$A$480,0))</f>
        <v>publicHoliday</v>
      </c>
      <c r="J18" s="11" t="str">
        <f>INDEX(Feiertagsregeln!$R$7:$R$96,MATCH($K18,Feiertagsregeln!$A$7:$A$96,0))</f>
        <v>approved</v>
      </c>
      <c r="K18" s="11" t="s">
        <v>65</v>
      </c>
      <c r="L18" s="11" t="str">
        <f>INDEX(Feiertagsregeln!$Y$7:$Y$480,MATCH($K18,Feiertagsregeln!$A$7:$A$480,0))</f>
        <v>SRC-FRG-BE-20210401</v>
      </c>
      <c r="M18" s="11" t="str">
        <f>INDEX(Feiertagsregeln!$Z$7:$Z$480,MATCH($K18,Feiertagsregeln!$A$7:$A$480,0))</f>
        <v>Art. 2 Abs. 1 Bst. b</v>
      </c>
      <c r="N18" s="11" t="s">
        <v>55</v>
      </c>
      <c r="O18" s="11" t="str">
        <f>INDEX(Feiertagsregeln!$AA$7:$AA$480,MATCH($K18,Feiertagsregeln!$A$7:$A$480,0))</f>
        <v>Ganztägig</v>
      </c>
    </row>
    <row r="19" spans="1:15" ht="38" customHeight="1">
      <c r="A19" s="14">
        <f>INDEX(Feiertagsregeln!$X$7:$X$480,MATCH($K19,Feiertagsregeln!$A$7:$A$480,0))</f>
        <v>47113</v>
      </c>
      <c r="B19" s="10" t="str">
        <f t="shared" si="0"/>
        <v>Dienstag</v>
      </c>
      <c r="C19" s="10" t="s">
        <v>53</v>
      </c>
      <c r="D19" s="10" t="s">
        <v>54</v>
      </c>
      <c r="E19" s="10" t="str">
        <f>INDEX(Feiertagsregeln!$D$7:$D$480,MATCH($K19,Feiertagsregeln!$A$7:$A$480,0))</f>
        <v>Stephanstag</v>
      </c>
      <c r="F19" s="10" t="str">
        <f>INDEX(Feiertagsregeln!$E$7:$E$480,MATCH($K19,Feiertagsregeln!$A$7:$A$480,0))</f>
        <v>Saint-Étienne</v>
      </c>
      <c r="G19" s="21" t="str">
        <f>IF(INDEX(Feiertagsregeln!$F$7:$F$480,MATCH($K19,Feiertagsregeln!$A$7:$A$480,0))="","Noch zu erfassen",INDEX(Feiertagsregeln!$F$7:$F$480,MATCH($K19,Feiertagsregeln!$A$7:$A$480,0)))</f>
        <v>Noch zu erfassen</v>
      </c>
      <c r="H19" s="21" t="str">
        <f>IF(INDEX(Feiertagsregeln!$G$7:$G$480,MATCH($K19,Feiertagsregeln!$A$7:$A$480,0))="","Noch zu erfassen",INDEX(Feiertagsregeln!$G$7:$G$480,MATCH($K19,Feiertagsregeln!$A$7:$A$480,0)))</f>
        <v>Noch zu erfassen</v>
      </c>
      <c r="I19" s="10" t="str">
        <f>INDEX(Feiertagsregeln!$H$7:$H$480,MATCH($K19,Feiertagsregeln!$A$7:$A$480,0))</f>
        <v>publicHoliday</v>
      </c>
      <c r="J19" s="10" t="str">
        <f>INDEX(Feiertagsregeln!$R$7:$R$96,MATCH($K19,Feiertagsregeln!$A$7:$A$96,0))</f>
        <v>approved</v>
      </c>
      <c r="K19" s="10" t="s">
        <v>66</v>
      </c>
      <c r="L19" s="10" t="str">
        <f>INDEX(Feiertagsregeln!$Y$7:$Y$480,MATCH($K19,Feiertagsregeln!$A$7:$A$480,0))</f>
        <v>SRC-FRG-BE-20210401</v>
      </c>
      <c r="M19" s="10" t="str">
        <f>INDEX(Feiertagsregeln!$Z$7:$Z$480,MATCH($K19,Feiertagsregeln!$A$7:$A$480,0))</f>
        <v>Art. 2 Abs. 1 Bst. c</v>
      </c>
      <c r="N19" s="10" t="s">
        <v>55</v>
      </c>
      <c r="O19" s="10" t="str">
        <f>INDEX(Feiertagsregeln!$AA$7:$AA$480,MATCH($K19,Feiertagsregeln!$A$7:$A$480,0))</f>
        <v>Ganztägig</v>
      </c>
    </row>
    <row r="20" spans="1:15" ht="38" customHeight="1">
      <c r="A20" s="15">
        <f>INDEX(Feiertagsregeln!$X$7:$X$480,MATCH($K20,Feiertagsregeln!$A$7:$A$480,0))</f>
        <v>46919</v>
      </c>
      <c r="B20" s="11" t="str">
        <f t="shared" si="0"/>
        <v>Donnerstag</v>
      </c>
      <c r="C20" s="11" t="s">
        <v>67</v>
      </c>
      <c r="D20" s="11" t="s">
        <v>68</v>
      </c>
      <c r="E20" s="11" t="str">
        <f>INDEX(Feiertagsregeln!$D$7:$D$480,MATCH($K20,Feiertagsregeln!$A$7:$A$480,0))</f>
        <v>Fronleichnam</v>
      </c>
      <c r="F20" s="11" t="str">
        <f>INDEX(Feiertagsregeln!$E$7:$E$480,MATCH($K20,Feiertagsregeln!$A$7:$A$480,0))</f>
        <v>Fête-Dieu</v>
      </c>
      <c r="G20" s="22" t="str">
        <f>IF(INDEX(Feiertagsregeln!$F$7:$F$480,MATCH($K20,Feiertagsregeln!$A$7:$A$480,0))="","Noch zu erfassen",INDEX(Feiertagsregeln!$F$7:$F$480,MATCH($K20,Feiertagsregeln!$A$7:$A$480,0)))</f>
        <v>Noch zu erfassen</v>
      </c>
      <c r="H20" s="22" t="str">
        <f>IF(INDEX(Feiertagsregeln!$G$7:$G$480,MATCH($K20,Feiertagsregeln!$A$7:$A$480,0))="","Noch zu erfassen",INDEX(Feiertagsregeln!$G$7:$G$480,MATCH($K20,Feiertagsregeln!$A$7:$A$480,0)))</f>
        <v>Noch zu erfassen</v>
      </c>
      <c r="I20" s="11" t="str">
        <f>INDEX(Feiertagsregeln!$H$7:$H$480,MATCH($K20,Feiertagsregeln!$A$7:$A$480,0))</f>
        <v>labourLawHoliday</v>
      </c>
      <c r="J20" s="11" t="s">
        <v>69</v>
      </c>
      <c r="K20" s="11" t="s">
        <v>70</v>
      </c>
      <c r="L20" s="11" t="str">
        <f>INDEX(Feiertagsregeln!$Y$7:$Y$480,MATCH($K20,Feiertagsregeln!$A$7:$A$480,0))</f>
        <v>SRC-AG-EGARR-20250901</v>
      </c>
      <c r="M20" s="11" t="str">
        <f>INDEX(Feiertagsregeln!$Z$7:$Z$480,MATCH($K20,Feiertagsregeln!$A$7:$A$480,0))</f>
        <v>§ 6 Abs. 1 Bst. b Ziff. 2</v>
      </c>
      <c r="N20" s="11" t="s">
        <v>71</v>
      </c>
      <c r="O20" s="11" t="str">
        <f>INDEX(Feiertagsregeln!$AA$7:$AA$480,MATCH($K20,Feiertagsregeln!$A$7:$A$480,0))</f>
        <v>Ganztägig</v>
      </c>
    </row>
    <row r="21" spans="1:15" ht="38" customHeight="1">
      <c r="A21" s="14">
        <f>INDEX(Feiertagsregeln!$X$7:$X$480,MATCH($K21,Feiertagsregeln!$A$7:$A$480,0))</f>
        <v>46754</v>
      </c>
      <c r="B21" s="10" t="str">
        <f t="shared" si="0"/>
        <v>Sonntag</v>
      </c>
      <c r="C21" s="10" t="s">
        <v>67</v>
      </c>
      <c r="D21" s="10" t="s">
        <v>72</v>
      </c>
      <c r="E21" s="10" t="str">
        <f>INDEX(Feiertagsregeln!$D$7:$D$480,MATCH($K21,Feiertagsregeln!$A$7:$A$480,0))</f>
        <v>Berchtoldstag</v>
      </c>
      <c r="F21" s="10" t="str">
        <f>INDEX(Feiertagsregeln!$E$7:$E$480,MATCH($K21,Feiertagsregeln!$A$7:$A$480,0))</f>
        <v>Saint-Berchtold</v>
      </c>
      <c r="G21" s="21" t="str">
        <f>IF(INDEX(Feiertagsregeln!$F$7:$F$480,MATCH($K21,Feiertagsregeln!$A$7:$A$480,0))="","Noch zu erfassen",INDEX(Feiertagsregeln!$F$7:$F$480,MATCH($K21,Feiertagsregeln!$A$7:$A$480,0)))</f>
        <v>Noch zu erfassen</v>
      </c>
      <c r="H21" s="21" t="str">
        <f>IF(INDEX(Feiertagsregeln!$G$7:$G$480,MATCH($K21,Feiertagsregeln!$A$7:$A$480,0))="","Noch zu erfassen",INDEX(Feiertagsregeln!$G$7:$G$480,MATCH($K21,Feiertagsregeln!$A$7:$A$480,0)))</f>
        <v>Noch zu erfassen</v>
      </c>
      <c r="I21" s="10" t="str">
        <f>INDEX(Feiertagsregeln!$H$7:$H$480,MATCH($K21,Feiertagsregeln!$A$7:$A$480,0))</f>
        <v>labourLawHoliday</v>
      </c>
      <c r="J21" s="10" t="s">
        <v>69</v>
      </c>
      <c r="K21" s="10" t="s">
        <v>73</v>
      </c>
      <c r="L21" s="10" t="str">
        <f>INDEX(Feiertagsregeln!$Y$7:$Y$480,MATCH($K21,Feiertagsregeln!$A$7:$A$480,0))</f>
        <v>SRC-AG-EGARR-20250901</v>
      </c>
      <c r="M21" s="10" t="str">
        <f>INDEX(Feiertagsregeln!$Z$7:$Z$480,MATCH($K21,Feiertagsregeln!$A$7:$A$480,0))</f>
        <v>§ 6 Abs. 1 Bst. b Ziff. 1</v>
      </c>
      <c r="N21" s="10" t="s">
        <v>71</v>
      </c>
      <c r="O21" s="10" t="str">
        <f>INDEX(Feiertagsregeln!$AA$7:$AA$480,MATCH($K21,Feiertagsregeln!$A$7:$A$480,0))</f>
        <v>Ganztägig</v>
      </c>
    </row>
    <row r="22" spans="1:15" ht="38" customHeight="1">
      <c r="A22" s="15">
        <f>INDEX(Feiertagsregeln!$X$7:$X$480,MATCH($K22,Feiertagsregeln!$A$7:$A$480,0))</f>
        <v>47058</v>
      </c>
      <c r="B22" s="11" t="str">
        <f t="shared" si="0"/>
        <v>Mittwoch</v>
      </c>
      <c r="C22" s="11" t="s">
        <v>67</v>
      </c>
      <c r="D22" s="11" t="s">
        <v>74</v>
      </c>
      <c r="E22" s="11" t="str">
        <f>INDEX(Feiertagsregeln!$D$7:$D$480,MATCH($K22,Feiertagsregeln!$A$7:$A$480,0))</f>
        <v>Allerheiligen</v>
      </c>
      <c r="F22" s="11" t="str">
        <f>INDEX(Feiertagsregeln!$E$7:$E$480,MATCH($K22,Feiertagsregeln!$A$7:$A$480,0))</f>
        <v>Toussaint</v>
      </c>
      <c r="G22" s="22" t="str">
        <f>IF(INDEX(Feiertagsregeln!$F$7:$F$480,MATCH($K22,Feiertagsregeln!$A$7:$A$480,0))="","Noch zu erfassen",INDEX(Feiertagsregeln!$F$7:$F$480,MATCH($K22,Feiertagsregeln!$A$7:$A$480,0)))</f>
        <v>Noch zu erfassen</v>
      </c>
      <c r="H22" s="22" t="str">
        <f>IF(INDEX(Feiertagsregeln!$G$7:$G$480,MATCH($K22,Feiertagsregeln!$A$7:$A$480,0))="","Noch zu erfassen",INDEX(Feiertagsregeln!$G$7:$G$480,MATCH($K22,Feiertagsregeln!$A$7:$A$480,0)))</f>
        <v>Noch zu erfassen</v>
      </c>
      <c r="I22" s="11" t="str">
        <f>INDEX(Feiertagsregeln!$H$7:$H$480,MATCH($K22,Feiertagsregeln!$A$7:$A$480,0))</f>
        <v>proceduralEquivalentDay</v>
      </c>
      <c r="J22" s="11" t="s">
        <v>69</v>
      </c>
      <c r="K22" s="11" t="s">
        <v>75</v>
      </c>
      <c r="L22" s="11" t="str">
        <f>INDEX(Feiertagsregeln!$Y$7:$Y$480,MATCH($K22,Feiertagsregeln!$A$7:$A$480,0))</f>
        <v>SRC-AG-EGZPO</v>
      </c>
      <c r="M22" s="11" t="str">
        <f>INDEX(Feiertagsregeln!$Z$7:$Z$480,MATCH($K22,Feiertagsregeln!$A$7:$A$480,0))</f>
        <v>§ 21</v>
      </c>
      <c r="N22" s="11" t="s">
        <v>71</v>
      </c>
      <c r="O22" s="11" t="str">
        <f>INDEX(Feiertagsregeln!$AA$7:$AA$480,MATCH($K22,Feiertagsregeln!$A$7:$A$480,0))</f>
        <v>Ganztägig</v>
      </c>
    </row>
    <row r="23" spans="1:15" ht="38" customHeight="1">
      <c r="A23" s="14">
        <f>INDEX(Feiertagsregeln!$X$7:$X$480,MATCH($K23,Feiertagsregeln!$A$7:$A$480,0))</f>
        <v>46753</v>
      </c>
      <c r="B23" s="10" t="str">
        <f t="shared" si="0"/>
        <v>Samstag</v>
      </c>
      <c r="C23" s="10" t="s">
        <v>67</v>
      </c>
      <c r="D23" s="10" t="s">
        <v>76</v>
      </c>
      <c r="E23" s="10" t="str">
        <f>INDEX(Feiertagsregeln!$D$7:$D$480,MATCH($K23,Feiertagsregeln!$A$7:$A$480,0))</f>
        <v>Neujahr</v>
      </c>
      <c r="F23" s="10" t="str">
        <f>INDEX(Feiertagsregeln!$E$7:$E$480,MATCH($K23,Feiertagsregeln!$A$7:$A$480,0))</f>
        <v>Nouvel An</v>
      </c>
      <c r="G23" s="21" t="str">
        <f>IF(INDEX(Feiertagsregeln!$F$7:$F$480,MATCH($K23,Feiertagsregeln!$A$7:$A$480,0))="","Noch zu erfassen",INDEX(Feiertagsregeln!$F$7:$F$480,MATCH($K23,Feiertagsregeln!$A$7:$A$480,0)))</f>
        <v>Noch zu erfassen</v>
      </c>
      <c r="H23" s="21" t="str">
        <f>IF(INDEX(Feiertagsregeln!$G$7:$G$480,MATCH($K23,Feiertagsregeln!$A$7:$A$480,0))="","Noch zu erfassen",INDEX(Feiertagsregeln!$G$7:$G$480,MATCH($K23,Feiertagsregeln!$A$7:$A$480,0)))</f>
        <v>Noch zu erfassen</v>
      </c>
      <c r="I23" s="10" t="str">
        <f>INDEX(Feiertagsregeln!$H$7:$H$480,MATCH($K23,Feiertagsregeln!$A$7:$A$480,0))</f>
        <v>labourLawHoliday</v>
      </c>
      <c r="J23" s="10" t="s">
        <v>69</v>
      </c>
      <c r="K23" s="10" t="s">
        <v>77</v>
      </c>
      <c r="L23" s="10" t="str">
        <f>INDEX(Feiertagsregeln!$Y$7:$Y$480,MATCH($K23,Feiertagsregeln!$A$7:$A$480,0))</f>
        <v>SRC-AG-EGARR-20250901</v>
      </c>
      <c r="M23" s="10" t="str">
        <f>INDEX(Feiertagsregeln!$Z$7:$Z$480,MATCH($K23,Feiertagsregeln!$A$7:$A$480,0))</f>
        <v>§ 6 Abs. 1 Bst. a</v>
      </c>
      <c r="N23" s="10" t="s">
        <v>71</v>
      </c>
      <c r="O23" s="10" t="str">
        <f>INDEX(Feiertagsregeln!$AA$7:$AA$480,MATCH($K23,Feiertagsregeln!$A$7:$A$480,0))</f>
        <v>Ganztägig</v>
      </c>
    </row>
    <row r="24" spans="1:15" ht="38" customHeight="1">
      <c r="A24" s="15">
        <f>INDEX(Feiertagsregeln!$X$7:$X$480,MATCH($K24,Feiertagsregeln!$A$7:$A$480,0))</f>
        <v>46754</v>
      </c>
      <c r="B24" s="11" t="str">
        <f t="shared" si="0"/>
        <v>Sonntag</v>
      </c>
      <c r="C24" s="11" t="s">
        <v>67</v>
      </c>
      <c r="D24" s="11" t="s">
        <v>76</v>
      </c>
      <c r="E24" s="11" t="str">
        <f>INDEX(Feiertagsregeln!$D$7:$D$480,MATCH($K24,Feiertagsregeln!$A$7:$A$480,0))</f>
        <v>Berchtoldstag</v>
      </c>
      <c r="F24" s="11" t="str">
        <f>INDEX(Feiertagsregeln!$E$7:$E$480,MATCH($K24,Feiertagsregeln!$A$7:$A$480,0))</f>
        <v>Saint-Berchtold</v>
      </c>
      <c r="G24" s="22" t="str">
        <f>IF(INDEX(Feiertagsregeln!$F$7:$F$480,MATCH($K24,Feiertagsregeln!$A$7:$A$480,0))="","Noch zu erfassen",INDEX(Feiertagsregeln!$F$7:$F$480,MATCH($K24,Feiertagsregeln!$A$7:$A$480,0)))</f>
        <v>Noch zu erfassen</v>
      </c>
      <c r="H24" s="22" t="str">
        <f>IF(INDEX(Feiertagsregeln!$G$7:$G$480,MATCH($K24,Feiertagsregeln!$A$7:$A$480,0))="","Noch zu erfassen",INDEX(Feiertagsregeln!$G$7:$G$480,MATCH($K24,Feiertagsregeln!$A$7:$A$480,0)))</f>
        <v>Noch zu erfassen</v>
      </c>
      <c r="I24" s="11" t="str">
        <f>INDEX(Feiertagsregeln!$H$7:$H$480,MATCH($K24,Feiertagsregeln!$A$7:$A$480,0))</f>
        <v>labourLawHoliday</v>
      </c>
      <c r="J24" s="11" t="s">
        <v>69</v>
      </c>
      <c r="K24" s="11" t="s">
        <v>78</v>
      </c>
      <c r="L24" s="11" t="str">
        <f>INDEX(Feiertagsregeln!$Y$7:$Y$480,MATCH($K24,Feiertagsregeln!$A$7:$A$480,0))</f>
        <v>SRC-AG-EGARR-20250901</v>
      </c>
      <c r="M24" s="11" t="str">
        <f>INDEX(Feiertagsregeln!$Z$7:$Z$480,MATCH($K24,Feiertagsregeln!$A$7:$A$480,0))</f>
        <v>§ 6 Abs. 1 Bst. a</v>
      </c>
      <c r="N24" s="11" t="s">
        <v>71</v>
      </c>
      <c r="O24" s="11" t="str">
        <f>INDEX(Feiertagsregeln!$AA$7:$AA$480,MATCH($K24,Feiertagsregeln!$A$7:$A$480,0))</f>
        <v>Ganztägig</v>
      </c>
    </row>
    <row r="25" spans="1:15" ht="38" customHeight="1">
      <c r="A25" s="14">
        <f>INDEX(Feiertagsregeln!$X$7:$X$480,MATCH($K25,Feiertagsregeln!$A$7:$A$480,0))</f>
        <v>46857</v>
      </c>
      <c r="B25" s="10" t="str">
        <f t="shared" si="0"/>
        <v>Freitag</v>
      </c>
      <c r="C25" s="10" t="s">
        <v>67</v>
      </c>
      <c r="D25" s="10" t="s">
        <v>76</v>
      </c>
      <c r="E25" s="10" t="str">
        <f>INDEX(Feiertagsregeln!$D$7:$D$480,MATCH($K25,Feiertagsregeln!$A$7:$A$480,0))</f>
        <v>Karfreitag</v>
      </c>
      <c r="F25" s="10" t="str">
        <f>INDEX(Feiertagsregeln!$E$7:$E$480,MATCH($K25,Feiertagsregeln!$A$7:$A$480,0))</f>
        <v>Vendredi saint</v>
      </c>
      <c r="G25" s="21" t="str">
        <f>IF(INDEX(Feiertagsregeln!$F$7:$F$480,MATCH($K25,Feiertagsregeln!$A$7:$A$480,0))="","Noch zu erfassen",INDEX(Feiertagsregeln!$F$7:$F$480,MATCH($K25,Feiertagsregeln!$A$7:$A$480,0)))</f>
        <v>Noch zu erfassen</v>
      </c>
      <c r="H25" s="21" t="str">
        <f>IF(INDEX(Feiertagsregeln!$G$7:$G$480,MATCH($K25,Feiertagsregeln!$A$7:$A$480,0))="","Noch zu erfassen",INDEX(Feiertagsregeln!$G$7:$G$480,MATCH($K25,Feiertagsregeln!$A$7:$A$480,0)))</f>
        <v>Noch zu erfassen</v>
      </c>
      <c r="I25" s="10" t="str">
        <f>INDEX(Feiertagsregeln!$H$7:$H$480,MATCH($K25,Feiertagsregeln!$A$7:$A$480,0))</f>
        <v>labourLawHoliday</v>
      </c>
      <c r="J25" s="10" t="s">
        <v>69</v>
      </c>
      <c r="K25" s="10" t="s">
        <v>79</v>
      </c>
      <c r="L25" s="10" t="str">
        <f>INDEX(Feiertagsregeln!$Y$7:$Y$480,MATCH($K25,Feiertagsregeln!$A$7:$A$480,0))</f>
        <v>SRC-AG-EGARR-20250901</v>
      </c>
      <c r="M25" s="10" t="str">
        <f>INDEX(Feiertagsregeln!$Z$7:$Z$480,MATCH($K25,Feiertagsregeln!$A$7:$A$480,0))</f>
        <v>§ 6 Abs. 1 Bst. a</v>
      </c>
      <c r="N25" s="10" t="s">
        <v>71</v>
      </c>
      <c r="O25" s="10" t="str">
        <f>INDEX(Feiertagsregeln!$AA$7:$AA$480,MATCH($K25,Feiertagsregeln!$A$7:$A$480,0))</f>
        <v>Ganztägig</v>
      </c>
    </row>
    <row r="26" spans="1:15" ht="38" customHeight="1">
      <c r="A26" s="15">
        <f>INDEX(Feiertagsregeln!$X$7:$X$480,MATCH($K26,Feiertagsregeln!$A$7:$A$480,0))</f>
        <v>46860</v>
      </c>
      <c r="B26" s="11" t="str">
        <f t="shared" si="0"/>
        <v>Montag</v>
      </c>
      <c r="C26" s="11" t="s">
        <v>67</v>
      </c>
      <c r="D26" s="11" t="s">
        <v>76</v>
      </c>
      <c r="E26" s="11" t="str">
        <f>INDEX(Feiertagsregeln!$D$7:$D$480,MATCH($K26,Feiertagsregeln!$A$7:$A$480,0))</f>
        <v>Ostermontag</v>
      </c>
      <c r="F26" s="11" t="str">
        <f>INDEX(Feiertagsregeln!$E$7:$E$480,MATCH($K26,Feiertagsregeln!$A$7:$A$480,0))</f>
        <v>Lundi de Pâques</v>
      </c>
      <c r="G26" s="22" t="str">
        <f>IF(INDEX(Feiertagsregeln!$F$7:$F$480,MATCH($K26,Feiertagsregeln!$A$7:$A$480,0))="","Noch zu erfassen",INDEX(Feiertagsregeln!$F$7:$F$480,MATCH($K26,Feiertagsregeln!$A$7:$A$480,0)))</f>
        <v>Noch zu erfassen</v>
      </c>
      <c r="H26" s="22" t="str">
        <f>IF(INDEX(Feiertagsregeln!$G$7:$G$480,MATCH($K26,Feiertagsregeln!$A$7:$A$480,0))="","Noch zu erfassen",INDEX(Feiertagsregeln!$G$7:$G$480,MATCH($K26,Feiertagsregeln!$A$7:$A$480,0)))</f>
        <v>Noch zu erfassen</v>
      </c>
      <c r="I26" s="11" t="str">
        <f>INDEX(Feiertagsregeln!$H$7:$H$480,MATCH($K26,Feiertagsregeln!$A$7:$A$480,0))</f>
        <v>labourLawHoliday</v>
      </c>
      <c r="J26" s="11" t="s">
        <v>69</v>
      </c>
      <c r="K26" s="11" t="s">
        <v>80</v>
      </c>
      <c r="L26" s="11" t="str">
        <f>INDEX(Feiertagsregeln!$Y$7:$Y$480,MATCH($K26,Feiertagsregeln!$A$7:$A$480,0))</f>
        <v>SRC-AG-EGARR-20250901</v>
      </c>
      <c r="M26" s="11" t="str">
        <f>INDEX(Feiertagsregeln!$Z$7:$Z$480,MATCH($K26,Feiertagsregeln!$A$7:$A$480,0))</f>
        <v>§ 6 Abs. 1 Bst. a</v>
      </c>
      <c r="N26" s="11" t="s">
        <v>71</v>
      </c>
      <c r="O26" s="11" t="str">
        <f>INDEX(Feiertagsregeln!$AA$7:$AA$480,MATCH($K26,Feiertagsregeln!$A$7:$A$480,0))</f>
        <v>Ganztägig</v>
      </c>
    </row>
    <row r="27" spans="1:15" ht="38" customHeight="1">
      <c r="A27" s="14">
        <f>INDEX(Feiertagsregeln!$X$7:$X$480,MATCH($K27,Feiertagsregeln!$A$7:$A$480,0))</f>
        <v>46898</v>
      </c>
      <c r="B27" s="10" t="str">
        <f t="shared" si="0"/>
        <v>Donnerstag</v>
      </c>
      <c r="C27" s="10" t="s">
        <v>67</v>
      </c>
      <c r="D27" s="10" t="s">
        <v>76</v>
      </c>
      <c r="E27" s="10" t="str">
        <f>INDEX(Feiertagsregeln!$D$7:$D$480,MATCH($K27,Feiertagsregeln!$A$7:$A$480,0))</f>
        <v>Auffahrt</v>
      </c>
      <c r="F27" s="10" t="str">
        <f>INDEX(Feiertagsregeln!$E$7:$E$480,MATCH($K27,Feiertagsregeln!$A$7:$A$480,0))</f>
        <v>Ascension</v>
      </c>
      <c r="G27" s="21" t="str">
        <f>IF(INDEX(Feiertagsregeln!$F$7:$F$480,MATCH($K27,Feiertagsregeln!$A$7:$A$480,0))="","Noch zu erfassen",INDEX(Feiertagsregeln!$F$7:$F$480,MATCH($K27,Feiertagsregeln!$A$7:$A$480,0)))</f>
        <v>Noch zu erfassen</v>
      </c>
      <c r="H27" s="21" t="str">
        <f>IF(INDEX(Feiertagsregeln!$G$7:$G$480,MATCH($K27,Feiertagsregeln!$A$7:$A$480,0))="","Noch zu erfassen",INDEX(Feiertagsregeln!$G$7:$G$480,MATCH($K27,Feiertagsregeln!$A$7:$A$480,0)))</f>
        <v>Noch zu erfassen</v>
      </c>
      <c r="I27" s="10" t="str">
        <f>INDEX(Feiertagsregeln!$H$7:$H$480,MATCH($K27,Feiertagsregeln!$A$7:$A$480,0))</f>
        <v>labourLawHoliday</v>
      </c>
      <c r="J27" s="10" t="s">
        <v>69</v>
      </c>
      <c r="K27" s="10" t="s">
        <v>81</v>
      </c>
      <c r="L27" s="10" t="str">
        <f>INDEX(Feiertagsregeln!$Y$7:$Y$480,MATCH($K27,Feiertagsregeln!$A$7:$A$480,0))</f>
        <v>SRC-AG-EGARR-20250901</v>
      </c>
      <c r="M27" s="10" t="str">
        <f>INDEX(Feiertagsregeln!$Z$7:$Z$480,MATCH($K27,Feiertagsregeln!$A$7:$A$480,0))</f>
        <v>§ 6 Abs. 1 Bst. a</v>
      </c>
      <c r="N27" s="10" t="s">
        <v>71</v>
      </c>
      <c r="O27" s="10" t="str">
        <f>INDEX(Feiertagsregeln!$AA$7:$AA$480,MATCH($K27,Feiertagsregeln!$A$7:$A$480,0))</f>
        <v>Ganztägig</v>
      </c>
    </row>
    <row r="28" spans="1:15" ht="38" customHeight="1">
      <c r="A28" s="15">
        <f>INDEX(Feiertagsregeln!$X$7:$X$480,MATCH($K28,Feiertagsregeln!$A$7:$A$480,0))</f>
        <v>46909</v>
      </c>
      <c r="B28" s="11" t="str">
        <f t="shared" si="0"/>
        <v>Montag</v>
      </c>
      <c r="C28" s="11" t="s">
        <v>67</v>
      </c>
      <c r="D28" s="11" t="s">
        <v>76</v>
      </c>
      <c r="E28" s="11" t="str">
        <f>INDEX(Feiertagsregeln!$D$7:$D$480,MATCH($K28,Feiertagsregeln!$A$7:$A$480,0))</f>
        <v>Pfingstmontag</v>
      </c>
      <c r="F28" s="11" t="str">
        <f>INDEX(Feiertagsregeln!$E$7:$E$480,MATCH($K28,Feiertagsregeln!$A$7:$A$480,0))</f>
        <v>Lundi de Pentecôte</v>
      </c>
      <c r="G28" s="22" t="str">
        <f>IF(INDEX(Feiertagsregeln!$F$7:$F$480,MATCH($K28,Feiertagsregeln!$A$7:$A$480,0))="","Noch zu erfassen",INDEX(Feiertagsregeln!$F$7:$F$480,MATCH($K28,Feiertagsregeln!$A$7:$A$480,0)))</f>
        <v>Noch zu erfassen</v>
      </c>
      <c r="H28" s="22" t="str">
        <f>IF(INDEX(Feiertagsregeln!$G$7:$G$480,MATCH($K28,Feiertagsregeln!$A$7:$A$480,0))="","Noch zu erfassen",INDEX(Feiertagsregeln!$G$7:$G$480,MATCH($K28,Feiertagsregeln!$A$7:$A$480,0)))</f>
        <v>Noch zu erfassen</v>
      </c>
      <c r="I28" s="11" t="str">
        <f>INDEX(Feiertagsregeln!$H$7:$H$480,MATCH($K28,Feiertagsregeln!$A$7:$A$480,0))</f>
        <v>labourLawHoliday</v>
      </c>
      <c r="J28" s="11" t="s">
        <v>69</v>
      </c>
      <c r="K28" s="11" t="s">
        <v>82</v>
      </c>
      <c r="L28" s="11" t="str">
        <f>INDEX(Feiertagsregeln!$Y$7:$Y$480,MATCH($K28,Feiertagsregeln!$A$7:$A$480,0))</f>
        <v>SRC-AG-EGARR-20250901</v>
      </c>
      <c r="M28" s="11" t="str">
        <f>INDEX(Feiertagsregeln!$Z$7:$Z$480,MATCH($K28,Feiertagsregeln!$A$7:$A$480,0))</f>
        <v>§ 6 Abs. 1 Bst. a</v>
      </c>
      <c r="N28" s="11" t="s">
        <v>71</v>
      </c>
      <c r="O28" s="11" t="str">
        <f>INDEX(Feiertagsregeln!$AA$7:$AA$480,MATCH($K28,Feiertagsregeln!$A$7:$A$480,0))</f>
        <v>Ganztägig</v>
      </c>
    </row>
    <row r="29" spans="1:15" ht="38" customHeight="1">
      <c r="A29" s="14">
        <f>INDEX(Feiertagsregeln!$X$7:$X$480,MATCH($K29,Feiertagsregeln!$A$7:$A$480,0))</f>
        <v>47112</v>
      </c>
      <c r="B29" s="10" t="str">
        <f t="shared" si="0"/>
        <v>Montag</v>
      </c>
      <c r="C29" s="10" t="s">
        <v>67</v>
      </c>
      <c r="D29" s="10" t="s">
        <v>76</v>
      </c>
      <c r="E29" s="10" t="str">
        <f>INDEX(Feiertagsregeln!$D$7:$D$480,MATCH($K29,Feiertagsregeln!$A$7:$A$480,0))</f>
        <v>Weihnachten</v>
      </c>
      <c r="F29" s="10" t="str">
        <f>INDEX(Feiertagsregeln!$E$7:$E$480,MATCH($K29,Feiertagsregeln!$A$7:$A$480,0))</f>
        <v>Noël</v>
      </c>
      <c r="G29" s="21" t="str">
        <f>IF(INDEX(Feiertagsregeln!$F$7:$F$480,MATCH($K29,Feiertagsregeln!$A$7:$A$480,0))="","Noch zu erfassen",INDEX(Feiertagsregeln!$F$7:$F$480,MATCH($K29,Feiertagsregeln!$A$7:$A$480,0)))</f>
        <v>Noch zu erfassen</v>
      </c>
      <c r="H29" s="21" t="str">
        <f>IF(INDEX(Feiertagsregeln!$G$7:$G$480,MATCH($K29,Feiertagsregeln!$A$7:$A$480,0))="","Noch zu erfassen",INDEX(Feiertagsregeln!$G$7:$G$480,MATCH($K29,Feiertagsregeln!$A$7:$A$480,0)))</f>
        <v>Noch zu erfassen</v>
      </c>
      <c r="I29" s="10" t="str">
        <f>INDEX(Feiertagsregeln!$H$7:$H$480,MATCH($K29,Feiertagsregeln!$A$7:$A$480,0))</f>
        <v>labourLawHoliday</v>
      </c>
      <c r="J29" s="10" t="s">
        <v>69</v>
      </c>
      <c r="K29" s="10" t="s">
        <v>83</v>
      </c>
      <c r="L29" s="10" t="str">
        <f>INDEX(Feiertagsregeln!$Y$7:$Y$480,MATCH($K29,Feiertagsregeln!$A$7:$A$480,0))</f>
        <v>SRC-AG-EGARR-20250901</v>
      </c>
      <c r="M29" s="10" t="str">
        <f>INDEX(Feiertagsregeln!$Z$7:$Z$480,MATCH($K29,Feiertagsregeln!$A$7:$A$480,0))</f>
        <v>§ 6 Abs. 1 Bst. a</v>
      </c>
      <c r="N29" s="10" t="s">
        <v>71</v>
      </c>
      <c r="O29" s="10" t="str">
        <f>INDEX(Feiertagsregeln!$AA$7:$AA$480,MATCH($K29,Feiertagsregeln!$A$7:$A$480,0))</f>
        <v>Ganztägig</v>
      </c>
    </row>
    <row r="30" spans="1:15" ht="38" customHeight="1">
      <c r="A30" s="15">
        <f>INDEX(Feiertagsregeln!$X$7:$X$480,MATCH($K30,Feiertagsregeln!$A$7:$A$480,0))</f>
        <v>47113</v>
      </c>
      <c r="B30" s="11" t="str">
        <f t="shared" si="0"/>
        <v>Dienstag</v>
      </c>
      <c r="C30" s="11" t="s">
        <v>67</v>
      </c>
      <c r="D30" s="11" t="s">
        <v>76</v>
      </c>
      <c r="E30" s="11" t="str">
        <f>INDEX(Feiertagsregeln!$D$7:$D$480,MATCH($K30,Feiertagsregeln!$A$7:$A$480,0))</f>
        <v>Stephanstag</v>
      </c>
      <c r="F30" s="11" t="str">
        <f>INDEX(Feiertagsregeln!$E$7:$E$480,MATCH($K30,Feiertagsregeln!$A$7:$A$480,0))</f>
        <v>Saint-Étienne</v>
      </c>
      <c r="G30" s="22" t="str">
        <f>IF(INDEX(Feiertagsregeln!$F$7:$F$480,MATCH($K30,Feiertagsregeln!$A$7:$A$480,0))="","Noch zu erfassen",INDEX(Feiertagsregeln!$F$7:$F$480,MATCH($K30,Feiertagsregeln!$A$7:$A$480,0)))</f>
        <v>Noch zu erfassen</v>
      </c>
      <c r="H30" s="22" t="str">
        <f>IF(INDEX(Feiertagsregeln!$G$7:$G$480,MATCH($K30,Feiertagsregeln!$A$7:$A$480,0))="","Noch zu erfassen",INDEX(Feiertagsregeln!$G$7:$G$480,MATCH($K30,Feiertagsregeln!$A$7:$A$480,0)))</f>
        <v>Noch zu erfassen</v>
      </c>
      <c r="I30" s="11" t="str">
        <f>INDEX(Feiertagsregeln!$H$7:$H$480,MATCH($K30,Feiertagsregeln!$A$7:$A$480,0))</f>
        <v>labourLawHoliday</v>
      </c>
      <c r="J30" s="11" t="s">
        <v>69</v>
      </c>
      <c r="K30" s="11" t="s">
        <v>84</v>
      </c>
      <c r="L30" s="11" t="str">
        <f>INDEX(Feiertagsregeln!$Y$7:$Y$480,MATCH($K30,Feiertagsregeln!$A$7:$A$480,0))</f>
        <v>SRC-AG-EGARR-20250901</v>
      </c>
      <c r="M30" s="11" t="str">
        <f>INDEX(Feiertagsregeln!$Z$7:$Z$480,MATCH($K30,Feiertagsregeln!$A$7:$A$480,0))</f>
        <v>§ 6 Abs. 1 Bst. a</v>
      </c>
      <c r="N30" s="11" t="s">
        <v>71</v>
      </c>
      <c r="O30" s="11" t="str">
        <f>INDEX(Feiertagsregeln!$AA$7:$AA$480,MATCH($K30,Feiertagsregeln!$A$7:$A$480,0))</f>
        <v>Ganztägig</v>
      </c>
    </row>
    <row r="31" spans="1:15" ht="38" customHeight="1">
      <c r="A31" s="14">
        <f>INDEX(Feiertagsregeln!$X$7:$X$480,MATCH($K31,Feiertagsregeln!$A$7:$A$480,0))</f>
        <v>46753</v>
      </c>
      <c r="B31" s="10" t="str">
        <f t="shared" si="0"/>
        <v>Samstag</v>
      </c>
      <c r="C31" s="10" t="s">
        <v>67</v>
      </c>
      <c r="D31" s="10" t="s">
        <v>72</v>
      </c>
      <c r="E31" s="10" t="str">
        <f>INDEX(Feiertagsregeln!$D$7:$D$480,MATCH($K31,Feiertagsregeln!$A$7:$A$480,0))</f>
        <v>Neujahr</v>
      </c>
      <c r="F31" s="10" t="str">
        <f>INDEX(Feiertagsregeln!$E$7:$E$480,MATCH($K31,Feiertagsregeln!$A$7:$A$480,0))</f>
        <v>Nouvel An</v>
      </c>
      <c r="G31" s="21" t="str">
        <f>IF(INDEX(Feiertagsregeln!$F$7:$F$480,MATCH($K31,Feiertagsregeln!$A$7:$A$480,0))="","Noch zu erfassen",INDEX(Feiertagsregeln!$F$7:$F$480,MATCH($K31,Feiertagsregeln!$A$7:$A$480,0)))</f>
        <v>Noch zu erfassen</v>
      </c>
      <c r="H31" s="21" t="str">
        <f>IF(INDEX(Feiertagsregeln!$G$7:$G$480,MATCH($K31,Feiertagsregeln!$A$7:$A$480,0))="","Noch zu erfassen",INDEX(Feiertagsregeln!$G$7:$G$480,MATCH($K31,Feiertagsregeln!$A$7:$A$480,0)))</f>
        <v>Noch zu erfassen</v>
      </c>
      <c r="I31" s="10" t="str">
        <f>INDEX(Feiertagsregeln!$H$7:$H$480,MATCH($K31,Feiertagsregeln!$A$7:$A$480,0))</f>
        <v>labourLawHoliday</v>
      </c>
      <c r="J31" s="10" t="s">
        <v>69</v>
      </c>
      <c r="K31" s="10" t="s">
        <v>85</v>
      </c>
      <c r="L31" s="10" t="str">
        <f>INDEX(Feiertagsregeln!$Y$7:$Y$480,MATCH($K31,Feiertagsregeln!$A$7:$A$480,0))</f>
        <v>SRC-AG-EGARR-20250901</v>
      </c>
      <c r="M31" s="10" t="str">
        <f>INDEX(Feiertagsregeln!$Z$7:$Z$480,MATCH($K31,Feiertagsregeln!$A$7:$A$480,0))</f>
        <v>§ 6 Abs. 1 Bst. b Ziff. 1</v>
      </c>
      <c r="N31" s="10" t="s">
        <v>71</v>
      </c>
      <c r="O31" s="10" t="str">
        <f>INDEX(Feiertagsregeln!$AA$7:$AA$480,MATCH($K31,Feiertagsregeln!$A$7:$A$480,0))</f>
        <v>Ganztägig</v>
      </c>
    </row>
    <row r="32" spans="1:15" ht="38" customHeight="1">
      <c r="A32" s="15">
        <f>INDEX(Feiertagsregeln!$X$7:$X$480,MATCH($K32,Feiertagsregeln!$A$7:$A$480,0))</f>
        <v>46857</v>
      </c>
      <c r="B32" s="11" t="str">
        <f t="shared" si="0"/>
        <v>Freitag</v>
      </c>
      <c r="C32" s="11" t="s">
        <v>67</v>
      </c>
      <c r="D32" s="11" t="s">
        <v>72</v>
      </c>
      <c r="E32" s="11" t="str">
        <f>INDEX(Feiertagsregeln!$D$7:$D$480,MATCH($K32,Feiertagsregeln!$A$7:$A$480,0))</f>
        <v>Karfreitag</v>
      </c>
      <c r="F32" s="11" t="str">
        <f>INDEX(Feiertagsregeln!$E$7:$E$480,MATCH($K32,Feiertagsregeln!$A$7:$A$480,0))</f>
        <v>Vendredi saint</v>
      </c>
      <c r="G32" s="22" t="str">
        <f>IF(INDEX(Feiertagsregeln!$F$7:$F$480,MATCH($K32,Feiertagsregeln!$A$7:$A$480,0))="","Noch zu erfassen",INDEX(Feiertagsregeln!$F$7:$F$480,MATCH($K32,Feiertagsregeln!$A$7:$A$480,0)))</f>
        <v>Noch zu erfassen</v>
      </c>
      <c r="H32" s="22" t="str">
        <f>IF(INDEX(Feiertagsregeln!$G$7:$G$480,MATCH($K32,Feiertagsregeln!$A$7:$A$480,0))="","Noch zu erfassen",INDEX(Feiertagsregeln!$G$7:$G$480,MATCH($K32,Feiertagsregeln!$A$7:$A$480,0)))</f>
        <v>Noch zu erfassen</v>
      </c>
      <c r="I32" s="11" t="str">
        <f>INDEX(Feiertagsregeln!$H$7:$H$480,MATCH($K32,Feiertagsregeln!$A$7:$A$480,0))</f>
        <v>labourLawHoliday</v>
      </c>
      <c r="J32" s="11" t="s">
        <v>69</v>
      </c>
      <c r="K32" s="11" t="s">
        <v>86</v>
      </c>
      <c r="L32" s="11" t="str">
        <f>INDEX(Feiertagsregeln!$Y$7:$Y$480,MATCH($K32,Feiertagsregeln!$A$7:$A$480,0))</f>
        <v>SRC-AG-EGARR-20250901</v>
      </c>
      <c r="M32" s="11" t="str">
        <f>INDEX(Feiertagsregeln!$Z$7:$Z$480,MATCH($K32,Feiertagsregeln!$A$7:$A$480,0))</f>
        <v>§ 6 Abs. 1 Bst. b Ziff. 1</v>
      </c>
      <c r="N32" s="11" t="s">
        <v>71</v>
      </c>
      <c r="O32" s="11" t="str">
        <f>INDEX(Feiertagsregeln!$AA$7:$AA$480,MATCH($K32,Feiertagsregeln!$A$7:$A$480,0))</f>
        <v>Ganztägig</v>
      </c>
    </row>
    <row r="33" spans="1:15" ht="38" customHeight="1">
      <c r="A33" s="14">
        <f>INDEX(Feiertagsregeln!$X$7:$X$480,MATCH($K33,Feiertagsregeln!$A$7:$A$480,0))</f>
        <v>46860</v>
      </c>
      <c r="B33" s="10" t="str">
        <f t="shared" si="0"/>
        <v>Montag</v>
      </c>
      <c r="C33" s="10" t="s">
        <v>67</v>
      </c>
      <c r="D33" s="10" t="s">
        <v>72</v>
      </c>
      <c r="E33" s="10" t="str">
        <f>INDEX(Feiertagsregeln!$D$7:$D$480,MATCH($K33,Feiertagsregeln!$A$7:$A$480,0))</f>
        <v>Ostermontag</v>
      </c>
      <c r="F33" s="10" t="str">
        <f>INDEX(Feiertagsregeln!$E$7:$E$480,MATCH($K33,Feiertagsregeln!$A$7:$A$480,0))</f>
        <v>Lundi de Pâques</v>
      </c>
      <c r="G33" s="21" t="str">
        <f>IF(INDEX(Feiertagsregeln!$F$7:$F$480,MATCH($K33,Feiertagsregeln!$A$7:$A$480,0))="","Noch zu erfassen",INDEX(Feiertagsregeln!$F$7:$F$480,MATCH($K33,Feiertagsregeln!$A$7:$A$480,0)))</f>
        <v>Noch zu erfassen</v>
      </c>
      <c r="H33" s="21" t="str">
        <f>IF(INDEX(Feiertagsregeln!$G$7:$G$480,MATCH($K33,Feiertagsregeln!$A$7:$A$480,0))="","Noch zu erfassen",INDEX(Feiertagsregeln!$G$7:$G$480,MATCH($K33,Feiertagsregeln!$A$7:$A$480,0)))</f>
        <v>Noch zu erfassen</v>
      </c>
      <c r="I33" s="10" t="str">
        <f>INDEX(Feiertagsregeln!$H$7:$H$480,MATCH($K33,Feiertagsregeln!$A$7:$A$480,0))</f>
        <v>labourLawHoliday</v>
      </c>
      <c r="J33" s="10" t="s">
        <v>69</v>
      </c>
      <c r="K33" s="10" t="s">
        <v>87</v>
      </c>
      <c r="L33" s="10" t="str">
        <f>INDEX(Feiertagsregeln!$Y$7:$Y$480,MATCH($K33,Feiertagsregeln!$A$7:$A$480,0))</f>
        <v>SRC-AG-EGARR-20250901</v>
      </c>
      <c r="M33" s="10" t="str">
        <f>INDEX(Feiertagsregeln!$Z$7:$Z$480,MATCH($K33,Feiertagsregeln!$A$7:$A$480,0))</f>
        <v>§ 6 Abs. 1 Bst. b Ziff. 1</v>
      </c>
      <c r="N33" s="10" t="s">
        <v>71</v>
      </c>
      <c r="O33" s="10" t="str">
        <f>INDEX(Feiertagsregeln!$AA$7:$AA$480,MATCH($K33,Feiertagsregeln!$A$7:$A$480,0))</f>
        <v>Ganztägig</v>
      </c>
    </row>
    <row r="34" spans="1:15" ht="38" customHeight="1">
      <c r="A34" s="15">
        <f>INDEX(Feiertagsregeln!$X$7:$X$480,MATCH($K34,Feiertagsregeln!$A$7:$A$480,0))</f>
        <v>46898</v>
      </c>
      <c r="B34" s="11" t="str">
        <f t="shared" si="0"/>
        <v>Donnerstag</v>
      </c>
      <c r="C34" s="11" t="s">
        <v>67</v>
      </c>
      <c r="D34" s="11" t="s">
        <v>72</v>
      </c>
      <c r="E34" s="11" t="str">
        <f>INDEX(Feiertagsregeln!$D$7:$D$480,MATCH($K34,Feiertagsregeln!$A$7:$A$480,0))</f>
        <v>Auffahrt</v>
      </c>
      <c r="F34" s="11" t="str">
        <f>INDEX(Feiertagsregeln!$E$7:$E$480,MATCH($K34,Feiertagsregeln!$A$7:$A$480,0))</f>
        <v>Ascension</v>
      </c>
      <c r="G34" s="22" t="str">
        <f>IF(INDEX(Feiertagsregeln!$F$7:$F$480,MATCH($K34,Feiertagsregeln!$A$7:$A$480,0))="","Noch zu erfassen",INDEX(Feiertagsregeln!$F$7:$F$480,MATCH($K34,Feiertagsregeln!$A$7:$A$480,0)))</f>
        <v>Noch zu erfassen</v>
      </c>
      <c r="H34" s="22" t="str">
        <f>IF(INDEX(Feiertagsregeln!$G$7:$G$480,MATCH($K34,Feiertagsregeln!$A$7:$A$480,0))="","Noch zu erfassen",INDEX(Feiertagsregeln!$G$7:$G$480,MATCH($K34,Feiertagsregeln!$A$7:$A$480,0)))</f>
        <v>Noch zu erfassen</v>
      </c>
      <c r="I34" s="11" t="str">
        <f>INDEX(Feiertagsregeln!$H$7:$H$480,MATCH($K34,Feiertagsregeln!$A$7:$A$480,0))</f>
        <v>labourLawHoliday</v>
      </c>
      <c r="J34" s="11" t="s">
        <v>69</v>
      </c>
      <c r="K34" s="11" t="s">
        <v>88</v>
      </c>
      <c r="L34" s="11" t="str">
        <f>INDEX(Feiertagsregeln!$Y$7:$Y$480,MATCH($K34,Feiertagsregeln!$A$7:$A$480,0))</f>
        <v>SRC-AG-EGARR-20250901</v>
      </c>
      <c r="M34" s="11" t="str">
        <f>INDEX(Feiertagsregeln!$Z$7:$Z$480,MATCH($K34,Feiertagsregeln!$A$7:$A$480,0))</f>
        <v>§ 6 Abs. 1 Bst. b Ziff. 1</v>
      </c>
      <c r="N34" s="11" t="s">
        <v>71</v>
      </c>
      <c r="O34" s="11" t="str">
        <f>INDEX(Feiertagsregeln!$AA$7:$AA$480,MATCH($K34,Feiertagsregeln!$A$7:$A$480,0))</f>
        <v>Ganztägig</v>
      </c>
    </row>
    <row r="35" spans="1:15" ht="38" customHeight="1">
      <c r="A35" s="14">
        <f>INDEX(Feiertagsregeln!$X$7:$X$480,MATCH($K35,Feiertagsregeln!$A$7:$A$480,0))</f>
        <v>46909</v>
      </c>
      <c r="B35" s="10" t="str">
        <f t="shared" si="0"/>
        <v>Montag</v>
      </c>
      <c r="C35" s="10" t="s">
        <v>67</v>
      </c>
      <c r="D35" s="10" t="s">
        <v>72</v>
      </c>
      <c r="E35" s="10" t="str">
        <f>INDEX(Feiertagsregeln!$D$7:$D$480,MATCH($K35,Feiertagsregeln!$A$7:$A$480,0))</f>
        <v>Pfingstmontag</v>
      </c>
      <c r="F35" s="10" t="str">
        <f>INDEX(Feiertagsregeln!$E$7:$E$480,MATCH($K35,Feiertagsregeln!$A$7:$A$480,0))</f>
        <v>Lundi de Pentecôte</v>
      </c>
      <c r="G35" s="21" t="str">
        <f>IF(INDEX(Feiertagsregeln!$F$7:$F$480,MATCH($K35,Feiertagsregeln!$A$7:$A$480,0))="","Noch zu erfassen",INDEX(Feiertagsregeln!$F$7:$F$480,MATCH($K35,Feiertagsregeln!$A$7:$A$480,0)))</f>
        <v>Noch zu erfassen</v>
      </c>
      <c r="H35" s="21" t="str">
        <f>IF(INDEX(Feiertagsregeln!$G$7:$G$480,MATCH($K35,Feiertagsregeln!$A$7:$A$480,0))="","Noch zu erfassen",INDEX(Feiertagsregeln!$G$7:$G$480,MATCH($K35,Feiertagsregeln!$A$7:$A$480,0)))</f>
        <v>Noch zu erfassen</v>
      </c>
      <c r="I35" s="10" t="str">
        <f>INDEX(Feiertagsregeln!$H$7:$H$480,MATCH($K35,Feiertagsregeln!$A$7:$A$480,0))</f>
        <v>labourLawHoliday</v>
      </c>
      <c r="J35" s="10" t="s">
        <v>69</v>
      </c>
      <c r="K35" s="10" t="s">
        <v>89</v>
      </c>
      <c r="L35" s="10" t="str">
        <f>INDEX(Feiertagsregeln!$Y$7:$Y$480,MATCH($K35,Feiertagsregeln!$A$7:$A$480,0))</f>
        <v>SRC-AG-EGARR-20250901</v>
      </c>
      <c r="M35" s="10" t="str">
        <f>INDEX(Feiertagsregeln!$Z$7:$Z$480,MATCH($K35,Feiertagsregeln!$A$7:$A$480,0))</f>
        <v>§ 6 Abs. 1 Bst. b Ziff. 1</v>
      </c>
      <c r="N35" s="10" t="s">
        <v>71</v>
      </c>
      <c r="O35" s="10" t="str">
        <f>INDEX(Feiertagsregeln!$AA$7:$AA$480,MATCH($K35,Feiertagsregeln!$A$7:$A$480,0))</f>
        <v>Ganztägig</v>
      </c>
    </row>
    <row r="36" spans="1:15" ht="38" customHeight="1">
      <c r="A36" s="15">
        <f>INDEX(Feiertagsregeln!$X$7:$X$480,MATCH($K36,Feiertagsregeln!$A$7:$A$480,0))</f>
        <v>47112</v>
      </c>
      <c r="B36" s="11" t="str">
        <f t="shared" si="0"/>
        <v>Montag</v>
      </c>
      <c r="C36" s="11" t="s">
        <v>67</v>
      </c>
      <c r="D36" s="11" t="s">
        <v>72</v>
      </c>
      <c r="E36" s="11" t="str">
        <f>INDEX(Feiertagsregeln!$D$7:$D$480,MATCH($K36,Feiertagsregeln!$A$7:$A$480,0))</f>
        <v>Weihnachten</v>
      </c>
      <c r="F36" s="11" t="str">
        <f>INDEX(Feiertagsregeln!$E$7:$E$480,MATCH($K36,Feiertagsregeln!$A$7:$A$480,0))</f>
        <v>Noël</v>
      </c>
      <c r="G36" s="22" t="str">
        <f>IF(INDEX(Feiertagsregeln!$F$7:$F$480,MATCH($K36,Feiertagsregeln!$A$7:$A$480,0))="","Noch zu erfassen",INDEX(Feiertagsregeln!$F$7:$F$480,MATCH($K36,Feiertagsregeln!$A$7:$A$480,0)))</f>
        <v>Noch zu erfassen</v>
      </c>
      <c r="H36" s="22" t="str">
        <f>IF(INDEX(Feiertagsregeln!$G$7:$G$480,MATCH($K36,Feiertagsregeln!$A$7:$A$480,0))="","Noch zu erfassen",INDEX(Feiertagsregeln!$G$7:$G$480,MATCH($K36,Feiertagsregeln!$A$7:$A$480,0)))</f>
        <v>Noch zu erfassen</v>
      </c>
      <c r="I36" s="11" t="str">
        <f>INDEX(Feiertagsregeln!$H$7:$H$480,MATCH($K36,Feiertagsregeln!$A$7:$A$480,0))</f>
        <v>labourLawHoliday</v>
      </c>
      <c r="J36" s="11" t="s">
        <v>69</v>
      </c>
      <c r="K36" s="11" t="s">
        <v>90</v>
      </c>
      <c r="L36" s="11" t="str">
        <f>INDEX(Feiertagsregeln!$Y$7:$Y$480,MATCH($K36,Feiertagsregeln!$A$7:$A$480,0))</f>
        <v>SRC-AG-EGARR-20250901</v>
      </c>
      <c r="M36" s="11" t="str">
        <f>INDEX(Feiertagsregeln!$Z$7:$Z$480,MATCH($K36,Feiertagsregeln!$A$7:$A$480,0))</f>
        <v>§ 6 Abs. 1 Bst. b Ziff. 1</v>
      </c>
      <c r="N36" s="11" t="s">
        <v>71</v>
      </c>
      <c r="O36" s="11" t="str">
        <f>INDEX(Feiertagsregeln!$AA$7:$AA$480,MATCH($K36,Feiertagsregeln!$A$7:$A$480,0))</f>
        <v>Ganztägig</v>
      </c>
    </row>
    <row r="37" spans="1:15" ht="38" customHeight="1">
      <c r="A37" s="14">
        <f>INDEX(Feiertagsregeln!$X$7:$X$480,MATCH($K37,Feiertagsregeln!$A$7:$A$480,0))</f>
        <v>47113</v>
      </c>
      <c r="B37" s="10" t="str">
        <f t="shared" si="0"/>
        <v>Dienstag</v>
      </c>
      <c r="C37" s="10" t="s">
        <v>67</v>
      </c>
      <c r="D37" s="10" t="s">
        <v>72</v>
      </c>
      <c r="E37" s="10" t="str">
        <f>INDEX(Feiertagsregeln!$D$7:$D$480,MATCH($K37,Feiertagsregeln!$A$7:$A$480,0))</f>
        <v>Stephanstag</v>
      </c>
      <c r="F37" s="10" t="str">
        <f>INDEX(Feiertagsregeln!$E$7:$E$480,MATCH($K37,Feiertagsregeln!$A$7:$A$480,0))</f>
        <v>Saint-Étienne</v>
      </c>
      <c r="G37" s="21" t="str">
        <f>IF(INDEX(Feiertagsregeln!$F$7:$F$480,MATCH($K37,Feiertagsregeln!$A$7:$A$480,0))="","Noch zu erfassen",INDEX(Feiertagsregeln!$F$7:$F$480,MATCH($K37,Feiertagsregeln!$A$7:$A$480,0)))</f>
        <v>Noch zu erfassen</v>
      </c>
      <c r="H37" s="21" t="str">
        <f>IF(INDEX(Feiertagsregeln!$G$7:$G$480,MATCH($K37,Feiertagsregeln!$A$7:$A$480,0))="","Noch zu erfassen",INDEX(Feiertagsregeln!$G$7:$G$480,MATCH($K37,Feiertagsregeln!$A$7:$A$480,0)))</f>
        <v>Noch zu erfassen</v>
      </c>
      <c r="I37" s="10" t="str">
        <f>INDEX(Feiertagsregeln!$H$7:$H$480,MATCH($K37,Feiertagsregeln!$A$7:$A$480,0))</f>
        <v>labourLawHoliday</v>
      </c>
      <c r="J37" s="10" t="s">
        <v>69</v>
      </c>
      <c r="K37" s="10" t="s">
        <v>91</v>
      </c>
      <c r="L37" s="10" t="str">
        <f>INDEX(Feiertagsregeln!$Y$7:$Y$480,MATCH($K37,Feiertagsregeln!$A$7:$A$480,0))</f>
        <v>SRC-AG-EGARR-20250901</v>
      </c>
      <c r="M37" s="10" t="str">
        <f>INDEX(Feiertagsregeln!$Z$7:$Z$480,MATCH($K37,Feiertagsregeln!$A$7:$A$480,0))</f>
        <v>§ 6 Abs. 1 Bst. b Ziff. 1</v>
      </c>
      <c r="N37" s="10" t="s">
        <v>71</v>
      </c>
      <c r="O37" s="10" t="str">
        <f>INDEX(Feiertagsregeln!$AA$7:$AA$480,MATCH($K37,Feiertagsregeln!$A$7:$A$480,0))</f>
        <v>Ganztägig</v>
      </c>
    </row>
    <row r="38" spans="1:15" ht="38" customHeight="1">
      <c r="A38" s="15">
        <f>INDEX(Feiertagsregeln!$X$7:$X$480,MATCH($K38,Feiertagsregeln!$A$7:$A$480,0))</f>
        <v>46753</v>
      </c>
      <c r="B38" s="11" t="str">
        <f t="shared" si="0"/>
        <v>Samstag</v>
      </c>
      <c r="C38" s="11" t="s">
        <v>67</v>
      </c>
      <c r="D38" s="11" t="s">
        <v>68</v>
      </c>
      <c r="E38" s="11" t="str">
        <f>INDEX(Feiertagsregeln!$D$7:$D$480,MATCH($K38,Feiertagsregeln!$A$7:$A$480,0))</f>
        <v>Neujahr</v>
      </c>
      <c r="F38" s="11" t="str">
        <f>INDEX(Feiertagsregeln!$E$7:$E$480,MATCH($K38,Feiertagsregeln!$A$7:$A$480,0))</f>
        <v>Nouvel An</v>
      </c>
      <c r="G38" s="22" t="str">
        <f>IF(INDEX(Feiertagsregeln!$F$7:$F$480,MATCH($K38,Feiertagsregeln!$A$7:$A$480,0))="","Noch zu erfassen",INDEX(Feiertagsregeln!$F$7:$F$480,MATCH($K38,Feiertagsregeln!$A$7:$A$480,0)))</f>
        <v>Noch zu erfassen</v>
      </c>
      <c r="H38" s="22" t="str">
        <f>IF(INDEX(Feiertagsregeln!$G$7:$G$480,MATCH($K38,Feiertagsregeln!$A$7:$A$480,0))="","Noch zu erfassen",INDEX(Feiertagsregeln!$G$7:$G$480,MATCH($K38,Feiertagsregeln!$A$7:$A$480,0)))</f>
        <v>Noch zu erfassen</v>
      </c>
      <c r="I38" s="11" t="str">
        <f>INDEX(Feiertagsregeln!$H$7:$H$480,MATCH($K38,Feiertagsregeln!$A$7:$A$480,0))</f>
        <v>labourLawHoliday</v>
      </c>
      <c r="J38" s="11" t="s">
        <v>69</v>
      </c>
      <c r="K38" s="11" t="s">
        <v>92</v>
      </c>
      <c r="L38" s="11" t="str">
        <f>INDEX(Feiertagsregeln!$Y$7:$Y$480,MATCH($K38,Feiertagsregeln!$A$7:$A$480,0))</f>
        <v>SRC-AG-EGARR-20250901</v>
      </c>
      <c r="M38" s="11" t="str">
        <f>INDEX(Feiertagsregeln!$Z$7:$Z$480,MATCH($K38,Feiertagsregeln!$A$7:$A$480,0))</f>
        <v>§ 6 Abs. 1 Bst. b Ziff. 2</v>
      </c>
      <c r="N38" s="11" t="s">
        <v>71</v>
      </c>
      <c r="O38" s="11" t="str">
        <f>INDEX(Feiertagsregeln!$AA$7:$AA$480,MATCH($K38,Feiertagsregeln!$A$7:$A$480,0))</f>
        <v>Ganztägig</v>
      </c>
    </row>
    <row r="39" spans="1:15" ht="38" customHeight="1">
      <c r="A39" s="14">
        <f>INDEX(Feiertagsregeln!$X$7:$X$480,MATCH($K39,Feiertagsregeln!$A$7:$A$480,0))</f>
        <v>46857</v>
      </c>
      <c r="B39" s="10" t="str">
        <f t="shared" si="0"/>
        <v>Freitag</v>
      </c>
      <c r="C39" s="10" t="s">
        <v>67</v>
      </c>
      <c r="D39" s="10" t="s">
        <v>68</v>
      </c>
      <c r="E39" s="10" t="str">
        <f>INDEX(Feiertagsregeln!$D$7:$D$480,MATCH($K39,Feiertagsregeln!$A$7:$A$480,0))</f>
        <v>Karfreitag</v>
      </c>
      <c r="F39" s="10" t="str">
        <f>INDEX(Feiertagsregeln!$E$7:$E$480,MATCH($K39,Feiertagsregeln!$A$7:$A$480,0))</f>
        <v>Vendredi saint</v>
      </c>
      <c r="G39" s="21" t="str">
        <f>IF(INDEX(Feiertagsregeln!$F$7:$F$480,MATCH($K39,Feiertagsregeln!$A$7:$A$480,0))="","Noch zu erfassen",INDEX(Feiertagsregeln!$F$7:$F$480,MATCH($K39,Feiertagsregeln!$A$7:$A$480,0)))</f>
        <v>Noch zu erfassen</v>
      </c>
      <c r="H39" s="21" t="str">
        <f>IF(INDEX(Feiertagsregeln!$G$7:$G$480,MATCH($K39,Feiertagsregeln!$A$7:$A$480,0))="","Noch zu erfassen",INDEX(Feiertagsregeln!$G$7:$G$480,MATCH($K39,Feiertagsregeln!$A$7:$A$480,0)))</f>
        <v>Noch zu erfassen</v>
      </c>
      <c r="I39" s="10" t="str">
        <f>INDEX(Feiertagsregeln!$H$7:$H$480,MATCH($K39,Feiertagsregeln!$A$7:$A$480,0))</f>
        <v>labourLawHoliday</v>
      </c>
      <c r="J39" s="10" t="s">
        <v>69</v>
      </c>
      <c r="K39" s="10" t="s">
        <v>93</v>
      </c>
      <c r="L39" s="10" t="str">
        <f>INDEX(Feiertagsregeln!$Y$7:$Y$480,MATCH($K39,Feiertagsregeln!$A$7:$A$480,0))</f>
        <v>SRC-AG-EGARR-20250901</v>
      </c>
      <c r="M39" s="10" t="str">
        <f>INDEX(Feiertagsregeln!$Z$7:$Z$480,MATCH($K39,Feiertagsregeln!$A$7:$A$480,0))</f>
        <v>§ 6 Abs. 1 Bst. b Ziff. 2</v>
      </c>
      <c r="N39" s="10" t="s">
        <v>71</v>
      </c>
      <c r="O39" s="10" t="str">
        <f>INDEX(Feiertagsregeln!$AA$7:$AA$480,MATCH($K39,Feiertagsregeln!$A$7:$A$480,0))</f>
        <v>Ganztägig</v>
      </c>
    </row>
    <row r="40" spans="1:15" ht="38" customHeight="1">
      <c r="A40" s="15">
        <f>INDEX(Feiertagsregeln!$X$7:$X$480,MATCH($K40,Feiertagsregeln!$A$7:$A$480,0))</f>
        <v>46860</v>
      </c>
      <c r="B40" s="11" t="str">
        <f t="shared" si="0"/>
        <v>Montag</v>
      </c>
      <c r="C40" s="11" t="s">
        <v>67</v>
      </c>
      <c r="D40" s="11" t="s">
        <v>68</v>
      </c>
      <c r="E40" s="11" t="str">
        <f>INDEX(Feiertagsregeln!$D$7:$D$480,MATCH($K40,Feiertagsregeln!$A$7:$A$480,0))</f>
        <v>Ostermontag</v>
      </c>
      <c r="F40" s="11" t="str">
        <f>INDEX(Feiertagsregeln!$E$7:$E$480,MATCH($K40,Feiertagsregeln!$A$7:$A$480,0))</f>
        <v>Lundi de Pâques</v>
      </c>
      <c r="G40" s="22" t="str">
        <f>IF(INDEX(Feiertagsregeln!$F$7:$F$480,MATCH($K40,Feiertagsregeln!$A$7:$A$480,0))="","Noch zu erfassen",INDEX(Feiertagsregeln!$F$7:$F$480,MATCH($K40,Feiertagsregeln!$A$7:$A$480,0)))</f>
        <v>Noch zu erfassen</v>
      </c>
      <c r="H40" s="22" t="str">
        <f>IF(INDEX(Feiertagsregeln!$G$7:$G$480,MATCH($K40,Feiertagsregeln!$A$7:$A$480,0))="","Noch zu erfassen",INDEX(Feiertagsregeln!$G$7:$G$480,MATCH($K40,Feiertagsregeln!$A$7:$A$480,0)))</f>
        <v>Noch zu erfassen</v>
      </c>
      <c r="I40" s="11" t="str">
        <f>INDEX(Feiertagsregeln!$H$7:$H$480,MATCH($K40,Feiertagsregeln!$A$7:$A$480,0))</f>
        <v>labourLawHoliday</v>
      </c>
      <c r="J40" s="11" t="s">
        <v>69</v>
      </c>
      <c r="K40" s="11" t="s">
        <v>94</v>
      </c>
      <c r="L40" s="11" t="str">
        <f>INDEX(Feiertagsregeln!$Y$7:$Y$480,MATCH($K40,Feiertagsregeln!$A$7:$A$480,0))</f>
        <v>SRC-AG-EGARR-20250901</v>
      </c>
      <c r="M40" s="11" t="str">
        <f>INDEX(Feiertagsregeln!$Z$7:$Z$480,MATCH($K40,Feiertagsregeln!$A$7:$A$480,0))</f>
        <v>§ 6 Abs. 1 Bst. b Ziff. 2</v>
      </c>
      <c r="N40" s="11" t="s">
        <v>71</v>
      </c>
      <c r="O40" s="11" t="str">
        <f>INDEX(Feiertagsregeln!$AA$7:$AA$480,MATCH($K40,Feiertagsregeln!$A$7:$A$480,0))</f>
        <v>Ganztägig</v>
      </c>
    </row>
    <row r="41" spans="1:15" ht="38" customHeight="1">
      <c r="A41" s="14">
        <f>INDEX(Feiertagsregeln!$X$7:$X$480,MATCH($K41,Feiertagsregeln!$A$7:$A$480,0))</f>
        <v>46898</v>
      </c>
      <c r="B41" s="10" t="str">
        <f t="shared" si="0"/>
        <v>Donnerstag</v>
      </c>
      <c r="C41" s="10" t="s">
        <v>67</v>
      </c>
      <c r="D41" s="10" t="s">
        <v>68</v>
      </c>
      <c r="E41" s="10" t="str">
        <f>INDEX(Feiertagsregeln!$D$7:$D$480,MATCH($K41,Feiertagsregeln!$A$7:$A$480,0))</f>
        <v>Auffahrt</v>
      </c>
      <c r="F41" s="10" t="str">
        <f>INDEX(Feiertagsregeln!$E$7:$E$480,MATCH($K41,Feiertagsregeln!$A$7:$A$480,0))</f>
        <v>Ascension</v>
      </c>
      <c r="G41" s="21" t="str">
        <f>IF(INDEX(Feiertagsregeln!$F$7:$F$480,MATCH($K41,Feiertagsregeln!$A$7:$A$480,0))="","Noch zu erfassen",INDEX(Feiertagsregeln!$F$7:$F$480,MATCH($K41,Feiertagsregeln!$A$7:$A$480,0)))</f>
        <v>Noch zu erfassen</v>
      </c>
      <c r="H41" s="21" t="str">
        <f>IF(INDEX(Feiertagsregeln!$G$7:$G$480,MATCH($K41,Feiertagsregeln!$A$7:$A$480,0))="","Noch zu erfassen",INDEX(Feiertagsregeln!$G$7:$G$480,MATCH($K41,Feiertagsregeln!$A$7:$A$480,0)))</f>
        <v>Noch zu erfassen</v>
      </c>
      <c r="I41" s="10" t="str">
        <f>INDEX(Feiertagsregeln!$H$7:$H$480,MATCH($K41,Feiertagsregeln!$A$7:$A$480,0))</f>
        <v>labourLawHoliday</v>
      </c>
      <c r="J41" s="10" t="s">
        <v>69</v>
      </c>
      <c r="K41" s="10" t="s">
        <v>95</v>
      </c>
      <c r="L41" s="10" t="str">
        <f>INDEX(Feiertagsregeln!$Y$7:$Y$480,MATCH($K41,Feiertagsregeln!$A$7:$A$480,0))</f>
        <v>SRC-AG-EGARR-20250901</v>
      </c>
      <c r="M41" s="10" t="str">
        <f>INDEX(Feiertagsregeln!$Z$7:$Z$480,MATCH($K41,Feiertagsregeln!$A$7:$A$480,0))</f>
        <v>§ 6 Abs. 1 Bst. b Ziff. 2</v>
      </c>
      <c r="N41" s="10" t="s">
        <v>71</v>
      </c>
      <c r="O41" s="10" t="str">
        <f>INDEX(Feiertagsregeln!$AA$7:$AA$480,MATCH($K41,Feiertagsregeln!$A$7:$A$480,0))</f>
        <v>Ganztägig</v>
      </c>
    </row>
    <row r="42" spans="1:15" ht="38" customHeight="1">
      <c r="A42" s="15">
        <f>INDEX(Feiertagsregeln!$X$7:$X$480,MATCH($K42,Feiertagsregeln!$A$7:$A$480,0))</f>
        <v>46909</v>
      </c>
      <c r="B42" s="11" t="str">
        <f t="shared" si="0"/>
        <v>Montag</v>
      </c>
      <c r="C42" s="11" t="s">
        <v>67</v>
      </c>
      <c r="D42" s="11" t="s">
        <v>68</v>
      </c>
      <c r="E42" s="11" t="str">
        <f>INDEX(Feiertagsregeln!$D$7:$D$480,MATCH($K42,Feiertagsregeln!$A$7:$A$480,0))</f>
        <v>Pfingstmontag</v>
      </c>
      <c r="F42" s="11" t="str">
        <f>INDEX(Feiertagsregeln!$E$7:$E$480,MATCH($K42,Feiertagsregeln!$A$7:$A$480,0))</f>
        <v>Lundi de Pentecôte</v>
      </c>
      <c r="G42" s="22" t="str">
        <f>IF(INDEX(Feiertagsregeln!$F$7:$F$480,MATCH($K42,Feiertagsregeln!$A$7:$A$480,0))="","Noch zu erfassen",INDEX(Feiertagsregeln!$F$7:$F$480,MATCH($K42,Feiertagsregeln!$A$7:$A$480,0)))</f>
        <v>Noch zu erfassen</v>
      </c>
      <c r="H42" s="22" t="str">
        <f>IF(INDEX(Feiertagsregeln!$G$7:$G$480,MATCH($K42,Feiertagsregeln!$A$7:$A$480,0))="","Noch zu erfassen",INDEX(Feiertagsregeln!$G$7:$G$480,MATCH($K42,Feiertagsregeln!$A$7:$A$480,0)))</f>
        <v>Noch zu erfassen</v>
      </c>
      <c r="I42" s="11" t="str">
        <f>INDEX(Feiertagsregeln!$H$7:$H$480,MATCH($K42,Feiertagsregeln!$A$7:$A$480,0))</f>
        <v>labourLawHoliday</v>
      </c>
      <c r="J42" s="11" t="s">
        <v>69</v>
      </c>
      <c r="K42" s="11" t="s">
        <v>96</v>
      </c>
      <c r="L42" s="11" t="str">
        <f>INDEX(Feiertagsregeln!$Y$7:$Y$480,MATCH($K42,Feiertagsregeln!$A$7:$A$480,0))</f>
        <v>SRC-AG-EGARR-20250901</v>
      </c>
      <c r="M42" s="11" t="str">
        <f>INDEX(Feiertagsregeln!$Z$7:$Z$480,MATCH($K42,Feiertagsregeln!$A$7:$A$480,0))</f>
        <v>§ 6 Abs. 1 Bst. b Ziff. 2</v>
      </c>
      <c r="N42" s="11" t="s">
        <v>71</v>
      </c>
      <c r="O42" s="11" t="str">
        <f>INDEX(Feiertagsregeln!$AA$7:$AA$480,MATCH($K42,Feiertagsregeln!$A$7:$A$480,0))</f>
        <v>Ganztägig</v>
      </c>
    </row>
    <row r="43" spans="1:15" ht="38" customHeight="1">
      <c r="A43" s="14">
        <f>INDEX(Feiertagsregeln!$X$7:$X$480,MATCH($K43,Feiertagsregeln!$A$7:$A$480,0))</f>
        <v>47112</v>
      </c>
      <c r="B43" s="10" t="str">
        <f t="shared" si="0"/>
        <v>Montag</v>
      </c>
      <c r="C43" s="10" t="s">
        <v>67</v>
      </c>
      <c r="D43" s="10" t="s">
        <v>68</v>
      </c>
      <c r="E43" s="10" t="str">
        <f>INDEX(Feiertagsregeln!$D$7:$D$480,MATCH($K43,Feiertagsregeln!$A$7:$A$480,0))</f>
        <v>Weihnachten</v>
      </c>
      <c r="F43" s="10" t="str">
        <f>INDEX(Feiertagsregeln!$E$7:$E$480,MATCH($K43,Feiertagsregeln!$A$7:$A$480,0))</f>
        <v>Noël</v>
      </c>
      <c r="G43" s="21" t="str">
        <f>IF(INDEX(Feiertagsregeln!$F$7:$F$480,MATCH($K43,Feiertagsregeln!$A$7:$A$480,0))="","Noch zu erfassen",INDEX(Feiertagsregeln!$F$7:$F$480,MATCH($K43,Feiertagsregeln!$A$7:$A$480,0)))</f>
        <v>Noch zu erfassen</v>
      </c>
      <c r="H43" s="21" t="str">
        <f>IF(INDEX(Feiertagsregeln!$G$7:$G$480,MATCH($K43,Feiertagsregeln!$A$7:$A$480,0))="","Noch zu erfassen",INDEX(Feiertagsregeln!$G$7:$G$480,MATCH($K43,Feiertagsregeln!$A$7:$A$480,0)))</f>
        <v>Noch zu erfassen</v>
      </c>
      <c r="I43" s="10" t="str">
        <f>INDEX(Feiertagsregeln!$H$7:$H$480,MATCH($K43,Feiertagsregeln!$A$7:$A$480,0))</f>
        <v>labourLawHoliday</v>
      </c>
      <c r="J43" s="10" t="s">
        <v>69</v>
      </c>
      <c r="K43" s="10" t="s">
        <v>97</v>
      </c>
      <c r="L43" s="10" t="str">
        <f>INDEX(Feiertagsregeln!$Y$7:$Y$480,MATCH($K43,Feiertagsregeln!$A$7:$A$480,0))</f>
        <v>SRC-AG-EGARR-20250901</v>
      </c>
      <c r="M43" s="10" t="str">
        <f>INDEX(Feiertagsregeln!$Z$7:$Z$480,MATCH($K43,Feiertagsregeln!$A$7:$A$480,0))</f>
        <v>§ 6 Abs. 1 Bst. b Ziff. 2</v>
      </c>
      <c r="N43" s="10" t="s">
        <v>71</v>
      </c>
      <c r="O43" s="10" t="str">
        <f>INDEX(Feiertagsregeln!$AA$7:$AA$480,MATCH($K43,Feiertagsregeln!$A$7:$A$480,0))</f>
        <v>Ganztägig</v>
      </c>
    </row>
    <row r="44" spans="1:15" ht="38" customHeight="1">
      <c r="A44" s="15">
        <f>INDEX(Feiertagsregeln!$X$7:$X$480,MATCH($K44,Feiertagsregeln!$A$7:$A$480,0))</f>
        <v>47113</v>
      </c>
      <c r="B44" s="11" t="str">
        <f t="shared" si="0"/>
        <v>Dienstag</v>
      </c>
      <c r="C44" s="11" t="s">
        <v>67</v>
      </c>
      <c r="D44" s="11" t="s">
        <v>68</v>
      </c>
      <c r="E44" s="11" t="str">
        <f>INDEX(Feiertagsregeln!$D$7:$D$480,MATCH($K44,Feiertagsregeln!$A$7:$A$480,0))</f>
        <v>Stephanstag</v>
      </c>
      <c r="F44" s="11" t="str">
        <f>INDEX(Feiertagsregeln!$E$7:$E$480,MATCH($K44,Feiertagsregeln!$A$7:$A$480,0))</f>
        <v>Saint-Étienne</v>
      </c>
      <c r="G44" s="22" t="str">
        <f>IF(INDEX(Feiertagsregeln!$F$7:$F$480,MATCH($K44,Feiertagsregeln!$A$7:$A$480,0))="","Noch zu erfassen",INDEX(Feiertagsregeln!$F$7:$F$480,MATCH($K44,Feiertagsregeln!$A$7:$A$480,0)))</f>
        <v>Noch zu erfassen</v>
      </c>
      <c r="H44" s="22" t="str">
        <f>IF(INDEX(Feiertagsregeln!$G$7:$G$480,MATCH($K44,Feiertagsregeln!$A$7:$A$480,0))="","Noch zu erfassen",INDEX(Feiertagsregeln!$G$7:$G$480,MATCH($K44,Feiertagsregeln!$A$7:$A$480,0)))</f>
        <v>Noch zu erfassen</v>
      </c>
      <c r="I44" s="11" t="str">
        <f>INDEX(Feiertagsregeln!$H$7:$H$480,MATCH($K44,Feiertagsregeln!$A$7:$A$480,0))</f>
        <v>labourLawHoliday</v>
      </c>
      <c r="J44" s="11" t="s">
        <v>69</v>
      </c>
      <c r="K44" s="11" t="s">
        <v>98</v>
      </c>
      <c r="L44" s="11" t="str">
        <f>INDEX(Feiertagsregeln!$Y$7:$Y$480,MATCH($K44,Feiertagsregeln!$A$7:$A$480,0))</f>
        <v>SRC-AG-EGARR-20250901</v>
      </c>
      <c r="M44" s="11" t="str">
        <f>INDEX(Feiertagsregeln!$Z$7:$Z$480,MATCH($K44,Feiertagsregeln!$A$7:$A$480,0))</f>
        <v>§ 6 Abs. 1 Bst. b Ziff. 2</v>
      </c>
      <c r="N44" s="11" t="s">
        <v>71</v>
      </c>
      <c r="O44" s="11" t="str">
        <f>INDEX(Feiertagsregeln!$AA$7:$AA$480,MATCH($K44,Feiertagsregeln!$A$7:$A$480,0))</f>
        <v>Ganztägig</v>
      </c>
    </row>
    <row r="45" spans="1:15" ht="38" customHeight="1">
      <c r="A45" s="14">
        <f>INDEX(Feiertagsregeln!$X$7:$X$480,MATCH($K45,Feiertagsregeln!$A$7:$A$480,0))</f>
        <v>46753</v>
      </c>
      <c r="B45" s="10" t="str">
        <f t="shared" si="0"/>
        <v>Samstag</v>
      </c>
      <c r="C45" s="10" t="s">
        <v>67</v>
      </c>
      <c r="D45" s="10" t="s">
        <v>99</v>
      </c>
      <c r="E45" s="10" t="str">
        <f>INDEX(Feiertagsregeln!$D$7:$D$480,MATCH($K45,Feiertagsregeln!$A$7:$A$480,0))</f>
        <v>Neujahr</v>
      </c>
      <c r="F45" s="10" t="str">
        <f>INDEX(Feiertagsregeln!$E$7:$E$480,MATCH($K45,Feiertagsregeln!$A$7:$A$480,0))</f>
        <v>Nouvel An</v>
      </c>
      <c r="G45" s="21" t="str">
        <f>IF(INDEX(Feiertagsregeln!$F$7:$F$480,MATCH($K45,Feiertagsregeln!$A$7:$A$480,0))="","Noch zu erfassen",INDEX(Feiertagsregeln!$F$7:$F$480,MATCH($K45,Feiertagsregeln!$A$7:$A$480,0)))</f>
        <v>Noch zu erfassen</v>
      </c>
      <c r="H45" s="21" t="str">
        <f>IF(INDEX(Feiertagsregeln!$G$7:$G$480,MATCH($K45,Feiertagsregeln!$A$7:$A$480,0))="","Noch zu erfassen",INDEX(Feiertagsregeln!$G$7:$G$480,MATCH($K45,Feiertagsregeln!$A$7:$A$480,0)))</f>
        <v>Noch zu erfassen</v>
      </c>
      <c r="I45" s="10" t="str">
        <f>INDEX(Feiertagsregeln!$H$7:$H$480,MATCH($K45,Feiertagsregeln!$A$7:$A$480,0))</f>
        <v>labourLawHoliday</v>
      </c>
      <c r="J45" s="10" t="s">
        <v>69</v>
      </c>
      <c r="K45" s="10" t="s">
        <v>100</v>
      </c>
      <c r="L45" s="10" t="str">
        <f>INDEX(Feiertagsregeln!$Y$7:$Y$480,MATCH($K45,Feiertagsregeln!$A$7:$A$480,0))</f>
        <v>SRC-AG-EGARR-20250901</v>
      </c>
      <c r="M45" s="10" t="str">
        <f>INDEX(Feiertagsregeln!$Z$7:$Z$480,MATCH($K45,Feiertagsregeln!$A$7:$A$480,0))</f>
        <v>§ 6 Abs. 1 Bst. c</v>
      </c>
      <c r="N45" s="10" t="s">
        <v>71</v>
      </c>
      <c r="O45" s="10" t="str">
        <f>INDEX(Feiertagsregeln!$AA$7:$AA$480,MATCH($K45,Feiertagsregeln!$A$7:$A$480,0))</f>
        <v>Ganztägig</v>
      </c>
    </row>
    <row r="46" spans="1:15" ht="38" customHeight="1">
      <c r="A46" s="15">
        <f>INDEX(Feiertagsregeln!$X$7:$X$480,MATCH($K46,Feiertagsregeln!$A$7:$A$480,0))</f>
        <v>46857</v>
      </c>
      <c r="B46" s="11" t="str">
        <f t="shared" si="0"/>
        <v>Freitag</v>
      </c>
      <c r="C46" s="11" t="s">
        <v>67</v>
      </c>
      <c r="D46" s="11" t="s">
        <v>99</v>
      </c>
      <c r="E46" s="11" t="str">
        <f>INDEX(Feiertagsregeln!$D$7:$D$480,MATCH($K46,Feiertagsregeln!$A$7:$A$480,0))</f>
        <v>Karfreitag</v>
      </c>
      <c r="F46" s="11" t="str">
        <f>INDEX(Feiertagsregeln!$E$7:$E$480,MATCH($K46,Feiertagsregeln!$A$7:$A$480,0))</f>
        <v>Vendredi saint</v>
      </c>
      <c r="G46" s="22" t="str">
        <f>IF(INDEX(Feiertagsregeln!$F$7:$F$480,MATCH($K46,Feiertagsregeln!$A$7:$A$480,0))="","Noch zu erfassen",INDEX(Feiertagsregeln!$F$7:$F$480,MATCH($K46,Feiertagsregeln!$A$7:$A$480,0)))</f>
        <v>Noch zu erfassen</v>
      </c>
      <c r="H46" s="22" t="str">
        <f>IF(INDEX(Feiertagsregeln!$G$7:$G$480,MATCH($K46,Feiertagsregeln!$A$7:$A$480,0))="","Noch zu erfassen",INDEX(Feiertagsregeln!$G$7:$G$480,MATCH($K46,Feiertagsregeln!$A$7:$A$480,0)))</f>
        <v>Noch zu erfassen</v>
      </c>
      <c r="I46" s="11" t="str">
        <f>INDEX(Feiertagsregeln!$H$7:$H$480,MATCH($K46,Feiertagsregeln!$A$7:$A$480,0))</f>
        <v>labourLawHoliday</v>
      </c>
      <c r="J46" s="11" t="s">
        <v>69</v>
      </c>
      <c r="K46" s="11" t="s">
        <v>101</v>
      </c>
      <c r="L46" s="11" t="str">
        <f>INDEX(Feiertagsregeln!$Y$7:$Y$480,MATCH($K46,Feiertagsregeln!$A$7:$A$480,0))</f>
        <v>SRC-AG-EGARR-20250901</v>
      </c>
      <c r="M46" s="11" t="str">
        <f>INDEX(Feiertagsregeln!$Z$7:$Z$480,MATCH($K46,Feiertagsregeln!$A$7:$A$480,0))</f>
        <v>§ 6 Abs. 1 Bst. c</v>
      </c>
      <c r="N46" s="11" t="s">
        <v>71</v>
      </c>
      <c r="O46" s="11" t="str">
        <f>INDEX(Feiertagsregeln!$AA$7:$AA$480,MATCH($K46,Feiertagsregeln!$A$7:$A$480,0))</f>
        <v>Ganztägig</v>
      </c>
    </row>
    <row r="47" spans="1:15" ht="38" customHeight="1">
      <c r="A47" s="14">
        <f>INDEX(Feiertagsregeln!$X$7:$X$480,MATCH($K47,Feiertagsregeln!$A$7:$A$480,0))</f>
        <v>46898</v>
      </c>
      <c r="B47" s="10" t="str">
        <f t="shared" si="0"/>
        <v>Donnerstag</v>
      </c>
      <c r="C47" s="10" t="s">
        <v>67</v>
      </c>
      <c r="D47" s="10" t="s">
        <v>99</v>
      </c>
      <c r="E47" s="10" t="str">
        <f>INDEX(Feiertagsregeln!$D$7:$D$480,MATCH($K47,Feiertagsregeln!$A$7:$A$480,0))</f>
        <v>Auffahrt</v>
      </c>
      <c r="F47" s="10" t="str">
        <f>INDEX(Feiertagsregeln!$E$7:$E$480,MATCH($K47,Feiertagsregeln!$A$7:$A$480,0))</f>
        <v>Ascension</v>
      </c>
      <c r="G47" s="21" t="str">
        <f>IF(INDEX(Feiertagsregeln!$F$7:$F$480,MATCH($K47,Feiertagsregeln!$A$7:$A$480,0))="","Noch zu erfassen",INDEX(Feiertagsregeln!$F$7:$F$480,MATCH($K47,Feiertagsregeln!$A$7:$A$480,0)))</f>
        <v>Noch zu erfassen</v>
      </c>
      <c r="H47" s="21" t="str">
        <f>IF(INDEX(Feiertagsregeln!$G$7:$G$480,MATCH($K47,Feiertagsregeln!$A$7:$A$480,0))="","Noch zu erfassen",INDEX(Feiertagsregeln!$G$7:$G$480,MATCH($K47,Feiertagsregeln!$A$7:$A$480,0)))</f>
        <v>Noch zu erfassen</v>
      </c>
      <c r="I47" s="10" t="str">
        <f>INDEX(Feiertagsregeln!$H$7:$H$480,MATCH($K47,Feiertagsregeln!$A$7:$A$480,0))</f>
        <v>labourLawHoliday</v>
      </c>
      <c r="J47" s="10" t="s">
        <v>69</v>
      </c>
      <c r="K47" s="10" t="s">
        <v>102</v>
      </c>
      <c r="L47" s="10" t="str">
        <f>INDEX(Feiertagsregeln!$Y$7:$Y$480,MATCH($K47,Feiertagsregeln!$A$7:$A$480,0))</f>
        <v>SRC-AG-EGARR-20250901</v>
      </c>
      <c r="M47" s="10" t="str">
        <f>INDEX(Feiertagsregeln!$Z$7:$Z$480,MATCH($K47,Feiertagsregeln!$A$7:$A$480,0))</f>
        <v>§ 6 Abs. 1 Bst. c</v>
      </c>
      <c r="N47" s="10" t="s">
        <v>71</v>
      </c>
      <c r="O47" s="10" t="str">
        <f>INDEX(Feiertagsregeln!$AA$7:$AA$480,MATCH($K47,Feiertagsregeln!$A$7:$A$480,0))</f>
        <v>Ganztägig</v>
      </c>
    </row>
    <row r="48" spans="1:15" ht="38" customHeight="1">
      <c r="A48" s="15">
        <f>INDEX(Feiertagsregeln!$X$7:$X$480,MATCH($K48,Feiertagsregeln!$A$7:$A$480,0))</f>
        <v>46919</v>
      </c>
      <c r="B48" s="11" t="str">
        <f t="shared" si="0"/>
        <v>Donnerstag</v>
      </c>
      <c r="C48" s="11" t="s">
        <v>67</v>
      </c>
      <c r="D48" s="11" t="s">
        <v>99</v>
      </c>
      <c r="E48" s="11" t="str">
        <f>INDEX(Feiertagsregeln!$D$7:$D$480,MATCH($K48,Feiertagsregeln!$A$7:$A$480,0))</f>
        <v>Fronleichnam</v>
      </c>
      <c r="F48" s="11" t="str">
        <f>INDEX(Feiertagsregeln!$E$7:$E$480,MATCH($K48,Feiertagsregeln!$A$7:$A$480,0))</f>
        <v>Fête-Dieu</v>
      </c>
      <c r="G48" s="22" t="str">
        <f>IF(INDEX(Feiertagsregeln!$F$7:$F$480,MATCH($K48,Feiertagsregeln!$A$7:$A$480,0))="","Noch zu erfassen",INDEX(Feiertagsregeln!$F$7:$F$480,MATCH($K48,Feiertagsregeln!$A$7:$A$480,0)))</f>
        <v>Noch zu erfassen</v>
      </c>
      <c r="H48" s="22" t="str">
        <f>IF(INDEX(Feiertagsregeln!$G$7:$G$480,MATCH($K48,Feiertagsregeln!$A$7:$A$480,0))="","Noch zu erfassen",INDEX(Feiertagsregeln!$G$7:$G$480,MATCH($K48,Feiertagsregeln!$A$7:$A$480,0)))</f>
        <v>Noch zu erfassen</v>
      </c>
      <c r="I48" s="11" t="str">
        <f>INDEX(Feiertagsregeln!$H$7:$H$480,MATCH($K48,Feiertagsregeln!$A$7:$A$480,0))</f>
        <v>labourLawHoliday</v>
      </c>
      <c r="J48" s="11" t="s">
        <v>69</v>
      </c>
      <c r="K48" s="11" t="s">
        <v>103</v>
      </c>
      <c r="L48" s="11" t="str">
        <f>INDEX(Feiertagsregeln!$Y$7:$Y$480,MATCH($K48,Feiertagsregeln!$A$7:$A$480,0))</f>
        <v>SRC-AG-EGARR-20250901</v>
      </c>
      <c r="M48" s="11" t="str">
        <f>INDEX(Feiertagsregeln!$Z$7:$Z$480,MATCH($K48,Feiertagsregeln!$A$7:$A$480,0))</f>
        <v>§ 6 Abs. 1 Bst. c</v>
      </c>
      <c r="N48" s="11" t="s">
        <v>71</v>
      </c>
      <c r="O48" s="11" t="str">
        <f>INDEX(Feiertagsregeln!$AA$7:$AA$480,MATCH($K48,Feiertagsregeln!$A$7:$A$480,0))</f>
        <v>Ganztägig</v>
      </c>
    </row>
    <row r="49" spans="1:15" ht="38" customHeight="1">
      <c r="A49" s="14">
        <f>INDEX(Feiertagsregeln!$X$7:$X$480,MATCH($K49,Feiertagsregeln!$A$7:$A$480,0))</f>
        <v>46980</v>
      </c>
      <c r="B49" s="10" t="str">
        <f t="shared" si="0"/>
        <v>Dienstag</v>
      </c>
      <c r="C49" s="10" t="s">
        <v>67</v>
      </c>
      <c r="D49" s="10" t="s">
        <v>99</v>
      </c>
      <c r="E49" s="10" t="str">
        <f>INDEX(Feiertagsregeln!$D$7:$D$480,MATCH($K49,Feiertagsregeln!$A$7:$A$480,0))</f>
        <v>Mariä Himmelfahrt</v>
      </c>
      <c r="F49" s="10" t="str">
        <f>INDEX(Feiertagsregeln!$E$7:$E$480,MATCH($K49,Feiertagsregeln!$A$7:$A$480,0))</f>
        <v>Assomption</v>
      </c>
      <c r="G49" s="21" t="str">
        <f>IF(INDEX(Feiertagsregeln!$F$7:$F$480,MATCH($K49,Feiertagsregeln!$A$7:$A$480,0))="","Noch zu erfassen",INDEX(Feiertagsregeln!$F$7:$F$480,MATCH($K49,Feiertagsregeln!$A$7:$A$480,0)))</f>
        <v>Noch zu erfassen</v>
      </c>
      <c r="H49" s="21" t="str">
        <f>IF(INDEX(Feiertagsregeln!$G$7:$G$480,MATCH($K49,Feiertagsregeln!$A$7:$A$480,0))="","Noch zu erfassen",INDEX(Feiertagsregeln!$G$7:$G$480,MATCH($K49,Feiertagsregeln!$A$7:$A$480,0)))</f>
        <v>Noch zu erfassen</v>
      </c>
      <c r="I49" s="10" t="str">
        <f>INDEX(Feiertagsregeln!$H$7:$H$480,MATCH($K49,Feiertagsregeln!$A$7:$A$480,0))</f>
        <v>labourLawHoliday</v>
      </c>
      <c r="J49" s="10" t="s">
        <v>69</v>
      </c>
      <c r="K49" s="10" t="s">
        <v>104</v>
      </c>
      <c r="L49" s="10" t="str">
        <f>INDEX(Feiertagsregeln!$Y$7:$Y$480,MATCH($K49,Feiertagsregeln!$A$7:$A$480,0))</f>
        <v>SRC-AG-EGARR-20250901</v>
      </c>
      <c r="M49" s="10" t="str">
        <f>INDEX(Feiertagsregeln!$Z$7:$Z$480,MATCH($K49,Feiertagsregeln!$A$7:$A$480,0))</f>
        <v>§ 6 Abs. 1 Bst. c</v>
      </c>
      <c r="N49" s="10" t="s">
        <v>71</v>
      </c>
      <c r="O49" s="10" t="str">
        <f>INDEX(Feiertagsregeln!$AA$7:$AA$480,MATCH($K49,Feiertagsregeln!$A$7:$A$480,0))</f>
        <v>Ganztägig</v>
      </c>
    </row>
    <row r="50" spans="1:15" ht="38" customHeight="1">
      <c r="A50" s="15">
        <f>INDEX(Feiertagsregeln!$X$7:$X$480,MATCH($K50,Feiertagsregeln!$A$7:$A$480,0))</f>
        <v>47058</v>
      </c>
      <c r="B50" s="11" t="str">
        <f t="shared" si="0"/>
        <v>Mittwoch</v>
      </c>
      <c r="C50" s="11" t="s">
        <v>67</v>
      </c>
      <c r="D50" s="11" t="s">
        <v>99</v>
      </c>
      <c r="E50" s="11" t="str">
        <f>INDEX(Feiertagsregeln!$D$7:$D$480,MATCH($K50,Feiertagsregeln!$A$7:$A$480,0))</f>
        <v>Allerheiligen</v>
      </c>
      <c r="F50" s="11" t="str">
        <f>INDEX(Feiertagsregeln!$E$7:$E$480,MATCH($K50,Feiertagsregeln!$A$7:$A$480,0))</f>
        <v>Toussaint</v>
      </c>
      <c r="G50" s="22" t="str">
        <f>IF(INDEX(Feiertagsregeln!$F$7:$F$480,MATCH($K50,Feiertagsregeln!$A$7:$A$480,0))="","Noch zu erfassen",INDEX(Feiertagsregeln!$F$7:$F$480,MATCH($K50,Feiertagsregeln!$A$7:$A$480,0)))</f>
        <v>Noch zu erfassen</v>
      </c>
      <c r="H50" s="22" t="str">
        <f>IF(INDEX(Feiertagsregeln!$G$7:$G$480,MATCH($K50,Feiertagsregeln!$A$7:$A$480,0))="","Noch zu erfassen",INDEX(Feiertagsregeln!$G$7:$G$480,MATCH($K50,Feiertagsregeln!$A$7:$A$480,0)))</f>
        <v>Noch zu erfassen</v>
      </c>
      <c r="I50" s="11" t="str">
        <f>INDEX(Feiertagsregeln!$H$7:$H$480,MATCH($K50,Feiertagsregeln!$A$7:$A$480,0))</f>
        <v>labourLawHoliday</v>
      </c>
      <c r="J50" s="11" t="s">
        <v>69</v>
      </c>
      <c r="K50" s="11" t="s">
        <v>105</v>
      </c>
      <c r="L50" s="11" t="str">
        <f>INDEX(Feiertagsregeln!$Y$7:$Y$480,MATCH($K50,Feiertagsregeln!$A$7:$A$480,0))</f>
        <v>SRC-AG-EGARR-20250901</v>
      </c>
      <c r="M50" s="11" t="str">
        <f>INDEX(Feiertagsregeln!$Z$7:$Z$480,MATCH($K50,Feiertagsregeln!$A$7:$A$480,0))</f>
        <v>§ 6 Abs. 1 Bst. c</v>
      </c>
      <c r="N50" s="11" t="s">
        <v>71</v>
      </c>
      <c r="O50" s="11" t="str">
        <f>INDEX(Feiertagsregeln!$AA$7:$AA$480,MATCH($K50,Feiertagsregeln!$A$7:$A$480,0))</f>
        <v>Ganztägig</v>
      </c>
    </row>
    <row r="51" spans="1:15" ht="38" customHeight="1">
      <c r="A51" s="14">
        <f>INDEX(Feiertagsregeln!$X$7:$X$480,MATCH($K51,Feiertagsregeln!$A$7:$A$480,0))</f>
        <v>47112</v>
      </c>
      <c r="B51" s="10" t="str">
        <f t="shared" si="0"/>
        <v>Montag</v>
      </c>
      <c r="C51" s="10" t="s">
        <v>67</v>
      </c>
      <c r="D51" s="10" t="s">
        <v>99</v>
      </c>
      <c r="E51" s="10" t="str">
        <f>INDEX(Feiertagsregeln!$D$7:$D$480,MATCH($K51,Feiertagsregeln!$A$7:$A$480,0))</f>
        <v>Weihnachten</v>
      </c>
      <c r="F51" s="10" t="str">
        <f>INDEX(Feiertagsregeln!$E$7:$E$480,MATCH($K51,Feiertagsregeln!$A$7:$A$480,0))</f>
        <v>Noël</v>
      </c>
      <c r="G51" s="21" t="str">
        <f>IF(INDEX(Feiertagsregeln!$F$7:$F$480,MATCH($K51,Feiertagsregeln!$A$7:$A$480,0))="","Noch zu erfassen",INDEX(Feiertagsregeln!$F$7:$F$480,MATCH($K51,Feiertagsregeln!$A$7:$A$480,0)))</f>
        <v>Noch zu erfassen</v>
      </c>
      <c r="H51" s="21" t="str">
        <f>IF(INDEX(Feiertagsregeln!$G$7:$G$480,MATCH($K51,Feiertagsregeln!$A$7:$A$480,0))="","Noch zu erfassen",INDEX(Feiertagsregeln!$G$7:$G$480,MATCH($K51,Feiertagsregeln!$A$7:$A$480,0)))</f>
        <v>Noch zu erfassen</v>
      </c>
      <c r="I51" s="10" t="str">
        <f>INDEX(Feiertagsregeln!$H$7:$H$480,MATCH($K51,Feiertagsregeln!$A$7:$A$480,0))</f>
        <v>labourLawHoliday</v>
      </c>
      <c r="J51" s="10" t="s">
        <v>69</v>
      </c>
      <c r="K51" s="10" t="s">
        <v>106</v>
      </c>
      <c r="L51" s="10" t="str">
        <f>INDEX(Feiertagsregeln!$Y$7:$Y$480,MATCH($K51,Feiertagsregeln!$A$7:$A$480,0))</f>
        <v>SRC-AG-EGARR-20250901</v>
      </c>
      <c r="M51" s="10" t="str">
        <f>INDEX(Feiertagsregeln!$Z$7:$Z$480,MATCH($K51,Feiertagsregeln!$A$7:$A$480,0))</f>
        <v>§ 6 Abs. 1 Bst. c</v>
      </c>
      <c r="N51" s="10" t="s">
        <v>71</v>
      </c>
      <c r="O51" s="10" t="str">
        <f>INDEX(Feiertagsregeln!$AA$7:$AA$480,MATCH($K51,Feiertagsregeln!$A$7:$A$480,0))</f>
        <v>Ganztägig</v>
      </c>
    </row>
    <row r="52" spans="1:15" ht="38" customHeight="1">
      <c r="A52" s="15">
        <f>INDEX(Feiertagsregeln!$X$7:$X$480,MATCH($K52,Feiertagsregeln!$A$7:$A$480,0))</f>
        <v>47113</v>
      </c>
      <c r="B52" s="11" t="str">
        <f t="shared" si="0"/>
        <v>Dienstag</v>
      </c>
      <c r="C52" s="11" t="s">
        <v>67</v>
      </c>
      <c r="D52" s="11" t="s">
        <v>99</v>
      </c>
      <c r="E52" s="11" t="str">
        <f>INDEX(Feiertagsregeln!$D$7:$D$480,MATCH($K52,Feiertagsregeln!$A$7:$A$480,0))</f>
        <v>Stephanstag</v>
      </c>
      <c r="F52" s="11" t="str">
        <f>INDEX(Feiertagsregeln!$E$7:$E$480,MATCH($K52,Feiertagsregeln!$A$7:$A$480,0))</f>
        <v>Saint-Étienne</v>
      </c>
      <c r="G52" s="22" t="str">
        <f>IF(INDEX(Feiertagsregeln!$F$7:$F$480,MATCH($K52,Feiertagsregeln!$A$7:$A$480,0))="","Noch zu erfassen",INDEX(Feiertagsregeln!$F$7:$F$480,MATCH($K52,Feiertagsregeln!$A$7:$A$480,0)))</f>
        <v>Noch zu erfassen</v>
      </c>
      <c r="H52" s="22" t="str">
        <f>IF(INDEX(Feiertagsregeln!$G$7:$G$480,MATCH($K52,Feiertagsregeln!$A$7:$A$480,0))="","Noch zu erfassen",INDEX(Feiertagsregeln!$G$7:$G$480,MATCH($K52,Feiertagsregeln!$A$7:$A$480,0)))</f>
        <v>Noch zu erfassen</v>
      </c>
      <c r="I52" s="11" t="str">
        <f>INDEX(Feiertagsregeln!$H$7:$H$480,MATCH($K52,Feiertagsregeln!$A$7:$A$480,0))</f>
        <v>labourLawHoliday</v>
      </c>
      <c r="J52" s="11" t="s">
        <v>69</v>
      </c>
      <c r="K52" s="11" t="s">
        <v>107</v>
      </c>
      <c r="L52" s="11" t="str">
        <f>INDEX(Feiertagsregeln!$Y$7:$Y$480,MATCH($K52,Feiertagsregeln!$A$7:$A$480,0))</f>
        <v>SRC-AG-EGARR-20250901</v>
      </c>
      <c r="M52" s="11" t="str">
        <f>INDEX(Feiertagsregeln!$Z$7:$Z$480,MATCH($K52,Feiertagsregeln!$A$7:$A$480,0))</f>
        <v>§ 6 Abs. 1 Bst. c</v>
      </c>
      <c r="N52" s="11" t="s">
        <v>71</v>
      </c>
      <c r="O52" s="11" t="str">
        <f>INDEX(Feiertagsregeln!$AA$7:$AA$480,MATCH($K52,Feiertagsregeln!$A$7:$A$480,0))</f>
        <v>Ganztägig</v>
      </c>
    </row>
    <row r="53" spans="1:15" ht="38" customHeight="1">
      <c r="A53" s="14">
        <f>INDEX(Feiertagsregeln!$X$7:$X$480,MATCH($K53,Feiertagsregeln!$A$7:$A$480,0))</f>
        <v>46753</v>
      </c>
      <c r="B53" s="10" t="str">
        <f t="shared" si="0"/>
        <v>Samstag</v>
      </c>
      <c r="C53" s="10" t="s">
        <v>67</v>
      </c>
      <c r="D53" s="10" t="s">
        <v>108</v>
      </c>
      <c r="E53" s="10" t="str">
        <f>INDEX(Feiertagsregeln!$D$7:$D$480,MATCH($K53,Feiertagsregeln!$A$7:$A$480,0))</f>
        <v>Neujahr</v>
      </c>
      <c r="F53" s="10" t="str">
        <f>INDEX(Feiertagsregeln!$E$7:$E$480,MATCH($K53,Feiertagsregeln!$A$7:$A$480,0))</f>
        <v>Nouvel An</v>
      </c>
      <c r="G53" s="21" t="str">
        <f>IF(INDEX(Feiertagsregeln!$F$7:$F$480,MATCH($K53,Feiertagsregeln!$A$7:$A$480,0))="","Noch zu erfassen",INDEX(Feiertagsregeln!$F$7:$F$480,MATCH($K53,Feiertagsregeln!$A$7:$A$480,0)))</f>
        <v>Noch zu erfassen</v>
      </c>
      <c r="H53" s="21" t="str">
        <f>IF(INDEX(Feiertagsregeln!$G$7:$G$480,MATCH($K53,Feiertagsregeln!$A$7:$A$480,0))="","Noch zu erfassen",INDEX(Feiertagsregeln!$G$7:$G$480,MATCH($K53,Feiertagsregeln!$A$7:$A$480,0)))</f>
        <v>Noch zu erfassen</v>
      </c>
      <c r="I53" s="10" t="str">
        <f>INDEX(Feiertagsregeln!$H$7:$H$480,MATCH($K53,Feiertagsregeln!$A$7:$A$480,0))</f>
        <v>labourLawHoliday</v>
      </c>
      <c r="J53" s="10" t="s">
        <v>69</v>
      </c>
      <c r="K53" s="10" t="s">
        <v>109</v>
      </c>
      <c r="L53" s="10" t="str">
        <f>INDEX(Feiertagsregeln!$Y$7:$Y$480,MATCH($K53,Feiertagsregeln!$A$7:$A$480,0))</f>
        <v>SRC-AG-EGARR-20250901</v>
      </c>
      <c r="M53" s="10" t="str">
        <f>INDEX(Feiertagsregeln!$Z$7:$Z$480,MATCH($K53,Feiertagsregeln!$A$7:$A$480,0))</f>
        <v>§ 6 Abs. 1 Bst. d</v>
      </c>
      <c r="N53" s="10" t="s">
        <v>71</v>
      </c>
      <c r="O53" s="10" t="str">
        <f>INDEX(Feiertagsregeln!$AA$7:$AA$480,MATCH($K53,Feiertagsregeln!$A$7:$A$480,0))</f>
        <v>Ganztägig</v>
      </c>
    </row>
    <row r="54" spans="1:15" ht="38" customHeight="1">
      <c r="A54" s="15">
        <f>INDEX(Feiertagsregeln!$X$7:$X$480,MATCH($K54,Feiertagsregeln!$A$7:$A$480,0))</f>
        <v>46857</v>
      </c>
      <c r="B54" s="11" t="str">
        <f t="shared" si="0"/>
        <v>Freitag</v>
      </c>
      <c r="C54" s="11" t="s">
        <v>67</v>
      </c>
      <c r="D54" s="11" t="s">
        <v>108</v>
      </c>
      <c r="E54" s="11" t="str">
        <f>INDEX(Feiertagsregeln!$D$7:$D$480,MATCH($K54,Feiertagsregeln!$A$7:$A$480,0))</f>
        <v>Karfreitag</v>
      </c>
      <c r="F54" s="11" t="str">
        <f>INDEX(Feiertagsregeln!$E$7:$E$480,MATCH($K54,Feiertagsregeln!$A$7:$A$480,0))</f>
        <v>Vendredi saint</v>
      </c>
      <c r="G54" s="22" t="str">
        <f>IF(INDEX(Feiertagsregeln!$F$7:$F$480,MATCH($K54,Feiertagsregeln!$A$7:$A$480,0))="","Noch zu erfassen",INDEX(Feiertagsregeln!$F$7:$F$480,MATCH($K54,Feiertagsregeln!$A$7:$A$480,0)))</f>
        <v>Noch zu erfassen</v>
      </c>
      <c r="H54" s="22" t="str">
        <f>IF(INDEX(Feiertagsregeln!$G$7:$G$480,MATCH($K54,Feiertagsregeln!$A$7:$A$480,0))="","Noch zu erfassen",INDEX(Feiertagsregeln!$G$7:$G$480,MATCH($K54,Feiertagsregeln!$A$7:$A$480,0)))</f>
        <v>Noch zu erfassen</v>
      </c>
      <c r="I54" s="11" t="str">
        <f>INDEX(Feiertagsregeln!$H$7:$H$480,MATCH($K54,Feiertagsregeln!$A$7:$A$480,0))</f>
        <v>labourLawHoliday</v>
      </c>
      <c r="J54" s="11" t="s">
        <v>69</v>
      </c>
      <c r="K54" s="11" t="s">
        <v>110</v>
      </c>
      <c r="L54" s="11" t="str">
        <f>INDEX(Feiertagsregeln!$Y$7:$Y$480,MATCH($K54,Feiertagsregeln!$A$7:$A$480,0))</f>
        <v>SRC-AG-EGARR-20250901</v>
      </c>
      <c r="M54" s="11" t="str">
        <f>INDEX(Feiertagsregeln!$Z$7:$Z$480,MATCH($K54,Feiertagsregeln!$A$7:$A$480,0))</f>
        <v>§ 6 Abs. 1 Bst. d</v>
      </c>
      <c r="N54" s="11" t="s">
        <v>71</v>
      </c>
      <c r="O54" s="11" t="str">
        <f>INDEX(Feiertagsregeln!$AA$7:$AA$480,MATCH($K54,Feiertagsregeln!$A$7:$A$480,0))</f>
        <v>Ganztägig</v>
      </c>
    </row>
    <row r="55" spans="1:15" ht="38" customHeight="1">
      <c r="A55" s="14">
        <f>INDEX(Feiertagsregeln!$X$7:$X$480,MATCH($K55,Feiertagsregeln!$A$7:$A$480,0))</f>
        <v>46898</v>
      </c>
      <c r="B55" s="10" t="str">
        <f t="shared" si="0"/>
        <v>Donnerstag</v>
      </c>
      <c r="C55" s="10" t="s">
        <v>67</v>
      </c>
      <c r="D55" s="10" t="s">
        <v>108</v>
      </c>
      <c r="E55" s="10" t="str">
        <f>INDEX(Feiertagsregeln!$D$7:$D$480,MATCH($K55,Feiertagsregeln!$A$7:$A$480,0))</f>
        <v>Auffahrt</v>
      </c>
      <c r="F55" s="10" t="str">
        <f>INDEX(Feiertagsregeln!$E$7:$E$480,MATCH($K55,Feiertagsregeln!$A$7:$A$480,0))</f>
        <v>Ascension</v>
      </c>
      <c r="G55" s="21" t="str">
        <f>IF(INDEX(Feiertagsregeln!$F$7:$F$480,MATCH($K55,Feiertagsregeln!$A$7:$A$480,0))="","Noch zu erfassen",INDEX(Feiertagsregeln!$F$7:$F$480,MATCH($K55,Feiertagsregeln!$A$7:$A$480,0)))</f>
        <v>Noch zu erfassen</v>
      </c>
      <c r="H55" s="21" t="str">
        <f>IF(INDEX(Feiertagsregeln!$G$7:$G$480,MATCH($K55,Feiertagsregeln!$A$7:$A$480,0))="","Noch zu erfassen",INDEX(Feiertagsregeln!$G$7:$G$480,MATCH($K55,Feiertagsregeln!$A$7:$A$480,0)))</f>
        <v>Noch zu erfassen</v>
      </c>
      <c r="I55" s="10" t="str">
        <f>INDEX(Feiertagsregeln!$H$7:$H$480,MATCH($K55,Feiertagsregeln!$A$7:$A$480,0))</f>
        <v>labourLawHoliday</v>
      </c>
      <c r="J55" s="10" t="s">
        <v>69</v>
      </c>
      <c r="K55" s="10" t="s">
        <v>111</v>
      </c>
      <c r="L55" s="10" t="str">
        <f>INDEX(Feiertagsregeln!$Y$7:$Y$480,MATCH($K55,Feiertagsregeln!$A$7:$A$480,0))</f>
        <v>SRC-AG-EGARR-20250901</v>
      </c>
      <c r="M55" s="10" t="str">
        <f>INDEX(Feiertagsregeln!$Z$7:$Z$480,MATCH($K55,Feiertagsregeln!$A$7:$A$480,0))</f>
        <v>§ 6 Abs. 1 Bst. d</v>
      </c>
      <c r="N55" s="10" t="s">
        <v>71</v>
      </c>
      <c r="O55" s="10" t="str">
        <f>INDEX(Feiertagsregeln!$AA$7:$AA$480,MATCH($K55,Feiertagsregeln!$A$7:$A$480,0))</f>
        <v>Ganztägig</v>
      </c>
    </row>
    <row r="56" spans="1:15" ht="38" customHeight="1">
      <c r="A56" s="15">
        <f>INDEX(Feiertagsregeln!$X$7:$X$480,MATCH($K56,Feiertagsregeln!$A$7:$A$480,0))</f>
        <v>46919</v>
      </c>
      <c r="B56" s="11" t="str">
        <f t="shared" si="0"/>
        <v>Donnerstag</v>
      </c>
      <c r="C56" s="11" t="s">
        <v>67</v>
      </c>
      <c r="D56" s="11" t="s">
        <v>108</v>
      </c>
      <c r="E56" s="11" t="str">
        <f>INDEX(Feiertagsregeln!$D$7:$D$480,MATCH($K56,Feiertagsregeln!$A$7:$A$480,0))</f>
        <v>Fronleichnam</v>
      </c>
      <c r="F56" s="11" t="str">
        <f>INDEX(Feiertagsregeln!$E$7:$E$480,MATCH($K56,Feiertagsregeln!$A$7:$A$480,0))</f>
        <v>Fête-Dieu</v>
      </c>
      <c r="G56" s="22" t="str">
        <f>IF(INDEX(Feiertagsregeln!$F$7:$F$480,MATCH($K56,Feiertagsregeln!$A$7:$A$480,0))="","Noch zu erfassen",INDEX(Feiertagsregeln!$F$7:$F$480,MATCH($K56,Feiertagsregeln!$A$7:$A$480,0)))</f>
        <v>Noch zu erfassen</v>
      </c>
      <c r="H56" s="22" t="str">
        <f>IF(INDEX(Feiertagsregeln!$G$7:$G$480,MATCH($K56,Feiertagsregeln!$A$7:$A$480,0))="","Noch zu erfassen",INDEX(Feiertagsregeln!$G$7:$G$480,MATCH($K56,Feiertagsregeln!$A$7:$A$480,0)))</f>
        <v>Noch zu erfassen</v>
      </c>
      <c r="I56" s="11" t="str">
        <f>INDEX(Feiertagsregeln!$H$7:$H$480,MATCH($K56,Feiertagsregeln!$A$7:$A$480,0))</f>
        <v>labourLawHoliday</v>
      </c>
      <c r="J56" s="11" t="s">
        <v>69</v>
      </c>
      <c r="K56" s="11" t="s">
        <v>112</v>
      </c>
      <c r="L56" s="11" t="str">
        <f>INDEX(Feiertagsregeln!$Y$7:$Y$480,MATCH($K56,Feiertagsregeln!$A$7:$A$480,0))</f>
        <v>SRC-AG-EGARR-20250901</v>
      </c>
      <c r="M56" s="11" t="str">
        <f>INDEX(Feiertagsregeln!$Z$7:$Z$480,MATCH($K56,Feiertagsregeln!$A$7:$A$480,0))</f>
        <v>§ 6 Abs. 1 Bst. d</v>
      </c>
      <c r="N56" s="11" t="s">
        <v>71</v>
      </c>
      <c r="O56" s="11" t="str">
        <f>INDEX(Feiertagsregeln!$AA$7:$AA$480,MATCH($K56,Feiertagsregeln!$A$7:$A$480,0))</f>
        <v>Ganztägig</v>
      </c>
    </row>
    <row r="57" spans="1:15" ht="38" customHeight="1">
      <c r="A57" s="14">
        <f>INDEX(Feiertagsregeln!$X$7:$X$480,MATCH($K57,Feiertagsregeln!$A$7:$A$480,0))</f>
        <v>46980</v>
      </c>
      <c r="B57" s="10" t="str">
        <f t="shared" si="0"/>
        <v>Dienstag</v>
      </c>
      <c r="C57" s="10" t="s">
        <v>67</v>
      </c>
      <c r="D57" s="10" t="s">
        <v>108</v>
      </c>
      <c r="E57" s="10" t="str">
        <f>INDEX(Feiertagsregeln!$D$7:$D$480,MATCH($K57,Feiertagsregeln!$A$7:$A$480,0))</f>
        <v>Mariä Himmelfahrt</v>
      </c>
      <c r="F57" s="10" t="str">
        <f>INDEX(Feiertagsregeln!$E$7:$E$480,MATCH($K57,Feiertagsregeln!$A$7:$A$480,0))</f>
        <v>Assomption</v>
      </c>
      <c r="G57" s="21" t="str">
        <f>IF(INDEX(Feiertagsregeln!$F$7:$F$480,MATCH($K57,Feiertagsregeln!$A$7:$A$480,0))="","Noch zu erfassen",INDEX(Feiertagsregeln!$F$7:$F$480,MATCH($K57,Feiertagsregeln!$A$7:$A$480,0)))</f>
        <v>Noch zu erfassen</v>
      </c>
      <c r="H57" s="21" t="str">
        <f>IF(INDEX(Feiertagsregeln!$G$7:$G$480,MATCH($K57,Feiertagsregeln!$A$7:$A$480,0))="","Noch zu erfassen",INDEX(Feiertagsregeln!$G$7:$G$480,MATCH($K57,Feiertagsregeln!$A$7:$A$480,0)))</f>
        <v>Noch zu erfassen</v>
      </c>
      <c r="I57" s="10" t="str">
        <f>INDEX(Feiertagsregeln!$H$7:$H$480,MATCH($K57,Feiertagsregeln!$A$7:$A$480,0))</f>
        <v>labourLawHoliday</v>
      </c>
      <c r="J57" s="10" t="s">
        <v>69</v>
      </c>
      <c r="K57" s="10" t="s">
        <v>113</v>
      </c>
      <c r="L57" s="10" t="str">
        <f>INDEX(Feiertagsregeln!$Y$7:$Y$480,MATCH($K57,Feiertagsregeln!$A$7:$A$480,0))</f>
        <v>SRC-AG-EGARR-20250901</v>
      </c>
      <c r="M57" s="10" t="str">
        <f>INDEX(Feiertagsregeln!$Z$7:$Z$480,MATCH($K57,Feiertagsregeln!$A$7:$A$480,0))</f>
        <v>§ 6 Abs. 1 Bst. d</v>
      </c>
      <c r="N57" s="10" t="s">
        <v>71</v>
      </c>
      <c r="O57" s="10" t="str">
        <f>INDEX(Feiertagsregeln!$AA$7:$AA$480,MATCH($K57,Feiertagsregeln!$A$7:$A$480,0))</f>
        <v>Ganztägig</v>
      </c>
    </row>
    <row r="58" spans="1:15" ht="38" customHeight="1">
      <c r="A58" s="15">
        <f>INDEX(Feiertagsregeln!$X$7:$X$480,MATCH($K58,Feiertagsregeln!$A$7:$A$480,0))</f>
        <v>47058</v>
      </c>
      <c r="B58" s="11" t="str">
        <f t="shared" si="0"/>
        <v>Mittwoch</v>
      </c>
      <c r="C58" s="11" t="s">
        <v>67</v>
      </c>
      <c r="D58" s="11" t="s">
        <v>108</v>
      </c>
      <c r="E58" s="11" t="str">
        <f>INDEX(Feiertagsregeln!$D$7:$D$480,MATCH($K58,Feiertagsregeln!$A$7:$A$480,0))</f>
        <v>Allerheiligen</v>
      </c>
      <c r="F58" s="11" t="str">
        <f>INDEX(Feiertagsregeln!$E$7:$E$480,MATCH($K58,Feiertagsregeln!$A$7:$A$480,0))</f>
        <v>Toussaint</v>
      </c>
      <c r="G58" s="22" t="str">
        <f>IF(INDEX(Feiertagsregeln!$F$7:$F$480,MATCH($K58,Feiertagsregeln!$A$7:$A$480,0))="","Noch zu erfassen",INDEX(Feiertagsregeln!$F$7:$F$480,MATCH($K58,Feiertagsregeln!$A$7:$A$480,0)))</f>
        <v>Noch zu erfassen</v>
      </c>
      <c r="H58" s="22" t="str">
        <f>IF(INDEX(Feiertagsregeln!$G$7:$G$480,MATCH($K58,Feiertagsregeln!$A$7:$A$480,0))="","Noch zu erfassen",INDEX(Feiertagsregeln!$G$7:$G$480,MATCH($K58,Feiertagsregeln!$A$7:$A$480,0)))</f>
        <v>Noch zu erfassen</v>
      </c>
      <c r="I58" s="11" t="str">
        <f>INDEX(Feiertagsregeln!$H$7:$H$480,MATCH($K58,Feiertagsregeln!$A$7:$A$480,0))</f>
        <v>labourLawHoliday</v>
      </c>
      <c r="J58" s="11" t="s">
        <v>69</v>
      </c>
      <c r="K58" s="11" t="s">
        <v>114</v>
      </c>
      <c r="L58" s="11" t="str">
        <f>INDEX(Feiertagsregeln!$Y$7:$Y$480,MATCH($K58,Feiertagsregeln!$A$7:$A$480,0))</f>
        <v>SRC-AG-EGARR-20250901</v>
      </c>
      <c r="M58" s="11" t="str">
        <f>INDEX(Feiertagsregeln!$Z$7:$Z$480,MATCH($K58,Feiertagsregeln!$A$7:$A$480,0))</f>
        <v>§ 6 Abs. 1 Bst. d</v>
      </c>
      <c r="N58" s="11" t="s">
        <v>71</v>
      </c>
      <c r="O58" s="11" t="str">
        <f>INDEX(Feiertagsregeln!$AA$7:$AA$480,MATCH($K58,Feiertagsregeln!$A$7:$A$480,0))</f>
        <v>Ganztägig</v>
      </c>
    </row>
    <row r="59" spans="1:15" ht="38" customHeight="1">
      <c r="A59" s="14">
        <f>INDEX(Feiertagsregeln!$X$7:$X$480,MATCH($K59,Feiertagsregeln!$A$7:$A$480,0))</f>
        <v>47112</v>
      </c>
      <c r="B59" s="10" t="str">
        <f t="shared" si="0"/>
        <v>Montag</v>
      </c>
      <c r="C59" s="10" t="s">
        <v>67</v>
      </c>
      <c r="D59" s="10" t="s">
        <v>108</v>
      </c>
      <c r="E59" s="10" t="str">
        <f>INDEX(Feiertagsregeln!$D$7:$D$480,MATCH($K59,Feiertagsregeln!$A$7:$A$480,0))</f>
        <v>Weihnachten</v>
      </c>
      <c r="F59" s="10" t="str">
        <f>INDEX(Feiertagsregeln!$E$7:$E$480,MATCH($K59,Feiertagsregeln!$A$7:$A$480,0))</f>
        <v>Noël</v>
      </c>
      <c r="G59" s="21" t="str">
        <f>IF(INDEX(Feiertagsregeln!$F$7:$F$480,MATCH($K59,Feiertagsregeln!$A$7:$A$480,0))="","Noch zu erfassen",INDEX(Feiertagsregeln!$F$7:$F$480,MATCH($K59,Feiertagsregeln!$A$7:$A$480,0)))</f>
        <v>Noch zu erfassen</v>
      </c>
      <c r="H59" s="21" t="str">
        <f>IF(INDEX(Feiertagsregeln!$G$7:$G$480,MATCH($K59,Feiertagsregeln!$A$7:$A$480,0))="","Noch zu erfassen",INDEX(Feiertagsregeln!$G$7:$G$480,MATCH($K59,Feiertagsregeln!$A$7:$A$480,0)))</f>
        <v>Noch zu erfassen</v>
      </c>
      <c r="I59" s="10" t="str">
        <f>INDEX(Feiertagsregeln!$H$7:$H$480,MATCH($K59,Feiertagsregeln!$A$7:$A$480,0))</f>
        <v>labourLawHoliday</v>
      </c>
      <c r="J59" s="10" t="s">
        <v>69</v>
      </c>
      <c r="K59" s="10" t="s">
        <v>115</v>
      </c>
      <c r="L59" s="10" t="str">
        <f>INDEX(Feiertagsregeln!$Y$7:$Y$480,MATCH($K59,Feiertagsregeln!$A$7:$A$480,0))</f>
        <v>SRC-AG-EGARR-20250901</v>
      </c>
      <c r="M59" s="10" t="str">
        <f>INDEX(Feiertagsregeln!$Z$7:$Z$480,MATCH($K59,Feiertagsregeln!$A$7:$A$480,0))</f>
        <v>§ 6 Abs. 1 Bst. d</v>
      </c>
      <c r="N59" s="10" t="s">
        <v>71</v>
      </c>
      <c r="O59" s="10" t="str">
        <f>INDEX(Feiertagsregeln!$AA$7:$AA$480,MATCH($K59,Feiertagsregeln!$A$7:$A$480,0))</f>
        <v>Ganztägig</v>
      </c>
    </row>
    <row r="60" spans="1:15" ht="38" customHeight="1">
      <c r="A60" s="15">
        <f>INDEX(Feiertagsregeln!$X$7:$X$480,MATCH($K60,Feiertagsregeln!$A$7:$A$480,0))</f>
        <v>47095</v>
      </c>
      <c r="B60" s="11" t="str">
        <f t="shared" si="0"/>
        <v>Freitag</v>
      </c>
      <c r="C60" s="11" t="s">
        <v>67</v>
      </c>
      <c r="D60" s="11" t="s">
        <v>108</v>
      </c>
      <c r="E60" s="11" t="str">
        <f>INDEX(Feiertagsregeln!$D$7:$D$480,MATCH($K60,Feiertagsregeln!$A$7:$A$480,0))</f>
        <v>Mariä Empfängnis</v>
      </c>
      <c r="F60" s="11" t="str">
        <f>INDEX(Feiertagsregeln!$E$7:$E$480,MATCH($K60,Feiertagsregeln!$A$7:$A$480,0))</f>
        <v>Immaculée Conception</v>
      </c>
      <c r="G60" s="22" t="str">
        <f>IF(INDEX(Feiertagsregeln!$F$7:$F$480,MATCH($K60,Feiertagsregeln!$A$7:$A$480,0))="","Noch zu erfassen",INDEX(Feiertagsregeln!$F$7:$F$480,MATCH($K60,Feiertagsregeln!$A$7:$A$480,0)))</f>
        <v>Noch zu erfassen</v>
      </c>
      <c r="H60" s="22" t="str">
        <f>IF(INDEX(Feiertagsregeln!$G$7:$G$480,MATCH($K60,Feiertagsregeln!$A$7:$A$480,0))="","Noch zu erfassen",INDEX(Feiertagsregeln!$G$7:$G$480,MATCH($K60,Feiertagsregeln!$A$7:$A$480,0)))</f>
        <v>Noch zu erfassen</v>
      </c>
      <c r="I60" s="11" t="str">
        <f>INDEX(Feiertagsregeln!$H$7:$H$480,MATCH($K60,Feiertagsregeln!$A$7:$A$480,0))</f>
        <v>labourLawHoliday</v>
      </c>
      <c r="J60" s="11" t="s">
        <v>69</v>
      </c>
      <c r="K60" s="11" t="s">
        <v>116</v>
      </c>
      <c r="L60" s="11" t="str">
        <f>INDEX(Feiertagsregeln!$Y$7:$Y$480,MATCH($K60,Feiertagsregeln!$A$7:$A$480,0))</f>
        <v>SRC-AG-EGARR-20250901</v>
      </c>
      <c r="M60" s="11" t="str">
        <f>INDEX(Feiertagsregeln!$Z$7:$Z$480,MATCH($K60,Feiertagsregeln!$A$7:$A$480,0))</f>
        <v>§ 6 Abs. 1 Bst. d</v>
      </c>
      <c r="N60" s="11" t="s">
        <v>71</v>
      </c>
      <c r="O60" s="11" t="str">
        <f>INDEX(Feiertagsregeln!$AA$7:$AA$480,MATCH($K60,Feiertagsregeln!$A$7:$A$480,0))</f>
        <v>Ganztägig</v>
      </c>
    </row>
    <row r="61" spans="1:15" ht="38" customHeight="1">
      <c r="A61" s="14">
        <f>INDEX(Feiertagsregeln!$X$7:$X$480,MATCH($K61,Feiertagsregeln!$A$7:$A$480,0))</f>
        <v>46753</v>
      </c>
      <c r="B61" s="10" t="str">
        <f t="shared" si="0"/>
        <v>Samstag</v>
      </c>
      <c r="C61" s="10" t="s">
        <v>67</v>
      </c>
      <c r="D61" s="10" t="s">
        <v>117</v>
      </c>
      <c r="E61" s="10" t="str">
        <f>INDEX(Feiertagsregeln!$D$7:$D$480,MATCH($K61,Feiertagsregeln!$A$7:$A$480,0))</f>
        <v>Neujahr</v>
      </c>
      <c r="F61" s="10" t="str">
        <f>INDEX(Feiertagsregeln!$E$7:$E$480,MATCH($K61,Feiertagsregeln!$A$7:$A$480,0))</f>
        <v>Nouvel An</v>
      </c>
      <c r="G61" s="21" t="str">
        <f>IF(INDEX(Feiertagsregeln!$F$7:$F$480,MATCH($K61,Feiertagsregeln!$A$7:$A$480,0))="","Noch zu erfassen",INDEX(Feiertagsregeln!$F$7:$F$480,MATCH($K61,Feiertagsregeln!$A$7:$A$480,0)))</f>
        <v>Noch zu erfassen</v>
      </c>
      <c r="H61" s="21" t="str">
        <f>IF(INDEX(Feiertagsregeln!$G$7:$G$480,MATCH($K61,Feiertagsregeln!$A$7:$A$480,0))="","Noch zu erfassen",INDEX(Feiertagsregeln!$G$7:$G$480,MATCH($K61,Feiertagsregeln!$A$7:$A$480,0)))</f>
        <v>Noch zu erfassen</v>
      </c>
      <c r="I61" s="10" t="str">
        <f>INDEX(Feiertagsregeln!$H$7:$H$480,MATCH($K61,Feiertagsregeln!$A$7:$A$480,0))</f>
        <v>labourLawHoliday</v>
      </c>
      <c r="J61" s="10" t="s">
        <v>69</v>
      </c>
      <c r="K61" s="10" t="s">
        <v>118</v>
      </c>
      <c r="L61" s="10" t="str">
        <f>INDEX(Feiertagsregeln!$Y$7:$Y$480,MATCH($K61,Feiertagsregeln!$A$7:$A$480,0))</f>
        <v>SRC-AG-EGARR-20250901</v>
      </c>
      <c r="M61" s="10" t="str">
        <f>INDEX(Feiertagsregeln!$Z$7:$Z$480,MATCH($K61,Feiertagsregeln!$A$7:$A$480,0))</f>
        <v>§ 6 Abs. 1 Bst. e Ziff. 1</v>
      </c>
      <c r="N61" s="10" t="s">
        <v>71</v>
      </c>
      <c r="O61" s="10" t="str">
        <f>INDEX(Feiertagsregeln!$AA$7:$AA$480,MATCH($K61,Feiertagsregeln!$A$7:$A$480,0))</f>
        <v>Ganztägig</v>
      </c>
    </row>
    <row r="62" spans="1:15" ht="38" customHeight="1">
      <c r="A62" s="15">
        <f>INDEX(Feiertagsregeln!$X$7:$X$480,MATCH($K62,Feiertagsregeln!$A$7:$A$480,0))</f>
        <v>46857</v>
      </c>
      <c r="B62" s="11" t="str">
        <f t="shared" si="0"/>
        <v>Freitag</v>
      </c>
      <c r="C62" s="11" t="s">
        <v>67</v>
      </c>
      <c r="D62" s="11" t="s">
        <v>117</v>
      </c>
      <c r="E62" s="11" t="str">
        <f>INDEX(Feiertagsregeln!$D$7:$D$480,MATCH($K62,Feiertagsregeln!$A$7:$A$480,0))</f>
        <v>Karfreitag</v>
      </c>
      <c r="F62" s="11" t="str">
        <f>INDEX(Feiertagsregeln!$E$7:$E$480,MATCH($K62,Feiertagsregeln!$A$7:$A$480,0))</f>
        <v>Vendredi saint</v>
      </c>
      <c r="G62" s="22" t="str">
        <f>IF(INDEX(Feiertagsregeln!$F$7:$F$480,MATCH($K62,Feiertagsregeln!$A$7:$A$480,0))="","Noch zu erfassen",INDEX(Feiertagsregeln!$F$7:$F$480,MATCH($K62,Feiertagsregeln!$A$7:$A$480,0)))</f>
        <v>Noch zu erfassen</v>
      </c>
      <c r="H62" s="22" t="str">
        <f>IF(INDEX(Feiertagsregeln!$G$7:$G$480,MATCH($K62,Feiertagsregeln!$A$7:$A$480,0))="","Noch zu erfassen",INDEX(Feiertagsregeln!$G$7:$G$480,MATCH($K62,Feiertagsregeln!$A$7:$A$480,0)))</f>
        <v>Noch zu erfassen</v>
      </c>
      <c r="I62" s="11" t="str">
        <f>INDEX(Feiertagsregeln!$H$7:$H$480,MATCH($K62,Feiertagsregeln!$A$7:$A$480,0))</f>
        <v>labourLawHoliday</v>
      </c>
      <c r="J62" s="11" t="s">
        <v>69</v>
      </c>
      <c r="K62" s="11" t="s">
        <v>119</v>
      </c>
      <c r="L62" s="11" t="str">
        <f>INDEX(Feiertagsregeln!$Y$7:$Y$480,MATCH($K62,Feiertagsregeln!$A$7:$A$480,0))</f>
        <v>SRC-AG-EGARR-20250901</v>
      </c>
      <c r="M62" s="11" t="str">
        <f>INDEX(Feiertagsregeln!$Z$7:$Z$480,MATCH($K62,Feiertagsregeln!$A$7:$A$480,0))</f>
        <v>§ 6 Abs. 1 Bst. e Ziff. 1</v>
      </c>
      <c r="N62" s="11" t="s">
        <v>71</v>
      </c>
      <c r="O62" s="11" t="str">
        <f>INDEX(Feiertagsregeln!$AA$7:$AA$480,MATCH($K62,Feiertagsregeln!$A$7:$A$480,0))</f>
        <v>Ganztägig</v>
      </c>
    </row>
    <row r="63" spans="1:15" ht="38" customHeight="1">
      <c r="A63" s="14">
        <f>INDEX(Feiertagsregeln!$X$7:$X$480,MATCH($K63,Feiertagsregeln!$A$7:$A$480,0))</f>
        <v>46898</v>
      </c>
      <c r="B63" s="10" t="str">
        <f t="shared" si="0"/>
        <v>Donnerstag</v>
      </c>
      <c r="C63" s="10" t="s">
        <v>67</v>
      </c>
      <c r="D63" s="10" t="s">
        <v>117</v>
      </c>
      <c r="E63" s="10" t="str">
        <f>INDEX(Feiertagsregeln!$D$7:$D$480,MATCH($K63,Feiertagsregeln!$A$7:$A$480,0))</f>
        <v>Auffahrt</v>
      </c>
      <c r="F63" s="10" t="str">
        <f>INDEX(Feiertagsregeln!$E$7:$E$480,MATCH($K63,Feiertagsregeln!$A$7:$A$480,0))</f>
        <v>Ascension</v>
      </c>
      <c r="G63" s="21" t="str">
        <f>IF(INDEX(Feiertagsregeln!$F$7:$F$480,MATCH($K63,Feiertagsregeln!$A$7:$A$480,0))="","Noch zu erfassen",INDEX(Feiertagsregeln!$F$7:$F$480,MATCH($K63,Feiertagsregeln!$A$7:$A$480,0)))</f>
        <v>Noch zu erfassen</v>
      </c>
      <c r="H63" s="21" t="str">
        <f>IF(INDEX(Feiertagsregeln!$G$7:$G$480,MATCH($K63,Feiertagsregeln!$A$7:$A$480,0))="","Noch zu erfassen",INDEX(Feiertagsregeln!$G$7:$G$480,MATCH($K63,Feiertagsregeln!$A$7:$A$480,0)))</f>
        <v>Noch zu erfassen</v>
      </c>
      <c r="I63" s="10" t="str">
        <f>INDEX(Feiertagsregeln!$H$7:$H$480,MATCH($K63,Feiertagsregeln!$A$7:$A$480,0))</f>
        <v>labourLawHoliday</v>
      </c>
      <c r="J63" s="10" t="s">
        <v>69</v>
      </c>
      <c r="K63" s="10" t="s">
        <v>120</v>
      </c>
      <c r="L63" s="10" t="str">
        <f>INDEX(Feiertagsregeln!$Y$7:$Y$480,MATCH($K63,Feiertagsregeln!$A$7:$A$480,0))</f>
        <v>SRC-AG-EGARR-20250901</v>
      </c>
      <c r="M63" s="10" t="str">
        <f>INDEX(Feiertagsregeln!$Z$7:$Z$480,MATCH($K63,Feiertagsregeln!$A$7:$A$480,0))</f>
        <v>§ 6 Abs. 1 Bst. e Ziff. 1</v>
      </c>
      <c r="N63" s="10" t="s">
        <v>71</v>
      </c>
      <c r="O63" s="10" t="str">
        <f>INDEX(Feiertagsregeln!$AA$7:$AA$480,MATCH($K63,Feiertagsregeln!$A$7:$A$480,0))</f>
        <v>Ganztägig</v>
      </c>
    </row>
    <row r="64" spans="1:15" ht="38" customHeight="1">
      <c r="A64" s="15">
        <f>INDEX(Feiertagsregeln!$X$7:$X$480,MATCH($K64,Feiertagsregeln!$A$7:$A$480,0))</f>
        <v>46919</v>
      </c>
      <c r="B64" s="11" t="str">
        <f t="shared" si="0"/>
        <v>Donnerstag</v>
      </c>
      <c r="C64" s="11" t="s">
        <v>67</v>
      </c>
      <c r="D64" s="11" t="s">
        <v>117</v>
      </c>
      <c r="E64" s="11" t="str">
        <f>INDEX(Feiertagsregeln!$D$7:$D$480,MATCH($K64,Feiertagsregeln!$A$7:$A$480,0))</f>
        <v>Fronleichnam</v>
      </c>
      <c r="F64" s="11" t="str">
        <f>INDEX(Feiertagsregeln!$E$7:$E$480,MATCH($K64,Feiertagsregeln!$A$7:$A$480,0))</f>
        <v>Fête-Dieu</v>
      </c>
      <c r="G64" s="22" t="str">
        <f>IF(INDEX(Feiertagsregeln!$F$7:$F$480,MATCH($K64,Feiertagsregeln!$A$7:$A$480,0))="","Noch zu erfassen",INDEX(Feiertagsregeln!$F$7:$F$480,MATCH($K64,Feiertagsregeln!$A$7:$A$480,0)))</f>
        <v>Noch zu erfassen</v>
      </c>
      <c r="H64" s="22" t="str">
        <f>IF(INDEX(Feiertagsregeln!$G$7:$G$480,MATCH($K64,Feiertagsregeln!$A$7:$A$480,0))="","Noch zu erfassen",INDEX(Feiertagsregeln!$G$7:$G$480,MATCH($K64,Feiertagsregeln!$A$7:$A$480,0)))</f>
        <v>Noch zu erfassen</v>
      </c>
      <c r="I64" s="11" t="str">
        <f>INDEX(Feiertagsregeln!$H$7:$H$480,MATCH($K64,Feiertagsregeln!$A$7:$A$480,0))</f>
        <v>labourLawHoliday</v>
      </c>
      <c r="J64" s="11" t="s">
        <v>69</v>
      </c>
      <c r="K64" s="11" t="s">
        <v>121</v>
      </c>
      <c r="L64" s="11" t="str">
        <f>INDEX(Feiertagsregeln!$Y$7:$Y$480,MATCH($K64,Feiertagsregeln!$A$7:$A$480,0))</f>
        <v>SRC-AG-EGARR-20250901</v>
      </c>
      <c r="M64" s="11" t="str">
        <f>INDEX(Feiertagsregeln!$Z$7:$Z$480,MATCH($K64,Feiertagsregeln!$A$7:$A$480,0))</f>
        <v>§ 6 Abs. 1 Bst. e Ziff. 1</v>
      </c>
      <c r="N64" s="11" t="s">
        <v>71</v>
      </c>
      <c r="O64" s="11" t="str">
        <f>INDEX(Feiertagsregeln!$AA$7:$AA$480,MATCH($K64,Feiertagsregeln!$A$7:$A$480,0))</f>
        <v>Ganztägig</v>
      </c>
    </row>
    <row r="65" spans="1:15" ht="38" customHeight="1">
      <c r="A65" s="14">
        <f>INDEX(Feiertagsregeln!$X$7:$X$480,MATCH($K65,Feiertagsregeln!$A$7:$A$480,0))</f>
        <v>46980</v>
      </c>
      <c r="B65" s="10" t="str">
        <f t="shared" si="0"/>
        <v>Dienstag</v>
      </c>
      <c r="C65" s="10" t="s">
        <v>67</v>
      </c>
      <c r="D65" s="10" t="s">
        <v>117</v>
      </c>
      <c r="E65" s="10" t="str">
        <f>INDEX(Feiertagsregeln!$D$7:$D$480,MATCH($K65,Feiertagsregeln!$A$7:$A$480,0))</f>
        <v>Mariä Himmelfahrt</v>
      </c>
      <c r="F65" s="10" t="str">
        <f>INDEX(Feiertagsregeln!$E$7:$E$480,MATCH($K65,Feiertagsregeln!$A$7:$A$480,0))</f>
        <v>Assomption</v>
      </c>
      <c r="G65" s="21" t="str">
        <f>IF(INDEX(Feiertagsregeln!$F$7:$F$480,MATCH($K65,Feiertagsregeln!$A$7:$A$480,0))="","Noch zu erfassen",INDEX(Feiertagsregeln!$F$7:$F$480,MATCH($K65,Feiertagsregeln!$A$7:$A$480,0)))</f>
        <v>Noch zu erfassen</v>
      </c>
      <c r="H65" s="21" t="str">
        <f>IF(INDEX(Feiertagsregeln!$G$7:$G$480,MATCH($K65,Feiertagsregeln!$A$7:$A$480,0))="","Noch zu erfassen",INDEX(Feiertagsregeln!$G$7:$G$480,MATCH($K65,Feiertagsregeln!$A$7:$A$480,0)))</f>
        <v>Noch zu erfassen</v>
      </c>
      <c r="I65" s="10" t="str">
        <f>INDEX(Feiertagsregeln!$H$7:$H$480,MATCH($K65,Feiertagsregeln!$A$7:$A$480,0))</f>
        <v>labourLawHoliday</v>
      </c>
      <c r="J65" s="10" t="s">
        <v>69</v>
      </c>
      <c r="K65" s="10" t="s">
        <v>122</v>
      </c>
      <c r="L65" s="10" t="str">
        <f>INDEX(Feiertagsregeln!$Y$7:$Y$480,MATCH($K65,Feiertagsregeln!$A$7:$A$480,0))</f>
        <v>SRC-AG-EGARR-20250901</v>
      </c>
      <c r="M65" s="10" t="str">
        <f>INDEX(Feiertagsregeln!$Z$7:$Z$480,MATCH($K65,Feiertagsregeln!$A$7:$A$480,0))</f>
        <v>§ 6 Abs. 1 Bst. e Ziff. 1</v>
      </c>
      <c r="N65" s="10" t="s">
        <v>71</v>
      </c>
      <c r="O65" s="10" t="str">
        <f>INDEX(Feiertagsregeln!$AA$7:$AA$480,MATCH($K65,Feiertagsregeln!$A$7:$A$480,0))</f>
        <v>Ganztägig</v>
      </c>
    </row>
    <row r="66" spans="1:15" ht="38" customHeight="1">
      <c r="A66" s="15">
        <f>INDEX(Feiertagsregeln!$X$7:$X$480,MATCH($K66,Feiertagsregeln!$A$7:$A$480,0))</f>
        <v>47058</v>
      </c>
      <c r="B66" s="11" t="str">
        <f t="shared" si="0"/>
        <v>Mittwoch</v>
      </c>
      <c r="C66" s="11" t="s">
        <v>67</v>
      </c>
      <c r="D66" s="11" t="s">
        <v>117</v>
      </c>
      <c r="E66" s="11" t="str">
        <f>INDEX(Feiertagsregeln!$D$7:$D$480,MATCH($K66,Feiertagsregeln!$A$7:$A$480,0))</f>
        <v>Allerheiligen</v>
      </c>
      <c r="F66" s="11" t="str">
        <f>INDEX(Feiertagsregeln!$E$7:$E$480,MATCH($K66,Feiertagsregeln!$A$7:$A$480,0))</f>
        <v>Toussaint</v>
      </c>
      <c r="G66" s="22" t="str">
        <f>IF(INDEX(Feiertagsregeln!$F$7:$F$480,MATCH($K66,Feiertagsregeln!$A$7:$A$480,0))="","Noch zu erfassen",INDEX(Feiertagsregeln!$F$7:$F$480,MATCH($K66,Feiertagsregeln!$A$7:$A$480,0)))</f>
        <v>Noch zu erfassen</v>
      </c>
      <c r="H66" s="22" t="str">
        <f>IF(INDEX(Feiertagsregeln!$G$7:$G$480,MATCH($K66,Feiertagsregeln!$A$7:$A$480,0))="","Noch zu erfassen",INDEX(Feiertagsregeln!$G$7:$G$480,MATCH($K66,Feiertagsregeln!$A$7:$A$480,0)))</f>
        <v>Noch zu erfassen</v>
      </c>
      <c r="I66" s="11" t="str">
        <f>INDEX(Feiertagsregeln!$H$7:$H$480,MATCH($K66,Feiertagsregeln!$A$7:$A$480,0))</f>
        <v>labourLawHoliday</v>
      </c>
      <c r="J66" s="11" t="s">
        <v>69</v>
      </c>
      <c r="K66" s="11" t="s">
        <v>123</v>
      </c>
      <c r="L66" s="11" t="str">
        <f>INDEX(Feiertagsregeln!$Y$7:$Y$480,MATCH($K66,Feiertagsregeln!$A$7:$A$480,0))</f>
        <v>SRC-AG-EGARR-20250901</v>
      </c>
      <c r="M66" s="11" t="str">
        <f>INDEX(Feiertagsregeln!$Z$7:$Z$480,MATCH($K66,Feiertagsregeln!$A$7:$A$480,0))</f>
        <v>§ 6 Abs. 1 Bst. e Ziff. 1</v>
      </c>
      <c r="N66" s="11" t="s">
        <v>71</v>
      </c>
      <c r="O66" s="11" t="str">
        <f>INDEX(Feiertagsregeln!$AA$7:$AA$480,MATCH($K66,Feiertagsregeln!$A$7:$A$480,0))</f>
        <v>Ganztägig</v>
      </c>
    </row>
    <row r="67" spans="1:15" ht="38" customHeight="1">
      <c r="A67" s="14">
        <f>INDEX(Feiertagsregeln!$X$7:$X$480,MATCH($K67,Feiertagsregeln!$A$7:$A$480,0))</f>
        <v>47112</v>
      </c>
      <c r="B67" s="10" t="str">
        <f t="shared" si="0"/>
        <v>Montag</v>
      </c>
      <c r="C67" s="10" t="s">
        <v>67</v>
      </c>
      <c r="D67" s="10" t="s">
        <v>117</v>
      </c>
      <c r="E67" s="10" t="str">
        <f>INDEX(Feiertagsregeln!$D$7:$D$480,MATCH($K67,Feiertagsregeln!$A$7:$A$480,0))</f>
        <v>Weihnachten</v>
      </c>
      <c r="F67" s="10" t="str">
        <f>INDEX(Feiertagsregeln!$E$7:$E$480,MATCH($K67,Feiertagsregeln!$A$7:$A$480,0))</f>
        <v>Noël</v>
      </c>
      <c r="G67" s="21" t="str">
        <f>IF(INDEX(Feiertagsregeln!$F$7:$F$480,MATCH($K67,Feiertagsregeln!$A$7:$A$480,0))="","Noch zu erfassen",INDEX(Feiertagsregeln!$F$7:$F$480,MATCH($K67,Feiertagsregeln!$A$7:$A$480,0)))</f>
        <v>Noch zu erfassen</v>
      </c>
      <c r="H67" s="21" t="str">
        <f>IF(INDEX(Feiertagsregeln!$G$7:$G$480,MATCH($K67,Feiertagsregeln!$A$7:$A$480,0))="","Noch zu erfassen",INDEX(Feiertagsregeln!$G$7:$G$480,MATCH($K67,Feiertagsregeln!$A$7:$A$480,0)))</f>
        <v>Noch zu erfassen</v>
      </c>
      <c r="I67" s="10" t="str">
        <f>INDEX(Feiertagsregeln!$H$7:$H$480,MATCH($K67,Feiertagsregeln!$A$7:$A$480,0))</f>
        <v>labourLawHoliday</v>
      </c>
      <c r="J67" s="10" t="s">
        <v>69</v>
      </c>
      <c r="K67" s="10" t="s">
        <v>124</v>
      </c>
      <c r="L67" s="10" t="str">
        <f>INDEX(Feiertagsregeln!$Y$7:$Y$480,MATCH($K67,Feiertagsregeln!$A$7:$A$480,0))</f>
        <v>SRC-AG-EGARR-20250901</v>
      </c>
      <c r="M67" s="10" t="str">
        <f>INDEX(Feiertagsregeln!$Z$7:$Z$480,MATCH($K67,Feiertagsregeln!$A$7:$A$480,0))</f>
        <v>§ 6 Abs. 1 Bst. e Ziff. 1</v>
      </c>
      <c r="N67" s="10" t="s">
        <v>71</v>
      </c>
      <c r="O67" s="10" t="str">
        <f>INDEX(Feiertagsregeln!$AA$7:$AA$480,MATCH($K67,Feiertagsregeln!$A$7:$A$480,0))</f>
        <v>Ganztägig</v>
      </c>
    </row>
    <row r="68" spans="1:15" ht="38" customHeight="1">
      <c r="A68" s="15">
        <f>INDEX(Feiertagsregeln!$X$7:$X$480,MATCH($K68,Feiertagsregeln!$A$7:$A$480,0))</f>
        <v>47095</v>
      </c>
      <c r="B68" s="11" t="str">
        <f t="shared" si="0"/>
        <v>Freitag</v>
      </c>
      <c r="C68" s="11" t="s">
        <v>67</v>
      </c>
      <c r="D68" s="11" t="s">
        <v>117</v>
      </c>
      <c r="E68" s="11" t="str">
        <f>INDEX(Feiertagsregeln!$D$7:$D$480,MATCH($K68,Feiertagsregeln!$A$7:$A$480,0))</f>
        <v>Mariä Empfängnis</v>
      </c>
      <c r="F68" s="11" t="str">
        <f>INDEX(Feiertagsregeln!$E$7:$E$480,MATCH($K68,Feiertagsregeln!$A$7:$A$480,0))</f>
        <v>Immaculée Conception</v>
      </c>
      <c r="G68" s="22" t="str">
        <f>IF(INDEX(Feiertagsregeln!$F$7:$F$480,MATCH($K68,Feiertagsregeln!$A$7:$A$480,0))="","Noch zu erfassen",INDEX(Feiertagsregeln!$F$7:$F$480,MATCH($K68,Feiertagsregeln!$A$7:$A$480,0)))</f>
        <v>Noch zu erfassen</v>
      </c>
      <c r="H68" s="22" t="str">
        <f>IF(INDEX(Feiertagsregeln!$G$7:$G$480,MATCH($K68,Feiertagsregeln!$A$7:$A$480,0))="","Noch zu erfassen",INDEX(Feiertagsregeln!$G$7:$G$480,MATCH($K68,Feiertagsregeln!$A$7:$A$480,0)))</f>
        <v>Noch zu erfassen</v>
      </c>
      <c r="I68" s="11" t="str">
        <f>INDEX(Feiertagsregeln!$H$7:$H$480,MATCH($K68,Feiertagsregeln!$A$7:$A$480,0))</f>
        <v>labourLawHoliday</v>
      </c>
      <c r="J68" s="11" t="s">
        <v>69</v>
      </c>
      <c r="K68" s="11" t="s">
        <v>125</v>
      </c>
      <c r="L68" s="11" t="str">
        <f>INDEX(Feiertagsregeln!$Y$7:$Y$480,MATCH($K68,Feiertagsregeln!$A$7:$A$480,0))</f>
        <v>SRC-AG-EGARR-20250901</v>
      </c>
      <c r="M68" s="11" t="str">
        <f>INDEX(Feiertagsregeln!$Z$7:$Z$480,MATCH($K68,Feiertagsregeln!$A$7:$A$480,0))</f>
        <v>§ 6 Abs. 1 Bst. e Ziff. 1</v>
      </c>
      <c r="N68" s="11" t="s">
        <v>71</v>
      </c>
      <c r="O68" s="11" t="str">
        <f>INDEX(Feiertagsregeln!$AA$7:$AA$480,MATCH($K68,Feiertagsregeln!$A$7:$A$480,0))</f>
        <v>Ganztägig</v>
      </c>
    </row>
    <row r="69" spans="1:15" ht="38" customHeight="1">
      <c r="A69" s="14">
        <f>INDEX(Feiertagsregeln!$X$7:$X$480,MATCH($K69,Feiertagsregeln!$A$7:$A$480,0))</f>
        <v>46753</v>
      </c>
      <c r="B69" s="10" t="str">
        <f t="shared" si="0"/>
        <v>Samstag</v>
      </c>
      <c r="C69" s="10" t="s">
        <v>67</v>
      </c>
      <c r="D69" s="10" t="s">
        <v>126</v>
      </c>
      <c r="E69" s="10" t="str">
        <f>INDEX(Feiertagsregeln!$D$7:$D$480,MATCH($K69,Feiertagsregeln!$A$7:$A$480,0))</f>
        <v>Neujahr</v>
      </c>
      <c r="F69" s="10" t="str">
        <f>INDEX(Feiertagsregeln!$E$7:$E$480,MATCH($K69,Feiertagsregeln!$A$7:$A$480,0))</f>
        <v>Nouvel An</v>
      </c>
      <c r="G69" s="21" t="str">
        <f>IF(INDEX(Feiertagsregeln!$F$7:$F$480,MATCH($K69,Feiertagsregeln!$A$7:$A$480,0))="","Noch zu erfassen",INDEX(Feiertagsregeln!$F$7:$F$480,MATCH($K69,Feiertagsregeln!$A$7:$A$480,0)))</f>
        <v>Noch zu erfassen</v>
      </c>
      <c r="H69" s="21" t="str">
        <f>IF(INDEX(Feiertagsregeln!$G$7:$G$480,MATCH($K69,Feiertagsregeln!$A$7:$A$480,0))="","Noch zu erfassen",INDEX(Feiertagsregeln!$G$7:$G$480,MATCH($K69,Feiertagsregeln!$A$7:$A$480,0)))</f>
        <v>Noch zu erfassen</v>
      </c>
      <c r="I69" s="10" t="str">
        <f>INDEX(Feiertagsregeln!$H$7:$H$480,MATCH($K69,Feiertagsregeln!$A$7:$A$480,0))</f>
        <v>labourLawHoliday</v>
      </c>
      <c r="J69" s="10" t="s">
        <v>69</v>
      </c>
      <c r="K69" s="10" t="s">
        <v>127</v>
      </c>
      <c r="L69" s="10" t="str">
        <f>INDEX(Feiertagsregeln!$Y$7:$Y$480,MATCH($K69,Feiertagsregeln!$A$7:$A$480,0))</f>
        <v>SRC-AG-EGARR-20250901</v>
      </c>
      <c r="M69" s="10" t="str">
        <f>INDEX(Feiertagsregeln!$Z$7:$Z$480,MATCH($K69,Feiertagsregeln!$A$7:$A$480,0))</f>
        <v>§ 6 Abs. 1 Bst. e Ziff. 2</v>
      </c>
      <c r="N69" s="10" t="s">
        <v>71</v>
      </c>
      <c r="O69" s="10" t="str">
        <f>INDEX(Feiertagsregeln!$AA$7:$AA$480,MATCH($K69,Feiertagsregeln!$A$7:$A$480,0))</f>
        <v>Ganztägig</v>
      </c>
    </row>
    <row r="70" spans="1:15" ht="38" customHeight="1">
      <c r="A70" s="15">
        <f>INDEX(Feiertagsregeln!$X$7:$X$480,MATCH($K70,Feiertagsregeln!$A$7:$A$480,0))</f>
        <v>46857</v>
      </c>
      <c r="B70" s="11" t="str">
        <f t="shared" si="0"/>
        <v>Freitag</v>
      </c>
      <c r="C70" s="11" t="s">
        <v>67</v>
      </c>
      <c r="D70" s="11" t="s">
        <v>126</v>
      </c>
      <c r="E70" s="11" t="str">
        <f>INDEX(Feiertagsregeln!$D$7:$D$480,MATCH($K70,Feiertagsregeln!$A$7:$A$480,0))</f>
        <v>Karfreitag</v>
      </c>
      <c r="F70" s="11" t="str">
        <f>INDEX(Feiertagsregeln!$E$7:$E$480,MATCH($K70,Feiertagsregeln!$A$7:$A$480,0))</f>
        <v>Vendredi saint</v>
      </c>
      <c r="G70" s="22" t="str">
        <f>IF(INDEX(Feiertagsregeln!$F$7:$F$480,MATCH($K70,Feiertagsregeln!$A$7:$A$480,0))="","Noch zu erfassen",INDEX(Feiertagsregeln!$F$7:$F$480,MATCH($K70,Feiertagsregeln!$A$7:$A$480,0)))</f>
        <v>Noch zu erfassen</v>
      </c>
      <c r="H70" s="22" t="str">
        <f>IF(INDEX(Feiertagsregeln!$G$7:$G$480,MATCH($K70,Feiertagsregeln!$A$7:$A$480,0))="","Noch zu erfassen",INDEX(Feiertagsregeln!$G$7:$G$480,MATCH($K70,Feiertagsregeln!$A$7:$A$480,0)))</f>
        <v>Noch zu erfassen</v>
      </c>
      <c r="I70" s="11" t="str">
        <f>INDEX(Feiertagsregeln!$H$7:$H$480,MATCH($K70,Feiertagsregeln!$A$7:$A$480,0))</f>
        <v>labourLawHoliday</v>
      </c>
      <c r="J70" s="11" t="s">
        <v>69</v>
      </c>
      <c r="K70" s="11" t="s">
        <v>128</v>
      </c>
      <c r="L70" s="11" t="str">
        <f>INDEX(Feiertagsregeln!$Y$7:$Y$480,MATCH($K70,Feiertagsregeln!$A$7:$A$480,0))</f>
        <v>SRC-AG-EGARR-20250901</v>
      </c>
      <c r="M70" s="11" t="str">
        <f>INDEX(Feiertagsregeln!$Z$7:$Z$480,MATCH($K70,Feiertagsregeln!$A$7:$A$480,0))</f>
        <v>§ 6 Abs. 1 Bst. e Ziff. 2</v>
      </c>
      <c r="N70" s="11" t="s">
        <v>71</v>
      </c>
      <c r="O70" s="11" t="str">
        <f>INDEX(Feiertagsregeln!$AA$7:$AA$480,MATCH($K70,Feiertagsregeln!$A$7:$A$480,0))</f>
        <v>Ganztägig</v>
      </c>
    </row>
    <row r="71" spans="1:15" ht="38" customHeight="1">
      <c r="A71" s="14">
        <f>INDEX(Feiertagsregeln!$X$7:$X$480,MATCH($K71,Feiertagsregeln!$A$7:$A$480,0))</f>
        <v>46860</v>
      </c>
      <c r="B71" s="10" t="str">
        <f t="shared" ref="B71:B134" si="1">IF(ISNUMBER(A71),CHOOSE(WEEKDAY(A71,2),"Montag","Dienstag","Mittwoch","Donnerstag","Freitag","Samstag","Sonntag")&amp;IF(O71="Ab 12.00 Uhr",", ab 12.00 Uhr",""),"n.a.")</f>
        <v>Montag</v>
      </c>
      <c r="C71" s="10" t="s">
        <v>67</v>
      </c>
      <c r="D71" s="10" t="s">
        <v>126</v>
      </c>
      <c r="E71" s="10" t="str">
        <f>INDEX(Feiertagsregeln!$D$7:$D$480,MATCH($K71,Feiertagsregeln!$A$7:$A$480,0))</f>
        <v>Ostermontag</v>
      </c>
      <c r="F71" s="10" t="str">
        <f>INDEX(Feiertagsregeln!$E$7:$E$480,MATCH($K71,Feiertagsregeln!$A$7:$A$480,0))</f>
        <v>Lundi de Pâques</v>
      </c>
      <c r="G71" s="21" t="str">
        <f>IF(INDEX(Feiertagsregeln!$F$7:$F$480,MATCH($K71,Feiertagsregeln!$A$7:$A$480,0))="","Noch zu erfassen",INDEX(Feiertagsregeln!$F$7:$F$480,MATCH($K71,Feiertagsregeln!$A$7:$A$480,0)))</f>
        <v>Noch zu erfassen</v>
      </c>
      <c r="H71" s="21" t="str">
        <f>IF(INDEX(Feiertagsregeln!$G$7:$G$480,MATCH($K71,Feiertagsregeln!$A$7:$A$480,0))="","Noch zu erfassen",INDEX(Feiertagsregeln!$G$7:$G$480,MATCH($K71,Feiertagsregeln!$A$7:$A$480,0)))</f>
        <v>Noch zu erfassen</v>
      </c>
      <c r="I71" s="10" t="str">
        <f>INDEX(Feiertagsregeln!$H$7:$H$480,MATCH($K71,Feiertagsregeln!$A$7:$A$480,0))</f>
        <v>labourLawHoliday</v>
      </c>
      <c r="J71" s="10" t="s">
        <v>69</v>
      </c>
      <c r="K71" s="10" t="s">
        <v>129</v>
      </c>
      <c r="L71" s="10" t="str">
        <f>INDEX(Feiertagsregeln!$Y$7:$Y$480,MATCH($K71,Feiertagsregeln!$A$7:$A$480,0))</f>
        <v>SRC-AG-EGARR-20250901</v>
      </c>
      <c r="M71" s="10" t="str">
        <f>INDEX(Feiertagsregeln!$Z$7:$Z$480,MATCH($K71,Feiertagsregeln!$A$7:$A$480,0))</f>
        <v>§ 6 Abs. 1 Bst. e Ziff. 2</v>
      </c>
      <c r="N71" s="10" t="s">
        <v>71</v>
      </c>
      <c r="O71" s="10" t="str">
        <f>INDEX(Feiertagsregeln!$AA$7:$AA$480,MATCH($K71,Feiertagsregeln!$A$7:$A$480,0))</f>
        <v>Ganztägig</v>
      </c>
    </row>
    <row r="72" spans="1:15" ht="38" customHeight="1">
      <c r="A72" s="15">
        <f>INDEX(Feiertagsregeln!$X$7:$X$480,MATCH($K72,Feiertagsregeln!$A$7:$A$480,0))</f>
        <v>46898</v>
      </c>
      <c r="B72" s="11" t="str">
        <f t="shared" si="1"/>
        <v>Donnerstag</v>
      </c>
      <c r="C72" s="11" t="s">
        <v>67</v>
      </c>
      <c r="D72" s="11" t="s">
        <v>126</v>
      </c>
      <c r="E72" s="11" t="str">
        <f>INDEX(Feiertagsregeln!$D$7:$D$480,MATCH($K72,Feiertagsregeln!$A$7:$A$480,0))</f>
        <v>Auffahrt</v>
      </c>
      <c r="F72" s="11" t="str">
        <f>INDEX(Feiertagsregeln!$E$7:$E$480,MATCH($K72,Feiertagsregeln!$A$7:$A$480,0))</f>
        <v>Ascension</v>
      </c>
      <c r="G72" s="22" t="str">
        <f>IF(INDEX(Feiertagsregeln!$F$7:$F$480,MATCH($K72,Feiertagsregeln!$A$7:$A$480,0))="","Noch zu erfassen",INDEX(Feiertagsregeln!$F$7:$F$480,MATCH($K72,Feiertagsregeln!$A$7:$A$480,0)))</f>
        <v>Noch zu erfassen</v>
      </c>
      <c r="H72" s="22" t="str">
        <f>IF(INDEX(Feiertagsregeln!$G$7:$G$480,MATCH($K72,Feiertagsregeln!$A$7:$A$480,0))="","Noch zu erfassen",INDEX(Feiertagsregeln!$G$7:$G$480,MATCH($K72,Feiertagsregeln!$A$7:$A$480,0)))</f>
        <v>Noch zu erfassen</v>
      </c>
      <c r="I72" s="11" t="str">
        <f>INDEX(Feiertagsregeln!$H$7:$H$480,MATCH($K72,Feiertagsregeln!$A$7:$A$480,0))</f>
        <v>labourLawHoliday</v>
      </c>
      <c r="J72" s="11" t="s">
        <v>69</v>
      </c>
      <c r="K72" s="11" t="s">
        <v>130</v>
      </c>
      <c r="L72" s="11" t="str">
        <f>INDEX(Feiertagsregeln!$Y$7:$Y$480,MATCH($K72,Feiertagsregeln!$A$7:$A$480,0))</f>
        <v>SRC-AG-EGARR-20250901</v>
      </c>
      <c r="M72" s="11" t="str">
        <f>INDEX(Feiertagsregeln!$Z$7:$Z$480,MATCH($K72,Feiertagsregeln!$A$7:$A$480,0))</f>
        <v>§ 6 Abs. 1 Bst. e Ziff. 2</v>
      </c>
      <c r="N72" s="11" t="s">
        <v>71</v>
      </c>
      <c r="O72" s="11" t="str">
        <f>INDEX(Feiertagsregeln!$AA$7:$AA$480,MATCH($K72,Feiertagsregeln!$A$7:$A$480,0))</f>
        <v>Ganztägig</v>
      </c>
    </row>
    <row r="73" spans="1:15" ht="38" customHeight="1">
      <c r="A73" s="14">
        <f>INDEX(Feiertagsregeln!$X$7:$X$480,MATCH($K73,Feiertagsregeln!$A$7:$A$480,0))</f>
        <v>46909</v>
      </c>
      <c r="B73" s="10" t="str">
        <f t="shared" si="1"/>
        <v>Montag</v>
      </c>
      <c r="C73" s="10" t="s">
        <v>67</v>
      </c>
      <c r="D73" s="10" t="s">
        <v>126</v>
      </c>
      <c r="E73" s="10" t="str">
        <f>INDEX(Feiertagsregeln!$D$7:$D$480,MATCH($K73,Feiertagsregeln!$A$7:$A$480,0))</f>
        <v>Pfingstmontag</v>
      </c>
      <c r="F73" s="10" t="str">
        <f>INDEX(Feiertagsregeln!$E$7:$E$480,MATCH($K73,Feiertagsregeln!$A$7:$A$480,0))</f>
        <v>Lundi de Pentecôte</v>
      </c>
      <c r="G73" s="21" t="str">
        <f>IF(INDEX(Feiertagsregeln!$F$7:$F$480,MATCH($K73,Feiertagsregeln!$A$7:$A$480,0))="","Noch zu erfassen",INDEX(Feiertagsregeln!$F$7:$F$480,MATCH($K73,Feiertagsregeln!$A$7:$A$480,0)))</f>
        <v>Noch zu erfassen</v>
      </c>
      <c r="H73" s="21" t="str">
        <f>IF(INDEX(Feiertagsregeln!$G$7:$G$480,MATCH($K73,Feiertagsregeln!$A$7:$A$480,0))="","Noch zu erfassen",INDEX(Feiertagsregeln!$G$7:$G$480,MATCH($K73,Feiertagsregeln!$A$7:$A$480,0)))</f>
        <v>Noch zu erfassen</v>
      </c>
      <c r="I73" s="10" t="str">
        <f>INDEX(Feiertagsregeln!$H$7:$H$480,MATCH($K73,Feiertagsregeln!$A$7:$A$480,0))</f>
        <v>labourLawHoliday</v>
      </c>
      <c r="J73" s="10" t="s">
        <v>69</v>
      </c>
      <c r="K73" s="10" t="s">
        <v>131</v>
      </c>
      <c r="L73" s="10" t="str">
        <f>INDEX(Feiertagsregeln!$Y$7:$Y$480,MATCH($K73,Feiertagsregeln!$A$7:$A$480,0))</f>
        <v>SRC-AG-EGARR-20250901</v>
      </c>
      <c r="M73" s="10" t="str">
        <f>INDEX(Feiertagsregeln!$Z$7:$Z$480,MATCH($K73,Feiertagsregeln!$A$7:$A$480,0))</f>
        <v>§ 6 Abs. 1 Bst. e Ziff. 2</v>
      </c>
      <c r="N73" s="10" t="s">
        <v>71</v>
      </c>
      <c r="O73" s="10" t="str">
        <f>INDEX(Feiertagsregeln!$AA$7:$AA$480,MATCH($K73,Feiertagsregeln!$A$7:$A$480,0))</f>
        <v>Ganztägig</v>
      </c>
    </row>
    <row r="74" spans="1:15" ht="38" customHeight="1">
      <c r="A74" s="15">
        <f>INDEX(Feiertagsregeln!$X$7:$X$480,MATCH($K74,Feiertagsregeln!$A$7:$A$480,0))</f>
        <v>47112</v>
      </c>
      <c r="B74" s="11" t="str">
        <f t="shared" si="1"/>
        <v>Montag</v>
      </c>
      <c r="C74" s="11" t="s">
        <v>67</v>
      </c>
      <c r="D74" s="11" t="s">
        <v>126</v>
      </c>
      <c r="E74" s="11" t="str">
        <f>INDEX(Feiertagsregeln!$D$7:$D$480,MATCH($K74,Feiertagsregeln!$A$7:$A$480,0))</f>
        <v>Weihnachten</v>
      </c>
      <c r="F74" s="11" t="str">
        <f>INDEX(Feiertagsregeln!$E$7:$E$480,MATCH($K74,Feiertagsregeln!$A$7:$A$480,0))</f>
        <v>Noël</v>
      </c>
      <c r="G74" s="22" t="str">
        <f>IF(INDEX(Feiertagsregeln!$F$7:$F$480,MATCH($K74,Feiertagsregeln!$A$7:$A$480,0))="","Noch zu erfassen",INDEX(Feiertagsregeln!$F$7:$F$480,MATCH($K74,Feiertagsregeln!$A$7:$A$480,0)))</f>
        <v>Noch zu erfassen</v>
      </c>
      <c r="H74" s="22" t="str">
        <f>IF(INDEX(Feiertagsregeln!$G$7:$G$480,MATCH($K74,Feiertagsregeln!$A$7:$A$480,0))="","Noch zu erfassen",INDEX(Feiertagsregeln!$G$7:$G$480,MATCH($K74,Feiertagsregeln!$A$7:$A$480,0)))</f>
        <v>Noch zu erfassen</v>
      </c>
      <c r="I74" s="11" t="str">
        <f>INDEX(Feiertagsregeln!$H$7:$H$480,MATCH($K74,Feiertagsregeln!$A$7:$A$480,0))</f>
        <v>labourLawHoliday</v>
      </c>
      <c r="J74" s="11" t="s">
        <v>69</v>
      </c>
      <c r="K74" s="11" t="s">
        <v>132</v>
      </c>
      <c r="L74" s="11" t="str">
        <f>INDEX(Feiertagsregeln!$Y$7:$Y$480,MATCH($K74,Feiertagsregeln!$A$7:$A$480,0))</f>
        <v>SRC-AG-EGARR-20250901</v>
      </c>
      <c r="M74" s="11" t="str">
        <f>INDEX(Feiertagsregeln!$Z$7:$Z$480,MATCH($K74,Feiertagsregeln!$A$7:$A$480,0))</f>
        <v>§ 6 Abs. 1 Bst. e Ziff. 2</v>
      </c>
      <c r="N74" s="11" t="s">
        <v>71</v>
      </c>
      <c r="O74" s="11" t="str">
        <f>INDEX(Feiertagsregeln!$AA$7:$AA$480,MATCH($K74,Feiertagsregeln!$A$7:$A$480,0))</f>
        <v>Ganztägig</v>
      </c>
    </row>
    <row r="75" spans="1:15" ht="38" customHeight="1">
      <c r="A75" s="14">
        <f>INDEX(Feiertagsregeln!$X$7:$X$480,MATCH($K75,Feiertagsregeln!$A$7:$A$480,0))</f>
        <v>47113</v>
      </c>
      <c r="B75" s="10" t="str">
        <f t="shared" si="1"/>
        <v>Dienstag</v>
      </c>
      <c r="C75" s="10" t="s">
        <v>67</v>
      </c>
      <c r="D75" s="10" t="s">
        <v>126</v>
      </c>
      <c r="E75" s="10" t="str">
        <f>INDEX(Feiertagsregeln!$D$7:$D$480,MATCH($K75,Feiertagsregeln!$A$7:$A$480,0))</f>
        <v>Stephanstag</v>
      </c>
      <c r="F75" s="10" t="str">
        <f>INDEX(Feiertagsregeln!$E$7:$E$480,MATCH($K75,Feiertagsregeln!$A$7:$A$480,0))</f>
        <v>Saint-Étienne</v>
      </c>
      <c r="G75" s="21" t="str">
        <f>IF(INDEX(Feiertagsregeln!$F$7:$F$480,MATCH($K75,Feiertagsregeln!$A$7:$A$480,0))="","Noch zu erfassen",INDEX(Feiertagsregeln!$F$7:$F$480,MATCH($K75,Feiertagsregeln!$A$7:$A$480,0)))</f>
        <v>Noch zu erfassen</v>
      </c>
      <c r="H75" s="21" t="str">
        <f>IF(INDEX(Feiertagsregeln!$G$7:$G$480,MATCH($K75,Feiertagsregeln!$A$7:$A$480,0))="","Noch zu erfassen",INDEX(Feiertagsregeln!$G$7:$G$480,MATCH($K75,Feiertagsregeln!$A$7:$A$480,0)))</f>
        <v>Noch zu erfassen</v>
      </c>
      <c r="I75" s="10" t="str">
        <f>INDEX(Feiertagsregeln!$H$7:$H$480,MATCH($K75,Feiertagsregeln!$A$7:$A$480,0))</f>
        <v>labourLawHoliday</v>
      </c>
      <c r="J75" s="10" t="s">
        <v>69</v>
      </c>
      <c r="K75" s="10" t="s">
        <v>133</v>
      </c>
      <c r="L75" s="10" t="str">
        <f>INDEX(Feiertagsregeln!$Y$7:$Y$480,MATCH($K75,Feiertagsregeln!$A$7:$A$480,0))</f>
        <v>SRC-AG-EGARR-20250901</v>
      </c>
      <c r="M75" s="10" t="str">
        <f>INDEX(Feiertagsregeln!$Z$7:$Z$480,MATCH($K75,Feiertagsregeln!$A$7:$A$480,0))</f>
        <v>§ 6 Abs. 1 Bst. e Ziff. 2</v>
      </c>
      <c r="N75" s="10" t="s">
        <v>71</v>
      </c>
      <c r="O75" s="10" t="str">
        <f>INDEX(Feiertagsregeln!$AA$7:$AA$480,MATCH($K75,Feiertagsregeln!$A$7:$A$480,0))</f>
        <v>Ganztägig</v>
      </c>
    </row>
    <row r="76" spans="1:15" ht="38" customHeight="1">
      <c r="A76" s="15">
        <f>INDEX(Feiertagsregeln!$X$7:$X$480,MATCH($K76,Feiertagsregeln!$A$7:$A$480,0))</f>
        <v>47058</v>
      </c>
      <c r="B76" s="11" t="str">
        <f t="shared" si="1"/>
        <v>Mittwoch</v>
      </c>
      <c r="C76" s="11" t="s">
        <v>67</v>
      </c>
      <c r="D76" s="11" t="s">
        <v>126</v>
      </c>
      <c r="E76" s="11" t="str">
        <f>INDEX(Feiertagsregeln!$D$7:$D$480,MATCH($K76,Feiertagsregeln!$A$7:$A$480,0))</f>
        <v>Allerheiligen</v>
      </c>
      <c r="F76" s="11" t="str">
        <f>INDEX(Feiertagsregeln!$E$7:$E$480,MATCH($K76,Feiertagsregeln!$A$7:$A$480,0))</f>
        <v>Toussaint</v>
      </c>
      <c r="G76" s="22" t="str">
        <f>IF(INDEX(Feiertagsregeln!$F$7:$F$480,MATCH($K76,Feiertagsregeln!$A$7:$A$480,0))="","Noch zu erfassen",INDEX(Feiertagsregeln!$F$7:$F$480,MATCH($K76,Feiertagsregeln!$A$7:$A$480,0)))</f>
        <v>Noch zu erfassen</v>
      </c>
      <c r="H76" s="22" t="str">
        <f>IF(INDEX(Feiertagsregeln!$G$7:$G$480,MATCH($K76,Feiertagsregeln!$A$7:$A$480,0))="","Noch zu erfassen",INDEX(Feiertagsregeln!$G$7:$G$480,MATCH($K76,Feiertagsregeln!$A$7:$A$480,0)))</f>
        <v>Noch zu erfassen</v>
      </c>
      <c r="I76" s="11" t="str">
        <f>INDEX(Feiertagsregeln!$H$7:$H$480,MATCH($K76,Feiertagsregeln!$A$7:$A$480,0))</f>
        <v>labourLawHoliday</v>
      </c>
      <c r="J76" s="11" t="s">
        <v>69</v>
      </c>
      <c r="K76" s="11" t="s">
        <v>134</v>
      </c>
      <c r="L76" s="11" t="str">
        <f>INDEX(Feiertagsregeln!$Y$7:$Y$480,MATCH($K76,Feiertagsregeln!$A$7:$A$480,0))</f>
        <v>SRC-AG-EGARR-20250901</v>
      </c>
      <c r="M76" s="11" t="str">
        <f>INDEX(Feiertagsregeln!$Z$7:$Z$480,MATCH($K76,Feiertagsregeln!$A$7:$A$480,0))</f>
        <v>§ 6 Abs. 1 Bst. e Ziff. 2</v>
      </c>
      <c r="N76" s="11" t="s">
        <v>71</v>
      </c>
      <c r="O76" s="11" t="str">
        <f>INDEX(Feiertagsregeln!$AA$7:$AA$480,MATCH($K76,Feiertagsregeln!$A$7:$A$480,0))</f>
        <v>Ganztägig</v>
      </c>
    </row>
    <row r="77" spans="1:15" ht="38" customHeight="1">
      <c r="A77" s="14">
        <f>INDEX(Feiertagsregeln!$X$7:$X$480,MATCH($K77,Feiertagsregeln!$A$7:$A$480,0))</f>
        <v>46753</v>
      </c>
      <c r="B77" s="10" t="str">
        <f t="shared" si="1"/>
        <v>Samstag</v>
      </c>
      <c r="C77" s="10" t="s">
        <v>67</v>
      </c>
      <c r="D77" s="10" t="s">
        <v>135</v>
      </c>
      <c r="E77" s="10" t="str">
        <f>INDEX(Feiertagsregeln!$D$7:$D$480,MATCH($K77,Feiertagsregeln!$A$7:$A$480,0))</f>
        <v>Neujahr</v>
      </c>
      <c r="F77" s="10" t="str">
        <f>INDEX(Feiertagsregeln!$E$7:$E$480,MATCH($K77,Feiertagsregeln!$A$7:$A$480,0))</f>
        <v>Nouvel An</v>
      </c>
      <c r="G77" s="21" t="str">
        <f>IF(INDEX(Feiertagsregeln!$F$7:$F$480,MATCH($K77,Feiertagsregeln!$A$7:$A$480,0))="","Noch zu erfassen",INDEX(Feiertagsregeln!$F$7:$F$480,MATCH($K77,Feiertagsregeln!$A$7:$A$480,0)))</f>
        <v>Noch zu erfassen</v>
      </c>
      <c r="H77" s="21" t="str">
        <f>IF(INDEX(Feiertagsregeln!$G$7:$G$480,MATCH($K77,Feiertagsregeln!$A$7:$A$480,0))="","Noch zu erfassen",INDEX(Feiertagsregeln!$G$7:$G$480,MATCH($K77,Feiertagsregeln!$A$7:$A$480,0)))</f>
        <v>Noch zu erfassen</v>
      </c>
      <c r="I77" s="10" t="str">
        <f>INDEX(Feiertagsregeln!$H$7:$H$480,MATCH($K77,Feiertagsregeln!$A$7:$A$480,0))</f>
        <v>labourLawHoliday</v>
      </c>
      <c r="J77" s="10" t="s">
        <v>69</v>
      </c>
      <c r="K77" s="10" t="s">
        <v>136</v>
      </c>
      <c r="L77" s="10" t="str">
        <f>INDEX(Feiertagsregeln!$Y$7:$Y$480,MATCH($K77,Feiertagsregeln!$A$7:$A$480,0))</f>
        <v>SRC-AG-EGARR-20250901</v>
      </c>
      <c r="M77" s="10" t="str">
        <f>INDEX(Feiertagsregeln!$Z$7:$Z$480,MATCH($K77,Feiertagsregeln!$A$7:$A$480,0))</f>
        <v>§ 6 Abs. 1 Bst. f</v>
      </c>
      <c r="N77" s="10" t="s">
        <v>71</v>
      </c>
      <c r="O77" s="10" t="str">
        <f>INDEX(Feiertagsregeln!$AA$7:$AA$480,MATCH($K77,Feiertagsregeln!$A$7:$A$480,0))</f>
        <v>Ganztägig</v>
      </c>
    </row>
    <row r="78" spans="1:15" ht="38" customHeight="1">
      <c r="A78" s="15">
        <f>INDEX(Feiertagsregeln!$X$7:$X$480,MATCH($K78,Feiertagsregeln!$A$7:$A$480,0))</f>
        <v>46754</v>
      </c>
      <c r="B78" s="11" t="str">
        <f t="shared" si="1"/>
        <v>Sonntag</v>
      </c>
      <c r="C78" s="11" t="s">
        <v>67</v>
      </c>
      <c r="D78" s="11" t="s">
        <v>135</v>
      </c>
      <c r="E78" s="11" t="str">
        <f>INDEX(Feiertagsregeln!$D$7:$D$480,MATCH($K78,Feiertagsregeln!$A$7:$A$480,0))</f>
        <v>Berchtoldstag</v>
      </c>
      <c r="F78" s="11" t="str">
        <f>INDEX(Feiertagsregeln!$E$7:$E$480,MATCH($K78,Feiertagsregeln!$A$7:$A$480,0))</f>
        <v>Saint-Berchtold</v>
      </c>
      <c r="G78" s="22" t="str">
        <f>IF(INDEX(Feiertagsregeln!$F$7:$F$480,MATCH($K78,Feiertagsregeln!$A$7:$A$480,0))="","Noch zu erfassen",INDEX(Feiertagsregeln!$F$7:$F$480,MATCH($K78,Feiertagsregeln!$A$7:$A$480,0)))</f>
        <v>Noch zu erfassen</v>
      </c>
      <c r="H78" s="22" t="str">
        <f>IF(INDEX(Feiertagsregeln!$G$7:$G$480,MATCH($K78,Feiertagsregeln!$A$7:$A$480,0))="","Noch zu erfassen",INDEX(Feiertagsregeln!$G$7:$G$480,MATCH($K78,Feiertagsregeln!$A$7:$A$480,0)))</f>
        <v>Noch zu erfassen</v>
      </c>
      <c r="I78" s="11" t="str">
        <f>INDEX(Feiertagsregeln!$H$7:$H$480,MATCH($K78,Feiertagsregeln!$A$7:$A$480,0))</f>
        <v>labourLawHoliday</v>
      </c>
      <c r="J78" s="11" t="s">
        <v>69</v>
      </c>
      <c r="K78" s="11" t="s">
        <v>137</v>
      </c>
      <c r="L78" s="11" t="str">
        <f>INDEX(Feiertagsregeln!$Y$7:$Y$480,MATCH($K78,Feiertagsregeln!$A$7:$A$480,0))</f>
        <v>SRC-AG-EGARR-20250901</v>
      </c>
      <c r="M78" s="11" t="str">
        <f>INDEX(Feiertagsregeln!$Z$7:$Z$480,MATCH($K78,Feiertagsregeln!$A$7:$A$480,0))</f>
        <v>§ 6 Abs. 1 Bst. f</v>
      </c>
      <c r="N78" s="11" t="s">
        <v>71</v>
      </c>
      <c r="O78" s="11" t="str">
        <f>INDEX(Feiertagsregeln!$AA$7:$AA$480,MATCH($K78,Feiertagsregeln!$A$7:$A$480,0))</f>
        <v>Ganztägig</v>
      </c>
    </row>
    <row r="79" spans="1:15" ht="38" customHeight="1">
      <c r="A79" s="14">
        <f>INDEX(Feiertagsregeln!$X$7:$X$480,MATCH($K79,Feiertagsregeln!$A$7:$A$480,0))</f>
        <v>46857</v>
      </c>
      <c r="B79" s="10" t="str">
        <f t="shared" si="1"/>
        <v>Freitag</v>
      </c>
      <c r="C79" s="10" t="s">
        <v>67</v>
      </c>
      <c r="D79" s="10" t="s">
        <v>135</v>
      </c>
      <c r="E79" s="10" t="str">
        <f>INDEX(Feiertagsregeln!$D$7:$D$480,MATCH($K79,Feiertagsregeln!$A$7:$A$480,0))</f>
        <v>Karfreitag</v>
      </c>
      <c r="F79" s="10" t="str">
        <f>INDEX(Feiertagsregeln!$E$7:$E$480,MATCH($K79,Feiertagsregeln!$A$7:$A$480,0))</f>
        <v>Vendredi saint</v>
      </c>
      <c r="G79" s="21" t="str">
        <f>IF(INDEX(Feiertagsregeln!$F$7:$F$480,MATCH($K79,Feiertagsregeln!$A$7:$A$480,0))="","Noch zu erfassen",INDEX(Feiertagsregeln!$F$7:$F$480,MATCH($K79,Feiertagsregeln!$A$7:$A$480,0)))</f>
        <v>Noch zu erfassen</v>
      </c>
      <c r="H79" s="21" t="str">
        <f>IF(INDEX(Feiertagsregeln!$G$7:$G$480,MATCH($K79,Feiertagsregeln!$A$7:$A$480,0))="","Noch zu erfassen",INDEX(Feiertagsregeln!$G$7:$G$480,MATCH($K79,Feiertagsregeln!$A$7:$A$480,0)))</f>
        <v>Noch zu erfassen</v>
      </c>
      <c r="I79" s="10" t="str">
        <f>INDEX(Feiertagsregeln!$H$7:$H$480,MATCH($K79,Feiertagsregeln!$A$7:$A$480,0))</f>
        <v>labourLawHoliday</v>
      </c>
      <c r="J79" s="10" t="s">
        <v>69</v>
      </c>
      <c r="K79" s="10" t="s">
        <v>138</v>
      </c>
      <c r="L79" s="10" t="str">
        <f>INDEX(Feiertagsregeln!$Y$7:$Y$480,MATCH($K79,Feiertagsregeln!$A$7:$A$480,0))</f>
        <v>SRC-AG-EGARR-20250901</v>
      </c>
      <c r="M79" s="10" t="str">
        <f>INDEX(Feiertagsregeln!$Z$7:$Z$480,MATCH($K79,Feiertagsregeln!$A$7:$A$480,0))</f>
        <v>§ 6 Abs. 1 Bst. f</v>
      </c>
      <c r="N79" s="10" t="s">
        <v>71</v>
      </c>
      <c r="O79" s="10" t="str">
        <f>INDEX(Feiertagsregeln!$AA$7:$AA$480,MATCH($K79,Feiertagsregeln!$A$7:$A$480,0))</f>
        <v>Ganztägig</v>
      </c>
    </row>
    <row r="80" spans="1:15" ht="38" customHeight="1">
      <c r="A80" s="15">
        <f>INDEX(Feiertagsregeln!$X$7:$X$480,MATCH($K80,Feiertagsregeln!$A$7:$A$480,0))</f>
        <v>46898</v>
      </c>
      <c r="B80" s="11" t="str">
        <f t="shared" si="1"/>
        <v>Donnerstag</v>
      </c>
      <c r="C80" s="11" t="s">
        <v>67</v>
      </c>
      <c r="D80" s="11" t="s">
        <v>135</v>
      </c>
      <c r="E80" s="11" t="str">
        <f>INDEX(Feiertagsregeln!$D$7:$D$480,MATCH($K80,Feiertagsregeln!$A$7:$A$480,0))</f>
        <v>Auffahrt</v>
      </c>
      <c r="F80" s="11" t="str">
        <f>INDEX(Feiertagsregeln!$E$7:$E$480,MATCH($K80,Feiertagsregeln!$A$7:$A$480,0))</f>
        <v>Ascension</v>
      </c>
      <c r="G80" s="22" t="str">
        <f>IF(INDEX(Feiertagsregeln!$F$7:$F$480,MATCH($K80,Feiertagsregeln!$A$7:$A$480,0))="","Noch zu erfassen",INDEX(Feiertagsregeln!$F$7:$F$480,MATCH($K80,Feiertagsregeln!$A$7:$A$480,0)))</f>
        <v>Noch zu erfassen</v>
      </c>
      <c r="H80" s="22" t="str">
        <f>IF(INDEX(Feiertagsregeln!$G$7:$G$480,MATCH($K80,Feiertagsregeln!$A$7:$A$480,0))="","Noch zu erfassen",INDEX(Feiertagsregeln!$G$7:$G$480,MATCH($K80,Feiertagsregeln!$A$7:$A$480,0)))</f>
        <v>Noch zu erfassen</v>
      </c>
      <c r="I80" s="11" t="str">
        <f>INDEX(Feiertagsregeln!$H$7:$H$480,MATCH($K80,Feiertagsregeln!$A$7:$A$480,0))</f>
        <v>labourLawHoliday</v>
      </c>
      <c r="J80" s="11" t="s">
        <v>69</v>
      </c>
      <c r="K80" s="11" t="s">
        <v>139</v>
      </c>
      <c r="L80" s="11" t="str">
        <f>INDEX(Feiertagsregeln!$Y$7:$Y$480,MATCH($K80,Feiertagsregeln!$A$7:$A$480,0))</f>
        <v>SRC-AG-EGARR-20250901</v>
      </c>
      <c r="M80" s="11" t="str">
        <f>INDEX(Feiertagsregeln!$Z$7:$Z$480,MATCH($K80,Feiertagsregeln!$A$7:$A$480,0))</f>
        <v>§ 6 Abs. 1 Bst. f</v>
      </c>
      <c r="N80" s="11" t="s">
        <v>71</v>
      </c>
      <c r="O80" s="11" t="str">
        <f>INDEX(Feiertagsregeln!$AA$7:$AA$480,MATCH($K80,Feiertagsregeln!$A$7:$A$480,0))</f>
        <v>Ganztägig</v>
      </c>
    </row>
    <row r="81" spans="1:15" ht="38" customHeight="1">
      <c r="A81" s="14">
        <f>INDEX(Feiertagsregeln!$X$7:$X$480,MATCH($K81,Feiertagsregeln!$A$7:$A$480,0))</f>
        <v>46919</v>
      </c>
      <c r="B81" s="10" t="str">
        <f t="shared" si="1"/>
        <v>Donnerstag</v>
      </c>
      <c r="C81" s="10" t="s">
        <v>67</v>
      </c>
      <c r="D81" s="10" t="s">
        <v>135</v>
      </c>
      <c r="E81" s="10" t="str">
        <f>INDEX(Feiertagsregeln!$D$7:$D$480,MATCH($K81,Feiertagsregeln!$A$7:$A$480,0))</f>
        <v>Fronleichnam</v>
      </c>
      <c r="F81" s="10" t="str">
        <f>INDEX(Feiertagsregeln!$E$7:$E$480,MATCH($K81,Feiertagsregeln!$A$7:$A$480,0))</f>
        <v>Fête-Dieu</v>
      </c>
      <c r="G81" s="21" t="str">
        <f>IF(INDEX(Feiertagsregeln!$F$7:$F$480,MATCH($K81,Feiertagsregeln!$A$7:$A$480,0))="","Noch zu erfassen",INDEX(Feiertagsregeln!$F$7:$F$480,MATCH($K81,Feiertagsregeln!$A$7:$A$480,0)))</f>
        <v>Noch zu erfassen</v>
      </c>
      <c r="H81" s="21" t="str">
        <f>IF(INDEX(Feiertagsregeln!$G$7:$G$480,MATCH($K81,Feiertagsregeln!$A$7:$A$480,0))="","Noch zu erfassen",INDEX(Feiertagsregeln!$G$7:$G$480,MATCH($K81,Feiertagsregeln!$A$7:$A$480,0)))</f>
        <v>Noch zu erfassen</v>
      </c>
      <c r="I81" s="10" t="str">
        <f>INDEX(Feiertagsregeln!$H$7:$H$480,MATCH($K81,Feiertagsregeln!$A$7:$A$480,0))</f>
        <v>labourLawHoliday</v>
      </c>
      <c r="J81" s="10" t="s">
        <v>69</v>
      </c>
      <c r="K81" s="10" t="s">
        <v>140</v>
      </c>
      <c r="L81" s="10" t="str">
        <f>INDEX(Feiertagsregeln!$Y$7:$Y$480,MATCH($K81,Feiertagsregeln!$A$7:$A$480,0))</f>
        <v>SRC-AG-EGARR-20250901</v>
      </c>
      <c r="M81" s="10" t="str">
        <f>INDEX(Feiertagsregeln!$Z$7:$Z$480,MATCH($K81,Feiertagsregeln!$A$7:$A$480,0))</f>
        <v>§ 6 Abs. 1 Bst. f</v>
      </c>
      <c r="N81" s="10" t="s">
        <v>71</v>
      </c>
      <c r="O81" s="10" t="str">
        <f>INDEX(Feiertagsregeln!$AA$7:$AA$480,MATCH($K81,Feiertagsregeln!$A$7:$A$480,0))</f>
        <v>Ganztägig</v>
      </c>
    </row>
    <row r="82" spans="1:15" ht="38" customHeight="1">
      <c r="A82" s="15">
        <f>INDEX(Feiertagsregeln!$X$7:$X$480,MATCH($K82,Feiertagsregeln!$A$7:$A$480,0))</f>
        <v>47058</v>
      </c>
      <c r="B82" s="11" t="str">
        <f t="shared" si="1"/>
        <v>Mittwoch</v>
      </c>
      <c r="C82" s="11" t="s">
        <v>67</v>
      </c>
      <c r="D82" s="11" t="s">
        <v>135</v>
      </c>
      <c r="E82" s="11" t="str">
        <f>INDEX(Feiertagsregeln!$D$7:$D$480,MATCH($K82,Feiertagsregeln!$A$7:$A$480,0))</f>
        <v>Allerheiligen</v>
      </c>
      <c r="F82" s="11" t="str">
        <f>INDEX(Feiertagsregeln!$E$7:$E$480,MATCH($K82,Feiertagsregeln!$A$7:$A$480,0))</f>
        <v>Toussaint</v>
      </c>
      <c r="G82" s="22" t="str">
        <f>IF(INDEX(Feiertagsregeln!$F$7:$F$480,MATCH($K82,Feiertagsregeln!$A$7:$A$480,0))="","Noch zu erfassen",INDEX(Feiertagsregeln!$F$7:$F$480,MATCH($K82,Feiertagsregeln!$A$7:$A$480,0)))</f>
        <v>Noch zu erfassen</v>
      </c>
      <c r="H82" s="22" t="str">
        <f>IF(INDEX(Feiertagsregeln!$G$7:$G$480,MATCH($K82,Feiertagsregeln!$A$7:$A$480,0))="","Noch zu erfassen",INDEX(Feiertagsregeln!$G$7:$G$480,MATCH($K82,Feiertagsregeln!$A$7:$A$480,0)))</f>
        <v>Noch zu erfassen</v>
      </c>
      <c r="I82" s="11" t="str">
        <f>INDEX(Feiertagsregeln!$H$7:$H$480,MATCH($K82,Feiertagsregeln!$A$7:$A$480,0))</f>
        <v>labourLawHoliday</v>
      </c>
      <c r="J82" s="11" t="s">
        <v>69</v>
      </c>
      <c r="K82" s="11" t="s">
        <v>141</v>
      </c>
      <c r="L82" s="11" t="str">
        <f>INDEX(Feiertagsregeln!$Y$7:$Y$480,MATCH($K82,Feiertagsregeln!$A$7:$A$480,0))</f>
        <v>SRC-AG-EGARR-20250901</v>
      </c>
      <c r="M82" s="11" t="str">
        <f>INDEX(Feiertagsregeln!$Z$7:$Z$480,MATCH($K82,Feiertagsregeln!$A$7:$A$480,0))</f>
        <v>§ 6 Abs. 1 Bst. f</v>
      </c>
      <c r="N82" s="11" t="s">
        <v>71</v>
      </c>
      <c r="O82" s="11" t="str">
        <f>INDEX(Feiertagsregeln!$AA$7:$AA$480,MATCH($K82,Feiertagsregeln!$A$7:$A$480,0))</f>
        <v>Ganztägig</v>
      </c>
    </row>
    <row r="83" spans="1:15" ht="38" customHeight="1">
      <c r="A83" s="14">
        <f>INDEX(Feiertagsregeln!$X$7:$X$480,MATCH($K83,Feiertagsregeln!$A$7:$A$480,0))</f>
        <v>47112</v>
      </c>
      <c r="B83" s="10" t="str">
        <f t="shared" si="1"/>
        <v>Montag</v>
      </c>
      <c r="C83" s="10" t="s">
        <v>67</v>
      </c>
      <c r="D83" s="10" t="s">
        <v>135</v>
      </c>
      <c r="E83" s="10" t="str">
        <f>INDEX(Feiertagsregeln!$D$7:$D$480,MATCH($K83,Feiertagsregeln!$A$7:$A$480,0))</f>
        <v>Weihnachten</v>
      </c>
      <c r="F83" s="10" t="str">
        <f>INDEX(Feiertagsregeln!$E$7:$E$480,MATCH($K83,Feiertagsregeln!$A$7:$A$480,0))</f>
        <v>Noël</v>
      </c>
      <c r="G83" s="21" t="str">
        <f>IF(INDEX(Feiertagsregeln!$F$7:$F$480,MATCH($K83,Feiertagsregeln!$A$7:$A$480,0))="","Noch zu erfassen",INDEX(Feiertagsregeln!$F$7:$F$480,MATCH($K83,Feiertagsregeln!$A$7:$A$480,0)))</f>
        <v>Noch zu erfassen</v>
      </c>
      <c r="H83" s="21" t="str">
        <f>IF(INDEX(Feiertagsregeln!$G$7:$G$480,MATCH($K83,Feiertagsregeln!$A$7:$A$480,0))="","Noch zu erfassen",INDEX(Feiertagsregeln!$G$7:$G$480,MATCH($K83,Feiertagsregeln!$A$7:$A$480,0)))</f>
        <v>Noch zu erfassen</v>
      </c>
      <c r="I83" s="10" t="str">
        <f>INDEX(Feiertagsregeln!$H$7:$H$480,MATCH($K83,Feiertagsregeln!$A$7:$A$480,0))</f>
        <v>labourLawHoliday</v>
      </c>
      <c r="J83" s="10" t="s">
        <v>69</v>
      </c>
      <c r="K83" s="10" t="s">
        <v>142</v>
      </c>
      <c r="L83" s="10" t="str">
        <f>INDEX(Feiertagsregeln!$Y$7:$Y$480,MATCH($K83,Feiertagsregeln!$A$7:$A$480,0))</f>
        <v>SRC-AG-EGARR-20250901</v>
      </c>
      <c r="M83" s="10" t="str">
        <f>INDEX(Feiertagsregeln!$Z$7:$Z$480,MATCH($K83,Feiertagsregeln!$A$7:$A$480,0))</f>
        <v>§ 6 Abs. 1 Bst. f</v>
      </c>
      <c r="N83" s="10" t="s">
        <v>71</v>
      </c>
      <c r="O83" s="10" t="str">
        <f>INDEX(Feiertagsregeln!$AA$7:$AA$480,MATCH($K83,Feiertagsregeln!$A$7:$A$480,0))</f>
        <v>Ganztägig</v>
      </c>
    </row>
    <row r="84" spans="1:15" ht="38" customHeight="1">
      <c r="A84" s="15">
        <f>INDEX(Feiertagsregeln!$X$7:$X$480,MATCH($K84,Feiertagsregeln!$A$7:$A$480,0))</f>
        <v>47113</v>
      </c>
      <c r="B84" s="11" t="str">
        <f t="shared" si="1"/>
        <v>Dienstag</v>
      </c>
      <c r="C84" s="11" t="s">
        <v>67</v>
      </c>
      <c r="D84" s="11" t="s">
        <v>135</v>
      </c>
      <c r="E84" s="11" t="str">
        <f>INDEX(Feiertagsregeln!$D$7:$D$480,MATCH($K84,Feiertagsregeln!$A$7:$A$480,0))</f>
        <v>Stephanstag</v>
      </c>
      <c r="F84" s="11" t="str">
        <f>INDEX(Feiertagsregeln!$E$7:$E$480,MATCH($K84,Feiertagsregeln!$A$7:$A$480,0))</f>
        <v>Saint-Étienne</v>
      </c>
      <c r="G84" s="22" t="str">
        <f>IF(INDEX(Feiertagsregeln!$F$7:$F$480,MATCH($K84,Feiertagsregeln!$A$7:$A$480,0))="","Noch zu erfassen",INDEX(Feiertagsregeln!$F$7:$F$480,MATCH($K84,Feiertagsregeln!$A$7:$A$480,0)))</f>
        <v>Noch zu erfassen</v>
      </c>
      <c r="H84" s="22" t="str">
        <f>IF(INDEX(Feiertagsregeln!$G$7:$G$480,MATCH($K84,Feiertagsregeln!$A$7:$A$480,0))="","Noch zu erfassen",INDEX(Feiertagsregeln!$G$7:$G$480,MATCH($K84,Feiertagsregeln!$A$7:$A$480,0)))</f>
        <v>Noch zu erfassen</v>
      </c>
      <c r="I84" s="11" t="str">
        <f>INDEX(Feiertagsregeln!$H$7:$H$480,MATCH($K84,Feiertagsregeln!$A$7:$A$480,0))</f>
        <v>labourLawHoliday</v>
      </c>
      <c r="J84" s="11" t="s">
        <v>69</v>
      </c>
      <c r="K84" s="11" t="s">
        <v>143</v>
      </c>
      <c r="L84" s="11" t="str">
        <f>INDEX(Feiertagsregeln!$Y$7:$Y$480,MATCH($K84,Feiertagsregeln!$A$7:$A$480,0))</f>
        <v>SRC-AG-EGARR-20250901</v>
      </c>
      <c r="M84" s="11" t="str">
        <f>INDEX(Feiertagsregeln!$Z$7:$Z$480,MATCH($K84,Feiertagsregeln!$A$7:$A$480,0))</f>
        <v>§ 6 Abs. 1 Bst. f</v>
      </c>
      <c r="N84" s="11" t="s">
        <v>71</v>
      </c>
      <c r="O84" s="11" t="str">
        <f>INDEX(Feiertagsregeln!$AA$7:$AA$480,MATCH($K84,Feiertagsregeln!$A$7:$A$480,0))</f>
        <v>Ganztägig</v>
      </c>
    </row>
    <row r="85" spans="1:15" ht="38" customHeight="1">
      <c r="A85" s="14">
        <f>INDEX(Feiertagsregeln!$X$7:$X$480,MATCH($K85,Feiertagsregeln!$A$7:$A$480,0))</f>
        <v>46753</v>
      </c>
      <c r="B85" s="10" t="str">
        <f t="shared" si="1"/>
        <v>Samstag</v>
      </c>
      <c r="C85" s="10" t="s">
        <v>67</v>
      </c>
      <c r="D85" s="10" t="s">
        <v>74</v>
      </c>
      <c r="E85" s="10" t="str">
        <f>INDEX(Feiertagsregeln!$D$7:$D$480,MATCH($K85,Feiertagsregeln!$A$7:$A$480,0))</f>
        <v>Neujahr</v>
      </c>
      <c r="F85" s="10" t="str">
        <f>INDEX(Feiertagsregeln!$E$7:$E$480,MATCH($K85,Feiertagsregeln!$A$7:$A$480,0))</f>
        <v>Nouvel An</v>
      </c>
      <c r="G85" s="21" t="str">
        <f>IF(INDEX(Feiertagsregeln!$F$7:$F$480,MATCH($K85,Feiertagsregeln!$A$7:$A$480,0))="","Noch zu erfassen",INDEX(Feiertagsregeln!$F$7:$F$480,MATCH($K85,Feiertagsregeln!$A$7:$A$480,0)))</f>
        <v>Noch zu erfassen</v>
      </c>
      <c r="H85" s="21" t="str">
        <f>IF(INDEX(Feiertagsregeln!$G$7:$G$480,MATCH($K85,Feiertagsregeln!$A$7:$A$480,0))="","Noch zu erfassen",INDEX(Feiertagsregeln!$G$7:$G$480,MATCH($K85,Feiertagsregeln!$A$7:$A$480,0)))</f>
        <v>Noch zu erfassen</v>
      </c>
      <c r="I85" s="10" t="str">
        <f>INDEX(Feiertagsregeln!$H$7:$H$480,MATCH($K85,Feiertagsregeln!$A$7:$A$480,0))</f>
        <v>proceduralEquivalentDay</v>
      </c>
      <c r="J85" s="10" t="s">
        <v>69</v>
      </c>
      <c r="K85" s="10" t="s">
        <v>144</v>
      </c>
      <c r="L85" s="10" t="str">
        <f>INDEX(Feiertagsregeln!$Y$7:$Y$480,MATCH($K85,Feiertagsregeln!$A$7:$A$480,0))</f>
        <v>SRC-AG-EGZPO</v>
      </c>
      <c r="M85" s="10" t="str">
        <f>INDEX(Feiertagsregeln!$Z$7:$Z$480,MATCH($K85,Feiertagsregeln!$A$7:$A$480,0))</f>
        <v>§ 21</v>
      </c>
      <c r="N85" s="10" t="s">
        <v>71</v>
      </c>
      <c r="O85" s="10" t="str">
        <f>INDEX(Feiertagsregeln!$AA$7:$AA$480,MATCH($K85,Feiertagsregeln!$A$7:$A$480,0))</f>
        <v>Ganztägig</v>
      </c>
    </row>
    <row r="86" spans="1:15" ht="38" customHeight="1">
      <c r="A86" s="15">
        <f>INDEX(Feiertagsregeln!$X$7:$X$480,MATCH($K86,Feiertagsregeln!$A$7:$A$480,0))</f>
        <v>46754</v>
      </c>
      <c r="B86" s="11" t="str">
        <f t="shared" si="1"/>
        <v>Sonntag</v>
      </c>
      <c r="C86" s="11" t="s">
        <v>67</v>
      </c>
      <c r="D86" s="11" t="s">
        <v>74</v>
      </c>
      <c r="E86" s="11" t="str">
        <f>INDEX(Feiertagsregeln!$D$7:$D$480,MATCH($K86,Feiertagsregeln!$A$7:$A$480,0))</f>
        <v>Berchtoldstag</v>
      </c>
      <c r="F86" s="11" t="str">
        <f>INDEX(Feiertagsregeln!$E$7:$E$480,MATCH($K86,Feiertagsregeln!$A$7:$A$480,0))</f>
        <v>Saint-Berchtold</v>
      </c>
      <c r="G86" s="22" t="str">
        <f>IF(INDEX(Feiertagsregeln!$F$7:$F$480,MATCH($K86,Feiertagsregeln!$A$7:$A$480,0))="","Noch zu erfassen",INDEX(Feiertagsregeln!$F$7:$F$480,MATCH($K86,Feiertagsregeln!$A$7:$A$480,0)))</f>
        <v>Noch zu erfassen</v>
      </c>
      <c r="H86" s="22" t="str">
        <f>IF(INDEX(Feiertagsregeln!$G$7:$G$480,MATCH($K86,Feiertagsregeln!$A$7:$A$480,0))="","Noch zu erfassen",INDEX(Feiertagsregeln!$G$7:$G$480,MATCH($K86,Feiertagsregeln!$A$7:$A$480,0)))</f>
        <v>Noch zu erfassen</v>
      </c>
      <c r="I86" s="11" t="str">
        <f>INDEX(Feiertagsregeln!$H$7:$H$480,MATCH($K86,Feiertagsregeln!$A$7:$A$480,0))</f>
        <v>proceduralEquivalentDay</v>
      </c>
      <c r="J86" s="11" t="s">
        <v>69</v>
      </c>
      <c r="K86" s="11" t="s">
        <v>145</v>
      </c>
      <c r="L86" s="11" t="str">
        <f>INDEX(Feiertagsregeln!$Y$7:$Y$480,MATCH($K86,Feiertagsregeln!$A$7:$A$480,0))</f>
        <v>SRC-AG-EGZPO</v>
      </c>
      <c r="M86" s="11" t="str">
        <f>INDEX(Feiertagsregeln!$Z$7:$Z$480,MATCH($K86,Feiertagsregeln!$A$7:$A$480,0))</f>
        <v>§ 21</v>
      </c>
      <c r="N86" s="11" t="s">
        <v>71</v>
      </c>
      <c r="O86" s="11" t="str">
        <f>INDEX(Feiertagsregeln!$AA$7:$AA$480,MATCH($K86,Feiertagsregeln!$A$7:$A$480,0))</f>
        <v>Ganztägig</v>
      </c>
    </row>
    <row r="87" spans="1:15" ht="38" customHeight="1">
      <c r="A87" s="14">
        <f>INDEX(Feiertagsregeln!$X$7:$X$480,MATCH($K87,Feiertagsregeln!$A$7:$A$480,0))</f>
        <v>46857</v>
      </c>
      <c r="B87" s="10" t="str">
        <f t="shared" si="1"/>
        <v>Freitag</v>
      </c>
      <c r="C87" s="10" t="s">
        <v>67</v>
      </c>
      <c r="D87" s="10" t="s">
        <v>74</v>
      </c>
      <c r="E87" s="10" t="str">
        <f>INDEX(Feiertagsregeln!$D$7:$D$480,MATCH($K87,Feiertagsregeln!$A$7:$A$480,0))</f>
        <v>Karfreitag</v>
      </c>
      <c r="F87" s="10" t="str">
        <f>INDEX(Feiertagsregeln!$E$7:$E$480,MATCH($K87,Feiertagsregeln!$A$7:$A$480,0))</f>
        <v>Vendredi saint</v>
      </c>
      <c r="G87" s="21" t="str">
        <f>IF(INDEX(Feiertagsregeln!$F$7:$F$480,MATCH($K87,Feiertagsregeln!$A$7:$A$480,0))="","Noch zu erfassen",INDEX(Feiertagsregeln!$F$7:$F$480,MATCH($K87,Feiertagsregeln!$A$7:$A$480,0)))</f>
        <v>Noch zu erfassen</v>
      </c>
      <c r="H87" s="21" t="str">
        <f>IF(INDEX(Feiertagsregeln!$G$7:$G$480,MATCH($K87,Feiertagsregeln!$A$7:$A$480,0))="","Noch zu erfassen",INDEX(Feiertagsregeln!$G$7:$G$480,MATCH($K87,Feiertagsregeln!$A$7:$A$480,0)))</f>
        <v>Noch zu erfassen</v>
      </c>
      <c r="I87" s="10" t="str">
        <f>INDEX(Feiertagsregeln!$H$7:$H$480,MATCH($K87,Feiertagsregeln!$A$7:$A$480,0))</f>
        <v>proceduralEquivalentDay</v>
      </c>
      <c r="J87" s="10" t="s">
        <v>69</v>
      </c>
      <c r="K87" s="10" t="s">
        <v>146</v>
      </c>
      <c r="L87" s="10" t="str">
        <f>INDEX(Feiertagsregeln!$Y$7:$Y$480,MATCH($K87,Feiertagsregeln!$A$7:$A$480,0))</f>
        <v>SRC-AG-EGZPO</v>
      </c>
      <c r="M87" s="10" t="str">
        <f>INDEX(Feiertagsregeln!$Z$7:$Z$480,MATCH($K87,Feiertagsregeln!$A$7:$A$480,0))</f>
        <v>§ 21</v>
      </c>
      <c r="N87" s="10" t="s">
        <v>71</v>
      </c>
      <c r="O87" s="10" t="str">
        <f>INDEX(Feiertagsregeln!$AA$7:$AA$480,MATCH($K87,Feiertagsregeln!$A$7:$A$480,0))</f>
        <v>Ganztägig</v>
      </c>
    </row>
    <row r="88" spans="1:15" ht="38" customHeight="1">
      <c r="A88" s="15">
        <f>INDEX(Feiertagsregeln!$X$7:$X$480,MATCH($K88,Feiertagsregeln!$A$7:$A$480,0))</f>
        <v>46860</v>
      </c>
      <c r="B88" s="11" t="str">
        <f t="shared" si="1"/>
        <v>Montag</v>
      </c>
      <c r="C88" s="11" t="s">
        <v>67</v>
      </c>
      <c r="D88" s="11" t="s">
        <v>74</v>
      </c>
      <c r="E88" s="11" t="str">
        <f>INDEX(Feiertagsregeln!$D$7:$D$480,MATCH($K88,Feiertagsregeln!$A$7:$A$480,0))</f>
        <v>Ostermontag</v>
      </c>
      <c r="F88" s="11" t="str">
        <f>INDEX(Feiertagsregeln!$E$7:$E$480,MATCH($K88,Feiertagsregeln!$A$7:$A$480,0))</f>
        <v>Lundi de Pâques</v>
      </c>
      <c r="G88" s="22" t="str">
        <f>IF(INDEX(Feiertagsregeln!$F$7:$F$480,MATCH($K88,Feiertagsregeln!$A$7:$A$480,0))="","Noch zu erfassen",INDEX(Feiertagsregeln!$F$7:$F$480,MATCH($K88,Feiertagsregeln!$A$7:$A$480,0)))</f>
        <v>Noch zu erfassen</v>
      </c>
      <c r="H88" s="22" t="str">
        <f>IF(INDEX(Feiertagsregeln!$G$7:$G$480,MATCH($K88,Feiertagsregeln!$A$7:$A$480,0))="","Noch zu erfassen",INDEX(Feiertagsregeln!$G$7:$G$480,MATCH($K88,Feiertagsregeln!$A$7:$A$480,0)))</f>
        <v>Noch zu erfassen</v>
      </c>
      <c r="I88" s="11" t="str">
        <f>INDEX(Feiertagsregeln!$H$7:$H$480,MATCH($K88,Feiertagsregeln!$A$7:$A$480,0))</f>
        <v>proceduralEquivalentDay</v>
      </c>
      <c r="J88" s="11" t="s">
        <v>69</v>
      </c>
      <c r="K88" s="11" t="s">
        <v>147</v>
      </c>
      <c r="L88" s="11" t="str">
        <f>INDEX(Feiertagsregeln!$Y$7:$Y$480,MATCH($K88,Feiertagsregeln!$A$7:$A$480,0))</f>
        <v>SRC-AG-EGZPO</v>
      </c>
      <c r="M88" s="11" t="str">
        <f>INDEX(Feiertagsregeln!$Z$7:$Z$480,MATCH($K88,Feiertagsregeln!$A$7:$A$480,0))</f>
        <v>§ 21</v>
      </c>
      <c r="N88" s="11" t="s">
        <v>71</v>
      </c>
      <c r="O88" s="11" t="str">
        <f>INDEX(Feiertagsregeln!$AA$7:$AA$480,MATCH($K88,Feiertagsregeln!$A$7:$A$480,0))</f>
        <v>Ganztägig</v>
      </c>
    </row>
    <row r="89" spans="1:15" ht="38" customHeight="1">
      <c r="A89" s="14">
        <f>INDEX(Feiertagsregeln!$X$7:$X$480,MATCH($K89,Feiertagsregeln!$A$7:$A$480,0))</f>
        <v>46874</v>
      </c>
      <c r="B89" s="10" t="str">
        <f t="shared" si="1"/>
        <v>Montag</v>
      </c>
      <c r="C89" s="10" t="s">
        <v>67</v>
      </c>
      <c r="D89" s="10" t="s">
        <v>74</v>
      </c>
      <c r="E89" s="10" t="str">
        <f>INDEX(Feiertagsregeln!$D$7:$D$480,MATCH($K89,Feiertagsregeln!$A$7:$A$480,0))</f>
        <v>Tag der Arbeit (1. Mai)</v>
      </c>
      <c r="F89" s="10" t="str">
        <f>INDEX(Feiertagsregeln!$E$7:$E$480,MATCH($K89,Feiertagsregeln!$A$7:$A$480,0))</f>
        <v>Fête du travail (1er mai)</v>
      </c>
      <c r="G89" s="21" t="str">
        <f>IF(INDEX(Feiertagsregeln!$F$7:$F$480,MATCH($K89,Feiertagsregeln!$A$7:$A$480,0))="","Noch zu erfassen",INDEX(Feiertagsregeln!$F$7:$F$480,MATCH($K89,Feiertagsregeln!$A$7:$A$480,0)))</f>
        <v>Noch zu erfassen</v>
      </c>
      <c r="H89" s="21" t="str">
        <f>IF(INDEX(Feiertagsregeln!$G$7:$G$480,MATCH($K89,Feiertagsregeln!$A$7:$A$480,0))="","Noch zu erfassen",INDEX(Feiertagsregeln!$G$7:$G$480,MATCH($K89,Feiertagsregeln!$A$7:$A$480,0)))</f>
        <v>Noch zu erfassen</v>
      </c>
      <c r="I89" s="10" t="str">
        <f>INDEX(Feiertagsregeln!$H$7:$H$480,MATCH($K89,Feiertagsregeln!$A$7:$A$480,0))</f>
        <v>proceduralEquivalentDay</v>
      </c>
      <c r="J89" s="10" t="s">
        <v>69</v>
      </c>
      <c r="K89" s="10" t="s">
        <v>148</v>
      </c>
      <c r="L89" s="10" t="str">
        <f>INDEX(Feiertagsregeln!$Y$7:$Y$480,MATCH($K89,Feiertagsregeln!$A$7:$A$480,0))</f>
        <v>SRC-AG-EGZPO</v>
      </c>
      <c r="M89" s="10" t="str">
        <f>INDEX(Feiertagsregeln!$Z$7:$Z$480,MATCH($K89,Feiertagsregeln!$A$7:$A$480,0))</f>
        <v>§ 21</v>
      </c>
      <c r="N89" s="10" t="s">
        <v>71</v>
      </c>
      <c r="O89" s="10" t="str">
        <f>INDEX(Feiertagsregeln!$AA$7:$AA$480,MATCH($K89,Feiertagsregeln!$A$7:$A$480,0))</f>
        <v>Ganztägig</v>
      </c>
    </row>
    <row r="90" spans="1:15" ht="38" customHeight="1">
      <c r="A90" s="15">
        <f>INDEX(Feiertagsregeln!$X$7:$X$480,MATCH($K90,Feiertagsregeln!$A$7:$A$480,0))</f>
        <v>46898</v>
      </c>
      <c r="B90" s="11" t="str">
        <f t="shared" si="1"/>
        <v>Donnerstag</v>
      </c>
      <c r="C90" s="11" t="s">
        <v>67</v>
      </c>
      <c r="D90" s="11" t="s">
        <v>74</v>
      </c>
      <c r="E90" s="11" t="str">
        <f>INDEX(Feiertagsregeln!$D$7:$D$480,MATCH($K90,Feiertagsregeln!$A$7:$A$480,0))</f>
        <v>Auffahrt</v>
      </c>
      <c r="F90" s="11" t="str">
        <f>INDEX(Feiertagsregeln!$E$7:$E$480,MATCH($K90,Feiertagsregeln!$A$7:$A$480,0))</f>
        <v>Ascension</v>
      </c>
      <c r="G90" s="22" t="str">
        <f>IF(INDEX(Feiertagsregeln!$F$7:$F$480,MATCH($K90,Feiertagsregeln!$A$7:$A$480,0))="","Noch zu erfassen",INDEX(Feiertagsregeln!$F$7:$F$480,MATCH($K90,Feiertagsregeln!$A$7:$A$480,0)))</f>
        <v>Noch zu erfassen</v>
      </c>
      <c r="H90" s="22" t="str">
        <f>IF(INDEX(Feiertagsregeln!$G$7:$G$480,MATCH($K90,Feiertagsregeln!$A$7:$A$480,0))="","Noch zu erfassen",INDEX(Feiertagsregeln!$G$7:$G$480,MATCH($K90,Feiertagsregeln!$A$7:$A$480,0)))</f>
        <v>Noch zu erfassen</v>
      </c>
      <c r="I90" s="11" t="str">
        <f>INDEX(Feiertagsregeln!$H$7:$H$480,MATCH($K90,Feiertagsregeln!$A$7:$A$480,0))</f>
        <v>proceduralEquivalentDay</v>
      </c>
      <c r="J90" s="11" t="s">
        <v>69</v>
      </c>
      <c r="K90" s="11" t="s">
        <v>149</v>
      </c>
      <c r="L90" s="11" t="str">
        <f>INDEX(Feiertagsregeln!$Y$7:$Y$480,MATCH($K90,Feiertagsregeln!$A$7:$A$480,0))</f>
        <v>SRC-AG-EGZPO</v>
      </c>
      <c r="M90" s="11" t="str">
        <f>INDEX(Feiertagsregeln!$Z$7:$Z$480,MATCH($K90,Feiertagsregeln!$A$7:$A$480,0))</f>
        <v>§ 21</v>
      </c>
      <c r="N90" s="11" t="s">
        <v>71</v>
      </c>
      <c r="O90" s="11" t="str">
        <f>INDEX(Feiertagsregeln!$AA$7:$AA$480,MATCH($K90,Feiertagsregeln!$A$7:$A$480,0))</f>
        <v>Ganztägig</v>
      </c>
    </row>
    <row r="91" spans="1:15" ht="38" customHeight="1">
      <c r="A91" s="14">
        <f>INDEX(Feiertagsregeln!$X$7:$X$480,MATCH($K91,Feiertagsregeln!$A$7:$A$480,0))</f>
        <v>46909</v>
      </c>
      <c r="B91" s="10" t="str">
        <f t="shared" si="1"/>
        <v>Montag</v>
      </c>
      <c r="C91" s="10" t="s">
        <v>67</v>
      </c>
      <c r="D91" s="10" t="s">
        <v>74</v>
      </c>
      <c r="E91" s="10" t="str">
        <f>INDEX(Feiertagsregeln!$D$7:$D$480,MATCH($K91,Feiertagsregeln!$A$7:$A$480,0))</f>
        <v>Pfingstmontag</v>
      </c>
      <c r="F91" s="10" t="str">
        <f>INDEX(Feiertagsregeln!$E$7:$E$480,MATCH($K91,Feiertagsregeln!$A$7:$A$480,0))</f>
        <v>Lundi de Pentecôte</v>
      </c>
      <c r="G91" s="21" t="str">
        <f>IF(INDEX(Feiertagsregeln!$F$7:$F$480,MATCH($K91,Feiertagsregeln!$A$7:$A$480,0))="","Noch zu erfassen",INDEX(Feiertagsregeln!$F$7:$F$480,MATCH($K91,Feiertagsregeln!$A$7:$A$480,0)))</f>
        <v>Noch zu erfassen</v>
      </c>
      <c r="H91" s="21" t="str">
        <f>IF(INDEX(Feiertagsregeln!$G$7:$G$480,MATCH($K91,Feiertagsregeln!$A$7:$A$480,0))="","Noch zu erfassen",INDEX(Feiertagsregeln!$G$7:$G$480,MATCH($K91,Feiertagsregeln!$A$7:$A$480,0)))</f>
        <v>Noch zu erfassen</v>
      </c>
      <c r="I91" s="10" t="str">
        <f>INDEX(Feiertagsregeln!$H$7:$H$480,MATCH($K91,Feiertagsregeln!$A$7:$A$480,0))</f>
        <v>proceduralEquivalentDay</v>
      </c>
      <c r="J91" s="10" t="s">
        <v>69</v>
      </c>
      <c r="K91" s="10" t="s">
        <v>150</v>
      </c>
      <c r="L91" s="10" t="str">
        <f>INDEX(Feiertagsregeln!$Y$7:$Y$480,MATCH($K91,Feiertagsregeln!$A$7:$A$480,0))</f>
        <v>SRC-AG-EGZPO</v>
      </c>
      <c r="M91" s="10" t="str">
        <f>INDEX(Feiertagsregeln!$Z$7:$Z$480,MATCH($K91,Feiertagsregeln!$A$7:$A$480,0))</f>
        <v>§ 21</v>
      </c>
      <c r="N91" s="10" t="s">
        <v>71</v>
      </c>
      <c r="O91" s="10" t="str">
        <f>INDEX(Feiertagsregeln!$AA$7:$AA$480,MATCH($K91,Feiertagsregeln!$A$7:$A$480,0))</f>
        <v>Ganztägig</v>
      </c>
    </row>
    <row r="92" spans="1:15" ht="38" customHeight="1">
      <c r="A92" s="15">
        <f>INDEX(Feiertagsregeln!$X$7:$X$480,MATCH($K92,Feiertagsregeln!$A$7:$A$480,0))</f>
        <v>46919</v>
      </c>
      <c r="B92" s="11" t="str">
        <f t="shared" si="1"/>
        <v>Donnerstag</v>
      </c>
      <c r="C92" s="11" t="s">
        <v>67</v>
      </c>
      <c r="D92" s="11" t="s">
        <v>74</v>
      </c>
      <c r="E92" s="11" t="str">
        <f>INDEX(Feiertagsregeln!$D$7:$D$480,MATCH($K92,Feiertagsregeln!$A$7:$A$480,0))</f>
        <v>Fronleichnam</v>
      </c>
      <c r="F92" s="11" t="str">
        <f>INDEX(Feiertagsregeln!$E$7:$E$480,MATCH($K92,Feiertagsregeln!$A$7:$A$480,0))</f>
        <v>Fête-Dieu</v>
      </c>
      <c r="G92" s="22" t="str">
        <f>IF(INDEX(Feiertagsregeln!$F$7:$F$480,MATCH($K92,Feiertagsregeln!$A$7:$A$480,0))="","Noch zu erfassen",INDEX(Feiertagsregeln!$F$7:$F$480,MATCH($K92,Feiertagsregeln!$A$7:$A$480,0)))</f>
        <v>Noch zu erfassen</v>
      </c>
      <c r="H92" s="22" t="str">
        <f>IF(INDEX(Feiertagsregeln!$G$7:$G$480,MATCH($K92,Feiertagsregeln!$A$7:$A$480,0))="","Noch zu erfassen",INDEX(Feiertagsregeln!$G$7:$G$480,MATCH($K92,Feiertagsregeln!$A$7:$A$480,0)))</f>
        <v>Noch zu erfassen</v>
      </c>
      <c r="I92" s="11" t="str">
        <f>INDEX(Feiertagsregeln!$H$7:$H$480,MATCH($K92,Feiertagsregeln!$A$7:$A$480,0))</f>
        <v>proceduralEquivalentDay</v>
      </c>
      <c r="J92" s="11" t="s">
        <v>69</v>
      </c>
      <c r="K92" s="11" t="s">
        <v>151</v>
      </c>
      <c r="L92" s="11" t="str">
        <f>INDEX(Feiertagsregeln!$Y$7:$Y$480,MATCH($K92,Feiertagsregeln!$A$7:$A$480,0))</f>
        <v>SRC-AG-EGZPO</v>
      </c>
      <c r="M92" s="11" t="str">
        <f>INDEX(Feiertagsregeln!$Z$7:$Z$480,MATCH($K92,Feiertagsregeln!$A$7:$A$480,0))</f>
        <v>§ 21</v>
      </c>
      <c r="N92" s="11" t="s">
        <v>71</v>
      </c>
      <c r="O92" s="11" t="str">
        <f>INDEX(Feiertagsregeln!$AA$7:$AA$480,MATCH($K92,Feiertagsregeln!$A$7:$A$480,0))</f>
        <v>Ganztägig</v>
      </c>
    </row>
    <row r="93" spans="1:15" ht="38" customHeight="1">
      <c r="A93" s="14">
        <f>INDEX(Feiertagsregeln!$X$7:$X$480,MATCH($K93,Feiertagsregeln!$A$7:$A$480,0))</f>
        <v>46966</v>
      </c>
      <c r="B93" s="10" t="str">
        <f t="shared" si="1"/>
        <v>Dienstag</v>
      </c>
      <c r="C93" s="10" t="s">
        <v>67</v>
      </c>
      <c r="D93" s="10" t="s">
        <v>74</v>
      </c>
      <c r="E93" s="10" t="str">
        <f>INDEX(Feiertagsregeln!$D$7:$D$480,MATCH($K93,Feiertagsregeln!$A$7:$A$480,0))</f>
        <v>Bundesfeiertag</v>
      </c>
      <c r="F93" s="10" t="str">
        <f>INDEX(Feiertagsregeln!$E$7:$E$480,MATCH($K93,Feiertagsregeln!$A$7:$A$480,0))</f>
        <v>Fête nationale</v>
      </c>
      <c r="G93" s="21" t="str">
        <f>IF(INDEX(Feiertagsregeln!$F$7:$F$480,MATCH($K93,Feiertagsregeln!$A$7:$A$480,0))="","Noch zu erfassen",INDEX(Feiertagsregeln!$F$7:$F$480,MATCH($K93,Feiertagsregeln!$A$7:$A$480,0)))</f>
        <v>Noch zu erfassen</v>
      </c>
      <c r="H93" s="21" t="str">
        <f>IF(INDEX(Feiertagsregeln!$G$7:$G$480,MATCH($K93,Feiertagsregeln!$A$7:$A$480,0))="","Noch zu erfassen",INDEX(Feiertagsregeln!$G$7:$G$480,MATCH($K93,Feiertagsregeln!$A$7:$A$480,0)))</f>
        <v>Noch zu erfassen</v>
      </c>
      <c r="I93" s="10" t="str">
        <f>INDEX(Feiertagsregeln!$H$7:$H$480,MATCH($K93,Feiertagsregeln!$A$7:$A$480,0))</f>
        <v>proceduralEquivalentDay</v>
      </c>
      <c r="J93" s="10" t="s">
        <v>69</v>
      </c>
      <c r="K93" s="10" t="s">
        <v>152</v>
      </c>
      <c r="L93" s="10" t="str">
        <f>INDEX(Feiertagsregeln!$Y$7:$Y$480,MATCH($K93,Feiertagsregeln!$A$7:$A$480,0))</f>
        <v>SRC-AG-EGZPO</v>
      </c>
      <c r="M93" s="10" t="str">
        <f>INDEX(Feiertagsregeln!$Z$7:$Z$480,MATCH($K93,Feiertagsregeln!$A$7:$A$480,0))</f>
        <v>§ 21</v>
      </c>
      <c r="N93" s="10" t="s">
        <v>71</v>
      </c>
      <c r="O93" s="10" t="str">
        <f>INDEX(Feiertagsregeln!$AA$7:$AA$480,MATCH($K93,Feiertagsregeln!$A$7:$A$480,0))</f>
        <v>Ganztägig</v>
      </c>
    </row>
    <row r="94" spans="1:15" ht="38" customHeight="1">
      <c r="A94" s="15">
        <f>INDEX(Feiertagsregeln!$X$7:$X$480,MATCH($K94,Feiertagsregeln!$A$7:$A$480,0))</f>
        <v>46980</v>
      </c>
      <c r="B94" s="11" t="str">
        <f t="shared" si="1"/>
        <v>Dienstag</v>
      </c>
      <c r="C94" s="11" t="s">
        <v>67</v>
      </c>
      <c r="D94" s="11" t="s">
        <v>74</v>
      </c>
      <c r="E94" s="11" t="str">
        <f>INDEX(Feiertagsregeln!$D$7:$D$480,MATCH($K94,Feiertagsregeln!$A$7:$A$480,0))</f>
        <v>Mariä Himmelfahrt</v>
      </c>
      <c r="F94" s="11" t="str">
        <f>INDEX(Feiertagsregeln!$E$7:$E$480,MATCH($K94,Feiertagsregeln!$A$7:$A$480,0))</f>
        <v>Assomption</v>
      </c>
      <c r="G94" s="22" t="str">
        <f>IF(INDEX(Feiertagsregeln!$F$7:$F$480,MATCH($K94,Feiertagsregeln!$A$7:$A$480,0))="","Noch zu erfassen",INDEX(Feiertagsregeln!$F$7:$F$480,MATCH($K94,Feiertagsregeln!$A$7:$A$480,0)))</f>
        <v>Noch zu erfassen</v>
      </c>
      <c r="H94" s="22" t="str">
        <f>IF(INDEX(Feiertagsregeln!$G$7:$G$480,MATCH($K94,Feiertagsregeln!$A$7:$A$480,0))="","Noch zu erfassen",INDEX(Feiertagsregeln!$G$7:$G$480,MATCH($K94,Feiertagsregeln!$A$7:$A$480,0)))</f>
        <v>Noch zu erfassen</v>
      </c>
      <c r="I94" s="11" t="str">
        <f>INDEX(Feiertagsregeln!$H$7:$H$480,MATCH($K94,Feiertagsregeln!$A$7:$A$480,0))</f>
        <v>proceduralEquivalentDay</v>
      </c>
      <c r="J94" s="11" t="s">
        <v>69</v>
      </c>
      <c r="K94" s="11" t="s">
        <v>153</v>
      </c>
      <c r="L94" s="11" t="str">
        <f>INDEX(Feiertagsregeln!$Y$7:$Y$480,MATCH($K94,Feiertagsregeln!$A$7:$A$480,0))</f>
        <v>SRC-AG-EGZPO</v>
      </c>
      <c r="M94" s="11" t="str">
        <f>INDEX(Feiertagsregeln!$Z$7:$Z$480,MATCH($K94,Feiertagsregeln!$A$7:$A$480,0))</f>
        <v>§ 21</v>
      </c>
      <c r="N94" s="11" t="s">
        <v>71</v>
      </c>
      <c r="O94" s="11" t="str">
        <f>INDEX(Feiertagsregeln!$AA$7:$AA$480,MATCH($K94,Feiertagsregeln!$A$7:$A$480,0))</f>
        <v>Ganztägig</v>
      </c>
    </row>
    <row r="95" spans="1:15" ht="38" customHeight="1">
      <c r="A95" s="14">
        <f>INDEX(Feiertagsregeln!$X$7:$X$480,MATCH($K95,Feiertagsregeln!$A$7:$A$480,0))</f>
        <v>47095</v>
      </c>
      <c r="B95" s="10" t="str">
        <f t="shared" si="1"/>
        <v>Freitag</v>
      </c>
      <c r="C95" s="10" t="s">
        <v>67</v>
      </c>
      <c r="D95" s="10" t="s">
        <v>74</v>
      </c>
      <c r="E95" s="10" t="str">
        <f>INDEX(Feiertagsregeln!$D$7:$D$480,MATCH($K95,Feiertagsregeln!$A$7:$A$480,0))</f>
        <v>Mariä Empfängnis</v>
      </c>
      <c r="F95" s="10" t="str">
        <f>INDEX(Feiertagsregeln!$E$7:$E$480,MATCH($K95,Feiertagsregeln!$A$7:$A$480,0))</f>
        <v>Immaculée Conception</v>
      </c>
      <c r="G95" s="21" t="str">
        <f>IF(INDEX(Feiertagsregeln!$F$7:$F$480,MATCH($K95,Feiertagsregeln!$A$7:$A$480,0))="","Noch zu erfassen",INDEX(Feiertagsregeln!$F$7:$F$480,MATCH($K95,Feiertagsregeln!$A$7:$A$480,0)))</f>
        <v>Noch zu erfassen</v>
      </c>
      <c r="H95" s="21" t="str">
        <f>IF(INDEX(Feiertagsregeln!$G$7:$G$480,MATCH($K95,Feiertagsregeln!$A$7:$A$480,0))="","Noch zu erfassen",INDEX(Feiertagsregeln!$G$7:$G$480,MATCH($K95,Feiertagsregeln!$A$7:$A$480,0)))</f>
        <v>Noch zu erfassen</v>
      </c>
      <c r="I95" s="10" t="str">
        <f>INDEX(Feiertagsregeln!$H$7:$H$480,MATCH($K95,Feiertagsregeln!$A$7:$A$480,0))</f>
        <v>proceduralEquivalentDay</v>
      </c>
      <c r="J95" s="10" t="s">
        <v>69</v>
      </c>
      <c r="K95" s="10" t="s">
        <v>154</v>
      </c>
      <c r="L95" s="10" t="str">
        <f>INDEX(Feiertagsregeln!$Y$7:$Y$480,MATCH($K95,Feiertagsregeln!$A$7:$A$480,0))</f>
        <v>SRC-AG-EGZPO</v>
      </c>
      <c r="M95" s="10" t="str">
        <f>INDEX(Feiertagsregeln!$Z$7:$Z$480,MATCH($K95,Feiertagsregeln!$A$7:$A$480,0))</f>
        <v>§ 21</v>
      </c>
      <c r="N95" s="10" t="s">
        <v>71</v>
      </c>
      <c r="O95" s="10" t="str">
        <f>INDEX(Feiertagsregeln!$AA$7:$AA$480,MATCH($K95,Feiertagsregeln!$A$7:$A$480,0))</f>
        <v>Ganztägig</v>
      </c>
    </row>
    <row r="96" spans="1:15" ht="38" customHeight="1">
      <c r="A96" s="15">
        <f>INDEX(Feiertagsregeln!$X$7:$X$480,MATCH($K96,Feiertagsregeln!$A$7:$A$480,0))</f>
        <v>47112</v>
      </c>
      <c r="B96" s="11" t="str">
        <f t="shared" si="1"/>
        <v>Montag</v>
      </c>
      <c r="C96" s="11" t="s">
        <v>67</v>
      </c>
      <c r="D96" s="11" t="s">
        <v>74</v>
      </c>
      <c r="E96" s="11" t="str">
        <f>INDEX(Feiertagsregeln!$D$7:$D$480,MATCH($K96,Feiertagsregeln!$A$7:$A$480,0))</f>
        <v>Weihnachten</v>
      </c>
      <c r="F96" s="11" t="str">
        <f>INDEX(Feiertagsregeln!$E$7:$E$480,MATCH($K96,Feiertagsregeln!$A$7:$A$480,0))</f>
        <v>Noël</v>
      </c>
      <c r="G96" s="22" t="str">
        <f>IF(INDEX(Feiertagsregeln!$F$7:$F$480,MATCH($K96,Feiertagsregeln!$A$7:$A$480,0))="","Noch zu erfassen",INDEX(Feiertagsregeln!$F$7:$F$480,MATCH($K96,Feiertagsregeln!$A$7:$A$480,0)))</f>
        <v>Noch zu erfassen</v>
      </c>
      <c r="H96" s="22" t="str">
        <f>IF(INDEX(Feiertagsregeln!$G$7:$G$480,MATCH($K96,Feiertagsregeln!$A$7:$A$480,0))="","Noch zu erfassen",INDEX(Feiertagsregeln!$G$7:$G$480,MATCH($K96,Feiertagsregeln!$A$7:$A$480,0)))</f>
        <v>Noch zu erfassen</v>
      </c>
      <c r="I96" s="11" t="str">
        <f>INDEX(Feiertagsregeln!$H$7:$H$480,MATCH($K96,Feiertagsregeln!$A$7:$A$480,0))</f>
        <v>proceduralEquivalentDay</v>
      </c>
      <c r="J96" s="11" t="s">
        <v>69</v>
      </c>
      <c r="K96" s="11" t="s">
        <v>155</v>
      </c>
      <c r="L96" s="11" t="str">
        <f>INDEX(Feiertagsregeln!$Y$7:$Y$480,MATCH($K96,Feiertagsregeln!$A$7:$A$480,0))</f>
        <v>SRC-AG-EGZPO</v>
      </c>
      <c r="M96" s="11" t="str">
        <f>INDEX(Feiertagsregeln!$Z$7:$Z$480,MATCH($K96,Feiertagsregeln!$A$7:$A$480,0))</f>
        <v>§ 21</v>
      </c>
      <c r="N96" s="11" t="s">
        <v>71</v>
      </c>
      <c r="O96" s="11" t="str">
        <f>INDEX(Feiertagsregeln!$AA$7:$AA$480,MATCH($K96,Feiertagsregeln!$A$7:$A$480,0))</f>
        <v>Ganztägig</v>
      </c>
    </row>
    <row r="97" spans="1:15" ht="38" customHeight="1">
      <c r="A97" s="14">
        <f>INDEX(Feiertagsregeln!$X$7:$X$480,MATCH($K97,Feiertagsregeln!$A$7:$A$480,0))</f>
        <v>47113</v>
      </c>
      <c r="B97" s="10" t="str">
        <f t="shared" si="1"/>
        <v>Dienstag</v>
      </c>
      <c r="C97" s="10" t="s">
        <v>67</v>
      </c>
      <c r="D97" s="10" t="s">
        <v>74</v>
      </c>
      <c r="E97" s="10" t="str">
        <f>INDEX(Feiertagsregeln!$D$7:$D$480,MATCH($K97,Feiertagsregeln!$A$7:$A$480,0))</f>
        <v>Stephanstag</v>
      </c>
      <c r="F97" s="10" t="str">
        <f>INDEX(Feiertagsregeln!$E$7:$E$480,MATCH($K97,Feiertagsregeln!$A$7:$A$480,0))</f>
        <v>Saint-Étienne</v>
      </c>
      <c r="G97" s="21" t="str">
        <f>IF(INDEX(Feiertagsregeln!$F$7:$F$480,MATCH($K97,Feiertagsregeln!$A$7:$A$480,0))="","Noch zu erfassen",INDEX(Feiertagsregeln!$F$7:$F$480,MATCH($K97,Feiertagsregeln!$A$7:$A$480,0)))</f>
        <v>Noch zu erfassen</v>
      </c>
      <c r="H97" s="21" t="str">
        <f>IF(INDEX(Feiertagsregeln!$G$7:$G$480,MATCH($K97,Feiertagsregeln!$A$7:$A$480,0))="","Noch zu erfassen",INDEX(Feiertagsregeln!$G$7:$G$480,MATCH($K97,Feiertagsregeln!$A$7:$A$480,0)))</f>
        <v>Noch zu erfassen</v>
      </c>
      <c r="I97" s="10" t="str">
        <f>INDEX(Feiertagsregeln!$H$7:$H$480,MATCH($K97,Feiertagsregeln!$A$7:$A$480,0))</f>
        <v>proceduralEquivalentDay</v>
      </c>
      <c r="J97" s="10" t="s">
        <v>69</v>
      </c>
      <c r="K97" s="10" t="s">
        <v>156</v>
      </c>
      <c r="L97" s="10" t="str">
        <f>INDEX(Feiertagsregeln!$Y$7:$Y$480,MATCH($K97,Feiertagsregeln!$A$7:$A$480,0))</f>
        <v>SRC-AG-EGZPO</v>
      </c>
      <c r="M97" s="10" t="str">
        <f>INDEX(Feiertagsregeln!$Z$7:$Z$480,MATCH($K97,Feiertagsregeln!$A$7:$A$480,0))</f>
        <v>§ 21</v>
      </c>
      <c r="N97" s="10" t="s">
        <v>71</v>
      </c>
      <c r="O97" s="10" t="str">
        <f>INDEX(Feiertagsregeln!$AA$7:$AA$480,MATCH($K97,Feiertagsregeln!$A$7:$A$480,0))</f>
        <v>Ganztägig</v>
      </c>
    </row>
    <row r="98" spans="1:15" ht="38" customHeight="1">
      <c r="A98" s="15">
        <f>INDEX(Feiertagsregeln!$X$7:$X$480,MATCH($K98,Feiertagsregeln!$A$7:$A$480,0))</f>
        <v>46966</v>
      </c>
      <c r="B98" s="11" t="str">
        <f t="shared" si="1"/>
        <v>Dienstag</v>
      </c>
      <c r="C98" s="11" t="s">
        <v>67</v>
      </c>
      <c r="D98" s="11" t="s">
        <v>76</v>
      </c>
      <c r="E98" s="11" t="str">
        <f>INDEX(Feiertagsregeln!$D$7:$D$480,MATCH($K98,Feiertagsregeln!$A$7:$A$480,0))</f>
        <v>Bundesfeiertag</v>
      </c>
      <c r="F98" s="11" t="str">
        <f>INDEX(Feiertagsregeln!$E$7:$E$480,MATCH($K98,Feiertagsregeln!$A$7:$A$480,0))</f>
        <v>Fête nationale</v>
      </c>
      <c r="G98" s="22" t="str">
        <f>IF(INDEX(Feiertagsregeln!$F$7:$F$480,MATCH($K98,Feiertagsregeln!$A$7:$A$480,0))="","Noch zu erfassen",INDEX(Feiertagsregeln!$F$7:$F$480,MATCH($K98,Feiertagsregeln!$A$7:$A$480,0)))</f>
        <v>Noch zu erfassen</v>
      </c>
      <c r="H98" s="22" t="str">
        <f>IF(INDEX(Feiertagsregeln!$G$7:$G$480,MATCH($K98,Feiertagsregeln!$A$7:$A$480,0))="","Noch zu erfassen",INDEX(Feiertagsregeln!$G$7:$G$480,MATCH($K98,Feiertagsregeln!$A$7:$A$480,0)))</f>
        <v>Noch zu erfassen</v>
      </c>
      <c r="I98" s="11" t="str">
        <f>INDEX(Feiertagsregeln!$H$7:$H$480,MATCH($K98,Feiertagsregeln!$A$7:$A$480,0))</f>
        <v>publicHoliday</v>
      </c>
      <c r="J98" s="11" t="s">
        <v>69</v>
      </c>
      <c r="K98" s="11" t="s">
        <v>51</v>
      </c>
      <c r="L98" s="11" t="str">
        <f>INDEX(Feiertagsregeln!$Y$7:$Y$480,MATCH($K98,Feiertagsregeln!$A$7:$A$480,0))</f>
        <v>SRC-BUNDESFEIERTAG-19940701</v>
      </c>
      <c r="M98" s="11" t="str">
        <f>INDEX(Feiertagsregeln!$Z$7:$Z$480,MATCH($K98,Feiertagsregeln!$A$7:$A$480,0))</f>
        <v>Art. 1</v>
      </c>
      <c r="N98" s="11" t="s">
        <v>71</v>
      </c>
      <c r="O98" s="11" t="str">
        <f>INDEX(Feiertagsregeln!$AA$7:$AA$480,MATCH($K98,Feiertagsregeln!$A$7:$A$480,0))</f>
        <v>Ganztägig</v>
      </c>
    </row>
    <row r="99" spans="1:15" ht="38" customHeight="1">
      <c r="A99" s="14">
        <f>INDEX(Feiertagsregeln!$X$7:$X$480,MATCH($K99,Feiertagsregeln!$A$7:$A$480,0))</f>
        <v>46966</v>
      </c>
      <c r="B99" s="10" t="str">
        <f t="shared" si="1"/>
        <v>Dienstag</v>
      </c>
      <c r="C99" s="10" t="s">
        <v>67</v>
      </c>
      <c r="D99" s="10" t="s">
        <v>72</v>
      </c>
      <c r="E99" s="10" t="str">
        <f>INDEX(Feiertagsregeln!$D$7:$D$480,MATCH($K99,Feiertagsregeln!$A$7:$A$480,0))</f>
        <v>Bundesfeiertag</v>
      </c>
      <c r="F99" s="10" t="str">
        <f>INDEX(Feiertagsregeln!$E$7:$E$480,MATCH($K99,Feiertagsregeln!$A$7:$A$480,0))</f>
        <v>Fête nationale</v>
      </c>
      <c r="G99" s="21" t="str">
        <f>IF(INDEX(Feiertagsregeln!$F$7:$F$480,MATCH($K99,Feiertagsregeln!$A$7:$A$480,0))="","Noch zu erfassen",INDEX(Feiertagsregeln!$F$7:$F$480,MATCH($K99,Feiertagsregeln!$A$7:$A$480,0)))</f>
        <v>Noch zu erfassen</v>
      </c>
      <c r="H99" s="21" t="str">
        <f>IF(INDEX(Feiertagsregeln!$G$7:$G$480,MATCH($K99,Feiertagsregeln!$A$7:$A$480,0))="","Noch zu erfassen",INDEX(Feiertagsregeln!$G$7:$G$480,MATCH($K99,Feiertagsregeln!$A$7:$A$480,0)))</f>
        <v>Noch zu erfassen</v>
      </c>
      <c r="I99" s="10" t="str">
        <f>INDEX(Feiertagsregeln!$H$7:$H$480,MATCH($K99,Feiertagsregeln!$A$7:$A$480,0))</f>
        <v>publicHoliday</v>
      </c>
      <c r="J99" s="10" t="s">
        <v>69</v>
      </c>
      <c r="K99" s="10" t="s">
        <v>51</v>
      </c>
      <c r="L99" s="10" t="str">
        <f>INDEX(Feiertagsregeln!$Y$7:$Y$480,MATCH($K99,Feiertagsregeln!$A$7:$A$480,0))</f>
        <v>SRC-BUNDESFEIERTAG-19940701</v>
      </c>
      <c r="M99" s="10" t="str">
        <f>INDEX(Feiertagsregeln!$Z$7:$Z$480,MATCH($K99,Feiertagsregeln!$A$7:$A$480,0))</f>
        <v>Art. 1</v>
      </c>
      <c r="N99" s="10" t="s">
        <v>71</v>
      </c>
      <c r="O99" s="10" t="str">
        <f>INDEX(Feiertagsregeln!$AA$7:$AA$480,MATCH($K99,Feiertagsregeln!$A$7:$A$480,0))</f>
        <v>Ganztägig</v>
      </c>
    </row>
    <row r="100" spans="1:15" ht="38" customHeight="1">
      <c r="A100" s="15">
        <f>INDEX(Feiertagsregeln!$X$7:$X$480,MATCH($K100,Feiertagsregeln!$A$7:$A$480,0))</f>
        <v>46966</v>
      </c>
      <c r="B100" s="11" t="str">
        <f t="shared" si="1"/>
        <v>Dienstag</v>
      </c>
      <c r="C100" s="11" t="s">
        <v>67</v>
      </c>
      <c r="D100" s="11" t="s">
        <v>68</v>
      </c>
      <c r="E100" s="11" t="str">
        <f>INDEX(Feiertagsregeln!$D$7:$D$480,MATCH($K100,Feiertagsregeln!$A$7:$A$480,0))</f>
        <v>Bundesfeiertag</v>
      </c>
      <c r="F100" s="11" t="str">
        <f>INDEX(Feiertagsregeln!$E$7:$E$480,MATCH($K100,Feiertagsregeln!$A$7:$A$480,0))</f>
        <v>Fête nationale</v>
      </c>
      <c r="G100" s="22" t="str">
        <f>IF(INDEX(Feiertagsregeln!$F$7:$F$480,MATCH($K100,Feiertagsregeln!$A$7:$A$480,0))="","Noch zu erfassen",INDEX(Feiertagsregeln!$F$7:$F$480,MATCH($K100,Feiertagsregeln!$A$7:$A$480,0)))</f>
        <v>Noch zu erfassen</v>
      </c>
      <c r="H100" s="22" t="str">
        <f>IF(INDEX(Feiertagsregeln!$G$7:$G$480,MATCH($K100,Feiertagsregeln!$A$7:$A$480,0))="","Noch zu erfassen",INDEX(Feiertagsregeln!$G$7:$G$480,MATCH($K100,Feiertagsregeln!$A$7:$A$480,0)))</f>
        <v>Noch zu erfassen</v>
      </c>
      <c r="I100" s="11" t="str">
        <f>INDEX(Feiertagsregeln!$H$7:$H$480,MATCH($K100,Feiertagsregeln!$A$7:$A$480,0))</f>
        <v>publicHoliday</v>
      </c>
      <c r="J100" s="11" t="s">
        <v>69</v>
      </c>
      <c r="K100" s="11" t="s">
        <v>51</v>
      </c>
      <c r="L100" s="11" t="str">
        <f>INDEX(Feiertagsregeln!$Y$7:$Y$480,MATCH($K100,Feiertagsregeln!$A$7:$A$480,0))</f>
        <v>SRC-BUNDESFEIERTAG-19940701</v>
      </c>
      <c r="M100" s="11" t="str">
        <f>INDEX(Feiertagsregeln!$Z$7:$Z$480,MATCH($K100,Feiertagsregeln!$A$7:$A$480,0))</f>
        <v>Art. 1</v>
      </c>
      <c r="N100" s="11" t="s">
        <v>71</v>
      </c>
      <c r="O100" s="11" t="str">
        <f>INDEX(Feiertagsregeln!$AA$7:$AA$480,MATCH($K100,Feiertagsregeln!$A$7:$A$480,0))</f>
        <v>Ganztägig</v>
      </c>
    </row>
    <row r="101" spans="1:15" ht="38" customHeight="1">
      <c r="A101" s="14">
        <f>INDEX(Feiertagsregeln!$X$7:$X$480,MATCH($K101,Feiertagsregeln!$A$7:$A$480,0))</f>
        <v>46966</v>
      </c>
      <c r="B101" s="10" t="str">
        <f t="shared" si="1"/>
        <v>Dienstag</v>
      </c>
      <c r="C101" s="10" t="s">
        <v>67</v>
      </c>
      <c r="D101" s="10" t="s">
        <v>99</v>
      </c>
      <c r="E101" s="10" t="str">
        <f>INDEX(Feiertagsregeln!$D$7:$D$480,MATCH($K101,Feiertagsregeln!$A$7:$A$480,0))</f>
        <v>Bundesfeiertag</v>
      </c>
      <c r="F101" s="10" t="str">
        <f>INDEX(Feiertagsregeln!$E$7:$E$480,MATCH($K101,Feiertagsregeln!$A$7:$A$480,0))</f>
        <v>Fête nationale</v>
      </c>
      <c r="G101" s="21" t="str">
        <f>IF(INDEX(Feiertagsregeln!$F$7:$F$480,MATCH($K101,Feiertagsregeln!$A$7:$A$480,0))="","Noch zu erfassen",INDEX(Feiertagsregeln!$F$7:$F$480,MATCH($K101,Feiertagsregeln!$A$7:$A$480,0)))</f>
        <v>Noch zu erfassen</v>
      </c>
      <c r="H101" s="21" t="str">
        <f>IF(INDEX(Feiertagsregeln!$G$7:$G$480,MATCH($K101,Feiertagsregeln!$A$7:$A$480,0))="","Noch zu erfassen",INDEX(Feiertagsregeln!$G$7:$G$480,MATCH($K101,Feiertagsregeln!$A$7:$A$480,0)))</f>
        <v>Noch zu erfassen</v>
      </c>
      <c r="I101" s="10" t="str">
        <f>INDEX(Feiertagsregeln!$H$7:$H$480,MATCH($K101,Feiertagsregeln!$A$7:$A$480,0))</f>
        <v>publicHoliday</v>
      </c>
      <c r="J101" s="10" t="s">
        <v>69</v>
      </c>
      <c r="K101" s="10" t="s">
        <v>51</v>
      </c>
      <c r="L101" s="10" t="str">
        <f>INDEX(Feiertagsregeln!$Y$7:$Y$480,MATCH($K101,Feiertagsregeln!$A$7:$A$480,0))</f>
        <v>SRC-BUNDESFEIERTAG-19940701</v>
      </c>
      <c r="M101" s="10" t="str">
        <f>INDEX(Feiertagsregeln!$Z$7:$Z$480,MATCH($K101,Feiertagsregeln!$A$7:$A$480,0))</f>
        <v>Art. 1</v>
      </c>
      <c r="N101" s="10" t="s">
        <v>71</v>
      </c>
      <c r="O101" s="10" t="str">
        <f>INDEX(Feiertagsregeln!$AA$7:$AA$480,MATCH($K101,Feiertagsregeln!$A$7:$A$480,0))</f>
        <v>Ganztägig</v>
      </c>
    </row>
    <row r="102" spans="1:15" ht="38" customHeight="1">
      <c r="A102" s="15">
        <f>INDEX(Feiertagsregeln!$X$7:$X$480,MATCH($K102,Feiertagsregeln!$A$7:$A$480,0))</f>
        <v>46966</v>
      </c>
      <c r="B102" s="11" t="str">
        <f t="shared" si="1"/>
        <v>Dienstag</v>
      </c>
      <c r="C102" s="11" t="s">
        <v>67</v>
      </c>
      <c r="D102" s="11" t="s">
        <v>108</v>
      </c>
      <c r="E102" s="11" t="str">
        <f>INDEX(Feiertagsregeln!$D$7:$D$480,MATCH($K102,Feiertagsregeln!$A$7:$A$480,0))</f>
        <v>Bundesfeiertag</v>
      </c>
      <c r="F102" s="11" t="str">
        <f>INDEX(Feiertagsregeln!$E$7:$E$480,MATCH($K102,Feiertagsregeln!$A$7:$A$480,0))</f>
        <v>Fête nationale</v>
      </c>
      <c r="G102" s="22" t="str">
        <f>IF(INDEX(Feiertagsregeln!$F$7:$F$480,MATCH($K102,Feiertagsregeln!$A$7:$A$480,0))="","Noch zu erfassen",INDEX(Feiertagsregeln!$F$7:$F$480,MATCH($K102,Feiertagsregeln!$A$7:$A$480,0)))</f>
        <v>Noch zu erfassen</v>
      </c>
      <c r="H102" s="22" t="str">
        <f>IF(INDEX(Feiertagsregeln!$G$7:$G$480,MATCH($K102,Feiertagsregeln!$A$7:$A$480,0))="","Noch zu erfassen",INDEX(Feiertagsregeln!$G$7:$G$480,MATCH($K102,Feiertagsregeln!$A$7:$A$480,0)))</f>
        <v>Noch zu erfassen</v>
      </c>
      <c r="I102" s="11" t="str">
        <f>INDEX(Feiertagsregeln!$H$7:$H$480,MATCH($K102,Feiertagsregeln!$A$7:$A$480,0))</f>
        <v>publicHoliday</v>
      </c>
      <c r="J102" s="11" t="s">
        <v>69</v>
      </c>
      <c r="K102" s="11" t="s">
        <v>51</v>
      </c>
      <c r="L102" s="11" t="str">
        <f>INDEX(Feiertagsregeln!$Y$7:$Y$480,MATCH($K102,Feiertagsregeln!$A$7:$A$480,0))</f>
        <v>SRC-BUNDESFEIERTAG-19940701</v>
      </c>
      <c r="M102" s="11" t="str">
        <f>INDEX(Feiertagsregeln!$Z$7:$Z$480,MATCH($K102,Feiertagsregeln!$A$7:$A$480,0))</f>
        <v>Art. 1</v>
      </c>
      <c r="N102" s="11" t="s">
        <v>71</v>
      </c>
      <c r="O102" s="11" t="str">
        <f>INDEX(Feiertagsregeln!$AA$7:$AA$480,MATCH($K102,Feiertagsregeln!$A$7:$A$480,0))</f>
        <v>Ganztägig</v>
      </c>
    </row>
    <row r="103" spans="1:15" ht="38" customHeight="1">
      <c r="A103" s="14">
        <f>INDEX(Feiertagsregeln!$X$7:$X$480,MATCH($K103,Feiertagsregeln!$A$7:$A$480,0))</f>
        <v>46966</v>
      </c>
      <c r="B103" s="10" t="str">
        <f t="shared" si="1"/>
        <v>Dienstag</v>
      </c>
      <c r="C103" s="10" t="s">
        <v>67</v>
      </c>
      <c r="D103" s="10" t="s">
        <v>117</v>
      </c>
      <c r="E103" s="10" t="str">
        <f>INDEX(Feiertagsregeln!$D$7:$D$480,MATCH($K103,Feiertagsregeln!$A$7:$A$480,0))</f>
        <v>Bundesfeiertag</v>
      </c>
      <c r="F103" s="10" t="str">
        <f>INDEX(Feiertagsregeln!$E$7:$E$480,MATCH($K103,Feiertagsregeln!$A$7:$A$480,0))</f>
        <v>Fête nationale</v>
      </c>
      <c r="G103" s="21" t="str">
        <f>IF(INDEX(Feiertagsregeln!$F$7:$F$480,MATCH($K103,Feiertagsregeln!$A$7:$A$480,0))="","Noch zu erfassen",INDEX(Feiertagsregeln!$F$7:$F$480,MATCH($K103,Feiertagsregeln!$A$7:$A$480,0)))</f>
        <v>Noch zu erfassen</v>
      </c>
      <c r="H103" s="21" t="str">
        <f>IF(INDEX(Feiertagsregeln!$G$7:$G$480,MATCH($K103,Feiertagsregeln!$A$7:$A$480,0))="","Noch zu erfassen",INDEX(Feiertagsregeln!$G$7:$G$480,MATCH($K103,Feiertagsregeln!$A$7:$A$480,0)))</f>
        <v>Noch zu erfassen</v>
      </c>
      <c r="I103" s="10" t="str">
        <f>INDEX(Feiertagsregeln!$H$7:$H$480,MATCH($K103,Feiertagsregeln!$A$7:$A$480,0))</f>
        <v>publicHoliday</v>
      </c>
      <c r="J103" s="10" t="s">
        <v>69</v>
      </c>
      <c r="K103" s="10" t="s">
        <v>51</v>
      </c>
      <c r="L103" s="10" t="str">
        <f>INDEX(Feiertagsregeln!$Y$7:$Y$480,MATCH($K103,Feiertagsregeln!$A$7:$A$480,0))</f>
        <v>SRC-BUNDESFEIERTAG-19940701</v>
      </c>
      <c r="M103" s="10" t="str">
        <f>INDEX(Feiertagsregeln!$Z$7:$Z$480,MATCH($K103,Feiertagsregeln!$A$7:$A$480,0))</f>
        <v>Art. 1</v>
      </c>
      <c r="N103" s="10" t="s">
        <v>71</v>
      </c>
      <c r="O103" s="10" t="str">
        <f>INDEX(Feiertagsregeln!$AA$7:$AA$480,MATCH($K103,Feiertagsregeln!$A$7:$A$480,0))</f>
        <v>Ganztägig</v>
      </c>
    </row>
    <row r="104" spans="1:15" ht="38" customHeight="1">
      <c r="A104" s="15">
        <f>INDEX(Feiertagsregeln!$X$7:$X$480,MATCH($K104,Feiertagsregeln!$A$7:$A$480,0))</f>
        <v>46966</v>
      </c>
      <c r="B104" s="11" t="str">
        <f t="shared" si="1"/>
        <v>Dienstag</v>
      </c>
      <c r="C104" s="11" t="s">
        <v>67</v>
      </c>
      <c r="D104" s="11" t="s">
        <v>126</v>
      </c>
      <c r="E104" s="11" t="str">
        <f>INDEX(Feiertagsregeln!$D$7:$D$480,MATCH($K104,Feiertagsregeln!$A$7:$A$480,0))</f>
        <v>Bundesfeiertag</v>
      </c>
      <c r="F104" s="11" t="str">
        <f>INDEX(Feiertagsregeln!$E$7:$E$480,MATCH($K104,Feiertagsregeln!$A$7:$A$480,0))</f>
        <v>Fête nationale</v>
      </c>
      <c r="G104" s="22" t="str">
        <f>IF(INDEX(Feiertagsregeln!$F$7:$F$480,MATCH($K104,Feiertagsregeln!$A$7:$A$480,0))="","Noch zu erfassen",INDEX(Feiertagsregeln!$F$7:$F$480,MATCH($K104,Feiertagsregeln!$A$7:$A$480,0)))</f>
        <v>Noch zu erfassen</v>
      </c>
      <c r="H104" s="22" t="str">
        <f>IF(INDEX(Feiertagsregeln!$G$7:$G$480,MATCH($K104,Feiertagsregeln!$A$7:$A$480,0))="","Noch zu erfassen",INDEX(Feiertagsregeln!$G$7:$G$480,MATCH($K104,Feiertagsregeln!$A$7:$A$480,0)))</f>
        <v>Noch zu erfassen</v>
      </c>
      <c r="I104" s="11" t="str">
        <f>INDEX(Feiertagsregeln!$H$7:$H$480,MATCH($K104,Feiertagsregeln!$A$7:$A$480,0))</f>
        <v>publicHoliday</v>
      </c>
      <c r="J104" s="11" t="s">
        <v>69</v>
      </c>
      <c r="K104" s="11" t="s">
        <v>51</v>
      </c>
      <c r="L104" s="11" t="str">
        <f>INDEX(Feiertagsregeln!$Y$7:$Y$480,MATCH($K104,Feiertagsregeln!$A$7:$A$480,0))</f>
        <v>SRC-BUNDESFEIERTAG-19940701</v>
      </c>
      <c r="M104" s="11" t="str">
        <f>INDEX(Feiertagsregeln!$Z$7:$Z$480,MATCH($K104,Feiertagsregeln!$A$7:$A$480,0))</f>
        <v>Art. 1</v>
      </c>
      <c r="N104" s="11" t="s">
        <v>71</v>
      </c>
      <c r="O104" s="11" t="str">
        <f>INDEX(Feiertagsregeln!$AA$7:$AA$480,MATCH($K104,Feiertagsregeln!$A$7:$A$480,0))</f>
        <v>Ganztägig</v>
      </c>
    </row>
    <row r="105" spans="1:15" ht="38" customHeight="1">
      <c r="A105" s="14">
        <f>INDEX(Feiertagsregeln!$X$7:$X$480,MATCH($K105,Feiertagsregeln!$A$7:$A$480,0))</f>
        <v>46966</v>
      </c>
      <c r="B105" s="10" t="str">
        <f t="shared" si="1"/>
        <v>Dienstag</v>
      </c>
      <c r="C105" s="10" t="s">
        <v>67</v>
      </c>
      <c r="D105" s="10" t="s">
        <v>135</v>
      </c>
      <c r="E105" s="10" t="str">
        <f>INDEX(Feiertagsregeln!$D$7:$D$480,MATCH($K105,Feiertagsregeln!$A$7:$A$480,0))</f>
        <v>Bundesfeiertag</v>
      </c>
      <c r="F105" s="10" t="str">
        <f>INDEX(Feiertagsregeln!$E$7:$E$480,MATCH($K105,Feiertagsregeln!$A$7:$A$480,0))</f>
        <v>Fête nationale</v>
      </c>
      <c r="G105" s="21" t="str">
        <f>IF(INDEX(Feiertagsregeln!$F$7:$F$480,MATCH($K105,Feiertagsregeln!$A$7:$A$480,0))="","Noch zu erfassen",INDEX(Feiertagsregeln!$F$7:$F$480,MATCH($K105,Feiertagsregeln!$A$7:$A$480,0)))</f>
        <v>Noch zu erfassen</v>
      </c>
      <c r="H105" s="21" t="str">
        <f>IF(INDEX(Feiertagsregeln!$G$7:$G$480,MATCH($K105,Feiertagsregeln!$A$7:$A$480,0))="","Noch zu erfassen",INDEX(Feiertagsregeln!$G$7:$G$480,MATCH($K105,Feiertagsregeln!$A$7:$A$480,0)))</f>
        <v>Noch zu erfassen</v>
      </c>
      <c r="I105" s="10" t="str">
        <f>INDEX(Feiertagsregeln!$H$7:$H$480,MATCH($K105,Feiertagsregeln!$A$7:$A$480,0))</f>
        <v>publicHoliday</v>
      </c>
      <c r="J105" s="10" t="s">
        <v>69</v>
      </c>
      <c r="K105" s="10" t="s">
        <v>51</v>
      </c>
      <c r="L105" s="10" t="str">
        <f>INDEX(Feiertagsregeln!$Y$7:$Y$480,MATCH($K105,Feiertagsregeln!$A$7:$A$480,0))</f>
        <v>SRC-BUNDESFEIERTAG-19940701</v>
      </c>
      <c r="M105" s="10" t="str">
        <f>INDEX(Feiertagsregeln!$Z$7:$Z$480,MATCH($K105,Feiertagsregeln!$A$7:$A$480,0))</f>
        <v>Art. 1</v>
      </c>
      <c r="N105" s="10" t="s">
        <v>71</v>
      </c>
      <c r="O105" s="10" t="str">
        <f>INDEX(Feiertagsregeln!$AA$7:$AA$480,MATCH($K105,Feiertagsregeln!$A$7:$A$480,0))</f>
        <v>Ganztägig</v>
      </c>
    </row>
    <row r="106" spans="1:15" ht="42" customHeight="1">
      <c r="A106" s="15">
        <f>INDEX(Feiertagsregeln!$X$7:$X$480,MATCH($K106,Feiertagsregeln!$A$7:$A$480,0))</f>
        <v>46753</v>
      </c>
      <c r="B106" s="11" t="str">
        <f t="shared" si="1"/>
        <v>Samstag</v>
      </c>
      <c r="C106" s="11" t="s">
        <v>157</v>
      </c>
      <c r="D106" s="11" t="s">
        <v>158</v>
      </c>
      <c r="E106" s="11" t="str">
        <f>INDEX(Feiertagsregeln!$D$7:$D$480,MATCH($K106,Feiertagsregeln!$A$7:$A$480,0))</f>
        <v>Neujahr</v>
      </c>
      <c r="F106" s="11" t="str">
        <f>INDEX(Feiertagsregeln!$E$7:$E$480,MATCH($K106,Feiertagsregeln!$A$7:$A$480,0))</f>
        <v>Nouvel An</v>
      </c>
      <c r="G106" s="22" t="str">
        <f>IF(INDEX(Feiertagsregeln!$F$7:$F$480,MATCH($K106,Feiertagsregeln!$A$7:$A$480,0))="","Noch zu erfassen",INDEX(Feiertagsregeln!$F$7:$F$480,MATCH($K106,Feiertagsregeln!$A$7:$A$480,0)))</f>
        <v>Capo d’anno</v>
      </c>
      <c r="H106" s="22" t="str">
        <f>IF(INDEX(Feiertagsregeln!$G$7:$G$480,MATCH($K106,Feiertagsregeln!$A$7:$A$480,0))="","Noch zu erfassen",INDEX(Feiertagsregeln!$G$7:$G$480,MATCH($K106,Feiertagsregeln!$A$7:$A$480,0)))</f>
        <v>Bumaun</v>
      </c>
      <c r="I106" s="11" t="str">
        <f>INDEX(Feiertagsregeln!$H$7:$H$480,MATCH($K106,Feiertagsregeln!$A$7:$A$480,0))</f>
        <v>publicHoliday</v>
      </c>
      <c r="J106" s="11" t="s">
        <v>69</v>
      </c>
      <c r="K106" s="11" t="s">
        <v>159</v>
      </c>
      <c r="L106" s="11" t="str">
        <f>INDEX(Feiertagsregeln!$Y$7:$Y$480,MATCH($K106,Feiertagsregeln!$A$7:$A$480,0))</f>
        <v>SRC-TI-FEIERTAGE-843200</v>
      </c>
      <c r="M106" s="11" t="str">
        <f>INDEX(Feiertagsregeln!$Z$7:$Z$480,MATCH($K106,Feiertagsregeln!$A$7:$A$480,0))</f>
        <v>Art. 1</v>
      </c>
      <c r="N106" s="11" t="s">
        <v>160</v>
      </c>
      <c r="O106" s="11" t="str">
        <f>INDEX(Feiertagsregeln!$AA$7:$AA$480,MATCH($K106,Feiertagsregeln!$A$7:$A$480,0))</f>
        <v>Ganztägig</v>
      </c>
    </row>
    <row r="107" spans="1:15" ht="42" customHeight="1">
      <c r="A107" s="14">
        <f>INDEX(Feiertagsregeln!$X$7:$X$480,MATCH($K107,Feiertagsregeln!$A$7:$A$480,0))</f>
        <v>46758</v>
      </c>
      <c r="B107" s="10" t="str">
        <f t="shared" si="1"/>
        <v>Donnerstag</v>
      </c>
      <c r="C107" s="10" t="s">
        <v>157</v>
      </c>
      <c r="D107" s="10" t="s">
        <v>158</v>
      </c>
      <c r="E107" s="10" t="str">
        <f>INDEX(Feiertagsregeln!$D$7:$D$480,MATCH($K107,Feiertagsregeln!$A$7:$A$480,0))</f>
        <v>Heilige Drei Könige</v>
      </c>
      <c r="F107" s="10" t="str">
        <f>INDEX(Feiertagsregeln!$E$7:$E$480,MATCH($K107,Feiertagsregeln!$A$7:$A$480,0))</f>
        <v>Épiphanie</v>
      </c>
      <c r="G107" s="21" t="str">
        <f>IF(INDEX(Feiertagsregeln!$F$7:$F$480,MATCH($K107,Feiertagsregeln!$A$7:$A$480,0))="","Noch zu erfassen",INDEX(Feiertagsregeln!$F$7:$F$480,MATCH($K107,Feiertagsregeln!$A$7:$A$480,0)))</f>
        <v>Epifania</v>
      </c>
      <c r="H107" s="21" t="str">
        <f>IF(INDEX(Feiertagsregeln!$G$7:$G$480,MATCH($K107,Feiertagsregeln!$A$7:$A$480,0))="","Noch zu erfassen",INDEX(Feiertagsregeln!$G$7:$G$480,MATCH($K107,Feiertagsregeln!$A$7:$A$480,0)))</f>
        <v>Bavania</v>
      </c>
      <c r="I107" s="10" t="str">
        <f>INDEX(Feiertagsregeln!$H$7:$H$480,MATCH($K107,Feiertagsregeln!$A$7:$A$480,0))</f>
        <v>publicHoliday</v>
      </c>
      <c r="J107" s="10" t="s">
        <v>69</v>
      </c>
      <c r="K107" s="10" t="s">
        <v>161</v>
      </c>
      <c r="L107" s="10" t="str">
        <f>INDEX(Feiertagsregeln!$Y$7:$Y$480,MATCH($K107,Feiertagsregeln!$A$7:$A$480,0))</f>
        <v>SRC-TI-FEIERTAGE-843200</v>
      </c>
      <c r="M107" s="10" t="str">
        <f>INDEX(Feiertagsregeln!$Z$7:$Z$480,MATCH($K107,Feiertagsregeln!$A$7:$A$480,0))</f>
        <v>Art. 1</v>
      </c>
      <c r="N107" s="10" t="s">
        <v>162</v>
      </c>
      <c r="O107" s="10" t="str">
        <f>INDEX(Feiertagsregeln!$AA$7:$AA$480,MATCH($K107,Feiertagsregeln!$A$7:$A$480,0))</f>
        <v>Ganztägig</v>
      </c>
    </row>
    <row r="108" spans="1:15" ht="42" customHeight="1">
      <c r="A108" s="15">
        <f>INDEX(Feiertagsregeln!$X$7:$X$480,MATCH($K108,Feiertagsregeln!$A$7:$A$480,0))</f>
        <v>46831</v>
      </c>
      <c r="B108" s="11" t="str">
        <f t="shared" si="1"/>
        <v>Sonntag</v>
      </c>
      <c r="C108" s="11" t="s">
        <v>157</v>
      </c>
      <c r="D108" s="11" t="s">
        <v>158</v>
      </c>
      <c r="E108" s="11" t="str">
        <f>INDEX(Feiertagsregeln!$D$7:$D$480,MATCH($K108,Feiertagsregeln!$A$7:$A$480,0))</f>
        <v>Josefstag</v>
      </c>
      <c r="F108" s="11" t="str">
        <f>INDEX(Feiertagsregeln!$E$7:$E$480,MATCH($K108,Feiertagsregeln!$A$7:$A$480,0))</f>
        <v>Saint-Joseph</v>
      </c>
      <c r="G108" s="22" t="str">
        <f>IF(INDEX(Feiertagsregeln!$F$7:$F$480,MATCH($K108,Feiertagsregeln!$A$7:$A$480,0))="","Noch zu erfassen",INDEX(Feiertagsregeln!$F$7:$F$480,MATCH($K108,Feiertagsregeln!$A$7:$A$480,0)))</f>
        <v>San Giuseppe</v>
      </c>
      <c r="H108" s="22" t="str">
        <f>IF(INDEX(Feiertagsregeln!$G$7:$G$480,MATCH($K108,Feiertagsregeln!$A$7:$A$480,0))="","Noch zu erfassen",INDEX(Feiertagsregeln!$G$7:$G$480,MATCH($K108,Feiertagsregeln!$A$7:$A$480,0)))</f>
        <v>Son Giusep</v>
      </c>
      <c r="I108" s="11" t="str">
        <f>INDEX(Feiertagsregeln!$H$7:$H$480,MATCH($K108,Feiertagsregeln!$A$7:$A$480,0))</f>
        <v>publicHoliday</v>
      </c>
      <c r="J108" s="11" t="s">
        <v>69</v>
      </c>
      <c r="K108" s="11" t="s">
        <v>163</v>
      </c>
      <c r="L108" s="11" t="str">
        <f>INDEX(Feiertagsregeln!$Y$7:$Y$480,MATCH($K108,Feiertagsregeln!$A$7:$A$480,0))</f>
        <v>SRC-TI-FEIERTAGE-843200</v>
      </c>
      <c r="M108" s="11" t="str">
        <f>INDEX(Feiertagsregeln!$Z$7:$Z$480,MATCH($K108,Feiertagsregeln!$A$7:$A$480,0))</f>
        <v>Art. 1</v>
      </c>
      <c r="N108" s="11" t="s">
        <v>162</v>
      </c>
      <c r="O108" s="11" t="str">
        <f>INDEX(Feiertagsregeln!$AA$7:$AA$480,MATCH($K108,Feiertagsregeln!$A$7:$A$480,0))</f>
        <v>Ganztägig</v>
      </c>
    </row>
    <row r="109" spans="1:15" ht="42" customHeight="1">
      <c r="A109" s="14">
        <f>INDEX(Feiertagsregeln!$X$7:$X$480,MATCH($K109,Feiertagsregeln!$A$7:$A$480,0))</f>
        <v>46860</v>
      </c>
      <c r="B109" s="10" t="str">
        <f t="shared" si="1"/>
        <v>Montag</v>
      </c>
      <c r="C109" s="10" t="s">
        <v>157</v>
      </c>
      <c r="D109" s="10" t="s">
        <v>158</v>
      </c>
      <c r="E109" s="10" t="str">
        <f>INDEX(Feiertagsregeln!$D$7:$D$480,MATCH($K109,Feiertagsregeln!$A$7:$A$480,0))</f>
        <v>Ostermontag</v>
      </c>
      <c r="F109" s="10" t="str">
        <f>INDEX(Feiertagsregeln!$E$7:$E$480,MATCH($K109,Feiertagsregeln!$A$7:$A$480,0))</f>
        <v>Lundi de Pâques</v>
      </c>
      <c r="G109" s="21" t="str">
        <f>IF(INDEX(Feiertagsregeln!$F$7:$F$480,MATCH($K109,Feiertagsregeln!$A$7:$A$480,0))="","Noch zu erfassen",INDEX(Feiertagsregeln!$F$7:$F$480,MATCH($K109,Feiertagsregeln!$A$7:$A$480,0)))</f>
        <v>Lunedì di Pasqua</v>
      </c>
      <c r="H109" s="21" t="str">
        <f>IF(INDEX(Feiertagsregeln!$G$7:$G$480,MATCH($K109,Feiertagsregeln!$A$7:$A$480,0))="","Noch zu erfassen",INDEX(Feiertagsregeln!$G$7:$G$480,MATCH($K109,Feiertagsregeln!$A$7:$A$480,0)))</f>
        <v>Glindesdi da Pasca</v>
      </c>
      <c r="I109" s="10" t="str">
        <f>INDEX(Feiertagsregeln!$H$7:$H$480,MATCH($K109,Feiertagsregeln!$A$7:$A$480,0))</f>
        <v>publicHoliday</v>
      </c>
      <c r="J109" s="10" t="s">
        <v>69</v>
      </c>
      <c r="K109" s="10" t="s">
        <v>164</v>
      </c>
      <c r="L109" s="10" t="str">
        <f>INDEX(Feiertagsregeln!$Y$7:$Y$480,MATCH($K109,Feiertagsregeln!$A$7:$A$480,0))</f>
        <v>SRC-TI-FEIERTAGE-843200</v>
      </c>
      <c r="M109" s="10" t="str">
        <f>INDEX(Feiertagsregeln!$Z$7:$Z$480,MATCH($K109,Feiertagsregeln!$A$7:$A$480,0))</f>
        <v>Art. 1</v>
      </c>
      <c r="N109" s="10" t="s">
        <v>160</v>
      </c>
      <c r="O109" s="10" t="str">
        <f>INDEX(Feiertagsregeln!$AA$7:$AA$480,MATCH($K109,Feiertagsregeln!$A$7:$A$480,0))</f>
        <v>Ganztägig</v>
      </c>
    </row>
    <row r="110" spans="1:15" ht="42" customHeight="1">
      <c r="A110" s="15">
        <f>INDEX(Feiertagsregeln!$X$7:$X$480,MATCH($K110,Feiertagsregeln!$A$7:$A$480,0))</f>
        <v>46874</v>
      </c>
      <c r="B110" s="11" t="str">
        <f t="shared" si="1"/>
        <v>Montag</v>
      </c>
      <c r="C110" s="11" t="s">
        <v>157</v>
      </c>
      <c r="D110" s="11" t="s">
        <v>158</v>
      </c>
      <c r="E110" s="11" t="str">
        <f>INDEX(Feiertagsregeln!$D$7:$D$480,MATCH($K110,Feiertagsregeln!$A$7:$A$480,0))</f>
        <v>Tag der Arbeit (1. Mai)</v>
      </c>
      <c r="F110" s="11" t="str">
        <f>INDEX(Feiertagsregeln!$E$7:$E$480,MATCH($K110,Feiertagsregeln!$A$7:$A$480,0))</f>
        <v>Fête du travail (1er mai)</v>
      </c>
      <c r="G110" s="22" t="str">
        <f>IF(INDEX(Feiertagsregeln!$F$7:$F$480,MATCH($K110,Feiertagsregeln!$A$7:$A$480,0))="","Noch zu erfassen",INDEX(Feiertagsregeln!$F$7:$F$480,MATCH($K110,Feiertagsregeln!$A$7:$A$480,0)))</f>
        <v>Primo maggio</v>
      </c>
      <c r="H110" s="22" t="str">
        <f>IF(INDEX(Feiertagsregeln!$G$7:$G$480,MATCH($K110,Feiertagsregeln!$A$7:$A$480,0))="","Noch zu erfassen",INDEX(Feiertagsregeln!$G$7:$G$480,MATCH($K110,Feiertagsregeln!$A$7:$A$480,0)))</f>
        <v>Di da la lavur (1. da matg)</v>
      </c>
      <c r="I110" s="11" t="str">
        <f>INDEX(Feiertagsregeln!$H$7:$H$480,MATCH($K110,Feiertagsregeln!$A$7:$A$480,0))</f>
        <v>publicHoliday</v>
      </c>
      <c r="J110" s="11" t="s">
        <v>69</v>
      </c>
      <c r="K110" s="11" t="s">
        <v>165</v>
      </c>
      <c r="L110" s="11" t="str">
        <f>INDEX(Feiertagsregeln!$Y$7:$Y$480,MATCH($K110,Feiertagsregeln!$A$7:$A$480,0))</f>
        <v>SRC-TI-FEIERTAGE-843200</v>
      </c>
      <c r="M110" s="11" t="str">
        <f>INDEX(Feiertagsregeln!$Z$7:$Z$480,MATCH($K110,Feiertagsregeln!$A$7:$A$480,0))</f>
        <v>Art. 1</v>
      </c>
      <c r="N110" s="11" t="s">
        <v>162</v>
      </c>
      <c r="O110" s="11" t="str">
        <f>INDEX(Feiertagsregeln!$AA$7:$AA$480,MATCH($K110,Feiertagsregeln!$A$7:$A$480,0))</f>
        <v>Ganztägig</v>
      </c>
    </row>
    <row r="111" spans="1:15" ht="42" customHeight="1">
      <c r="A111" s="14">
        <f>INDEX(Feiertagsregeln!$X$7:$X$480,MATCH($K111,Feiertagsregeln!$A$7:$A$480,0))</f>
        <v>46898</v>
      </c>
      <c r="B111" s="10" t="str">
        <f t="shared" si="1"/>
        <v>Donnerstag</v>
      </c>
      <c r="C111" s="10" t="s">
        <v>157</v>
      </c>
      <c r="D111" s="10" t="s">
        <v>158</v>
      </c>
      <c r="E111" s="10" t="str">
        <f>INDEX(Feiertagsregeln!$D$7:$D$480,MATCH($K111,Feiertagsregeln!$A$7:$A$480,0))</f>
        <v>Auffahrt</v>
      </c>
      <c r="F111" s="10" t="str">
        <f>INDEX(Feiertagsregeln!$E$7:$E$480,MATCH($K111,Feiertagsregeln!$A$7:$A$480,0))</f>
        <v>Ascension</v>
      </c>
      <c r="G111" s="21" t="str">
        <f>IF(INDEX(Feiertagsregeln!$F$7:$F$480,MATCH($K111,Feiertagsregeln!$A$7:$A$480,0))="","Noch zu erfassen",INDEX(Feiertagsregeln!$F$7:$F$480,MATCH($K111,Feiertagsregeln!$A$7:$A$480,0)))</f>
        <v>Ascensione</v>
      </c>
      <c r="H111" s="21" t="str">
        <f>IF(INDEX(Feiertagsregeln!$G$7:$G$480,MATCH($K111,Feiertagsregeln!$A$7:$A$480,0))="","Noch zu erfassen",INDEX(Feiertagsregeln!$G$7:$G$480,MATCH($K111,Feiertagsregeln!$A$7:$A$480,0)))</f>
        <v>Ascensiun</v>
      </c>
      <c r="I111" s="10" t="str">
        <f>INDEX(Feiertagsregeln!$H$7:$H$480,MATCH($K111,Feiertagsregeln!$A$7:$A$480,0))</f>
        <v>publicHoliday</v>
      </c>
      <c r="J111" s="10" t="s">
        <v>69</v>
      </c>
      <c r="K111" s="10" t="s">
        <v>166</v>
      </c>
      <c r="L111" s="10" t="str">
        <f>INDEX(Feiertagsregeln!$Y$7:$Y$480,MATCH($K111,Feiertagsregeln!$A$7:$A$480,0))</f>
        <v>SRC-TI-FEIERTAGE-843200</v>
      </c>
      <c r="M111" s="10" t="str">
        <f>INDEX(Feiertagsregeln!$Z$7:$Z$480,MATCH($K111,Feiertagsregeln!$A$7:$A$480,0))</f>
        <v>Art. 1</v>
      </c>
      <c r="N111" s="10" t="s">
        <v>160</v>
      </c>
      <c r="O111" s="10" t="str">
        <f>INDEX(Feiertagsregeln!$AA$7:$AA$480,MATCH($K111,Feiertagsregeln!$A$7:$A$480,0))</f>
        <v>Ganztägig</v>
      </c>
    </row>
    <row r="112" spans="1:15" ht="42" customHeight="1">
      <c r="A112" s="15">
        <f>INDEX(Feiertagsregeln!$X$7:$X$480,MATCH($K112,Feiertagsregeln!$A$7:$A$480,0))</f>
        <v>46909</v>
      </c>
      <c r="B112" s="11" t="str">
        <f t="shared" si="1"/>
        <v>Montag</v>
      </c>
      <c r="C112" s="11" t="s">
        <v>157</v>
      </c>
      <c r="D112" s="11" t="s">
        <v>158</v>
      </c>
      <c r="E112" s="11" t="str">
        <f>INDEX(Feiertagsregeln!$D$7:$D$480,MATCH($K112,Feiertagsregeln!$A$7:$A$480,0))</f>
        <v>Pfingstmontag</v>
      </c>
      <c r="F112" s="11" t="str">
        <f>INDEX(Feiertagsregeln!$E$7:$E$480,MATCH($K112,Feiertagsregeln!$A$7:$A$480,0))</f>
        <v>Lundi de Pentecôte</v>
      </c>
      <c r="G112" s="22" t="str">
        <f>IF(INDEX(Feiertagsregeln!$F$7:$F$480,MATCH($K112,Feiertagsregeln!$A$7:$A$480,0))="","Noch zu erfassen",INDEX(Feiertagsregeln!$F$7:$F$480,MATCH($K112,Feiertagsregeln!$A$7:$A$480,0)))</f>
        <v>Lunedì di Pentecoste</v>
      </c>
      <c r="H112" s="22" t="str">
        <f>IF(INDEX(Feiertagsregeln!$G$7:$G$480,MATCH($K112,Feiertagsregeln!$A$7:$A$480,0))="","Noch zu erfassen",INDEX(Feiertagsregeln!$G$7:$G$480,MATCH($K112,Feiertagsregeln!$A$7:$A$480,0)))</f>
        <v>Glindesdi da Tschuncaisma</v>
      </c>
      <c r="I112" s="11" t="str">
        <f>INDEX(Feiertagsregeln!$H$7:$H$480,MATCH($K112,Feiertagsregeln!$A$7:$A$480,0))</f>
        <v>publicHoliday</v>
      </c>
      <c r="J112" s="11" t="s">
        <v>69</v>
      </c>
      <c r="K112" s="11" t="s">
        <v>167</v>
      </c>
      <c r="L112" s="11" t="str">
        <f>INDEX(Feiertagsregeln!$Y$7:$Y$480,MATCH($K112,Feiertagsregeln!$A$7:$A$480,0))</f>
        <v>SRC-TI-FEIERTAGE-843200</v>
      </c>
      <c r="M112" s="11" t="str">
        <f>INDEX(Feiertagsregeln!$Z$7:$Z$480,MATCH($K112,Feiertagsregeln!$A$7:$A$480,0))</f>
        <v>Art. 1</v>
      </c>
      <c r="N112" s="11" t="s">
        <v>160</v>
      </c>
      <c r="O112" s="11" t="str">
        <f>INDEX(Feiertagsregeln!$AA$7:$AA$480,MATCH($K112,Feiertagsregeln!$A$7:$A$480,0))</f>
        <v>Ganztägig</v>
      </c>
    </row>
    <row r="113" spans="1:15" ht="42" customHeight="1">
      <c r="A113" s="14">
        <f>INDEX(Feiertagsregeln!$X$7:$X$480,MATCH($K113,Feiertagsregeln!$A$7:$A$480,0))</f>
        <v>46919</v>
      </c>
      <c r="B113" s="10" t="str">
        <f t="shared" si="1"/>
        <v>Donnerstag</v>
      </c>
      <c r="C113" s="10" t="s">
        <v>157</v>
      </c>
      <c r="D113" s="10" t="s">
        <v>158</v>
      </c>
      <c r="E113" s="10" t="str">
        <f>INDEX(Feiertagsregeln!$D$7:$D$480,MATCH($K113,Feiertagsregeln!$A$7:$A$480,0))</f>
        <v>Fronleichnam</v>
      </c>
      <c r="F113" s="10" t="str">
        <f>INDEX(Feiertagsregeln!$E$7:$E$480,MATCH($K113,Feiertagsregeln!$A$7:$A$480,0))</f>
        <v>Fête-Dieu</v>
      </c>
      <c r="G113" s="21" t="str">
        <f>IF(INDEX(Feiertagsregeln!$F$7:$F$480,MATCH($K113,Feiertagsregeln!$A$7:$A$480,0))="","Noch zu erfassen",INDEX(Feiertagsregeln!$F$7:$F$480,MATCH($K113,Feiertagsregeln!$A$7:$A$480,0)))</f>
        <v>Corpus Domini</v>
      </c>
      <c r="H113" s="21" t="str">
        <f>IF(INDEX(Feiertagsregeln!$G$7:$G$480,MATCH($K113,Feiertagsregeln!$A$7:$A$480,0))="","Noch zu erfassen",INDEX(Feiertagsregeln!$G$7:$G$480,MATCH($K113,Feiertagsregeln!$A$7:$A$480,0)))</f>
        <v>Sontgilcrest</v>
      </c>
      <c r="I113" s="10" t="str">
        <f>INDEX(Feiertagsregeln!$H$7:$H$480,MATCH($K113,Feiertagsregeln!$A$7:$A$480,0))</f>
        <v>publicHoliday</v>
      </c>
      <c r="J113" s="10" t="s">
        <v>69</v>
      </c>
      <c r="K113" s="10" t="s">
        <v>168</v>
      </c>
      <c r="L113" s="10" t="str">
        <f>INDEX(Feiertagsregeln!$Y$7:$Y$480,MATCH($K113,Feiertagsregeln!$A$7:$A$480,0))</f>
        <v>SRC-TI-FEIERTAGE-843200</v>
      </c>
      <c r="M113" s="10" t="str">
        <f>INDEX(Feiertagsregeln!$Z$7:$Z$480,MATCH($K113,Feiertagsregeln!$A$7:$A$480,0))</f>
        <v>Art. 1</v>
      </c>
      <c r="N113" s="10" t="s">
        <v>162</v>
      </c>
      <c r="O113" s="10" t="str">
        <f>INDEX(Feiertagsregeln!$AA$7:$AA$480,MATCH($K113,Feiertagsregeln!$A$7:$A$480,0))</f>
        <v>Ganztägig</v>
      </c>
    </row>
    <row r="114" spans="1:15" ht="42" customHeight="1">
      <c r="A114" s="15">
        <f>INDEX(Feiertagsregeln!$X$7:$X$480,MATCH($K114,Feiertagsregeln!$A$7:$A$480,0))</f>
        <v>46933</v>
      </c>
      <c r="B114" s="11" t="str">
        <f t="shared" si="1"/>
        <v>Donnerstag</v>
      </c>
      <c r="C114" s="11" t="s">
        <v>157</v>
      </c>
      <c r="D114" s="11" t="s">
        <v>158</v>
      </c>
      <c r="E114" s="11" t="str">
        <f>INDEX(Feiertagsregeln!$D$7:$D$480,MATCH($K114,Feiertagsregeln!$A$7:$A$480,0))</f>
        <v>Peter und Paul</v>
      </c>
      <c r="F114" s="11" t="str">
        <f>INDEX(Feiertagsregeln!$E$7:$E$480,MATCH($K114,Feiertagsregeln!$A$7:$A$480,0))</f>
        <v>Saints Pierre et Paul</v>
      </c>
      <c r="G114" s="22" t="str">
        <f>IF(INDEX(Feiertagsregeln!$F$7:$F$480,MATCH($K114,Feiertagsregeln!$A$7:$A$480,0))="","Noch zu erfassen",INDEX(Feiertagsregeln!$F$7:$F$480,MATCH($K114,Feiertagsregeln!$A$7:$A$480,0)))</f>
        <v>San Pietro e Paolo</v>
      </c>
      <c r="H114" s="22" t="str">
        <f>IF(INDEX(Feiertagsregeln!$G$7:$G$480,MATCH($K114,Feiertagsregeln!$A$7:$A$480,0))="","Noch zu erfassen",INDEX(Feiertagsregeln!$G$7:$G$480,MATCH($K114,Feiertagsregeln!$A$7:$A$480,0)))</f>
        <v>Son Peder e son Paul</v>
      </c>
      <c r="I114" s="11" t="str">
        <f>INDEX(Feiertagsregeln!$H$7:$H$480,MATCH($K114,Feiertagsregeln!$A$7:$A$480,0))</f>
        <v>publicHoliday</v>
      </c>
      <c r="J114" s="11" t="s">
        <v>69</v>
      </c>
      <c r="K114" s="11" t="s">
        <v>169</v>
      </c>
      <c r="L114" s="11" t="str">
        <f>INDEX(Feiertagsregeln!$Y$7:$Y$480,MATCH($K114,Feiertagsregeln!$A$7:$A$480,0))</f>
        <v>SRC-TI-FEIERTAGE-843200</v>
      </c>
      <c r="M114" s="11" t="str">
        <f>INDEX(Feiertagsregeln!$Z$7:$Z$480,MATCH($K114,Feiertagsregeln!$A$7:$A$480,0))</f>
        <v>Art. 1</v>
      </c>
      <c r="N114" s="11" t="s">
        <v>162</v>
      </c>
      <c r="O114" s="11" t="str">
        <f>INDEX(Feiertagsregeln!$AA$7:$AA$480,MATCH($K114,Feiertagsregeln!$A$7:$A$480,0))</f>
        <v>Ganztägig</v>
      </c>
    </row>
    <row r="115" spans="1:15" ht="42" customHeight="1">
      <c r="A115" s="14">
        <f>INDEX(Feiertagsregeln!$X$7:$X$480,MATCH($K115,Feiertagsregeln!$A$7:$A$480,0))</f>
        <v>46966</v>
      </c>
      <c r="B115" s="10" t="str">
        <f t="shared" si="1"/>
        <v>Dienstag</v>
      </c>
      <c r="C115" s="10" t="s">
        <v>157</v>
      </c>
      <c r="D115" s="10" t="s">
        <v>158</v>
      </c>
      <c r="E115" s="10" t="str">
        <f>INDEX(Feiertagsregeln!$D$7:$D$480,MATCH($K115,Feiertagsregeln!$A$7:$A$480,0))</f>
        <v>Bundesfeiertag</v>
      </c>
      <c r="F115" s="10" t="str">
        <f>INDEX(Feiertagsregeln!$E$7:$E$480,MATCH($K115,Feiertagsregeln!$A$7:$A$480,0))</f>
        <v>Fête nationale</v>
      </c>
      <c r="G115" s="21" t="str">
        <f>IF(INDEX(Feiertagsregeln!$F$7:$F$480,MATCH($K115,Feiertagsregeln!$A$7:$A$480,0))="","Noch zu erfassen",INDEX(Feiertagsregeln!$F$7:$F$480,MATCH($K115,Feiertagsregeln!$A$7:$A$480,0)))</f>
        <v>Primo agosto</v>
      </c>
      <c r="H115" s="21" t="str">
        <f>IF(INDEX(Feiertagsregeln!$G$7:$G$480,MATCH($K115,Feiertagsregeln!$A$7:$A$480,0))="","Noch zu erfassen",INDEX(Feiertagsregeln!$G$7:$G$480,MATCH($K115,Feiertagsregeln!$A$7:$A$480,0)))</f>
        <v>Festa naziunala svizra</v>
      </c>
      <c r="I115" s="10" t="str">
        <f>INDEX(Feiertagsregeln!$H$7:$H$480,MATCH($K115,Feiertagsregeln!$A$7:$A$480,0))</f>
        <v>publicHoliday</v>
      </c>
      <c r="J115" s="10" t="s">
        <v>69</v>
      </c>
      <c r="K115" s="10" t="s">
        <v>170</v>
      </c>
      <c r="L115" s="10" t="str">
        <f>INDEX(Feiertagsregeln!$Y$7:$Y$480,MATCH($K115,Feiertagsregeln!$A$7:$A$480,0))</f>
        <v>SRC-TI-FEIERTAGE-843200</v>
      </c>
      <c r="M115" s="10" t="str">
        <f>INDEX(Feiertagsregeln!$Z$7:$Z$480,MATCH($K115,Feiertagsregeln!$A$7:$A$480,0))</f>
        <v>Art. 1</v>
      </c>
      <c r="N115" s="10" t="s">
        <v>160</v>
      </c>
      <c r="O115" s="10" t="str">
        <f>INDEX(Feiertagsregeln!$AA$7:$AA$480,MATCH($K115,Feiertagsregeln!$A$7:$A$480,0))</f>
        <v>Ganztägig</v>
      </c>
    </row>
    <row r="116" spans="1:15" ht="42" customHeight="1">
      <c r="A116" s="15">
        <f>INDEX(Feiertagsregeln!$X$7:$X$480,MATCH($K116,Feiertagsregeln!$A$7:$A$480,0))</f>
        <v>46980</v>
      </c>
      <c r="B116" s="11" t="str">
        <f t="shared" si="1"/>
        <v>Dienstag</v>
      </c>
      <c r="C116" s="11" t="s">
        <v>157</v>
      </c>
      <c r="D116" s="11" t="s">
        <v>158</v>
      </c>
      <c r="E116" s="11" t="str">
        <f>INDEX(Feiertagsregeln!$D$7:$D$480,MATCH($K116,Feiertagsregeln!$A$7:$A$480,0))</f>
        <v>Mariä Himmelfahrt</v>
      </c>
      <c r="F116" s="11" t="str">
        <f>INDEX(Feiertagsregeln!$E$7:$E$480,MATCH($K116,Feiertagsregeln!$A$7:$A$480,0))</f>
        <v>Assomption</v>
      </c>
      <c r="G116" s="22" t="str">
        <f>IF(INDEX(Feiertagsregeln!$F$7:$F$480,MATCH($K116,Feiertagsregeln!$A$7:$A$480,0))="","Noch zu erfassen",INDEX(Feiertagsregeln!$F$7:$F$480,MATCH($K116,Feiertagsregeln!$A$7:$A$480,0)))</f>
        <v>Assunzione</v>
      </c>
      <c r="H116" s="22" t="str">
        <f>IF(INDEX(Feiertagsregeln!$G$7:$G$480,MATCH($K116,Feiertagsregeln!$A$7:$A$480,0))="","Noch zu erfassen",INDEX(Feiertagsregeln!$G$7:$G$480,MATCH($K116,Feiertagsregeln!$A$7:$A$480,0)))</f>
        <v>Nossadunna d’avust</v>
      </c>
      <c r="I116" s="11" t="str">
        <f>INDEX(Feiertagsregeln!$H$7:$H$480,MATCH($K116,Feiertagsregeln!$A$7:$A$480,0))</f>
        <v>publicHoliday</v>
      </c>
      <c r="J116" s="11" t="s">
        <v>69</v>
      </c>
      <c r="K116" s="11" t="s">
        <v>171</v>
      </c>
      <c r="L116" s="11" t="str">
        <f>INDEX(Feiertagsregeln!$Y$7:$Y$480,MATCH($K116,Feiertagsregeln!$A$7:$A$480,0))</f>
        <v>SRC-TI-FEIERTAGE-843200</v>
      </c>
      <c r="M116" s="11" t="str">
        <f>INDEX(Feiertagsregeln!$Z$7:$Z$480,MATCH($K116,Feiertagsregeln!$A$7:$A$480,0))</f>
        <v>Art. 1</v>
      </c>
      <c r="N116" s="11" t="s">
        <v>162</v>
      </c>
      <c r="O116" s="11" t="str">
        <f>INDEX(Feiertagsregeln!$AA$7:$AA$480,MATCH($K116,Feiertagsregeln!$A$7:$A$480,0))</f>
        <v>Ganztägig</v>
      </c>
    </row>
    <row r="117" spans="1:15" ht="42" customHeight="1">
      <c r="A117" s="14">
        <f>INDEX(Feiertagsregeln!$X$7:$X$480,MATCH($K117,Feiertagsregeln!$A$7:$A$480,0))</f>
        <v>47058</v>
      </c>
      <c r="B117" s="10" t="str">
        <f t="shared" si="1"/>
        <v>Mittwoch</v>
      </c>
      <c r="C117" s="10" t="s">
        <v>157</v>
      </c>
      <c r="D117" s="10" t="s">
        <v>158</v>
      </c>
      <c r="E117" s="10" t="str">
        <f>INDEX(Feiertagsregeln!$D$7:$D$480,MATCH($K117,Feiertagsregeln!$A$7:$A$480,0))</f>
        <v>Allerheiligen</v>
      </c>
      <c r="F117" s="10" t="str">
        <f>INDEX(Feiertagsregeln!$E$7:$E$480,MATCH($K117,Feiertagsregeln!$A$7:$A$480,0))</f>
        <v>Toussaint</v>
      </c>
      <c r="G117" s="21" t="str">
        <f>IF(INDEX(Feiertagsregeln!$F$7:$F$480,MATCH($K117,Feiertagsregeln!$A$7:$A$480,0))="","Noch zu erfassen",INDEX(Feiertagsregeln!$F$7:$F$480,MATCH($K117,Feiertagsregeln!$A$7:$A$480,0)))</f>
        <v>Ognissanti</v>
      </c>
      <c r="H117" s="21" t="str">
        <f>IF(INDEX(Feiertagsregeln!$G$7:$G$480,MATCH($K117,Feiertagsregeln!$A$7:$A$480,0))="","Noch zu erfassen",INDEX(Feiertagsregeln!$G$7:$G$480,MATCH($K117,Feiertagsregeln!$A$7:$A$480,0)))</f>
        <v>Numnasontga</v>
      </c>
      <c r="I117" s="10" t="str">
        <f>INDEX(Feiertagsregeln!$H$7:$H$480,MATCH($K117,Feiertagsregeln!$A$7:$A$480,0))</f>
        <v>publicHoliday</v>
      </c>
      <c r="J117" s="10" t="s">
        <v>69</v>
      </c>
      <c r="K117" s="10" t="s">
        <v>172</v>
      </c>
      <c r="L117" s="10" t="str">
        <f>INDEX(Feiertagsregeln!$Y$7:$Y$480,MATCH($K117,Feiertagsregeln!$A$7:$A$480,0))</f>
        <v>SRC-TI-FEIERTAGE-843200</v>
      </c>
      <c r="M117" s="10" t="str">
        <f>INDEX(Feiertagsregeln!$Z$7:$Z$480,MATCH($K117,Feiertagsregeln!$A$7:$A$480,0))</f>
        <v>Art. 1</v>
      </c>
      <c r="N117" s="10" t="s">
        <v>162</v>
      </c>
      <c r="O117" s="10" t="str">
        <f>INDEX(Feiertagsregeln!$AA$7:$AA$480,MATCH($K117,Feiertagsregeln!$A$7:$A$480,0))</f>
        <v>Ganztägig</v>
      </c>
    </row>
    <row r="118" spans="1:15" ht="42" customHeight="1">
      <c r="A118" s="15">
        <f>INDEX(Feiertagsregeln!$X$7:$X$480,MATCH($K118,Feiertagsregeln!$A$7:$A$480,0))</f>
        <v>47095</v>
      </c>
      <c r="B118" s="11" t="str">
        <f t="shared" si="1"/>
        <v>Freitag</v>
      </c>
      <c r="C118" s="11" t="s">
        <v>157</v>
      </c>
      <c r="D118" s="11" t="s">
        <v>158</v>
      </c>
      <c r="E118" s="11" t="str">
        <f>INDEX(Feiertagsregeln!$D$7:$D$480,MATCH($K118,Feiertagsregeln!$A$7:$A$480,0))</f>
        <v>Mariä Empfängnis</v>
      </c>
      <c r="F118" s="11" t="str">
        <f>INDEX(Feiertagsregeln!$E$7:$E$480,MATCH($K118,Feiertagsregeln!$A$7:$A$480,0))</f>
        <v>Immaculée Conception</v>
      </c>
      <c r="G118" s="22" t="str">
        <f>IF(INDEX(Feiertagsregeln!$F$7:$F$480,MATCH($K118,Feiertagsregeln!$A$7:$A$480,0))="","Noch zu erfassen",INDEX(Feiertagsregeln!$F$7:$F$480,MATCH($K118,Feiertagsregeln!$A$7:$A$480,0)))</f>
        <v>Immacolata</v>
      </c>
      <c r="H118" s="22" t="str">
        <f>IF(INDEX(Feiertagsregeln!$G$7:$G$480,MATCH($K118,Feiertagsregeln!$A$7:$A$480,0))="","Noch zu erfassen",INDEX(Feiertagsregeln!$G$7:$G$480,MATCH($K118,Feiertagsregeln!$A$7:$A$480,0)))</f>
        <v>Immaculada concepziun da Maria</v>
      </c>
      <c r="I118" s="11" t="str">
        <f>INDEX(Feiertagsregeln!$H$7:$H$480,MATCH($K118,Feiertagsregeln!$A$7:$A$480,0))</f>
        <v>publicHoliday</v>
      </c>
      <c r="J118" s="11" t="s">
        <v>69</v>
      </c>
      <c r="K118" s="11" t="s">
        <v>173</v>
      </c>
      <c r="L118" s="11" t="str">
        <f>INDEX(Feiertagsregeln!$Y$7:$Y$480,MATCH($K118,Feiertagsregeln!$A$7:$A$480,0))</f>
        <v>SRC-TI-FEIERTAGE-843200</v>
      </c>
      <c r="M118" s="11" t="str">
        <f>INDEX(Feiertagsregeln!$Z$7:$Z$480,MATCH($K118,Feiertagsregeln!$A$7:$A$480,0))</f>
        <v>Art. 1</v>
      </c>
      <c r="N118" s="11" t="s">
        <v>162</v>
      </c>
      <c r="O118" s="11" t="str">
        <f>INDEX(Feiertagsregeln!$AA$7:$AA$480,MATCH($K118,Feiertagsregeln!$A$7:$A$480,0))</f>
        <v>Ganztägig</v>
      </c>
    </row>
    <row r="119" spans="1:15" ht="42" customHeight="1">
      <c r="A119" s="14">
        <f>INDEX(Feiertagsregeln!$X$7:$X$480,MATCH($K119,Feiertagsregeln!$A$7:$A$480,0))</f>
        <v>47112</v>
      </c>
      <c r="B119" s="10" t="str">
        <f t="shared" si="1"/>
        <v>Montag</v>
      </c>
      <c r="C119" s="10" t="s">
        <v>157</v>
      </c>
      <c r="D119" s="10" t="s">
        <v>158</v>
      </c>
      <c r="E119" s="10" t="str">
        <f>INDEX(Feiertagsregeln!$D$7:$D$480,MATCH($K119,Feiertagsregeln!$A$7:$A$480,0))</f>
        <v>Weihnachten</v>
      </c>
      <c r="F119" s="10" t="str">
        <f>INDEX(Feiertagsregeln!$E$7:$E$480,MATCH($K119,Feiertagsregeln!$A$7:$A$480,0))</f>
        <v>Noël</v>
      </c>
      <c r="G119" s="21" t="str">
        <f>IF(INDEX(Feiertagsregeln!$F$7:$F$480,MATCH($K119,Feiertagsregeln!$A$7:$A$480,0))="","Noch zu erfassen",INDEX(Feiertagsregeln!$F$7:$F$480,MATCH($K119,Feiertagsregeln!$A$7:$A$480,0)))</f>
        <v>Natale</v>
      </c>
      <c r="H119" s="21" t="str">
        <f>IF(INDEX(Feiertagsregeln!$G$7:$G$480,MATCH($K119,Feiertagsregeln!$A$7:$A$480,0))="","Noch zu erfassen",INDEX(Feiertagsregeln!$G$7:$G$480,MATCH($K119,Feiertagsregeln!$A$7:$A$480,0)))</f>
        <v>Di da Nadal</v>
      </c>
      <c r="I119" s="10" t="str">
        <f>INDEX(Feiertagsregeln!$H$7:$H$480,MATCH($K119,Feiertagsregeln!$A$7:$A$480,0))</f>
        <v>publicHoliday</v>
      </c>
      <c r="J119" s="10" t="s">
        <v>69</v>
      </c>
      <c r="K119" s="10" t="s">
        <v>174</v>
      </c>
      <c r="L119" s="10" t="str">
        <f>INDEX(Feiertagsregeln!$Y$7:$Y$480,MATCH($K119,Feiertagsregeln!$A$7:$A$480,0))</f>
        <v>SRC-TI-FEIERTAGE-843200</v>
      </c>
      <c r="M119" s="10" t="str">
        <f>INDEX(Feiertagsregeln!$Z$7:$Z$480,MATCH($K119,Feiertagsregeln!$A$7:$A$480,0))</f>
        <v>Art. 1</v>
      </c>
      <c r="N119" s="10" t="s">
        <v>160</v>
      </c>
      <c r="O119" s="10" t="str">
        <f>INDEX(Feiertagsregeln!$AA$7:$AA$480,MATCH($K119,Feiertagsregeln!$A$7:$A$480,0))</f>
        <v>Ganztägig</v>
      </c>
    </row>
    <row r="120" spans="1:15" ht="42" customHeight="1">
      <c r="A120" s="15">
        <f>INDEX(Feiertagsregeln!$X$7:$X$480,MATCH($K120,Feiertagsregeln!$A$7:$A$480,0))</f>
        <v>47113</v>
      </c>
      <c r="B120" s="11" t="str">
        <f t="shared" si="1"/>
        <v>Dienstag</v>
      </c>
      <c r="C120" s="11" t="s">
        <v>157</v>
      </c>
      <c r="D120" s="11" t="s">
        <v>158</v>
      </c>
      <c r="E120" s="11" t="str">
        <f>INDEX(Feiertagsregeln!$D$7:$D$480,MATCH($K120,Feiertagsregeln!$A$7:$A$480,0))</f>
        <v>Stephanstag</v>
      </c>
      <c r="F120" s="11" t="str">
        <f>INDEX(Feiertagsregeln!$E$7:$E$480,MATCH($K120,Feiertagsregeln!$A$7:$A$480,0))</f>
        <v>Saint-Étienne</v>
      </c>
      <c r="G120" s="22" t="str">
        <f>IF(INDEX(Feiertagsregeln!$F$7:$F$480,MATCH($K120,Feiertagsregeln!$A$7:$A$480,0))="","Noch zu erfassen",INDEX(Feiertagsregeln!$F$7:$F$480,MATCH($K120,Feiertagsregeln!$A$7:$A$480,0)))</f>
        <v>Santo Stefano</v>
      </c>
      <c r="H120" s="22" t="str">
        <f>IF(INDEX(Feiertagsregeln!$G$7:$G$480,MATCH($K120,Feiertagsregeln!$A$7:$A$480,0))="","Noch zu erfassen",INDEX(Feiertagsregeln!$G$7:$G$480,MATCH($K120,Feiertagsregeln!$A$7:$A$480,0)))</f>
        <v>Son Steffan</v>
      </c>
      <c r="I120" s="11" t="str">
        <f>INDEX(Feiertagsregeln!$H$7:$H$480,MATCH($K120,Feiertagsregeln!$A$7:$A$480,0))</f>
        <v>publicHoliday</v>
      </c>
      <c r="J120" s="11" t="s">
        <v>69</v>
      </c>
      <c r="K120" s="11" t="s">
        <v>175</v>
      </c>
      <c r="L120" s="11" t="str">
        <f>INDEX(Feiertagsregeln!$Y$7:$Y$480,MATCH($K120,Feiertagsregeln!$A$7:$A$480,0))</f>
        <v>SRC-TI-FEIERTAGE-843200</v>
      </c>
      <c r="M120" s="11" t="str">
        <f>INDEX(Feiertagsregeln!$Z$7:$Z$480,MATCH($K120,Feiertagsregeln!$A$7:$A$480,0))</f>
        <v>Art. 1</v>
      </c>
      <c r="N120" s="11" t="s">
        <v>160</v>
      </c>
      <c r="O120" s="11" t="str">
        <f>INDEX(Feiertagsregeln!$AA$7:$AA$480,MATCH($K120,Feiertagsregeln!$A$7:$A$480,0))</f>
        <v>Ganztägig</v>
      </c>
    </row>
    <row r="121" spans="1:15" ht="42" customHeight="1">
      <c r="A121" s="14">
        <f>INDEX(Feiertagsregeln!$X$7:$X$480,MATCH($K121,Feiertagsregeln!$A$7:$A$480,0))</f>
        <v>46753</v>
      </c>
      <c r="B121" s="10" t="str">
        <f t="shared" si="1"/>
        <v>Samstag</v>
      </c>
      <c r="C121" s="10" t="s">
        <v>176</v>
      </c>
      <c r="D121" s="10" t="s">
        <v>177</v>
      </c>
      <c r="E121" s="10" t="str">
        <f>INDEX(Feiertagsregeln!$D$7:$D$480,MATCH($K121,Feiertagsregeln!$A$7:$A$480,0))</f>
        <v>Neujahr</v>
      </c>
      <c r="F121" s="10" t="str">
        <f>INDEX(Feiertagsregeln!$E$7:$E$480,MATCH($K121,Feiertagsregeln!$A$7:$A$480,0))</f>
        <v>Nouvel An</v>
      </c>
      <c r="G121" s="21" t="str">
        <f>IF(INDEX(Feiertagsregeln!$F$7:$F$480,MATCH($K121,Feiertagsregeln!$A$7:$A$480,0))="","Noch zu erfassen",INDEX(Feiertagsregeln!$F$7:$F$480,MATCH($K121,Feiertagsregeln!$A$7:$A$480,0)))</f>
        <v>Capodanno</v>
      </c>
      <c r="H121" s="21" t="str">
        <f>IF(INDEX(Feiertagsregeln!$G$7:$G$480,MATCH($K121,Feiertagsregeln!$A$7:$A$480,0))="","Noch zu erfassen",INDEX(Feiertagsregeln!$G$7:$G$480,MATCH($K121,Feiertagsregeln!$A$7:$A$480,0)))</f>
        <v>Bumaun</v>
      </c>
      <c r="I121" s="10" t="str">
        <f>INDEX(Feiertagsregeln!$H$7:$H$480,MATCH($K121,Feiertagsregeln!$A$7:$A$480,0))</f>
        <v>publicHoliday</v>
      </c>
      <c r="J121" s="10" t="s">
        <v>69</v>
      </c>
      <c r="K121" s="10" t="s">
        <v>178</v>
      </c>
      <c r="L121" s="10" t="str">
        <f>INDEX(Feiertagsregeln!$Y$7:$Y$480,MATCH($K121,Feiertagsregeln!$A$7:$A$480,0))</f>
        <v>SRC-GR-RUHETAGE-520100-20160101</v>
      </c>
      <c r="M121" s="10" t="str">
        <f>INDEX(Feiertagsregeln!$Z$7:$Z$480,MATCH($K121,Feiertagsregeln!$A$7:$A$480,0))</f>
        <v>Art. 2 Abs. 1 Bst. b</v>
      </c>
      <c r="N121" s="10" t="s">
        <v>179</v>
      </c>
      <c r="O121" s="10" t="str">
        <f>INDEX(Feiertagsregeln!$AA$7:$AA$480,MATCH($K121,Feiertagsregeln!$A$7:$A$480,0))</f>
        <v>Ganztägig</v>
      </c>
    </row>
    <row r="122" spans="1:15" ht="42" customHeight="1">
      <c r="A122" s="15">
        <f>INDEX(Feiertagsregeln!$X$7:$X$480,MATCH($K122,Feiertagsregeln!$A$7:$A$480,0))</f>
        <v>46857</v>
      </c>
      <c r="B122" s="11" t="str">
        <f t="shared" si="1"/>
        <v>Freitag</v>
      </c>
      <c r="C122" s="11" t="s">
        <v>176</v>
      </c>
      <c r="D122" s="11" t="s">
        <v>177</v>
      </c>
      <c r="E122" s="11" t="str">
        <f>INDEX(Feiertagsregeln!$D$7:$D$480,MATCH($K122,Feiertagsregeln!$A$7:$A$480,0))</f>
        <v>Karfreitag</v>
      </c>
      <c r="F122" s="11" t="str">
        <f>INDEX(Feiertagsregeln!$E$7:$E$480,MATCH($K122,Feiertagsregeln!$A$7:$A$480,0))</f>
        <v>Vendredi saint</v>
      </c>
      <c r="G122" s="22" t="str">
        <f>IF(INDEX(Feiertagsregeln!$F$7:$F$480,MATCH($K122,Feiertagsregeln!$A$7:$A$480,0))="","Noch zu erfassen",INDEX(Feiertagsregeln!$F$7:$F$480,MATCH($K122,Feiertagsregeln!$A$7:$A$480,0)))</f>
        <v>Venerdì Santo</v>
      </c>
      <c r="H122" s="22" t="str">
        <f>IF(INDEX(Feiertagsregeln!$G$7:$G$480,MATCH($K122,Feiertagsregeln!$A$7:$A$480,0))="","Noch zu erfassen",INDEX(Feiertagsregeln!$G$7:$G$480,MATCH($K122,Feiertagsregeln!$A$7:$A$480,0)))</f>
        <v>Venderdi sontg</v>
      </c>
      <c r="I122" s="11" t="str">
        <f>INDEX(Feiertagsregeln!$H$7:$H$480,MATCH($K122,Feiertagsregeln!$A$7:$A$480,0))</f>
        <v>publicHoliday</v>
      </c>
      <c r="J122" s="11" t="s">
        <v>69</v>
      </c>
      <c r="K122" s="11" t="s">
        <v>180</v>
      </c>
      <c r="L122" s="11" t="str">
        <f>INDEX(Feiertagsregeln!$Y$7:$Y$480,MATCH($K122,Feiertagsregeln!$A$7:$A$480,0))</f>
        <v>SRC-GR-RUHETAGE-520100-20160101</v>
      </c>
      <c r="M122" s="11" t="str">
        <f>INDEX(Feiertagsregeln!$Z$7:$Z$480,MATCH($K122,Feiertagsregeln!$A$7:$A$480,0))</f>
        <v>Art. 2 Abs. 1 Bst. b und Abs. 2</v>
      </c>
      <c r="N122" s="11" t="s">
        <v>179</v>
      </c>
      <c r="O122" s="11" t="str">
        <f>INDEX(Feiertagsregeln!$AA$7:$AA$480,MATCH($K122,Feiertagsregeln!$A$7:$A$480,0))</f>
        <v>Ganztägig</v>
      </c>
    </row>
    <row r="123" spans="1:15" ht="42" customHeight="1">
      <c r="A123" s="14">
        <f>INDEX(Feiertagsregeln!$X$7:$X$480,MATCH($K123,Feiertagsregeln!$A$7:$A$480,0))</f>
        <v>46859</v>
      </c>
      <c r="B123" s="10" t="str">
        <f t="shared" si="1"/>
        <v>Sonntag</v>
      </c>
      <c r="C123" s="10" t="s">
        <v>176</v>
      </c>
      <c r="D123" s="10" t="s">
        <v>177</v>
      </c>
      <c r="E123" s="10" t="str">
        <f>INDEX(Feiertagsregeln!$D$7:$D$480,MATCH($K123,Feiertagsregeln!$A$7:$A$480,0))</f>
        <v>Ostersonntag</v>
      </c>
      <c r="F123" s="10" t="str">
        <f>INDEX(Feiertagsregeln!$E$7:$E$480,MATCH($K123,Feiertagsregeln!$A$7:$A$480,0))</f>
        <v>Pâques</v>
      </c>
      <c r="G123" s="21" t="str">
        <f>IF(INDEX(Feiertagsregeln!$F$7:$F$480,MATCH($K123,Feiertagsregeln!$A$7:$A$480,0))="","Noch zu erfassen",INDEX(Feiertagsregeln!$F$7:$F$480,MATCH($K123,Feiertagsregeln!$A$7:$A$480,0)))</f>
        <v>Domenica di Pasqua</v>
      </c>
      <c r="H123" s="21" t="str">
        <f>IF(INDEX(Feiertagsregeln!$G$7:$G$480,MATCH($K123,Feiertagsregeln!$A$7:$A$480,0))="","Noch zu erfassen",INDEX(Feiertagsregeln!$G$7:$G$480,MATCH($K123,Feiertagsregeln!$A$7:$A$480,0)))</f>
        <v>Dumengia da Pasca</v>
      </c>
      <c r="I123" s="10" t="str">
        <f>INDEX(Feiertagsregeln!$H$7:$H$480,MATCH($K123,Feiertagsregeln!$A$7:$A$480,0))</f>
        <v>publicHoliday</v>
      </c>
      <c r="J123" s="10" t="s">
        <v>69</v>
      </c>
      <c r="K123" s="10" t="s">
        <v>181</v>
      </c>
      <c r="L123" s="10" t="str">
        <f>INDEX(Feiertagsregeln!$Y$7:$Y$480,MATCH($K123,Feiertagsregeln!$A$7:$A$480,0))</f>
        <v>SRC-GR-RUHETAGE-520100-20160101</v>
      </c>
      <c r="M123" s="10" t="str">
        <f>INDEX(Feiertagsregeln!$Z$7:$Z$480,MATCH($K123,Feiertagsregeln!$A$7:$A$480,0))</f>
        <v>Art. 2 Abs. 2</v>
      </c>
      <c r="N123" s="10" t="s">
        <v>179</v>
      </c>
      <c r="O123" s="10" t="str">
        <f>INDEX(Feiertagsregeln!$AA$7:$AA$480,MATCH($K123,Feiertagsregeln!$A$7:$A$480,0))</f>
        <v>Ganztägig</v>
      </c>
    </row>
    <row r="124" spans="1:15" ht="42" customHeight="1">
      <c r="A124" s="15">
        <f>INDEX(Feiertagsregeln!$X$7:$X$480,MATCH($K124,Feiertagsregeln!$A$7:$A$480,0))</f>
        <v>46860</v>
      </c>
      <c r="B124" s="11" t="str">
        <f t="shared" si="1"/>
        <v>Montag</v>
      </c>
      <c r="C124" s="11" t="s">
        <v>176</v>
      </c>
      <c r="D124" s="11" t="s">
        <v>177</v>
      </c>
      <c r="E124" s="11" t="str">
        <f>INDEX(Feiertagsregeln!$D$7:$D$480,MATCH($K124,Feiertagsregeln!$A$7:$A$480,0))</f>
        <v>Ostermontag</v>
      </c>
      <c r="F124" s="11" t="str">
        <f>INDEX(Feiertagsregeln!$E$7:$E$480,MATCH($K124,Feiertagsregeln!$A$7:$A$480,0))</f>
        <v>Lundi de Pâques</v>
      </c>
      <c r="G124" s="22" t="str">
        <f>IF(INDEX(Feiertagsregeln!$F$7:$F$480,MATCH($K124,Feiertagsregeln!$A$7:$A$480,0))="","Noch zu erfassen",INDEX(Feiertagsregeln!$F$7:$F$480,MATCH($K124,Feiertagsregeln!$A$7:$A$480,0)))</f>
        <v>Lunedì di Pasqua</v>
      </c>
      <c r="H124" s="22" t="str">
        <f>IF(INDEX(Feiertagsregeln!$G$7:$G$480,MATCH($K124,Feiertagsregeln!$A$7:$A$480,0))="","Noch zu erfassen",INDEX(Feiertagsregeln!$G$7:$G$480,MATCH($K124,Feiertagsregeln!$A$7:$A$480,0)))</f>
        <v>Glindesdi da Pasca</v>
      </c>
      <c r="I124" s="11" t="str">
        <f>INDEX(Feiertagsregeln!$H$7:$H$480,MATCH($K124,Feiertagsregeln!$A$7:$A$480,0))</f>
        <v>publicHoliday</v>
      </c>
      <c r="J124" s="11" t="s">
        <v>69</v>
      </c>
      <c r="K124" s="11" t="s">
        <v>182</v>
      </c>
      <c r="L124" s="11" t="str">
        <f>INDEX(Feiertagsregeln!$Y$7:$Y$480,MATCH($K124,Feiertagsregeln!$A$7:$A$480,0))</f>
        <v>SRC-GR-RUHETAGE-520100-20160101</v>
      </c>
      <c r="M124" s="11" t="str">
        <f>INDEX(Feiertagsregeln!$Z$7:$Z$480,MATCH($K124,Feiertagsregeln!$A$7:$A$480,0))</f>
        <v>Art. 2 Abs. 1 Bst. b</v>
      </c>
      <c r="N124" s="11" t="s">
        <v>179</v>
      </c>
      <c r="O124" s="11" t="str">
        <f>INDEX(Feiertagsregeln!$AA$7:$AA$480,MATCH($K124,Feiertagsregeln!$A$7:$A$480,0))</f>
        <v>Ganztägig</v>
      </c>
    </row>
    <row r="125" spans="1:15" ht="42" customHeight="1">
      <c r="A125" s="14">
        <f>INDEX(Feiertagsregeln!$X$7:$X$480,MATCH($K125,Feiertagsregeln!$A$7:$A$480,0))</f>
        <v>46898</v>
      </c>
      <c r="B125" s="10" t="str">
        <f t="shared" si="1"/>
        <v>Donnerstag</v>
      </c>
      <c r="C125" s="10" t="s">
        <v>176</v>
      </c>
      <c r="D125" s="10" t="s">
        <v>177</v>
      </c>
      <c r="E125" s="10" t="str">
        <f>INDEX(Feiertagsregeln!$D$7:$D$480,MATCH($K125,Feiertagsregeln!$A$7:$A$480,0))</f>
        <v>Auffahrt</v>
      </c>
      <c r="F125" s="10" t="str">
        <f>INDEX(Feiertagsregeln!$E$7:$E$480,MATCH($K125,Feiertagsregeln!$A$7:$A$480,0))</f>
        <v>Ascension</v>
      </c>
      <c r="G125" s="21" t="str">
        <f>IF(INDEX(Feiertagsregeln!$F$7:$F$480,MATCH($K125,Feiertagsregeln!$A$7:$A$480,0))="","Noch zu erfassen",INDEX(Feiertagsregeln!$F$7:$F$480,MATCH($K125,Feiertagsregeln!$A$7:$A$480,0)))</f>
        <v>Ascensione</v>
      </c>
      <c r="H125" s="21" t="str">
        <f>IF(INDEX(Feiertagsregeln!$G$7:$G$480,MATCH($K125,Feiertagsregeln!$A$7:$A$480,0))="","Noch zu erfassen",INDEX(Feiertagsregeln!$G$7:$G$480,MATCH($K125,Feiertagsregeln!$A$7:$A$480,0)))</f>
        <v>Ascensiun</v>
      </c>
      <c r="I125" s="10" t="str">
        <f>INDEX(Feiertagsregeln!$H$7:$H$480,MATCH($K125,Feiertagsregeln!$A$7:$A$480,0))</f>
        <v>publicHoliday</v>
      </c>
      <c r="J125" s="10" t="s">
        <v>69</v>
      </c>
      <c r="K125" s="10" t="s">
        <v>183</v>
      </c>
      <c r="L125" s="10" t="str">
        <f>INDEX(Feiertagsregeln!$Y$7:$Y$480,MATCH($K125,Feiertagsregeln!$A$7:$A$480,0))</f>
        <v>SRC-GR-RUHETAGE-520100-20160101</v>
      </c>
      <c r="M125" s="10" t="str">
        <f>INDEX(Feiertagsregeln!$Z$7:$Z$480,MATCH($K125,Feiertagsregeln!$A$7:$A$480,0))</f>
        <v>Art. 2 Abs. 1 Bst. b</v>
      </c>
      <c r="N125" s="10" t="s">
        <v>179</v>
      </c>
      <c r="O125" s="10" t="str">
        <f>INDEX(Feiertagsregeln!$AA$7:$AA$480,MATCH($K125,Feiertagsregeln!$A$7:$A$480,0))</f>
        <v>Ganztägig</v>
      </c>
    </row>
    <row r="126" spans="1:15" ht="42" customHeight="1">
      <c r="A126" s="15">
        <f>INDEX(Feiertagsregeln!$X$7:$X$480,MATCH($K126,Feiertagsregeln!$A$7:$A$480,0))</f>
        <v>46908</v>
      </c>
      <c r="B126" s="11" t="str">
        <f t="shared" si="1"/>
        <v>Sonntag</v>
      </c>
      <c r="C126" s="11" t="s">
        <v>176</v>
      </c>
      <c r="D126" s="11" t="s">
        <v>177</v>
      </c>
      <c r="E126" s="11" t="str">
        <f>INDEX(Feiertagsregeln!$D$7:$D$480,MATCH($K126,Feiertagsregeln!$A$7:$A$480,0))</f>
        <v>Pfingstsonntag</v>
      </c>
      <c r="F126" s="11" t="str">
        <f>INDEX(Feiertagsregeln!$E$7:$E$480,MATCH($K126,Feiertagsregeln!$A$7:$A$480,0))</f>
        <v>Pentecôte</v>
      </c>
      <c r="G126" s="22" t="str">
        <f>IF(INDEX(Feiertagsregeln!$F$7:$F$480,MATCH($K126,Feiertagsregeln!$A$7:$A$480,0))="","Noch zu erfassen",INDEX(Feiertagsregeln!$F$7:$F$480,MATCH($K126,Feiertagsregeln!$A$7:$A$480,0)))</f>
        <v>Domenica di Pentecoste</v>
      </c>
      <c r="H126" s="22" t="str">
        <f>IF(INDEX(Feiertagsregeln!$G$7:$G$480,MATCH($K126,Feiertagsregeln!$A$7:$A$480,0))="","Noch zu erfassen",INDEX(Feiertagsregeln!$G$7:$G$480,MATCH($K126,Feiertagsregeln!$A$7:$A$480,0)))</f>
        <v>Dumengia da Tschuncaisma</v>
      </c>
      <c r="I126" s="11" t="str">
        <f>INDEX(Feiertagsregeln!$H$7:$H$480,MATCH($K126,Feiertagsregeln!$A$7:$A$480,0))</f>
        <v>publicHoliday</v>
      </c>
      <c r="J126" s="11" t="s">
        <v>69</v>
      </c>
      <c r="K126" s="11" t="s">
        <v>184</v>
      </c>
      <c r="L126" s="11" t="str">
        <f>INDEX(Feiertagsregeln!$Y$7:$Y$480,MATCH($K126,Feiertagsregeln!$A$7:$A$480,0))</f>
        <v>SRC-GR-RUHETAGE-520100-20160101</v>
      </c>
      <c r="M126" s="11" t="str">
        <f>INDEX(Feiertagsregeln!$Z$7:$Z$480,MATCH($K126,Feiertagsregeln!$A$7:$A$480,0))</f>
        <v>Art. 2 Abs. 2</v>
      </c>
      <c r="N126" s="11" t="s">
        <v>179</v>
      </c>
      <c r="O126" s="11" t="str">
        <f>INDEX(Feiertagsregeln!$AA$7:$AA$480,MATCH($K126,Feiertagsregeln!$A$7:$A$480,0))</f>
        <v>Ganztägig</v>
      </c>
    </row>
    <row r="127" spans="1:15" ht="42" customHeight="1">
      <c r="A127" s="14">
        <f>INDEX(Feiertagsregeln!$X$7:$X$480,MATCH($K127,Feiertagsregeln!$A$7:$A$480,0))</f>
        <v>46909</v>
      </c>
      <c r="B127" s="10" t="str">
        <f t="shared" si="1"/>
        <v>Montag</v>
      </c>
      <c r="C127" s="10" t="s">
        <v>176</v>
      </c>
      <c r="D127" s="10" t="s">
        <v>177</v>
      </c>
      <c r="E127" s="10" t="str">
        <f>INDEX(Feiertagsregeln!$D$7:$D$480,MATCH($K127,Feiertagsregeln!$A$7:$A$480,0))</f>
        <v>Pfingstmontag</v>
      </c>
      <c r="F127" s="10" t="str">
        <f>INDEX(Feiertagsregeln!$E$7:$E$480,MATCH($K127,Feiertagsregeln!$A$7:$A$480,0))</f>
        <v>Lundi de Pentecôte</v>
      </c>
      <c r="G127" s="21" t="str">
        <f>IF(INDEX(Feiertagsregeln!$F$7:$F$480,MATCH($K127,Feiertagsregeln!$A$7:$A$480,0))="","Noch zu erfassen",INDEX(Feiertagsregeln!$F$7:$F$480,MATCH($K127,Feiertagsregeln!$A$7:$A$480,0)))</f>
        <v>Lunedì di Pentecoste</v>
      </c>
      <c r="H127" s="21" t="str">
        <f>IF(INDEX(Feiertagsregeln!$G$7:$G$480,MATCH($K127,Feiertagsregeln!$A$7:$A$480,0))="","Noch zu erfassen",INDEX(Feiertagsregeln!$G$7:$G$480,MATCH($K127,Feiertagsregeln!$A$7:$A$480,0)))</f>
        <v>Glindesdi da Tschuncaisma</v>
      </c>
      <c r="I127" s="10" t="str">
        <f>INDEX(Feiertagsregeln!$H$7:$H$480,MATCH($K127,Feiertagsregeln!$A$7:$A$480,0))</f>
        <v>publicHoliday</v>
      </c>
      <c r="J127" s="10" t="s">
        <v>69</v>
      </c>
      <c r="K127" s="10" t="s">
        <v>185</v>
      </c>
      <c r="L127" s="10" t="str">
        <f>INDEX(Feiertagsregeln!$Y$7:$Y$480,MATCH($K127,Feiertagsregeln!$A$7:$A$480,0))</f>
        <v>SRC-GR-RUHETAGE-520100-20160101</v>
      </c>
      <c r="M127" s="10" t="str">
        <f>INDEX(Feiertagsregeln!$Z$7:$Z$480,MATCH($K127,Feiertagsregeln!$A$7:$A$480,0))</f>
        <v>Art. 2 Abs. 1 Bst. b</v>
      </c>
      <c r="N127" s="10" t="s">
        <v>179</v>
      </c>
      <c r="O127" s="10" t="str">
        <f>INDEX(Feiertagsregeln!$AA$7:$AA$480,MATCH($K127,Feiertagsregeln!$A$7:$A$480,0))</f>
        <v>Ganztägig</v>
      </c>
    </row>
    <row r="128" spans="1:15" ht="42" customHeight="1">
      <c r="A128" s="15">
        <f>INDEX(Feiertagsregeln!$X$7:$X$480,MATCH($K128,Feiertagsregeln!$A$7:$A$480,0))</f>
        <v>46966</v>
      </c>
      <c r="B128" s="11" t="str">
        <f t="shared" si="1"/>
        <v>Dienstag</v>
      </c>
      <c r="C128" s="11" t="s">
        <v>176</v>
      </c>
      <c r="D128" s="11" t="s">
        <v>177</v>
      </c>
      <c r="E128" s="11" t="str">
        <f>INDEX(Feiertagsregeln!$D$7:$D$480,MATCH($K128,Feiertagsregeln!$A$7:$A$480,0))</f>
        <v>Bundesfeiertag</v>
      </c>
      <c r="F128" s="11" t="str">
        <f>INDEX(Feiertagsregeln!$E$7:$E$480,MATCH($K128,Feiertagsregeln!$A$7:$A$480,0))</f>
        <v>Fête nationale</v>
      </c>
      <c r="G128" s="22" t="str">
        <f>IF(INDEX(Feiertagsregeln!$F$7:$F$480,MATCH($K128,Feiertagsregeln!$A$7:$A$480,0))="","Noch zu erfassen",INDEX(Feiertagsregeln!$F$7:$F$480,MATCH($K128,Feiertagsregeln!$A$7:$A$480,0)))</f>
        <v>Primo agosto</v>
      </c>
      <c r="H128" s="22" t="str">
        <f>IF(INDEX(Feiertagsregeln!$G$7:$G$480,MATCH($K128,Feiertagsregeln!$A$7:$A$480,0))="","Noch zu erfassen",INDEX(Feiertagsregeln!$G$7:$G$480,MATCH($K128,Feiertagsregeln!$A$7:$A$480,0)))</f>
        <v>Festa naziunala svizra</v>
      </c>
      <c r="I128" s="11" t="str">
        <f>INDEX(Feiertagsregeln!$H$7:$H$480,MATCH($K128,Feiertagsregeln!$A$7:$A$480,0))</f>
        <v>publicHoliday</v>
      </c>
      <c r="J128" s="11" t="s">
        <v>69</v>
      </c>
      <c r="K128" s="11" t="s">
        <v>186</v>
      </c>
      <c r="L128" s="11" t="str">
        <f>INDEX(Feiertagsregeln!$Y$7:$Y$480,MATCH($K128,Feiertagsregeln!$A$7:$A$480,0))</f>
        <v>SRC-BUNDESFEIERTAG-19940701</v>
      </c>
      <c r="M128" s="11" t="str">
        <f>INDEX(Feiertagsregeln!$Z$7:$Z$480,MATCH($K128,Feiertagsregeln!$A$7:$A$480,0))</f>
        <v>Art. 1</v>
      </c>
      <c r="N128" s="11" t="s">
        <v>179</v>
      </c>
      <c r="O128" s="11" t="str">
        <f>INDEX(Feiertagsregeln!$AA$7:$AA$480,MATCH($K128,Feiertagsregeln!$A$7:$A$480,0))</f>
        <v>Ganztägig</v>
      </c>
    </row>
    <row r="129" spans="1:15" ht="42" customHeight="1">
      <c r="A129" s="14">
        <f>INDEX(Feiertagsregeln!$X$7:$X$480,MATCH($K129,Feiertagsregeln!$A$7:$A$480,0))</f>
        <v>47013</v>
      </c>
      <c r="B129" s="10" t="str">
        <f t="shared" si="1"/>
        <v>Sonntag</v>
      </c>
      <c r="C129" s="10" t="s">
        <v>176</v>
      </c>
      <c r="D129" s="10" t="s">
        <v>177</v>
      </c>
      <c r="E129" s="10" t="str">
        <f>INDEX(Feiertagsregeln!$D$7:$D$480,MATCH($K129,Feiertagsregeln!$A$7:$A$480,0))</f>
        <v>Eidgenössischer Bettag</v>
      </c>
      <c r="F129" s="10" t="str">
        <f>INDEX(Feiertagsregeln!$E$7:$E$480,MATCH($K129,Feiertagsregeln!$A$7:$A$480,0))</f>
        <v>Jeûne fédéral</v>
      </c>
      <c r="G129" s="21" t="str">
        <f>IF(INDEX(Feiertagsregeln!$F$7:$F$480,MATCH($K129,Feiertagsregeln!$A$7:$A$480,0))="","Noch zu erfassen",INDEX(Feiertagsregeln!$F$7:$F$480,MATCH($K129,Feiertagsregeln!$A$7:$A$480,0)))</f>
        <v>Festa federale di preghiera</v>
      </c>
      <c r="H129" s="21" t="str">
        <f>IF(INDEX(Feiertagsregeln!$G$7:$G$480,MATCH($K129,Feiertagsregeln!$A$7:$A$480,0))="","Noch zu erfassen",INDEX(Feiertagsregeln!$G$7:$G$480,MATCH($K129,Feiertagsregeln!$A$7:$A$480,0)))</f>
        <v>Di da la rogaziun federala</v>
      </c>
      <c r="I129" s="10" t="str">
        <f>INDEX(Feiertagsregeln!$H$7:$H$480,MATCH($K129,Feiertagsregeln!$A$7:$A$480,0))</f>
        <v>publicHoliday</v>
      </c>
      <c r="J129" s="10" t="s">
        <v>69</v>
      </c>
      <c r="K129" s="10" t="s">
        <v>187</v>
      </c>
      <c r="L129" s="10" t="str">
        <f>INDEX(Feiertagsregeln!$Y$7:$Y$480,MATCH($K129,Feiertagsregeln!$A$7:$A$480,0))</f>
        <v>SRC-GR-RUHETAGE-520100-20160101</v>
      </c>
      <c r="M129" s="10" t="str">
        <f>INDEX(Feiertagsregeln!$Z$7:$Z$480,MATCH($K129,Feiertagsregeln!$A$7:$A$480,0))</f>
        <v>Art. 2 Abs. 2</v>
      </c>
      <c r="N129" s="10" t="s">
        <v>179</v>
      </c>
      <c r="O129" s="10" t="str">
        <f>INDEX(Feiertagsregeln!$AA$7:$AA$480,MATCH($K129,Feiertagsregeln!$A$7:$A$480,0))</f>
        <v>Ganztägig</v>
      </c>
    </row>
    <row r="130" spans="1:15" ht="42" customHeight="1">
      <c r="A130" s="15">
        <f>INDEX(Feiertagsregeln!$X$7:$X$480,MATCH($K130,Feiertagsregeln!$A$7:$A$480,0))</f>
        <v>47112</v>
      </c>
      <c r="B130" s="11" t="str">
        <f t="shared" si="1"/>
        <v>Montag</v>
      </c>
      <c r="C130" s="11" t="s">
        <v>176</v>
      </c>
      <c r="D130" s="11" t="s">
        <v>177</v>
      </c>
      <c r="E130" s="11" t="str">
        <f>INDEX(Feiertagsregeln!$D$7:$D$480,MATCH($K130,Feiertagsregeln!$A$7:$A$480,0))</f>
        <v>Weihnachtstag</v>
      </c>
      <c r="F130" s="11" t="str">
        <f>INDEX(Feiertagsregeln!$E$7:$E$480,MATCH($K130,Feiertagsregeln!$A$7:$A$480,0))</f>
        <v>Noël</v>
      </c>
      <c r="G130" s="22" t="str">
        <f>IF(INDEX(Feiertagsregeln!$F$7:$F$480,MATCH($K130,Feiertagsregeln!$A$7:$A$480,0))="","Noch zu erfassen",INDEX(Feiertagsregeln!$F$7:$F$480,MATCH($K130,Feiertagsregeln!$A$7:$A$480,0)))</f>
        <v>Natale</v>
      </c>
      <c r="H130" s="22" t="str">
        <f>IF(INDEX(Feiertagsregeln!$G$7:$G$480,MATCH($K130,Feiertagsregeln!$A$7:$A$480,0))="","Noch zu erfassen",INDEX(Feiertagsregeln!$G$7:$G$480,MATCH($K130,Feiertagsregeln!$A$7:$A$480,0)))</f>
        <v>Di da Nadal</v>
      </c>
      <c r="I130" s="11" t="str">
        <f>INDEX(Feiertagsregeln!$H$7:$H$480,MATCH($K130,Feiertagsregeln!$A$7:$A$480,0))</f>
        <v>publicHoliday</v>
      </c>
      <c r="J130" s="11" t="s">
        <v>69</v>
      </c>
      <c r="K130" s="11" t="s">
        <v>188</v>
      </c>
      <c r="L130" s="11" t="str">
        <f>INDEX(Feiertagsregeln!$Y$7:$Y$480,MATCH($K130,Feiertagsregeln!$A$7:$A$480,0))</f>
        <v>SRC-GR-RUHETAGE-520100-20160101</v>
      </c>
      <c r="M130" s="11" t="str">
        <f>INDEX(Feiertagsregeln!$Z$7:$Z$480,MATCH($K130,Feiertagsregeln!$A$7:$A$480,0))</f>
        <v>Art. 2 Abs. 1 Bst. b und Abs. 2</v>
      </c>
      <c r="N130" s="11" t="s">
        <v>179</v>
      </c>
      <c r="O130" s="11" t="str">
        <f>INDEX(Feiertagsregeln!$AA$7:$AA$480,MATCH($K130,Feiertagsregeln!$A$7:$A$480,0))</f>
        <v>Ganztägig</v>
      </c>
    </row>
    <row r="131" spans="1:15" ht="42" customHeight="1">
      <c r="A131" s="14">
        <f>INDEX(Feiertagsregeln!$X$7:$X$480,MATCH($K131,Feiertagsregeln!$A$7:$A$480,0))</f>
        <v>47113</v>
      </c>
      <c r="B131" s="10" t="str">
        <f t="shared" si="1"/>
        <v>Dienstag</v>
      </c>
      <c r="C131" s="10" t="s">
        <v>176</v>
      </c>
      <c r="D131" s="10" t="s">
        <v>177</v>
      </c>
      <c r="E131" s="10" t="str">
        <f>INDEX(Feiertagsregeln!$D$7:$D$480,MATCH($K131,Feiertagsregeln!$A$7:$A$480,0))</f>
        <v>Stefanstag</v>
      </c>
      <c r="F131" s="10" t="str">
        <f>INDEX(Feiertagsregeln!$E$7:$E$480,MATCH($K131,Feiertagsregeln!$A$7:$A$480,0))</f>
        <v>Saint-Étienne</v>
      </c>
      <c r="G131" s="21" t="str">
        <f>IF(INDEX(Feiertagsregeln!$F$7:$F$480,MATCH($K131,Feiertagsregeln!$A$7:$A$480,0))="","Noch zu erfassen",INDEX(Feiertagsregeln!$F$7:$F$480,MATCH($K131,Feiertagsregeln!$A$7:$A$480,0)))</f>
        <v>Santo Stefano</v>
      </c>
      <c r="H131" s="21" t="str">
        <f>IF(INDEX(Feiertagsregeln!$G$7:$G$480,MATCH($K131,Feiertagsregeln!$A$7:$A$480,0))="","Noch zu erfassen",INDEX(Feiertagsregeln!$G$7:$G$480,MATCH($K131,Feiertagsregeln!$A$7:$A$480,0)))</f>
        <v>Son Steffan</v>
      </c>
      <c r="I131" s="10" t="str">
        <f>INDEX(Feiertagsregeln!$H$7:$H$480,MATCH($K131,Feiertagsregeln!$A$7:$A$480,0))</f>
        <v>publicHoliday</v>
      </c>
      <c r="J131" s="10" t="s">
        <v>69</v>
      </c>
      <c r="K131" s="10" t="s">
        <v>189</v>
      </c>
      <c r="L131" s="10" t="str">
        <f>INDEX(Feiertagsregeln!$Y$7:$Y$480,MATCH($K131,Feiertagsregeln!$A$7:$A$480,0))</f>
        <v>SRC-GR-RUHETAGE-520100-20160101</v>
      </c>
      <c r="M131" s="10" t="str">
        <f>INDEX(Feiertagsregeln!$Z$7:$Z$480,MATCH($K131,Feiertagsregeln!$A$7:$A$480,0))</f>
        <v>Art. 2 Abs. 1 Bst. b</v>
      </c>
      <c r="N131" s="10" t="s">
        <v>179</v>
      </c>
      <c r="O131" s="10" t="str">
        <f>INDEX(Feiertagsregeln!$AA$7:$AA$480,MATCH($K131,Feiertagsregeln!$A$7:$A$480,0))</f>
        <v>Ganztägig</v>
      </c>
    </row>
    <row r="132" spans="1:15" ht="44" customHeight="1">
      <c r="A132" s="15">
        <f>INDEX(Feiertagsregeln!$X$7:$X$480,MATCH($K132,Feiertagsregeln!$A$7:$A$480,0))</f>
        <v>46753</v>
      </c>
      <c r="B132" s="11" t="str">
        <f t="shared" si="1"/>
        <v>Samstag</v>
      </c>
      <c r="C132" s="11" t="s">
        <v>190</v>
      </c>
      <c r="D132" s="11" t="s">
        <v>191</v>
      </c>
      <c r="E132" s="11" t="str">
        <f>INDEX(Feiertagsregeln!$D$7:$D$480,MATCH($K132,Feiertagsregeln!$A$7:$A$480,0))</f>
        <v>Neujahr</v>
      </c>
      <c r="F132" s="11" t="str">
        <f>INDEX(Feiertagsregeln!$E$7:$E$480,MATCH($K132,Feiertagsregeln!$A$7:$A$480,0))</f>
        <v>Nouvel An</v>
      </c>
      <c r="G132" s="22" t="str">
        <f>IF(INDEX(Feiertagsregeln!$F$7:$F$480,MATCH($K132,Feiertagsregeln!$A$7:$A$480,0))="","Noch zu erfassen",INDEX(Feiertagsregeln!$F$7:$F$480,MATCH($K132,Feiertagsregeln!$A$7:$A$480,0)))</f>
        <v>Capo d’anno</v>
      </c>
      <c r="H132" s="22" t="str">
        <f>IF(INDEX(Feiertagsregeln!$G$7:$G$480,MATCH($K132,Feiertagsregeln!$A$7:$A$480,0))="","Noch zu erfassen",INDEX(Feiertagsregeln!$G$7:$G$480,MATCH($K132,Feiertagsregeln!$A$7:$A$480,0)))</f>
        <v>Bumaun</v>
      </c>
      <c r="I132" s="11" t="str">
        <f>INDEX(Feiertagsregeln!$H$7:$H$480,MATCH($K132,Feiertagsregeln!$A$7:$A$480,0))</f>
        <v>publicHoliday</v>
      </c>
      <c r="J132" s="11" t="s">
        <v>69</v>
      </c>
      <c r="K132" s="11" t="s">
        <v>192</v>
      </c>
      <c r="L132" s="11" t="str">
        <f>INDEX(Feiertagsregeln!$Y$7:$Y$480,MATCH($K132,Feiertagsregeln!$A$7:$A$480,0))</f>
        <v>SRC-VS-RUHEREG-822200-19661202</v>
      </c>
      <c r="M132" s="11" t="str">
        <f>INDEX(Feiertagsregeln!$Z$7:$Z$480,MATCH($K132,Feiertagsregeln!$A$7:$A$480,0))</f>
        <v>Art. 1</v>
      </c>
      <c r="N132" s="11" t="s">
        <v>193</v>
      </c>
      <c r="O132" s="11" t="str">
        <f>INDEX(Feiertagsregeln!$AA$7:$AA$480,MATCH($K132,Feiertagsregeln!$A$7:$A$480,0))</f>
        <v>Ganztägig</v>
      </c>
    </row>
    <row r="133" spans="1:15" ht="44" customHeight="1">
      <c r="A133" s="14">
        <f>INDEX(Feiertagsregeln!$X$7:$X$480,MATCH($K133,Feiertagsregeln!$A$7:$A$480,0))</f>
        <v>46831</v>
      </c>
      <c r="B133" s="10" t="str">
        <f t="shared" si="1"/>
        <v>Sonntag</v>
      </c>
      <c r="C133" s="10" t="s">
        <v>190</v>
      </c>
      <c r="D133" s="10" t="s">
        <v>191</v>
      </c>
      <c r="E133" s="10" t="str">
        <f>INDEX(Feiertagsregeln!$D$7:$D$480,MATCH($K133,Feiertagsregeln!$A$7:$A$480,0))</f>
        <v>Josefstag</v>
      </c>
      <c r="F133" s="10" t="str">
        <f>INDEX(Feiertagsregeln!$E$7:$E$480,MATCH($K133,Feiertagsregeln!$A$7:$A$480,0))</f>
        <v>Saint-Joseph</v>
      </c>
      <c r="G133" s="21" t="str">
        <f>IF(INDEX(Feiertagsregeln!$F$7:$F$480,MATCH($K133,Feiertagsregeln!$A$7:$A$480,0))="","Noch zu erfassen",INDEX(Feiertagsregeln!$F$7:$F$480,MATCH($K133,Feiertagsregeln!$A$7:$A$480,0)))</f>
        <v>San Giuseppe</v>
      </c>
      <c r="H133" s="21" t="str">
        <f>IF(INDEX(Feiertagsregeln!$G$7:$G$480,MATCH($K133,Feiertagsregeln!$A$7:$A$480,0))="","Noch zu erfassen",INDEX(Feiertagsregeln!$G$7:$G$480,MATCH($K133,Feiertagsregeln!$A$7:$A$480,0)))</f>
        <v>Son Giusep</v>
      </c>
      <c r="I133" s="10" t="str">
        <f>INDEX(Feiertagsregeln!$H$7:$H$480,MATCH($K133,Feiertagsregeln!$A$7:$A$480,0))</f>
        <v>publicHoliday</v>
      </c>
      <c r="J133" s="10" t="s">
        <v>69</v>
      </c>
      <c r="K133" s="10" t="s">
        <v>194</v>
      </c>
      <c r="L133" s="10" t="str">
        <f>INDEX(Feiertagsregeln!$Y$7:$Y$480,MATCH($K133,Feiertagsregeln!$A$7:$A$480,0))</f>
        <v>SRC-VS-RUHEREG-822200-19661202</v>
      </c>
      <c r="M133" s="10" t="str">
        <f>INDEX(Feiertagsregeln!$Z$7:$Z$480,MATCH($K133,Feiertagsregeln!$A$7:$A$480,0))</f>
        <v>Art. 1</v>
      </c>
      <c r="N133" s="10" t="s">
        <v>193</v>
      </c>
      <c r="O133" s="10" t="str">
        <f>INDEX(Feiertagsregeln!$AA$7:$AA$480,MATCH($K133,Feiertagsregeln!$A$7:$A$480,0))</f>
        <v>Ganztägig</v>
      </c>
    </row>
    <row r="134" spans="1:15" ht="44" customHeight="1">
      <c r="A134" s="15">
        <f>INDEX(Feiertagsregeln!$X$7:$X$480,MATCH($K134,Feiertagsregeln!$A$7:$A$480,0))</f>
        <v>46898</v>
      </c>
      <c r="B134" s="11" t="str">
        <f t="shared" si="1"/>
        <v>Donnerstag</v>
      </c>
      <c r="C134" s="11" t="s">
        <v>190</v>
      </c>
      <c r="D134" s="11" t="s">
        <v>191</v>
      </c>
      <c r="E134" s="11" t="str">
        <f>INDEX(Feiertagsregeln!$D$7:$D$480,MATCH($K134,Feiertagsregeln!$A$7:$A$480,0))</f>
        <v>Auffahrt</v>
      </c>
      <c r="F134" s="11" t="str">
        <f>INDEX(Feiertagsregeln!$E$7:$E$480,MATCH($K134,Feiertagsregeln!$A$7:$A$480,0))</f>
        <v>Ascension</v>
      </c>
      <c r="G134" s="22" t="str">
        <f>IF(INDEX(Feiertagsregeln!$F$7:$F$480,MATCH($K134,Feiertagsregeln!$A$7:$A$480,0))="","Noch zu erfassen",INDEX(Feiertagsregeln!$F$7:$F$480,MATCH($K134,Feiertagsregeln!$A$7:$A$480,0)))</f>
        <v>Ascensione</v>
      </c>
      <c r="H134" s="22" t="str">
        <f>IF(INDEX(Feiertagsregeln!$G$7:$G$480,MATCH($K134,Feiertagsregeln!$A$7:$A$480,0))="","Noch zu erfassen",INDEX(Feiertagsregeln!$G$7:$G$480,MATCH($K134,Feiertagsregeln!$A$7:$A$480,0)))</f>
        <v>Ascensiun</v>
      </c>
      <c r="I134" s="11" t="str">
        <f>INDEX(Feiertagsregeln!$H$7:$H$480,MATCH($K134,Feiertagsregeln!$A$7:$A$480,0))</f>
        <v>publicHoliday</v>
      </c>
      <c r="J134" s="11" t="s">
        <v>69</v>
      </c>
      <c r="K134" s="11" t="s">
        <v>195</v>
      </c>
      <c r="L134" s="11" t="str">
        <f>INDEX(Feiertagsregeln!$Y$7:$Y$480,MATCH($K134,Feiertagsregeln!$A$7:$A$480,0))</f>
        <v>SRC-VS-RUHEREG-822200-19661202</v>
      </c>
      <c r="M134" s="11" t="str">
        <f>INDEX(Feiertagsregeln!$Z$7:$Z$480,MATCH($K134,Feiertagsregeln!$A$7:$A$480,0))</f>
        <v>Art. 1</v>
      </c>
      <c r="N134" s="11" t="s">
        <v>193</v>
      </c>
      <c r="O134" s="11" t="str">
        <f>INDEX(Feiertagsregeln!$AA$7:$AA$480,MATCH($K134,Feiertagsregeln!$A$7:$A$480,0))</f>
        <v>Ganztägig</v>
      </c>
    </row>
    <row r="135" spans="1:15" ht="44" customHeight="1">
      <c r="A135" s="14">
        <f>INDEX(Feiertagsregeln!$X$7:$X$480,MATCH($K135,Feiertagsregeln!$A$7:$A$480,0))</f>
        <v>46919</v>
      </c>
      <c r="B135" s="10" t="str">
        <f t="shared" ref="B135:B198" si="2">IF(ISNUMBER(A135),CHOOSE(WEEKDAY(A135,2),"Montag","Dienstag","Mittwoch","Donnerstag","Freitag","Samstag","Sonntag")&amp;IF(O135="Ab 12.00 Uhr",", ab 12.00 Uhr",""),"n.a.")</f>
        <v>Donnerstag</v>
      </c>
      <c r="C135" s="10" t="s">
        <v>190</v>
      </c>
      <c r="D135" s="10" t="s">
        <v>191</v>
      </c>
      <c r="E135" s="10" t="str">
        <f>INDEX(Feiertagsregeln!$D$7:$D$480,MATCH($K135,Feiertagsregeln!$A$7:$A$480,0))</f>
        <v>Fronleichnam</v>
      </c>
      <c r="F135" s="10" t="str">
        <f>INDEX(Feiertagsregeln!$E$7:$E$480,MATCH($K135,Feiertagsregeln!$A$7:$A$480,0))</f>
        <v>Fête-Dieu</v>
      </c>
      <c r="G135" s="21" t="str">
        <f>IF(INDEX(Feiertagsregeln!$F$7:$F$480,MATCH($K135,Feiertagsregeln!$A$7:$A$480,0))="","Noch zu erfassen",INDEX(Feiertagsregeln!$F$7:$F$480,MATCH($K135,Feiertagsregeln!$A$7:$A$480,0)))</f>
        <v>Corpus Domini</v>
      </c>
      <c r="H135" s="21" t="str">
        <f>IF(INDEX(Feiertagsregeln!$G$7:$G$480,MATCH($K135,Feiertagsregeln!$A$7:$A$480,0))="","Noch zu erfassen",INDEX(Feiertagsregeln!$G$7:$G$480,MATCH($K135,Feiertagsregeln!$A$7:$A$480,0)))</f>
        <v>Sontgilcrest</v>
      </c>
      <c r="I135" s="10" t="str">
        <f>INDEX(Feiertagsregeln!$H$7:$H$480,MATCH($K135,Feiertagsregeln!$A$7:$A$480,0))</f>
        <v>publicHoliday</v>
      </c>
      <c r="J135" s="10" t="s">
        <v>69</v>
      </c>
      <c r="K135" s="10" t="s">
        <v>196</v>
      </c>
      <c r="L135" s="10" t="str">
        <f>INDEX(Feiertagsregeln!$Y$7:$Y$480,MATCH($K135,Feiertagsregeln!$A$7:$A$480,0))</f>
        <v>SRC-VS-RUHEREG-822200-19661202</v>
      </c>
      <c r="M135" s="10" t="str">
        <f>INDEX(Feiertagsregeln!$Z$7:$Z$480,MATCH($K135,Feiertagsregeln!$A$7:$A$480,0))</f>
        <v>Art. 1</v>
      </c>
      <c r="N135" s="10" t="s">
        <v>193</v>
      </c>
      <c r="O135" s="10" t="str">
        <f>INDEX(Feiertagsregeln!$AA$7:$AA$480,MATCH($K135,Feiertagsregeln!$A$7:$A$480,0))</f>
        <v>Ganztägig</v>
      </c>
    </row>
    <row r="136" spans="1:15" ht="44" customHeight="1">
      <c r="A136" s="15">
        <f>INDEX(Feiertagsregeln!$X$7:$X$480,MATCH($K136,Feiertagsregeln!$A$7:$A$480,0))</f>
        <v>46966</v>
      </c>
      <c r="B136" s="11" t="str">
        <f t="shared" si="2"/>
        <v>Dienstag</v>
      </c>
      <c r="C136" s="11" t="s">
        <v>190</v>
      </c>
      <c r="D136" s="11" t="s">
        <v>191</v>
      </c>
      <c r="E136" s="11" t="str">
        <f>INDEX(Feiertagsregeln!$D$7:$D$480,MATCH($K136,Feiertagsregeln!$A$7:$A$480,0))</f>
        <v>Bundesfeiertag</v>
      </c>
      <c r="F136" s="11" t="str">
        <f>INDEX(Feiertagsregeln!$E$7:$E$480,MATCH($K136,Feiertagsregeln!$A$7:$A$480,0))</f>
        <v>Fête nationale</v>
      </c>
      <c r="G136" s="22" t="str">
        <f>IF(INDEX(Feiertagsregeln!$F$7:$F$480,MATCH($K136,Feiertagsregeln!$A$7:$A$480,0))="","Noch zu erfassen",INDEX(Feiertagsregeln!$F$7:$F$480,MATCH($K136,Feiertagsregeln!$A$7:$A$480,0)))</f>
        <v>Primo agosto</v>
      </c>
      <c r="H136" s="22" t="str">
        <f>IF(INDEX(Feiertagsregeln!$G$7:$G$480,MATCH($K136,Feiertagsregeln!$A$7:$A$480,0))="","Noch zu erfassen",INDEX(Feiertagsregeln!$G$7:$G$480,MATCH($K136,Feiertagsregeln!$A$7:$A$480,0)))</f>
        <v>Festa naziunala svizra</v>
      </c>
      <c r="I136" s="11" t="str">
        <f>INDEX(Feiertagsregeln!$H$7:$H$480,MATCH($K136,Feiertagsregeln!$A$7:$A$480,0))</f>
        <v>publicHoliday</v>
      </c>
      <c r="J136" s="11" t="s">
        <v>69</v>
      </c>
      <c r="K136" s="11" t="s">
        <v>197</v>
      </c>
      <c r="L136" s="11" t="str">
        <f>INDEX(Feiertagsregeln!$Y$7:$Y$480,MATCH($K136,Feiertagsregeln!$A$7:$A$480,0))</f>
        <v>SRC-BUNDESFEIERTAG-19940701</v>
      </c>
      <c r="M136" s="11" t="str">
        <f>INDEX(Feiertagsregeln!$Z$7:$Z$480,MATCH($K136,Feiertagsregeln!$A$7:$A$480,0))</f>
        <v>Art. 1</v>
      </c>
      <c r="N136" s="11" t="s">
        <v>193</v>
      </c>
      <c r="O136" s="11" t="str">
        <f>INDEX(Feiertagsregeln!$AA$7:$AA$480,MATCH($K136,Feiertagsregeln!$A$7:$A$480,0))</f>
        <v>Ganztägig</v>
      </c>
    </row>
    <row r="137" spans="1:15" ht="44" customHeight="1">
      <c r="A137" s="14">
        <f>INDEX(Feiertagsregeln!$X$7:$X$480,MATCH($K137,Feiertagsregeln!$A$7:$A$480,0))</f>
        <v>46980</v>
      </c>
      <c r="B137" s="10" t="str">
        <f t="shared" si="2"/>
        <v>Dienstag</v>
      </c>
      <c r="C137" s="10" t="s">
        <v>190</v>
      </c>
      <c r="D137" s="10" t="s">
        <v>191</v>
      </c>
      <c r="E137" s="10" t="str">
        <f>INDEX(Feiertagsregeln!$D$7:$D$480,MATCH($K137,Feiertagsregeln!$A$7:$A$480,0))</f>
        <v>Mariä Himmelfahrt</v>
      </c>
      <c r="F137" s="10" t="str">
        <f>INDEX(Feiertagsregeln!$E$7:$E$480,MATCH($K137,Feiertagsregeln!$A$7:$A$480,0))</f>
        <v>Assomption</v>
      </c>
      <c r="G137" s="21" t="str">
        <f>IF(INDEX(Feiertagsregeln!$F$7:$F$480,MATCH($K137,Feiertagsregeln!$A$7:$A$480,0))="","Noch zu erfassen",INDEX(Feiertagsregeln!$F$7:$F$480,MATCH($K137,Feiertagsregeln!$A$7:$A$480,0)))</f>
        <v>Assunzione</v>
      </c>
      <c r="H137" s="21" t="str">
        <f>IF(INDEX(Feiertagsregeln!$G$7:$G$480,MATCH($K137,Feiertagsregeln!$A$7:$A$480,0))="","Noch zu erfassen",INDEX(Feiertagsregeln!$G$7:$G$480,MATCH($K137,Feiertagsregeln!$A$7:$A$480,0)))</f>
        <v>Nossadunna d’avust</v>
      </c>
      <c r="I137" s="10" t="str">
        <f>INDEX(Feiertagsregeln!$H$7:$H$480,MATCH($K137,Feiertagsregeln!$A$7:$A$480,0))</f>
        <v>publicHoliday</v>
      </c>
      <c r="J137" s="10" t="s">
        <v>69</v>
      </c>
      <c r="K137" s="10" t="s">
        <v>198</v>
      </c>
      <c r="L137" s="10" t="str">
        <f>INDEX(Feiertagsregeln!$Y$7:$Y$480,MATCH($K137,Feiertagsregeln!$A$7:$A$480,0))</f>
        <v>SRC-VS-RUHEREG-822200-19661202</v>
      </c>
      <c r="M137" s="10" t="str">
        <f>INDEX(Feiertagsregeln!$Z$7:$Z$480,MATCH($K137,Feiertagsregeln!$A$7:$A$480,0))</f>
        <v>Art. 1</v>
      </c>
      <c r="N137" s="10" t="s">
        <v>193</v>
      </c>
      <c r="O137" s="10" t="str">
        <f>INDEX(Feiertagsregeln!$AA$7:$AA$480,MATCH($K137,Feiertagsregeln!$A$7:$A$480,0))</f>
        <v>Ganztägig</v>
      </c>
    </row>
    <row r="138" spans="1:15" ht="44" customHeight="1">
      <c r="A138" s="15">
        <f>INDEX(Feiertagsregeln!$X$7:$X$480,MATCH($K138,Feiertagsregeln!$A$7:$A$480,0))</f>
        <v>47058</v>
      </c>
      <c r="B138" s="11" t="str">
        <f t="shared" si="2"/>
        <v>Mittwoch</v>
      </c>
      <c r="C138" s="11" t="s">
        <v>190</v>
      </c>
      <c r="D138" s="11" t="s">
        <v>191</v>
      </c>
      <c r="E138" s="11" t="str">
        <f>INDEX(Feiertagsregeln!$D$7:$D$480,MATCH($K138,Feiertagsregeln!$A$7:$A$480,0))</f>
        <v>Allerheiligen</v>
      </c>
      <c r="F138" s="11" t="str">
        <f>INDEX(Feiertagsregeln!$E$7:$E$480,MATCH($K138,Feiertagsregeln!$A$7:$A$480,0))</f>
        <v>Toussaint</v>
      </c>
      <c r="G138" s="22" t="str">
        <f>IF(INDEX(Feiertagsregeln!$F$7:$F$480,MATCH($K138,Feiertagsregeln!$A$7:$A$480,0))="","Noch zu erfassen",INDEX(Feiertagsregeln!$F$7:$F$480,MATCH($K138,Feiertagsregeln!$A$7:$A$480,0)))</f>
        <v>Ognissanti</v>
      </c>
      <c r="H138" s="22" t="str">
        <f>IF(INDEX(Feiertagsregeln!$G$7:$G$480,MATCH($K138,Feiertagsregeln!$A$7:$A$480,0))="","Noch zu erfassen",INDEX(Feiertagsregeln!$G$7:$G$480,MATCH($K138,Feiertagsregeln!$A$7:$A$480,0)))</f>
        <v>Numnasontga</v>
      </c>
      <c r="I138" s="11" t="str">
        <f>INDEX(Feiertagsregeln!$H$7:$H$480,MATCH($K138,Feiertagsregeln!$A$7:$A$480,0))</f>
        <v>publicHoliday</v>
      </c>
      <c r="J138" s="11" t="s">
        <v>69</v>
      </c>
      <c r="K138" s="11" t="s">
        <v>199</v>
      </c>
      <c r="L138" s="11" t="str">
        <f>INDEX(Feiertagsregeln!$Y$7:$Y$480,MATCH($K138,Feiertagsregeln!$A$7:$A$480,0))</f>
        <v>SRC-VS-RUHEREG-822200-19661202</v>
      </c>
      <c r="M138" s="11" t="str">
        <f>INDEX(Feiertagsregeln!$Z$7:$Z$480,MATCH($K138,Feiertagsregeln!$A$7:$A$480,0))</f>
        <v>Art. 1</v>
      </c>
      <c r="N138" s="11" t="s">
        <v>193</v>
      </c>
      <c r="O138" s="11" t="str">
        <f>INDEX(Feiertagsregeln!$AA$7:$AA$480,MATCH($K138,Feiertagsregeln!$A$7:$A$480,0))</f>
        <v>Ganztägig</v>
      </c>
    </row>
    <row r="139" spans="1:15" ht="44" customHeight="1">
      <c r="A139" s="14">
        <f>INDEX(Feiertagsregeln!$X$7:$X$480,MATCH($K139,Feiertagsregeln!$A$7:$A$480,0))</f>
        <v>47095</v>
      </c>
      <c r="B139" s="10" t="str">
        <f t="shared" si="2"/>
        <v>Freitag</v>
      </c>
      <c r="C139" s="10" t="s">
        <v>190</v>
      </c>
      <c r="D139" s="10" t="s">
        <v>191</v>
      </c>
      <c r="E139" s="10" t="str">
        <f>INDEX(Feiertagsregeln!$D$7:$D$480,MATCH($K139,Feiertagsregeln!$A$7:$A$480,0))</f>
        <v>Mariä Empfängnis</v>
      </c>
      <c r="F139" s="10" t="str">
        <f>INDEX(Feiertagsregeln!$E$7:$E$480,MATCH($K139,Feiertagsregeln!$A$7:$A$480,0))</f>
        <v>Immaculée Conception</v>
      </c>
      <c r="G139" s="21" t="str">
        <f>IF(INDEX(Feiertagsregeln!$F$7:$F$480,MATCH($K139,Feiertagsregeln!$A$7:$A$480,0))="","Noch zu erfassen",INDEX(Feiertagsregeln!$F$7:$F$480,MATCH($K139,Feiertagsregeln!$A$7:$A$480,0)))</f>
        <v>Immacolata</v>
      </c>
      <c r="H139" s="21" t="str">
        <f>IF(INDEX(Feiertagsregeln!$G$7:$G$480,MATCH($K139,Feiertagsregeln!$A$7:$A$480,0))="","Noch zu erfassen",INDEX(Feiertagsregeln!$G$7:$G$480,MATCH($K139,Feiertagsregeln!$A$7:$A$480,0)))</f>
        <v>Immaculada concepziun da Maria</v>
      </c>
      <c r="I139" s="10" t="str">
        <f>INDEX(Feiertagsregeln!$H$7:$H$480,MATCH($K139,Feiertagsregeln!$A$7:$A$480,0))</f>
        <v>publicHoliday</v>
      </c>
      <c r="J139" s="10" t="s">
        <v>69</v>
      </c>
      <c r="K139" s="10" t="s">
        <v>200</v>
      </c>
      <c r="L139" s="10" t="str">
        <f>INDEX(Feiertagsregeln!$Y$7:$Y$480,MATCH($K139,Feiertagsregeln!$A$7:$A$480,0))</f>
        <v>SRC-VS-RUHEREG-822200-19661202</v>
      </c>
      <c r="M139" s="10" t="str">
        <f>INDEX(Feiertagsregeln!$Z$7:$Z$480,MATCH($K139,Feiertagsregeln!$A$7:$A$480,0))</f>
        <v>Art. 1</v>
      </c>
      <c r="N139" s="10" t="s">
        <v>193</v>
      </c>
      <c r="O139" s="10" t="str">
        <f>INDEX(Feiertagsregeln!$AA$7:$AA$480,MATCH($K139,Feiertagsregeln!$A$7:$A$480,0))</f>
        <v>Ganztägig</v>
      </c>
    </row>
    <row r="140" spans="1:15" ht="44" customHeight="1">
      <c r="A140" s="15">
        <f>INDEX(Feiertagsregeln!$X$7:$X$480,MATCH($K140,Feiertagsregeln!$A$7:$A$480,0))</f>
        <v>47112</v>
      </c>
      <c r="B140" s="11" t="str">
        <f t="shared" si="2"/>
        <v>Montag</v>
      </c>
      <c r="C140" s="11" t="s">
        <v>190</v>
      </c>
      <c r="D140" s="11" t="s">
        <v>191</v>
      </c>
      <c r="E140" s="11" t="str">
        <f>INDEX(Feiertagsregeln!$D$7:$D$480,MATCH($K140,Feiertagsregeln!$A$7:$A$480,0))</f>
        <v>Weihnachten</v>
      </c>
      <c r="F140" s="11" t="str">
        <f>INDEX(Feiertagsregeln!$E$7:$E$480,MATCH($K140,Feiertagsregeln!$A$7:$A$480,0))</f>
        <v>Noël</v>
      </c>
      <c r="G140" s="22" t="str">
        <f>IF(INDEX(Feiertagsregeln!$F$7:$F$480,MATCH($K140,Feiertagsregeln!$A$7:$A$480,0))="","Noch zu erfassen",INDEX(Feiertagsregeln!$F$7:$F$480,MATCH($K140,Feiertagsregeln!$A$7:$A$480,0)))</f>
        <v>Natale</v>
      </c>
      <c r="H140" s="22" t="str">
        <f>IF(INDEX(Feiertagsregeln!$G$7:$G$480,MATCH($K140,Feiertagsregeln!$A$7:$A$480,0))="","Noch zu erfassen",INDEX(Feiertagsregeln!$G$7:$G$480,MATCH($K140,Feiertagsregeln!$A$7:$A$480,0)))</f>
        <v>Di da Nadal</v>
      </c>
      <c r="I140" s="11" t="str">
        <f>INDEX(Feiertagsregeln!$H$7:$H$480,MATCH($K140,Feiertagsregeln!$A$7:$A$480,0))</f>
        <v>publicHoliday</v>
      </c>
      <c r="J140" s="11" t="s">
        <v>69</v>
      </c>
      <c r="K140" s="11" t="s">
        <v>201</v>
      </c>
      <c r="L140" s="11" t="str">
        <f>INDEX(Feiertagsregeln!$Y$7:$Y$480,MATCH($K140,Feiertagsregeln!$A$7:$A$480,0))</f>
        <v>SRC-VS-RUHEREG-822200-19661202</v>
      </c>
      <c r="M140" s="11" t="str">
        <f>INDEX(Feiertagsregeln!$Z$7:$Z$480,MATCH($K140,Feiertagsregeln!$A$7:$A$480,0))</f>
        <v>Art. 1</v>
      </c>
      <c r="N140" s="11" t="s">
        <v>193</v>
      </c>
      <c r="O140" s="11" t="str">
        <f>INDEX(Feiertagsregeln!$AA$7:$AA$480,MATCH($K140,Feiertagsregeln!$A$7:$A$480,0))</f>
        <v>Ganztägig</v>
      </c>
    </row>
    <row r="141" spans="1:15" ht="44" customHeight="1">
      <c r="A141" s="14">
        <f>INDEX(Feiertagsregeln!$X$7:$X$480,MATCH($K141,Feiertagsregeln!$A$7:$A$480,0))</f>
        <v>46754</v>
      </c>
      <c r="B141" s="10" t="str">
        <f t="shared" si="2"/>
        <v>Sonntag</v>
      </c>
      <c r="C141" s="10" t="s">
        <v>190</v>
      </c>
      <c r="D141" s="10" t="s">
        <v>202</v>
      </c>
      <c r="E141" s="10" t="str">
        <f>INDEX(Feiertagsregeln!$D$7:$D$480,MATCH($K141,Feiertagsregeln!$A$7:$A$480,0))</f>
        <v>2. Januar</v>
      </c>
      <c r="F141" s="10" t="str">
        <f>INDEX(Feiertagsregeln!$E$7:$E$480,MATCH($K141,Feiertagsregeln!$A$7:$A$480,0))</f>
        <v>2 janvier</v>
      </c>
      <c r="G141" s="21" t="str">
        <f>IF(INDEX(Feiertagsregeln!$F$7:$F$480,MATCH($K141,Feiertagsregeln!$A$7:$A$480,0))="","Noch zu erfassen",INDEX(Feiertagsregeln!$F$7:$F$480,MATCH($K141,Feiertagsregeln!$A$7:$A$480,0)))</f>
        <v>Noch zu erfassen</v>
      </c>
      <c r="H141" s="21" t="str">
        <f>IF(INDEX(Feiertagsregeln!$G$7:$G$480,MATCH($K141,Feiertagsregeln!$A$7:$A$480,0))="","Noch zu erfassen",INDEX(Feiertagsregeln!$G$7:$G$480,MATCH($K141,Feiertagsregeln!$A$7:$A$480,0)))</f>
        <v>Noch zu erfassen</v>
      </c>
      <c r="I141" s="10" t="str">
        <f>INDEX(Feiertagsregeln!$H$7:$H$480,MATCH($K141,Feiertagsregeln!$A$7:$A$480,0))</f>
        <v>proceduralEquivalentDay</v>
      </c>
      <c r="J141" s="10" t="s">
        <v>69</v>
      </c>
      <c r="K141" s="10" t="s">
        <v>203</v>
      </c>
      <c r="L141" s="10" t="str">
        <f>INDEX(Feiertagsregeln!$Y$7:$Y$480,MATCH($K141,Feiertagsregeln!$A$7:$A$480,0))</f>
        <v>SRC-VS-RPFLG-1731-20240101</v>
      </c>
      <c r="M141" s="10" t="str">
        <f>INDEX(Feiertagsregeln!$Z$7:$Z$480,MATCH($K141,Feiertagsregeln!$A$7:$A$480,0))</f>
        <v>Art. 37 Abs. 1 Bst. c</v>
      </c>
      <c r="N141" s="10" t="s">
        <v>193</v>
      </c>
      <c r="O141" s="10" t="str">
        <f>INDEX(Feiertagsregeln!$AA$7:$AA$480,MATCH($K141,Feiertagsregeln!$A$7:$A$480,0))</f>
        <v>Ganztägig</v>
      </c>
    </row>
    <row r="142" spans="1:15" ht="44" customHeight="1">
      <c r="A142" s="15">
        <f>INDEX(Feiertagsregeln!$X$7:$X$480,MATCH($K142,Feiertagsregeln!$A$7:$A$480,0))</f>
        <v>46860</v>
      </c>
      <c r="B142" s="11" t="str">
        <f t="shared" si="2"/>
        <v>Montag</v>
      </c>
      <c r="C142" s="11" t="s">
        <v>190</v>
      </c>
      <c r="D142" s="11" t="s">
        <v>202</v>
      </c>
      <c r="E142" s="11" t="str">
        <f>INDEX(Feiertagsregeln!$D$7:$D$480,MATCH($K142,Feiertagsregeln!$A$7:$A$480,0))</f>
        <v>Ostermontag</v>
      </c>
      <c r="F142" s="11" t="str">
        <f>INDEX(Feiertagsregeln!$E$7:$E$480,MATCH($K142,Feiertagsregeln!$A$7:$A$480,0))</f>
        <v>Lundi de Pâques</v>
      </c>
      <c r="G142" s="22" t="str">
        <f>IF(INDEX(Feiertagsregeln!$F$7:$F$480,MATCH($K142,Feiertagsregeln!$A$7:$A$480,0))="","Noch zu erfassen",INDEX(Feiertagsregeln!$F$7:$F$480,MATCH($K142,Feiertagsregeln!$A$7:$A$480,0)))</f>
        <v>Lunedì di Pasqua</v>
      </c>
      <c r="H142" s="22" t="str">
        <f>IF(INDEX(Feiertagsregeln!$G$7:$G$480,MATCH($K142,Feiertagsregeln!$A$7:$A$480,0))="","Noch zu erfassen",INDEX(Feiertagsregeln!$G$7:$G$480,MATCH($K142,Feiertagsregeln!$A$7:$A$480,0)))</f>
        <v>Glindesdi da Pasca</v>
      </c>
      <c r="I142" s="11" t="str">
        <f>INDEX(Feiertagsregeln!$H$7:$H$480,MATCH($K142,Feiertagsregeln!$A$7:$A$480,0))</f>
        <v>proceduralEquivalentDay</v>
      </c>
      <c r="J142" s="11" t="s">
        <v>69</v>
      </c>
      <c r="K142" s="11" t="s">
        <v>204</v>
      </c>
      <c r="L142" s="11" t="str">
        <f>INDEX(Feiertagsregeln!$Y$7:$Y$480,MATCH($K142,Feiertagsregeln!$A$7:$A$480,0))</f>
        <v>SRC-VS-RPFLG-1731-20240101</v>
      </c>
      <c r="M142" s="11" t="str">
        <f>INDEX(Feiertagsregeln!$Z$7:$Z$480,MATCH($K142,Feiertagsregeln!$A$7:$A$480,0))</f>
        <v>Art. 37 Abs. 1 Bst. c</v>
      </c>
      <c r="N142" s="11" t="s">
        <v>193</v>
      </c>
      <c r="O142" s="11" t="str">
        <f>INDEX(Feiertagsregeln!$AA$7:$AA$480,MATCH($K142,Feiertagsregeln!$A$7:$A$480,0))</f>
        <v>Ganztägig</v>
      </c>
    </row>
    <row r="143" spans="1:15" ht="44" customHeight="1">
      <c r="A143" s="14">
        <f>INDEX(Feiertagsregeln!$X$7:$X$480,MATCH($K143,Feiertagsregeln!$A$7:$A$480,0))</f>
        <v>46909</v>
      </c>
      <c r="B143" s="10" t="str">
        <f t="shared" si="2"/>
        <v>Montag</v>
      </c>
      <c r="C143" s="10" t="s">
        <v>190</v>
      </c>
      <c r="D143" s="10" t="s">
        <v>202</v>
      </c>
      <c r="E143" s="10" t="str">
        <f>INDEX(Feiertagsregeln!$D$7:$D$480,MATCH($K143,Feiertagsregeln!$A$7:$A$480,0))</f>
        <v>Pfingstmontag</v>
      </c>
      <c r="F143" s="10" t="str">
        <f>INDEX(Feiertagsregeln!$E$7:$E$480,MATCH($K143,Feiertagsregeln!$A$7:$A$480,0))</f>
        <v>Lundi de Pentecôte</v>
      </c>
      <c r="G143" s="21" t="str">
        <f>IF(INDEX(Feiertagsregeln!$F$7:$F$480,MATCH($K143,Feiertagsregeln!$A$7:$A$480,0))="","Noch zu erfassen",INDEX(Feiertagsregeln!$F$7:$F$480,MATCH($K143,Feiertagsregeln!$A$7:$A$480,0)))</f>
        <v>Lunedì di Pentecoste</v>
      </c>
      <c r="H143" s="21" t="str">
        <f>IF(INDEX(Feiertagsregeln!$G$7:$G$480,MATCH($K143,Feiertagsregeln!$A$7:$A$480,0))="","Noch zu erfassen",INDEX(Feiertagsregeln!$G$7:$G$480,MATCH($K143,Feiertagsregeln!$A$7:$A$480,0)))</f>
        <v>Glindesdi da Tschuncaisma</v>
      </c>
      <c r="I143" s="10" t="str">
        <f>INDEX(Feiertagsregeln!$H$7:$H$480,MATCH($K143,Feiertagsregeln!$A$7:$A$480,0))</f>
        <v>proceduralEquivalentDay</v>
      </c>
      <c r="J143" s="10" t="s">
        <v>69</v>
      </c>
      <c r="K143" s="10" t="s">
        <v>205</v>
      </c>
      <c r="L143" s="10" t="str">
        <f>INDEX(Feiertagsregeln!$Y$7:$Y$480,MATCH($K143,Feiertagsregeln!$A$7:$A$480,0))</f>
        <v>SRC-VS-RPFLG-1731-20240101</v>
      </c>
      <c r="M143" s="10" t="str">
        <f>INDEX(Feiertagsregeln!$Z$7:$Z$480,MATCH($K143,Feiertagsregeln!$A$7:$A$480,0))</f>
        <v>Art. 37 Abs. 1 Bst. c</v>
      </c>
      <c r="N143" s="10" t="s">
        <v>193</v>
      </c>
      <c r="O143" s="10" t="str">
        <f>INDEX(Feiertagsregeln!$AA$7:$AA$480,MATCH($K143,Feiertagsregeln!$A$7:$A$480,0))</f>
        <v>Ganztägig</v>
      </c>
    </row>
    <row r="144" spans="1:15" ht="44" customHeight="1">
      <c r="A144" s="15">
        <f>INDEX(Feiertagsregeln!$X$7:$X$480,MATCH($K144,Feiertagsregeln!$A$7:$A$480,0))</f>
        <v>47113</v>
      </c>
      <c r="B144" s="11" t="str">
        <f t="shared" si="2"/>
        <v>Dienstag</v>
      </c>
      <c r="C144" s="11" t="s">
        <v>190</v>
      </c>
      <c r="D144" s="11" t="s">
        <v>202</v>
      </c>
      <c r="E144" s="11" t="str">
        <f>INDEX(Feiertagsregeln!$D$7:$D$480,MATCH($K144,Feiertagsregeln!$A$7:$A$480,0))</f>
        <v>26. Dezember (Stephanstag)</v>
      </c>
      <c r="F144" s="11" t="str">
        <f>INDEX(Feiertagsregeln!$E$7:$E$480,MATCH($K144,Feiertagsregeln!$A$7:$A$480,0))</f>
        <v>26 décembre (Saint-Étienne)</v>
      </c>
      <c r="G144" s="22" t="str">
        <f>IF(INDEX(Feiertagsregeln!$F$7:$F$480,MATCH($K144,Feiertagsregeln!$A$7:$A$480,0))="","Noch zu erfassen",INDEX(Feiertagsregeln!$F$7:$F$480,MATCH($K144,Feiertagsregeln!$A$7:$A$480,0)))</f>
        <v>Santo Stefano</v>
      </c>
      <c r="H144" s="22" t="str">
        <f>IF(INDEX(Feiertagsregeln!$G$7:$G$480,MATCH($K144,Feiertagsregeln!$A$7:$A$480,0))="","Noch zu erfassen",INDEX(Feiertagsregeln!$G$7:$G$480,MATCH($K144,Feiertagsregeln!$A$7:$A$480,0)))</f>
        <v>Son Steffan</v>
      </c>
      <c r="I144" s="11" t="str">
        <f>INDEX(Feiertagsregeln!$H$7:$H$480,MATCH($K144,Feiertagsregeln!$A$7:$A$480,0))</f>
        <v>proceduralEquivalentDay</v>
      </c>
      <c r="J144" s="11" t="s">
        <v>69</v>
      </c>
      <c r="K144" s="11" t="s">
        <v>206</v>
      </c>
      <c r="L144" s="11" t="str">
        <f>INDEX(Feiertagsregeln!$Y$7:$Y$480,MATCH($K144,Feiertagsregeln!$A$7:$A$480,0))</f>
        <v>SRC-VS-RPFLG-1731-20240101</v>
      </c>
      <c r="M144" s="11" t="str">
        <f>INDEX(Feiertagsregeln!$Z$7:$Z$480,MATCH($K144,Feiertagsregeln!$A$7:$A$480,0))</f>
        <v>Art. 37 Abs. 1 Bst. c</v>
      </c>
      <c r="N144" s="11" t="s">
        <v>193</v>
      </c>
      <c r="O144" s="11" t="str">
        <f>INDEX(Feiertagsregeln!$AA$7:$AA$480,MATCH($K144,Feiertagsregeln!$A$7:$A$480,0))</f>
        <v>Ganztägig</v>
      </c>
    </row>
    <row r="145" spans="1:15" ht="44" customHeight="1">
      <c r="A145" s="14">
        <f>INDEX(Feiertagsregeln!$X$7:$X$480,MATCH($K145,Feiertagsregeln!$A$7:$A$480,0))</f>
        <v>46753</v>
      </c>
      <c r="B145" s="10" t="str">
        <f t="shared" si="2"/>
        <v>Samstag</v>
      </c>
      <c r="C145" s="10" t="s">
        <v>207</v>
      </c>
      <c r="D145" s="10" t="s">
        <v>208</v>
      </c>
      <c r="E145" s="10" t="str">
        <f>INDEX(Feiertagsregeln!$D$7:$D$480,MATCH($K145,Feiertagsregeln!$A$7:$A$480,0))</f>
        <v>Neujahr</v>
      </c>
      <c r="F145" s="10" t="str">
        <f>INDEX(Feiertagsregeln!$E$7:$E$480,MATCH($K145,Feiertagsregeln!$A$7:$A$480,0))</f>
        <v>Nouvel An</v>
      </c>
      <c r="G145" s="21" t="str">
        <f>IF(INDEX(Feiertagsregeln!$F$7:$F$480,MATCH($K145,Feiertagsregeln!$A$7:$A$480,0))="","Noch zu erfassen",INDEX(Feiertagsregeln!$F$7:$F$480,MATCH($K145,Feiertagsregeln!$A$7:$A$480,0)))</f>
        <v>Capo d’anno</v>
      </c>
      <c r="H145" s="21" t="str">
        <f>IF(INDEX(Feiertagsregeln!$G$7:$G$480,MATCH($K145,Feiertagsregeln!$A$7:$A$480,0))="","Noch zu erfassen",INDEX(Feiertagsregeln!$G$7:$G$480,MATCH($K145,Feiertagsregeln!$A$7:$A$480,0)))</f>
        <v>Bumaun</v>
      </c>
      <c r="I145" s="10" t="str">
        <f>INDEX(Feiertagsregeln!$H$7:$H$480,MATCH($K145,Feiertagsregeln!$A$7:$A$480,0))</f>
        <v>labourLawHoliday</v>
      </c>
      <c r="J145" s="10" t="s">
        <v>69</v>
      </c>
      <c r="K145" s="10" t="s">
        <v>209</v>
      </c>
      <c r="L145" s="10" t="str">
        <f>INDEX(Feiertagsregeln!$Y$7:$Y$480,MATCH($K145,Feiertagsregeln!$A$7:$A$480,0))</f>
        <v>SRC-FR-BAMG-866111-V8126</v>
      </c>
      <c r="M145" s="10" t="str">
        <f>INDEX(Feiertagsregeln!$Z$7:$Z$480,MATCH($K145,Feiertagsregeln!$A$7:$A$480,0))</f>
        <v>Art. 49 Abs. 2</v>
      </c>
      <c r="N145" s="10" t="s">
        <v>193</v>
      </c>
      <c r="O145" s="10" t="str">
        <f>INDEX(Feiertagsregeln!$AA$7:$AA$480,MATCH($K145,Feiertagsregeln!$A$7:$A$480,0))</f>
        <v>Ganztägig</v>
      </c>
    </row>
    <row r="146" spans="1:15" ht="44" customHeight="1">
      <c r="A146" s="15">
        <f>INDEX(Feiertagsregeln!$X$7:$X$480,MATCH($K146,Feiertagsregeln!$A$7:$A$480,0))</f>
        <v>46857</v>
      </c>
      <c r="B146" s="11" t="str">
        <f t="shared" si="2"/>
        <v>Freitag</v>
      </c>
      <c r="C146" s="11" t="s">
        <v>207</v>
      </c>
      <c r="D146" s="11" t="s">
        <v>208</v>
      </c>
      <c r="E146" s="11" t="str">
        <f>INDEX(Feiertagsregeln!$D$7:$D$480,MATCH($K146,Feiertagsregeln!$A$7:$A$480,0))</f>
        <v>Karfreitag</v>
      </c>
      <c r="F146" s="11" t="str">
        <f>INDEX(Feiertagsregeln!$E$7:$E$480,MATCH($K146,Feiertagsregeln!$A$7:$A$480,0))</f>
        <v>Vendredi saint</v>
      </c>
      <c r="G146" s="22" t="str">
        <f>IF(INDEX(Feiertagsregeln!$F$7:$F$480,MATCH($K146,Feiertagsregeln!$A$7:$A$480,0))="","Noch zu erfassen",INDEX(Feiertagsregeln!$F$7:$F$480,MATCH($K146,Feiertagsregeln!$A$7:$A$480,0)))</f>
        <v>Venerdì Santo</v>
      </c>
      <c r="H146" s="22" t="str">
        <f>IF(INDEX(Feiertagsregeln!$G$7:$G$480,MATCH($K146,Feiertagsregeln!$A$7:$A$480,0))="","Noch zu erfassen",INDEX(Feiertagsregeln!$G$7:$G$480,MATCH($K146,Feiertagsregeln!$A$7:$A$480,0)))</f>
        <v>Venderdi sontg</v>
      </c>
      <c r="I146" s="11" t="str">
        <f>INDEX(Feiertagsregeln!$H$7:$H$480,MATCH($K146,Feiertagsregeln!$A$7:$A$480,0))</f>
        <v>labourLawHoliday</v>
      </c>
      <c r="J146" s="11" t="s">
        <v>69</v>
      </c>
      <c r="K146" s="11" t="s">
        <v>210</v>
      </c>
      <c r="L146" s="11" t="str">
        <f>INDEX(Feiertagsregeln!$Y$7:$Y$480,MATCH($K146,Feiertagsregeln!$A$7:$A$480,0))</f>
        <v>SRC-FR-BAMG-866111-V8126</v>
      </c>
      <c r="M146" s="11" t="str">
        <f>INDEX(Feiertagsregeln!$Z$7:$Z$480,MATCH($K146,Feiertagsregeln!$A$7:$A$480,0))</f>
        <v>Art. 49 Abs. 2</v>
      </c>
      <c r="N146" s="11" t="s">
        <v>193</v>
      </c>
      <c r="O146" s="11" t="str">
        <f>INDEX(Feiertagsregeln!$AA$7:$AA$480,MATCH($K146,Feiertagsregeln!$A$7:$A$480,0))</f>
        <v>Ganztägig</v>
      </c>
    </row>
    <row r="147" spans="1:15" ht="44" customHeight="1">
      <c r="A147" s="14">
        <f>INDEX(Feiertagsregeln!$X$7:$X$480,MATCH($K147,Feiertagsregeln!$A$7:$A$480,0))</f>
        <v>46898</v>
      </c>
      <c r="B147" s="10" t="str">
        <f t="shared" si="2"/>
        <v>Donnerstag</v>
      </c>
      <c r="C147" s="10" t="s">
        <v>207</v>
      </c>
      <c r="D147" s="10" t="s">
        <v>208</v>
      </c>
      <c r="E147" s="10" t="str">
        <f>INDEX(Feiertagsregeln!$D$7:$D$480,MATCH($K147,Feiertagsregeln!$A$7:$A$480,0))</f>
        <v>Auffahrt</v>
      </c>
      <c r="F147" s="10" t="str">
        <f>INDEX(Feiertagsregeln!$E$7:$E$480,MATCH($K147,Feiertagsregeln!$A$7:$A$480,0))</f>
        <v>Ascension</v>
      </c>
      <c r="G147" s="21" t="str">
        <f>IF(INDEX(Feiertagsregeln!$F$7:$F$480,MATCH($K147,Feiertagsregeln!$A$7:$A$480,0))="","Noch zu erfassen",INDEX(Feiertagsregeln!$F$7:$F$480,MATCH($K147,Feiertagsregeln!$A$7:$A$480,0)))</f>
        <v>Ascensione</v>
      </c>
      <c r="H147" s="21" t="str">
        <f>IF(INDEX(Feiertagsregeln!$G$7:$G$480,MATCH($K147,Feiertagsregeln!$A$7:$A$480,0))="","Noch zu erfassen",INDEX(Feiertagsregeln!$G$7:$G$480,MATCH($K147,Feiertagsregeln!$A$7:$A$480,0)))</f>
        <v>Ascensiun</v>
      </c>
      <c r="I147" s="10" t="str">
        <f>INDEX(Feiertagsregeln!$H$7:$H$480,MATCH($K147,Feiertagsregeln!$A$7:$A$480,0))</f>
        <v>labourLawHoliday</v>
      </c>
      <c r="J147" s="10" t="s">
        <v>69</v>
      </c>
      <c r="K147" s="10" t="s">
        <v>211</v>
      </c>
      <c r="L147" s="10" t="str">
        <f>INDEX(Feiertagsregeln!$Y$7:$Y$480,MATCH($K147,Feiertagsregeln!$A$7:$A$480,0))</f>
        <v>SRC-FR-BAMG-866111-V8126</v>
      </c>
      <c r="M147" s="10" t="str">
        <f>INDEX(Feiertagsregeln!$Z$7:$Z$480,MATCH($K147,Feiertagsregeln!$A$7:$A$480,0))</f>
        <v>Art. 49 Abs. 2</v>
      </c>
      <c r="N147" s="10" t="s">
        <v>193</v>
      </c>
      <c r="O147" s="10" t="str">
        <f>INDEX(Feiertagsregeln!$AA$7:$AA$480,MATCH($K147,Feiertagsregeln!$A$7:$A$480,0))</f>
        <v>Ganztägig</v>
      </c>
    </row>
    <row r="148" spans="1:15" ht="44" customHeight="1">
      <c r="A148" s="15">
        <f>INDEX(Feiertagsregeln!$X$7:$X$480,MATCH($K148,Feiertagsregeln!$A$7:$A$480,0))</f>
        <v>46919</v>
      </c>
      <c r="B148" s="11" t="str">
        <f t="shared" si="2"/>
        <v>Donnerstag</v>
      </c>
      <c r="C148" s="11" t="s">
        <v>207</v>
      </c>
      <c r="D148" s="11" t="s">
        <v>208</v>
      </c>
      <c r="E148" s="11" t="str">
        <f>INDEX(Feiertagsregeln!$D$7:$D$480,MATCH($K148,Feiertagsregeln!$A$7:$A$480,0))</f>
        <v>Fronleichnam</v>
      </c>
      <c r="F148" s="11" t="str">
        <f>INDEX(Feiertagsregeln!$E$7:$E$480,MATCH($K148,Feiertagsregeln!$A$7:$A$480,0))</f>
        <v>Fête-Dieu</v>
      </c>
      <c r="G148" s="22" t="str">
        <f>IF(INDEX(Feiertagsregeln!$F$7:$F$480,MATCH($K148,Feiertagsregeln!$A$7:$A$480,0))="","Noch zu erfassen",INDEX(Feiertagsregeln!$F$7:$F$480,MATCH($K148,Feiertagsregeln!$A$7:$A$480,0)))</f>
        <v>Corpus Domini</v>
      </c>
      <c r="H148" s="22" t="str">
        <f>IF(INDEX(Feiertagsregeln!$G$7:$G$480,MATCH($K148,Feiertagsregeln!$A$7:$A$480,0))="","Noch zu erfassen",INDEX(Feiertagsregeln!$G$7:$G$480,MATCH($K148,Feiertagsregeln!$A$7:$A$480,0)))</f>
        <v>Sontgilcrest</v>
      </c>
      <c r="I148" s="11" t="str">
        <f>INDEX(Feiertagsregeln!$H$7:$H$480,MATCH($K148,Feiertagsregeln!$A$7:$A$480,0))</f>
        <v>labourLawHoliday</v>
      </c>
      <c r="J148" s="11" t="s">
        <v>69</v>
      </c>
      <c r="K148" s="11" t="s">
        <v>212</v>
      </c>
      <c r="L148" s="11" t="str">
        <f>INDEX(Feiertagsregeln!$Y$7:$Y$480,MATCH($K148,Feiertagsregeln!$A$7:$A$480,0))</f>
        <v>SRC-FR-BAMG-866111-V8126</v>
      </c>
      <c r="M148" s="11" t="str">
        <f>INDEX(Feiertagsregeln!$Z$7:$Z$480,MATCH($K148,Feiertagsregeln!$A$7:$A$480,0))</f>
        <v>Art. 49 Abs. 3 Bst. a</v>
      </c>
      <c r="N148" s="11" t="s">
        <v>193</v>
      </c>
      <c r="O148" s="11" t="str">
        <f>INDEX(Feiertagsregeln!$AA$7:$AA$480,MATCH($K148,Feiertagsregeln!$A$7:$A$480,0))</f>
        <v>Ganztägig</v>
      </c>
    </row>
    <row r="149" spans="1:15" ht="44" customHeight="1">
      <c r="A149" s="14">
        <f>INDEX(Feiertagsregeln!$X$7:$X$480,MATCH($K149,Feiertagsregeln!$A$7:$A$480,0))</f>
        <v>46966</v>
      </c>
      <c r="B149" s="10" t="str">
        <f t="shared" si="2"/>
        <v>Dienstag</v>
      </c>
      <c r="C149" s="10" t="s">
        <v>207</v>
      </c>
      <c r="D149" s="10" t="s">
        <v>208</v>
      </c>
      <c r="E149" s="10" t="str">
        <f>INDEX(Feiertagsregeln!$D$7:$D$480,MATCH($K149,Feiertagsregeln!$A$7:$A$480,0))</f>
        <v>Bundesfeiertag</v>
      </c>
      <c r="F149" s="10" t="str">
        <f>INDEX(Feiertagsregeln!$E$7:$E$480,MATCH($K149,Feiertagsregeln!$A$7:$A$480,0))</f>
        <v>Fête nationale</v>
      </c>
      <c r="G149" s="21" t="str">
        <f>IF(INDEX(Feiertagsregeln!$F$7:$F$480,MATCH($K149,Feiertagsregeln!$A$7:$A$480,0))="","Noch zu erfassen",INDEX(Feiertagsregeln!$F$7:$F$480,MATCH($K149,Feiertagsregeln!$A$7:$A$480,0)))</f>
        <v>Primo agosto</v>
      </c>
      <c r="H149" s="21" t="str">
        <f>IF(INDEX(Feiertagsregeln!$G$7:$G$480,MATCH($K149,Feiertagsregeln!$A$7:$A$480,0))="","Noch zu erfassen",INDEX(Feiertagsregeln!$G$7:$G$480,MATCH($K149,Feiertagsregeln!$A$7:$A$480,0)))</f>
        <v>Festa naziunala svizra</v>
      </c>
      <c r="I149" s="10" t="str">
        <f>INDEX(Feiertagsregeln!$H$7:$H$480,MATCH($K149,Feiertagsregeln!$A$7:$A$480,0))</f>
        <v>publicHoliday</v>
      </c>
      <c r="J149" s="10" t="s">
        <v>69</v>
      </c>
      <c r="K149" s="10" t="s">
        <v>213</v>
      </c>
      <c r="L149" s="10" t="str">
        <f>INDEX(Feiertagsregeln!$Y$7:$Y$480,MATCH($K149,Feiertagsregeln!$A$7:$A$480,0))</f>
        <v>SRC-BUNDESFEIERTAG-19940701</v>
      </c>
      <c r="M149" s="10" t="str">
        <f>INDEX(Feiertagsregeln!$Z$7:$Z$480,MATCH($K149,Feiertagsregeln!$A$7:$A$480,0))</f>
        <v>SR 116, Art. 1, neue offene Anwendung auf dieses Geltungsprofil</v>
      </c>
      <c r="N149" s="10" t="s">
        <v>193</v>
      </c>
      <c r="O149" s="10" t="str">
        <f>INDEX(Feiertagsregeln!$AA$7:$AA$480,MATCH($K149,Feiertagsregeln!$A$7:$A$480,0))</f>
        <v>Ganztägig</v>
      </c>
    </row>
    <row r="150" spans="1:15" ht="44" customHeight="1">
      <c r="A150" s="15">
        <f>INDEX(Feiertagsregeln!$X$7:$X$480,MATCH($K150,Feiertagsregeln!$A$7:$A$480,0))</f>
        <v>46980</v>
      </c>
      <c r="B150" s="11" t="str">
        <f t="shared" si="2"/>
        <v>Dienstag</v>
      </c>
      <c r="C150" s="11" t="s">
        <v>207</v>
      </c>
      <c r="D150" s="11" t="s">
        <v>208</v>
      </c>
      <c r="E150" s="11" t="str">
        <f>INDEX(Feiertagsregeln!$D$7:$D$480,MATCH($K150,Feiertagsregeln!$A$7:$A$480,0))</f>
        <v>Mariä Himmelfahrt</v>
      </c>
      <c r="F150" s="11" t="str">
        <f>INDEX(Feiertagsregeln!$E$7:$E$480,MATCH($K150,Feiertagsregeln!$A$7:$A$480,0))</f>
        <v>Assomption</v>
      </c>
      <c r="G150" s="22" t="str">
        <f>IF(INDEX(Feiertagsregeln!$F$7:$F$480,MATCH($K150,Feiertagsregeln!$A$7:$A$480,0))="","Noch zu erfassen",INDEX(Feiertagsregeln!$F$7:$F$480,MATCH($K150,Feiertagsregeln!$A$7:$A$480,0)))</f>
        <v>Assunzione</v>
      </c>
      <c r="H150" s="22" t="str">
        <f>IF(INDEX(Feiertagsregeln!$G$7:$G$480,MATCH($K150,Feiertagsregeln!$A$7:$A$480,0))="","Noch zu erfassen",INDEX(Feiertagsregeln!$G$7:$G$480,MATCH($K150,Feiertagsregeln!$A$7:$A$480,0)))</f>
        <v>Nossadunna d’avust</v>
      </c>
      <c r="I150" s="11" t="str">
        <f>INDEX(Feiertagsregeln!$H$7:$H$480,MATCH($K150,Feiertagsregeln!$A$7:$A$480,0))</f>
        <v>labourLawHoliday</v>
      </c>
      <c r="J150" s="11" t="s">
        <v>69</v>
      </c>
      <c r="K150" s="11" t="s">
        <v>214</v>
      </c>
      <c r="L150" s="11" t="str">
        <f>INDEX(Feiertagsregeln!$Y$7:$Y$480,MATCH($K150,Feiertagsregeln!$A$7:$A$480,0))</f>
        <v>SRC-FR-BAMG-866111-V8126</v>
      </c>
      <c r="M150" s="11" t="str">
        <f>INDEX(Feiertagsregeln!$Z$7:$Z$480,MATCH($K150,Feiertagsregeln!$A$7:$A$480,0))</f>
        <v>Art. 49 Abs. 3 Bst. a</v>
      </c>
      <c r="N150" s="11" t="s">
        <v>193</v>
      </c>
      <c r="O150" s="11" t="str">
        <f>INDEX(Feiertagsregeln!$AA$7:$AA$480,MATCH($K150,Feiertagsregeln!$A$7:$A$480,0))</f>
        <v>Ganztägig</v>
      </c>
    </row>
    <row r="151" spans="1:15" ht="44" customHeight="1">
      <c r="A151" s="14">
        <f>INDEX(Feiertagsregeln!$X$7:$X$480,MATCH($K151,Feiertagsregeln!$A$7:$A$480,0))</f>
        <v>47058</v>
      </c>
      <c r="B151" s="10" t="str">
        <f t="shared" si="2"/>
        <v>Mittwoch</v>
      </c>
      <c r="C151" s="10" t="s">
        <v>207</v>
      </c>
      <c r="D151" s="10" t="s">
        <v>208</v>
      </c>
      <c r="E151" s="10" t="str">
        <f>INDEX(Feiertagsregeln!$D$7:$D$480,MATCH($K151,Feiertagsregeln!$A$7:$A$480,0))</f>
        <v>Allerheiligen</v>
      </c>
      <c r="F151" s="10" t="str">
        <f>INDEX(Feiertagsregeln!$E$7:$E$480,MATCH($K151,Feiertagsregeln!$A$7:$A$480,0))</f>
        <v>Toussaint</v>
      </c>
      <c r="G151" s="21" t="str">
        <f>IF(INDEX(Feiertagsregeln!$F$7:$F$480,MATCH($K151,Feiertagsregeln!$A$7:$A$480,0))="","Noch zu erfassen",INDEX(Feiertagsregeln!$F$7:$F$480,MATCH($K151,Feiertagsregeln!$A$7:$A$480,0)))</f>
        <v>Ognissanti</v>
      </c>
      <c r="H151" s="21" t="str">
        <f>IF(INDEX(Feiertagsregeln!$G$7:$G$480,MATCH($K151,Feiertagsregeln!$A$7:$A$480,0))="","Noch zu erfassen",INDEX(Feiertagsregeln!$G$7:$G$480,MATCH($K151,Feiertagsregeln!$A$7:$A$480,0)))</f>
        <v>Numnasontga</v>
      </c>
      <c r="I151" s="10" t="str">
        <f>INDEX(Feiertagsregeln!$H$7:$H$480,MATCH($K151,Feiertagsregeln!$A$7:$A$480,0))</f>
        <v>labourLawHoliday</v>
      </c>
      <c r="J151" s="10" t="s">
        <v>69</v>
      </c>
      <c r="K151" s="10" t="s">
        <v>215</v>
      </c>
      <c r="L151" s="10" t="str">
        <f>INDEX(Feiertagsregeln!$Y$7:$Y$480,MATCH($K151,Feiertagsregeln!$A$7:$A$480,0))</f>
        <v>SRC-FR-BAMG-866111-V8126</v>
      </c>
      <c r="M151" s="10" t="str">
        <f>INDEX(Feiertagsregeln!$Z$7:$Z$480,MATCH($K151,Feiertagsregeln!$A$7:$A$480,0))</f>
        <v>Art. 49 Abs. 3 Bst. a</v>
      </c>
      <c r="N151" s="10" t="s">
        <v>193</v>
      </c>
      <c r="O151" s="10" t="str">
        <f>INDEX(Feiertagsregeln!$AA$7:$AA$480,MATCH($K151,Feiertagsregeln!$A$7:$A$480,0))</f>
        <v>Ganztägig</v>
      </c>
    </row>
    <row r="152" spans="1:15" ht="44" customHeight="1">
      <c r="A152" s="15">
        <f>INDEX(Feiertagsregeln!$X$7:$X$480,MATCH($K152,Feiertagsregeln!$A$7:$A$480,0))</f>
        <v>47095</v>
      </c>
      <c r="B152" s="11" t="str">
        <f t="shared" si="2"/>
        <v>Freitag</v>
      </c>
      <c r="C152" s="11" t="s">
        <v>207</v>
      </c>
      <c r="D152" s="11" t="s">
        <v>208</v>
      </c>
      <c r="E152" s="11" t="str">
        <f>INDEX(Feiertagsregeln!$D$7:$D$480,MATCH($K152,Feiertagsregeln!$A$7:$A$480,0))</f>
        <v>Mariä Empfängnis</v>
      </c>
      <c r="F152" s="11" t="str">
        <f>INDEX(Feiertagsregeln!$E$7:$E$480,MATCH($K152,Feiertagsregeln!$A$7:$A$480,0))</f>
        <v>Immaculée Conception</v>
      </c>
      <c r="G152" s="22" t="str">
        <f>IF(INDEX(Feiertagsregeln!$F$7:$F$480,MATCH($K152,Feiertagsregeln!$A$7:$A$480,0))="","Noch zu erfassen",INDEX(Feiertagsregeln!$F$7:$F$480,MATCH($K152,Feiertagsregeln!$A$7:$A$480,0)))</f>
        <v>Immacolata</v>
      </c>
      <c r="H152" s="22" t="str">
        <f>IF(INDEX(Feiertagsregeln!$G$7:$G$480,MATCH($K152,Feiertagsregeln!$A$7:$A$480,0))="","Noch zu erfassen",INDEX(Feiertagsregeln!$G$7:$G$480,MATCH($K152,Feiertagsregeln!$A$7:$A$480,0)))</f>
        <v>Immaculada concepziun da Maria</v>
      </c>
      <c r="I152" s="11" t="str">
        <f>INDEX(Feiertagsregeln!$H$7:$H$480,MATCH($K152,Feiertagsregeln!$A$7:$A$480,0))</f>
        <v>labourLawHoliday</v>
      </c>
      <c r="J152" s="11" t="s">
        <v>69</v>
      </c>
      <c r="K152" s="11" t="s">
        <v>216</v>
      </c>
      <c r="L152" s="11" t="str">
        <f>INDEX(Feiertagsregeln!$Y$7:$Y$480,MATCH($K152,Feiertagsregeln!$A$7:$A$480,0))</f>
        <v>SRC-FR-BAMG-866111-V8126</v>
      </c>
      <c r="M152" s="11" t="str">
        <f>INDEX(Feiertagsregeln!$Z$7:$Z$480,MATCH($K152,Feiertagsregeln!$A$7:$A$480,0))</f>
        <v>Art. 49 Abs. 3 Bst. a</v>
      </c>
      <c r="N152" s="11" t="s">
        <v>193</v>
      </c>
      <c r="O152" s="11" t="str">
        <f>INDEX(Feiertagsregeln!$AA$7:$AA$480,MATCH($K152,Feiertagsregeln!$A$7:$A$480,0))</f>
        <v>Ganztägig</v>
      </c>
    </row>
    <row r="153" spans="1:15" ht="44" customHeight="1">
      <c r="A153" s="14">
        <f>INDEX(Feiertagsregeln!$X$7:$X$480,MATCH($K153,Feiertagsregeln!$A$7:$A$480,0))</f>
        <v>47112</v>
      </c>
      <c r="B153" s="10" t="str">
        <f t="shared" si="2"/>
        <v>Montag</v>
      </c>
      <c r="C153" s="10" t="s">
        <v>207</v>
      </c>
      <c r="D153" s="10" t="s">
        <v>208</v>
      </c>
      <c r="E153" s="10" t="str">
        <f>INDEX(Feiertagsregeln!$D$7:$D$480,MATCH($K153,Feiertagsregeln!$A$7:$A$480,0))</f>
        <v>Weihnachten</v>
      </c>
      <c r="F153" s="10" t="str">
        <f>INDEX(Feiertagsregeln!$E$7:$E$480,MATCH($K153,Feiertagsregeln!$A$7:$A$480,0))</f>
        <v>Noël</v>
      </c>
      <c r="G153" s="21" t="str">
        <f>IF(INDEX(Feiertagsregeln!$F$7:$F$480,MATCH($K153,Feiertagsregeln!$A$7:$A$480,0))="","Noch zu erfassen",INDEX(Feiertagsregeln!$F$7:$F$480,MATCH($K153,Feiertagsregeln!$A$7:$A$480,0)))</f>
        <v>Natale</v>
      </c>
      <c r="H153" s="21" t="str">
        <f>IF(INDEX(Feiertagsregeln!$G$7:$G$480,MATCH($K153,Feiertagsregeln!$A$7:$A$480,0))="","Noch zu erfassen",INDEX(Feiertagsregeln!$G$7:$G$480,MATCH($K153,Feiertagsregeln!$A$7:$A$480,0)))</f>
        <v>Di da Nadal</v>
      </c>
      <c r="I153" s="10" t="str">
        <f>INDEX(Feiertagsregeln!$H$7:$H$480,MATCH($K153,Feiertagsregeln!$A$7:$A$480,0))</f>
        <v>labourLawHoliday</v>
      </c>
      <c r="J153" s="10" t="s">
        <v>69</v>
      </c>
      <c r="K153" s="10" t="s">
        <v>217</v>
      </c>
      <c r="L153" s="10" t="str">
        <f>INDEX(Feiertagsregeln!$Y$7:$Y$480,MATCH($K153,Feiertagsregeln!$A$7:$A$480,0))</f>
        <v>SRC-FR-BAMG-866111-V8126</v>
      </c>
      <c r="M153" s="10" t="str">
        <f>INDEX(Feiertagsregeln!$Z$7:$Z$480,MATCH($K153,Feiertagsregeln!$A$7:$A$480,0))</f>
        <v>Art. 49 Abs. 2</v>
      </c>
      <c r="N153" s="10" t="s">
        <v>193</v>
      </c>
      <c r="O153" s="10" t="str">
        <f>INDEX(Feiertagsregeln!$AA$7:$AA$480,MATCH($K153,Feiertagsregeln!$A$7:$A$480,0))</f>
        <v>Ganztägig</v>
      </c>
    </row>
    <row r="154" spans="1:15" ht="44" customHeight="1">
      <c r="A154" s="15">
        <f>INDEX(Feiertagsregeln!$X$7:$X$480,MATCH($K154,Feiertagsregeln!$A$7:$A$480,0))</f>
        <v>46753</v>
      </c>
      <c r="B154" s="11" t="str">
        <f t="shared" si="2"/>
        <v>Samstag</v>
      </c>
      <c r="C154" s="11" t="s">
        <v>207</v>
      </c>
      <c r="D154" s="11" t="s">
        <v>218</v>
      </c>
      <c r="E154" s="11" t="str">
        <f>INDEX(Feiertagsregeln!$D$7:$D$480,MATCH($K154,Feiertagsregeln!$A$7:$A$480,0))</f>
        <v>Neujahr</v>
      </c>
      <c r="F154" s="11" t="str">
        <f>INDEX(Feiertagsregeln!$E$7:$E$480,MATCH($K154,Feiertagsregeln!$A$7:$A$480,0))</f>
        <v>Nouvel An</v>
      </c>
      <c r="G154" s="22" t="str">
        <f>IF(INDEX(Feiertagsregeln!$F$7:$F$480,MATCH($K154,Feiertagsregeln!$A$7:$A$480,0))="","Noch zu erfassen",INDEX(Feiertagsregeln!$F$7:$F$480,MATCH($K154,Feiertagsregeln!$A$7:$A$480,0)))</f>
        <v>Capo d’anno</v>
      </c>
      <c r="H154" s="22" t="str">
        <f>IF(INDEX(Feiertagsregeln!$G$7:$G$480,MATCH($K154,Feiertagsregeln!$A$7:$A$480,0))="","Noch zu erfassen",INDEX(Feiertagsregeln!$G$7:$G$480,MATCH($K154,Feiertagsregeln!$A$7:$A$480,0)))</f>
        <v>Bumaun</v>
      </c>
      <c r="I154" s="11" t="str">
        <f>INDEX(Feiertagsregeln!$H$7:$H$480,MATCH($K154,Feiertagsregeln!$A$7:$A$480,0))</f>
        <v>labourLawHoliday</v>
      </c>
      <c r="J154" s="11" t="s">
        <v>69</v>
      </c>
      <c r="K154" s="11" t="s">
        <v>219</v>
      </c>
      <c r="L154" s="11" t="str">
        <f>INDEX(Feiertagsregeln!$Y$7:$Y$480,MATCH($K154,Feiertagsregeln!$A$7:$A$480,0))</f>
        <v>SRC-FR-BAMG-866111-V8126</v>
      </c>
      <c r="M154" s="11" t="str">
        <f>INDEX(Feiertagsregeln!$Z$7:$Z$480,MATCH($K154,Feiertagsregeln!$A$7:$A$480,0))</f>
        <v>Art. 49 Abs. 2</v>
      </c>
      <c r="N154" s="11" t="s">
        <v>193</v>
      </c>
      <c r="O154" s="11" t="str">
        <f>INDEX(Feiertagsregeln!$AA$7:$AA$480,MATCH($K154,Feiertagsregeln!$A$7:$A$480,0))</f>
        <v>Ganztägig</v>
      </c>
    </row>
    <row r="155" spans="1:15" ht="44" customHeight="1">
      <c r="A155" s="14">
        <f>INDEX(Feiertagsregeln!$X$7:$X$480,MATCH($K155,Feiertagsregeln!$A$7:$A$480,0))</f>
        <v>46754</v>
      </c>
      <c r="B155" s="10" t="str">
        <f t="shared" si="2"/>
        <v>Sonntag</v>
      </c>
      <c r="C155" s="10" t="s">
        <v>207</v>
      </c>
      <c r="D155" s="10" t="s">
        <v>218</v>
      </c>
      <c r="E155" s="10" t="str">
        <f>INDEX(Feiertagsregeln!$D$7:$D$480,MATCH($K155,Feiertagsregeln!$A$7:$A$480,0))</f>
        <v>Berchtoldstag</v>
      </c>
      <c r="F155" s="10" t="str">
        <f>INDEX(Feiertagsregeln!$E$7:$E$480,MATCH($K155,Feiertagsregeln!$A$7:$A$480,0))</f>
        <v>Lendemain du Nouvel-An</v>
      </c>
      <c r="G155" s="21" t="str">
        <f>IF(INDEX(Feiertagsregeln!$F$7:$F$480,MATCH($K155,Feiertagsregeln!$A$7:$A$480,0))="","Noch zu erfassen",INDEX(Feiertagsregeln!$F$7:$F$480,MATCH($K155,Feiertagsregeln!$A$7:$A$480,0)))</f>
        <v>Giorno di Berchtold</v>
      </c>
      <c r="H155" s="21" t="str">
        <f>IF(INDEX(Feiertagsregeln!$G$7:$G$480,MATCH($K155,Feiertagsregeln!$A$7:$A$480,0))="","Noch zu erfassen",INDEX(Feiertagsregeln!$G$7:$G$480,MATCH($K155,Feiertagsregeln!$A$7:$A$480,0)))</f>
        <v>Di da Berchtold</v>
      </c>
      <c r="I155" s="10" t="str">
        <f>INDEX(Feiertagsregeln!$H$7:$H$480,MATCH($K155,Feiertagsregeln!$A$7:$A$480,0))</f>
        <v>labourLawHoliday</v>
      </c>
      <c r="J155" s="10" t="s">
        <v>69</v>
      </c>
      <c r="K155" s="10" t="s">
        <v>220</v>
      </c>
      <c r="L155" s="10" t="str">
        <f>INDEX(Feiertagsregeln!$Y$7:$Y$480,MATCH($K155,Feiertagsregeln!$A$7:$A$480,0))</f>
        <v>SRC-FR-BAMG-866111-V8126</v>
      </c>
      <c r="M155" s="10" t="str">
        <f>INDEX(Feiertagsregeln!$Z$7:$Z$480,MATCH($K155,Feiertagsregeln!$A$7:$A$480,0))</f>
        <v>Art. 49 Abs. 3 Bst. b</v>
      </c>
      <c r="N155" s="10" t="s">
        <v>193</v>
      </c>
      <c r="O155" s="10" t="str">
        <f>INDEX(Feiertagsregeln!$AA$7:$AA$480,MATCH($K155,Feiertagsregeln!$A$7:$A$480,0))</f>
        <v>Ganztägig</v>
      </c>
    </row>
    <row r="156" spans="1:15" ht="44" customHeight="1">
      <c r="A156" s="15">
        <f>INDEX(Feiertagsregeln!$X$7:$X$480,MATCH($K156,Feiertagsregeln!$A$7:$A$480,0))</f>
        <v>46857</v>
      </c>
      <c r="B156" s="11" t="str">
        <f t="shared" si="2"/>
        <v>Freitag</v>
      </c>
      <c r="C156" s="11" t="s">
        <v>207</v>
      </c>
      <c r="D156" s="11" t="s">
        <v>218</v>
      </c>
      <c r="E156" s="11" t="str">
        <f>INDEX(Feiertagsregeln!$D$7:$D$480,MATCH($K156,Feiertagsregeln!$A$7:$A$480,0))</f>
        <v>Karfreitag</v>
      </c>
      <c r="F156" s="11" t="str">
        <f>INDEX(Feiertagsregeln!$E$7:$E$480,MATCH($K156,Feiertagsregeln!$A$7:$A$480,0))</f>
        <v>Vendredi saint</v>
      </c>
      <c r="G156" s="22" t="str">
        <f>IF(INDEX(Feiertagsregeln!$F$7:$F$480,MATCH($K156,Feiertagsregeln!$A$7:$A$480,0))="","Noch zu erfassen",INDEX(Feiertagsregeln!$F$7:$F$480,MATCH($K156,Feiertagsregeln!$A$7:$A$480,0)))</f>
        <v>Venerdì Santo</v>
      </c>
      <c r="H156" s="22" t="str">
        <f>IF(INDEX(Feiertagsregeln!$G$7:$G$480,MATCH($K156,Feiertagsregeln!$A$7:$A$480,0))="","Noch zu erfassen",INDEX(Feiertagsregeln!$G$7:$G$480,MATCH($K156,Feiertagsregeln!$A$7:$A$480,0)))</f>
        <v>Venderdi sontg</v>
      </c>
      <c r="I156" s="11" t="str">
        <f>INDEX(Feiertagsregeln!$H$7:$H$480,MATCH($K156,Feiertagsregeln!$A$7:$A$480,0))</f>
        <v>labourLawHoliday</v>
      </c>
      <c r="J156" s="11" t="s">
        <v>69</v>
      </c>
      <c r="K156" s="11" t="s">
        <v>221</v>
      </c>
      <c r="L156" s="11" t="str">
        <f>INDEX(Feiertagsregeln!$Y$7:$Y$480,MATCH($K156,Feiertagsregeln!$A$7:$A$480,0))</f>
        <v>SRC-FR-BAMG-866111-V8126</v>
      </c>
      <c r="M156" s="11" t="str">
        <f>INDEX(Feiertagsregeln!$Z$7:$Z$480,MATCH($K156,Feiertagsregeln!$A$7:$A$480,0))</f>
        <v>Art. 49 Abs. 2</v>
      </c>
      <c r="N156" s="11" t="s">
        <v>193</v>
      </c>
      <c r="O156" s="11" t="str">
        <f>INDEX(Feiertagsregeln!$AA$7:$AA$480,MATCH($K156,Feiertagsregeln!$A$7:$A$480,0))</f>
        <v>Ganztägig</v>
      </c>
    </row>
    <row r="157" spans="1:15" ht="44" customHeight="1">
      <c r="A157" s="14">
        <f>INDEX(Feiertagsregeln!$X$7:$X$480,MATCH($K157,Feiertagsregeln!$A$7:$A$480,0))</f>
        <v>46860</v>
      </c>
      <c r="B157" s="10" t="str">
        <f t="shared" si="2"/>
        <v>Montag</v>
      </c>
      <c r="C157" s="10" t="s">
        <v>207</v>
      </c>
      <c r="D157" s="10" t="s">
        <v>218</v>
      </c>
      <c r="E157" s="10" t="str">
        <f>INDEX(Feiertagsregeln!$D$7:$D$480,MATCH($K157,Feiertagsregeln!$A$7:$A$480,0))</f>
        <v>Ostermontag</v>
      </c>
      <c r="F157" s="10" t="str">
        <f>INDEX(Feiertagsregeln!$E$7:$E$480,MATCH($K157,Feiertagsregeln!$A$7:$A$480,0))</f>
        <v>Lundi de Pâques</v>
      </c>
      <c r="G157" s="21" t="str">
        <f>IF(INDEX(Feiertagsregeln!$F$7:$F$480,MATCH($K157,Feiertagsregeln!$A$7:$A$480,0))="","Noch zu erfassen",INDEX(Feiertagsregeln!$F$7:$F$480,MATCH($K157,Feiertagsregeln!$A$7:$A$480,0)))</f>
        <v>Lunedì di Pasqua</v>
      </c>
      <c r="H157" s="21" t="str">
        <f>IF(INDEX(Feiertagsregeln!$G$7:$G$480,MATCH($K157,Feiertagsregeln!$A$7:$A$480,0))="","Noch zu erfassen",INDEX(Feiertagsregeln!$G$7:$G$480,MATCH($K157,Feiertagsregeln!$A$7:$A$480,0)))</f>
        <v>Glindesdi da Pasca</v>
      </c>
      <c r="I157" s="10" t="str">
        <f>INDEX(Feiertagsregeln!$H$7:$H$480,MATCH($K157,Feiertagsregeln!$A$7:$A$480,0))</f>
        <v>labourLawHoliday</v>
      </c>
      <c r="J157" s="10" t="s">
        <v>69</v>
      </c>
      <c r="K157" s="10" t="s">
        <v>222</v>
      </c>
      <c r="L157" s="10" t="str">
        <f>INDEX(Feiertagsregeln!$Y$7:$Y$480,MATCH($K157,Feiertagsregeln!$A$7:$A$480,0))</f>
        <v>SRC-FR-BAMG-866111-V8126</v>
      </c>
      <c r="M157" s="10" t="str">
        <f>INDEX(Feiertagsregeln!$Z$7:$Z$480,MATCH($K157,Feiertagsregeln!$A$7:$A$480,0))</f>
        <v>Art. 49 Abs. 3 Bst. b</v>
      </c>
      <c r="N157" s="10" t="s">
        <v>193</v>
      </c>
      <c r="O157" s="10" t="str">
        <f>INDEX(Feiertagsregeln!$AA$7:$AA$480,MATCH($K157,Feiertagsregeln!$A$7:$A$480,0))</f>
        <v>Ganztägig</v>
      </c>
    </row>
    <row r="158" spans="1:15" ht="44" customHeight="1">
      <c r="A158" s="15">
        <f>INDEX(Feiertagsregeln!$X$7:$X$480,MATCH($K158,Feiertagsregeln!$A$7:$A$480,0))</f>
        <v>46898</v>
      </c>
      <c r="B158" s="11" t="str">
        <f t="shared" si="2"/>
        <v>Donnerstag</v>
      </c>
      <c r="C158" s="11" t="s">
        <v>207</v>
      </c>
      <c r="D158" s="11" t="s">
        <v>218</v>
      </c>
      <c r="E158" s="11" t="str">
        <f>INDEX(Feiertagsregeln!$D$7:$D$480,MATCH($K158,Feiertagsregeln!$A$7:$A$480,0))</f>
        <v>Auffahrt</v>
      </c>
      <c r="F158" s="11" t="str">
        <f>INDEX(Feiertagsregeln!$E$7:$E$480,MATCH($K158,Feiertagsregeln!$A$7:$A$480,0))</f>
        <v>Ascension</v>
      </c>
      <c r="G158" s="22" t="str">
        <f>IF(INDEX(Feiertagsregeln!$F$7:$F$480,MATCH($K158,Feiertagsregeln!$A$7:$A$480,0))="","Noch zu erfassen",INDEX(Feiertagsregeln!$F$7:$F$480,MATCH($K158,Feiertagsregeln!$A$7:$A$480,0)))</f>
        <v>Ascensione</v>
      </c>
      <c r="H158" s="22" t="str">
        <f>IF(INDEX(Feiertagsregeln!$G$7:$G$480,MATCH($K158,Feiertagsregeln!$A$7:$A$480,0))="","Noch zu erfassen",INDEX(Feiertagsregeln!$G$7:$G$480,MATCH($K158,Feiertagsregeln!$A$7:$A$480,0)))</f>
        <v>Ascensiun</v>
      </c>
      <c r="I158" s="11" t="str">
        <f>INDEX(Feiertagsregeln!$H$7:$H$480,MATCH($K158,Feiertagsregeln!$A$7:$A$480,0))</f>
        <v>labourLawHoliday</v>
      </c>
      <c r="J158" s="11" t="s">
        <v>69</v>
      </c>
      <c r="K158" s="11" t="s">
        <v>223</v>
      </c>
      <c r="L158" s="11" t="str">
        <f>INDEX(Feiertagsregeln!$Y$7:$Y$480,MATCH($K158,Feiertagsregeln!$A$7:$A$480,0))</f>
        <v>SRC-FR-BAMG-866111-V8126</v>
      </c>
      <c r="M158" s="11" t="str">
        <f>INDEX(Feiertagsregeln!$Z$7:$Z$480,MATCH($K158,Feiertagsregeln!$A$7:$A$480,0))</f>
        <v>Art. 49 Abs. 2</v>
      </c>
      <c r="N158" s="11" t="s">
        <v>193</v>
      </c>
      <c r="O158" s="11" t="str">
        <f>INDEX(Feiertagsregeln!$AA$7:$AA$480,MATCH($K158,Feiertagsregeln!$A$7:$A$480,0))</f>
        <v>Ganztägig</v>
      </c>
    </row>
    <row r="159" spans="1:15" ht="44" customHeight="1">
      <c r="A159" s="14">
        <f>INDEX(Feiertagsregeln!$X$7:$X$480,MATCH($K159,Feiertagsregeln!$A$7:$A$480,0))</f>
        <v>46909</v>
      </c>
      <c r="B159" s="10" t="str">
        <f t="shared" si="2"/>
        <v>Montag</v>
      </c>
      <c r="C159" s="10" t="s">
        <v>207</v>
      </c>
      <c r="D159" s="10" t="s">
        <v>218</v>
      </c>
      <c r="E159" s="10" t="str">
        <f>INDEX(Feiertagsregeln!$D$7:$D$480,MATCH($K159,Feiertagsregeln!$A$7:$A$480,0))</f>
        <v>Pfingstmontag</v>
      </c>
      <c r="F159" s="10" t="str">
        <f>INDEX(Feiertagsregeln!$E$7:$E$480,MATCH($K159,Feiertagsregeln!$A$7:$A$480,0))</f>
        <v>Lundi de Pentecôte</v>
      </c>
      <c r="G159" s="21" t="str">
        <f>IF(INDEX(Feiertagsregeln!$F$7:$F$480,MATCH($K159,Feiertagsregeln!$A$7:$A$480,0))="","Noch zu erfassen",INDEX(Feiertagsregeln!$F$7:$F$480,MATCH($K159,Feiertagsregeln!$A$7:$A$480,0)))</f>
        <v>Lunedì di Pentecoste</v>
      </c>
      <c r="H159" s="21" t="str">
        <f>IF(INDEX(Feiertagsregeln!$G$7:$G$480,MATCH($K159,Feiertagsregeln!$A$7:$A$480,0))="","Noch zu erfassen",INDEX(Feiertagsregeln!$G$7:$G$480,MATCH($K159,Feiertagsregeln!$A$7:$A$480,0)))</f>
        <v>Glindesdi da Tschuncaisma</v>
      </c>
      <c r="I159" s="10" t="str">
        <f>INDEX(Feiertagsregeln!$H$7:$H$480,MATCH($K159,Feiertagsregeln!$A$7:$A$480,0))</f>
        <v>labourLawHoliday</v>
      </c>
      <c r="J159" s="10" t="s">
        <v>69</v>
      </c>
      <c r="K159" s="10" t="s">
        <v>224</v>
      </c>
      <c r="L159" s="10" t="str">
        <f>INDEX(Feiertagsregeln!$Y$7:$Y$480,MATCH($K159,Feiertagsregeln!$A$7:$A$480,0))</f>
        <v>SRC-FR-BAMG-866111-V8126</v>
      </c>
      <c r="M159" s="10" t="str">
        <f>INDEX(Feiertagsregeln!$Z$7:$Z$480,MATCH($K159,Feiertagsregeln!$A$7:$A$480,0))</f>
        <v>Art. 49 Abs. 3 Bst. b</v>
      </c>
      <c r="N159" s="10" t="s">
        <v>193</v>
      </c>
      <c r="O159" s="10" t="str">
        <f>INDEX(Feiertagsregeln!$AA$7:$AA$480,MATCH($K159,Feiertagsregeln!$A$7:$A$480,0))</f>
        <v>Ganztägig</v>
      </c>
    </row>
    <row r="160" spans="1:15" ht="44" customHeight="1">
      <c r="A160" s="15">
        <f>INDEX(Feiertagsregeln!$X$7:$X$480,MATCH($K160,Feiertagsregeln!$A$7:$A$480,0))</f>
        <v>46966</v>
      </c>
      <c r="B160" s="11" t="str">
        <f t="shared" si="2"/>
        <v>Dienstag</v>
      </c>
      <c r="C160" s="11" t="s">
        <v>207</v>
      </c>
      <c r="D160" s="11" t="s">
        <v>218</v>
      </c>
      <c r="E160" s="11" t="str">
        <f>INDEX(Feiertagsregeln!$D$7:$D$480,MATCH($K160,Feiertagsregeln!$A$7:$A$480,0))</f>
        <v>Bundesfeiertag</v>
      </c>
      <c r="F160" s="11" t="str">
        <f>INDEX(Feiertagsregeln!$E$7:$E$480,MATCH($K160,Feiertagsregeln!$A$7:$A$480,0))</f>
        <v>Fête nationale</v>
      </c>
      <c r="G160" s="22" t="str">
        <f>IF(INDEX(Feiertagsregeln!$F$7:$F$480,MATCH($K160,Feiertagsregeln!$A$7:$A$480,0))="","Noch zu erfassen",INDEX(Feiertagsregeln!$F$7:$F$480,MATCH($K160,Feiertagsregeln!$A$7:$A$480,0)))</f>
        <v>Primo agosto</v>
      </c>
      <c r="H160" s="22" t="str">
        <f>IF(INDEX(Feiertagsregeln!$G$7:$G$480,MATCH($K160,Feiertagsregeln!$A$7:$A$480,0))="","Noch zu erfassen",INDEX(Feiertagsregeln!$G$7:$G$480,MATCH($K160,Feiertagsregeln!$A$7:$A$480,0)))</f>
        <v>Festa naziunala svizra</v>
      </c>
      <c r="I160" s="11" t="str">
        <f>INDEX(Feiertagsregeln!$H$7:$H$480,MATCH($K160,Feiertagsregeln!$A$7:$A$480,0))</f>
        <v>publicHoliday</v>
      </c>
      <c r="J160" s="11" t="s">
        <v>69</v>
      </c>
      <c r="K160" s="11" t="s">
        <v>225</v>
      </c>
      <c r="L160" s="11" t="str">
        <f>INDEX(Feiertagsregeln!$Y$7:$Y$480,MATCH($K160,Feiertagsregeln!$A$7:$A$480,0))</f>
        <v>SRC-BUNDESFEIERTAG-19940701</v>
      </c>
      <c r="M160" s="11" t="str">
        <f>INDEX(Feiertagsregeln!$Z$7:$Z$480,MATCH($K160,Feiertagsregeln!$A$7:$A$480,0))</f>
        <v>SR 116, Art. 1, neue offene Anwendung auf dieses Geltungsprofil</v>
      </c>
      <c r="N160" s="11" t="s">
        <v>193</v>
      </c>
      <c r="O160" s="11" t="str">
        <f>INDEX(Feiertagsregeln!$AA$7:$AA$480,MATCH($K160,Feiertagsregeln!$A$7:$A$480,0))</f>
        <v>Ganztägig</v>
      </c>
    </row>
    <row r="161" spans="1:15" ht="44" customHeight="1">
      <c r="A161" s="14">
        <f>INDEX(Feiertagsregeln!$X$7:$X$480,MATCH($K161,Feiertagsregeln!$A$7:$A$480,0))</f>
        <v>47112</v>
      </c>
      <c r="B161" s="10" t="str">
        <f t="shared" si="2"/>
        <v>Montag</v>
      </c>
      <c r="C161" s="10" t="s">
        <v>207</v>
      </c>
      <c r="D161" s="10" t="s">
        <v>218</v>
      </c>
      <c r="E161" s="10" t="str">
        <f>INDEX(Feiertagsregeln!$D$7:$D$480,MATCH($K161,Feiertagsregeln!$A$7:$A$480,0))</f>
        <v>Weihnachten</v>
      </c>
      <c r="F161" s="10" t="str">
        <f>INDEX(Feiertagsregeln!$E$7:$E$480,MATCH($K161,Feiertagsregeln!$A$7:$A$480,0))</f>
        <v>Noël</v>
      </c>
      <c r="G161" s="21" t="str">
        <f>IF(INDEX(Feiertagsregeln!$F$7:$F$480,MATCH($K161,Feiertagsregeln!$A$7:$A$480,0))="","Noch zu erfassen",INDEX(Feiertagsregeln!$F$7:$F$480,MATCH($K161,Feiertagsregeln!$A$7:$A$480,0)))</f>
        <v>Natale</v>
      </c>
      <c r="H161" s="21" t="str">
        <f>IF(INDEX(Feiertagsregeln!$G$7:$G$480,MATCH($K161,Feiertagsregeln!$A$7:$A$480,0))="","Noch zu erfassen",INDEX(Feiertagsregeln!$G$7:$G$480,MATCH($K161,Feiertagsregeln!$A$7:$A$480,0)))</f>
        <v>Di da Nadal</v>
      </c>
      <c r="I161" s="10" t="str">
        <f>INDEX(Feiertagsregeln!$H$7:$H$480,MATCH($K161,Feiertagsregeln!$A$7:$A$480,0))</f>
        <v>labourLawHoliday</v>
      </c>
      <c r="J161" s="10" t="s">
        <v>69</v>
      </c>
      <c r="K161" s="10" t="s">
        <v>226</v>
      </c>
      <c r="L161" s="10" t="str">
        <f>INDEX(Feiertagsregeln!$Y$7:$Y$480,MATCH($K161,Feiertagsregeln!$A$7:$A$480,0))</f>
        <v>SRC-FR-BAMG-866111-V8126</v>
      </c>
      <c r="M161" s="10" t="str">
        <f>INDEX(Feiertagsregeln!$Z$7:$Z$480,MATCH($K161,Feiertagsregeln!$A$7:$A$480,0))</f>
        <v>Art. 49 Abs. 2</v>
      </c>
      <c r="N161" s="10" t="s">
        <v>193</v>
      </c>
      <c r="O161" s="10" t="str">
        <f>INDEX(Feiertagsregeln!$AA$7:$AA$480,MATCH($K161,Feiertagsregeln!$A$7:$A$480,0))</f>
        <v>Ganztägig</v>
      </c>
    </row>
    <row r="162" spans="1:15" ht="44" customHeight="1">
      <c r="A162" s="15">
        <f>INDEX(Feiertagsregeln!$X$7:$X$480,MATCH($K162,Feiertagsregeln!$A$7:$A$480,0))</f>
        <v>47113</v>
      </c>
      <c r="B162" s="11" t="str">
        <f t="shared" si="2"/>
        <v>Dienstag</v>
      </c>
      <c r="C162" s="11" t="s">
        <v>207</v>
      </c>
      <c r="D162" s="11" t="s">
        <v>218</v>
      </c>
      <c r="E162" s="11" t="str">
        <f>INDEX(Feiertagsregeln!$D$7:$D$480,MATCH($K162,Feiertagsregeln!$A$7:$A$480,0))</f>
        <v>Stephanstag</v>
      </c>
      <c r="F162" s="11" t="str">
        <f>INDEX(Feiertagsregeln!$E$7:$E$480,MATCH($K162,Feiertagsregeln!$A$7:$A$480,0))</f>
        <v>Lendemain de Noël</v>
      </c>
      <c r="G162" s="22" t="str">
        <f>IF(INDEX(Feiertagsregeln!$F$7:$F$480,MATCH($K162,Feiertagsregeln!$A$7:$A$480,0))="","Noch zu erfassen",INDEX(Feiertagsregeln!$F$7:$F$480,MATCH($K162,Feiertagsregeln!$A$7:$A$480,0)))</f>
        <v>Santo Stefano</v>
      </c>
      <c r="H162" s="22" t="str">
        <f>IF(INDEX(Feiertagsregeln!$G$7:$G$480,MATCH($K162,Feiertagsregeln!$A$7:$A$480,0))="","Noch zu erfassen",INDEX(Feiertagsregeln!$G$7:$G$480,MATCH($K162,Feiertagsregeln!$A$7:$A$480,0)))</f>
        <v>Son Steffan</v>
      </c>
      <c r="I162" s="11" t="str">
        <f>INDEX(Feiertagsregeln!$H$7:$H$480,MATCH($K162,Feiertagsregeln!$A$7:$A$480,0))</f>
        <v>labourLawHoliday</v>
      </c>
      <c r="J162" s="11" t="s">
        <v>69</v>
      </c>
      <c r="K162" s="11" t="s">
        <v>227</v>
      </c>
      <c r="L162" s="11" t="str">
        <f>INDEX(Feiertagsregeln!$Y$7:$Y$480,MATCH($K162,Feiertagsregeln!$A$7:$A$480,0))</f>
        <v>SRC-FR-BAMG-866111-V8126</v>
      </c>
      <c r="M162" s="11" t="str">
        <f>INDEX(Feiertagsregeln!$Z$7:$Z$480,MATCH($K162,Feiertagsregeln!$A$7:$A$480,0))</f>
        <v>Art. 49 Abs. 3 Bst. b</v>
      </c>
      <c r="N162" s="11" t="s">
        <v>193</v>
      </c>
      <c r="O162" s="11" t="str">
        <f>INDEX(Feiertagsregeln!$AA$7:$AA$480,MATCH($K162,Feiertagsregeln!$A$7:$A$480,0))</f>
        <v>Ganztägig</v>
      </c>
    </row>
    <row r="163" spans="1:15" ht="44" customHeight="1">
      <c r="A163" s="14">
        <f>INDEX(Feiertagsregeln!$X$7:$X$480,MATCH($K163,Feiertagsregeln!$A$7:$A$480,0))</f>
        <v>46753</v>
      </c>
      <c r="B163" s="10" t="str">
        <f t="shared" si="2"/>
        <v>Samstag</v>
      </c>
      <c r="C163" s="10" t="s">
        <v>207</v>
      </c>
      <c r="D163" s="10" t="s">
        <v>228</v>
      </c>
      <c r="E163" s="10" t="str">
        <f>INDEX(Feiertagsregeln!$D$7:$D$480,MATCH($K163,Feiertagsregeln!$A$7:$A$480,0))</f>
        <v>Neujahr</v>
      </c>
      <c r="F163" s="10" t="str">
        <f>INDEX(Feiertagsregeln!$E$7:$E$480,MATCH($K163,Feiertagsregeln!$A$7:$A$480,0))</f>
        <v>Nouvel An</v>
      </c>
      <c r="G163" s="21" t="str">
        <f>IF(INDEX(Feiertagsregeln!$F$7:$F$480,MATCH($K163,Feiertagsregeln!$A$7:$A$480,0))="","Noch zu erfassen",INDEX(Feiertagsregeln!$F$7:$F$480,MATCH($K163,Feiertagsregeln!$A$7:$A$480,0)))</f>
        <v>Capo d’anno</v>
      </c>
      <c r="H163" s="21" t="str">
        <f>IF(INDEX(Feiertagsregeln!$G$7:$G$480,MATCH($K163,Feiertagsregeln!$A$7:$A$480,0))="","Noch zu erfassen",INDEX(Feiertagsregeln!$G$7:$G$480,MATCH($K163,Feiertagsregeln!$A$7:$A$480,0)))</f>
        <v>Bumaun</v>
      </c>
      <c r="I163" s="10" t="str">
        <f>INDEX(Feiertagsregeln!$H$7:$H$480,MATCH($K163,Feiertagsregeln!$A$7:$A$480,0))</f>
        <v>proceduralEquivalentDay</v>
      </c>
      <c r="J163" s="10" t="s">
        <v>69</v>
      </c>
      <c r="K163" s="10" t="s">
        <v>229</v>
      </c>
      <c r="L163" s="10" t="str">
        <f>INDEX(Feiertagsregeln!$Y$7:$Y$480,MATCH($K163,Feiertagsregeln!$A$7:$A$480,0))</f>
        <v>SRC-FR-JG-1301-V7926</v>
      </c>
      <c r="M163" s="10" t="str">
        <f>INDEX(Feiertagsregeln!$Z$7:$Z$480,MATCH($K163,Feiertagsregeln!$A$7:$A$480,0))</f>
        <v>Art. 121 Abs. 2</v>
      </c>
      <c r="N163" s="10" t="s">
        <v>193</v>
      </c>
      <c r="O163" s="10" t="str">
        <f>INDEX(Feiertagsregeln!$AA$7:$AA$480,MATCH($K163,Feiertagsregeln!$A$7:$A$480,0))</f>
        <v>Ganztägig</v>
      </c>
    </row>
    <row r="164" spans="1:15" ht="44" customHeight="1">
      <c r="A164" s="15">
        <f>INDEX(Feiertagsregeln!$X$7:$X$480,MATCH($K164,Feiertagsregeln!$A$7:$A$480,0))</f>
        <v>46754</v>
      </c>
      <c r="B164" s="11" t="str">
        <f t="shared" si="2"/>
        <v>Sonntag</v>
      </c>
      <c r="C164" s="11" t="s">
        <v>207</v>
      </c>
      <c r="D164" s="11" t="s">
        <v>228</v>
      </c>
      <c r="E164" s="11" t="str">
        <f>INDEX(Feiertagsregeln!$D$7:$D$480,MATCH($K164,Feiertagsregeln!$A$7:$A$480,0))</f>
        <v>Berchtoldstag</v>
      </c>
      <c r="F164" s="11" t="str">
        <f>INDEX(Feiertagsregeln!$E$7:$E$480,MATCH($K164,Feiertagsregeln!$A$7:$A$480,0))</f>
        <v>Lendemain du Nouvel-An</v>
      </c>
      <c r="G164" s="22" t="str">
        <f>IF(INDEX(Feiertagsregeln!$F$7:$F$480,MATCH($K164,Feiertagsregeln!$A$7:$A$480,0))="","Noch zu erfassen",INDEX(Feiertagsregeln!$F$7:$F$480,MATCH($K164,Feiertagsregeln!$A$7:$A$480,0)))</f>
        <v>Giorno di Berchtold</v>
      </c>
      <c r="H164" s="22" t="str">
        <f>IF(INDEX(Feiertagsregeln!$G$7:$G$480,MATCH($K164,Feiertagsregeln!$A$7:$A$480,0))="","Noch zu erfassen",INDEX(Feiertagsregeln!$G$7:$G$480,MATCH($K164,Feiertagsregeln!$A$7:$A$480,0)))</f>
        <v>Di da Berchtold</v>
      </c>
      <c r="I164" s="11" t="str">
        <f>INDEX(Feiertagsregeln!$H$7:$H$480,MATCH($K164,Feiertagsregeln!$A$7:$A$480,0))</f>
        <v>proceduralEquivalentDay</v>
      </c>
      <c r="J164" s="11" t="s">
        <v>69</v>
      </c>
      <c r="K164" s="11" t="s">
        <v>230</v>
      </c>
      <c r="L164" s="11" t="str">
        <f>INDEX(Feiertagsregeln!$Y$7:$Y$480,MATCH($K164,Feiertagsregeln!$A$7:$A$480,0))</f>
        <v>SRC-FR-JG-1301-V7926</v>
      </c>
      <c r="M164" s="11" t="str">
        <f>INDEX(Feiertagsregeln!$Z$7:$Z$480,MATCH($K164,Feiertagsregeln!$A$7:$A$480,0))</f>
        <v>Art. 121 Abs. 2</v>
      </c>
      <c r="N164" s="11" t="s">
        <v>193</v>
      </c>
      <c r="O164" s="11" t="str">
        <f>INDEX(Feiertagsregeln!$AA$7:$AA$480,MATCH($K164,Feiertagsregeln!$A$7:$A$480,0))</f>
        <v>Ganztägig</v>
      </c>
    </row>
    <row r="165" spans="1:15" ht="44" customHeight="1">
      <c r="A165" s="14">
        <f>INDEX(Feiertagsregeln!$X$7:$X$480,MATCH($K165,Feiertagsregeln!$A$7:$A$480,0))</f>
        <v>46857</v>
      </c>
      <c r="B165" s="10" t="str">
        <f t="shared" si="2"/>
        <v>Freitag</v>
      </c>
      <c r="C165" s="10" t="s">
        <v>207</v>
      </c>
      <c r="D165" s="10" t="s">
        <v>228</v>
      </c>
      <c r="E165" s="10" t="str">
        <f>INDEX(Feiertagsregeln!$D$7:$D$480,MATCH($K165,Feiertagsregeln!$A$7:$A$480,0))</f>
        <v>Karfreitag</v>
      </c>
      <c r="F165" s="10" t="str">
        <f>INDEX(Feiertagsregeln!$E$7:$E$480,MATCH($K165,Feiertagsregeln!$A$7:$A$480,0))</f>
        <v>Vendredi saint</v>
      </c>
      <c r="G165" s="21" t="str">
        <f>IF(INDEX(Feiertagsregeln!$F$7:$F$480,MATCH($K165,Feiertagsregeln!$A$7:$A$480,0))="","Noch zu erfassen",INDEX(Feiertagsregeln!$F$7:$F$480,MATCH($K165,Feiertagsregeln!$A$7:$A$480,0)))</f>
        <v>Venerdì Santo</v>
      </c>
      <c r="H165" s="21" t="str">
        <f>IF(INDEX(Feiertagsregeln!$G$7:$G$480,MATCH($K165,Feiertagsregeln!$A$7:$A$480,0))="","Noch zu erfassen",INDEX(Feiertagsregeln!$G$7:$G$480,MATCH($K165,Feiertagsregeln!$A$7:$A$480,0)))</f>
        <v>Venderdi sontg</v>
      </c>
      <c r="I165" s="10" t="str">
        <f>INDEX(Feiertagsregeln!$H$7:$H$480,MATCH($K165,Feiertagsregeln!$A$7:$A$480,0))</f>
        <v>proceduralEquivalentDay</v>
      </c>
      <c r="J165" s="10" t="s">
        <v>69</v>
      </c>
      <c r="K165" s="10" t="s">
        <v>231</v>
      </c>
      <c r="L165" s="10" t="str">
        <f>INDEX(Feiertagsregeln!$Y$7:$Y$480,MATCH($K165,Feiertagsregeln!$A$7:$A$480,0))</f>
        <v>SRC-FR-JG-1301-V7926</v>
      </c>
      <c r="M165" s="10" t="str">
        <f>INDEX(Feiertagsregeln!$Z$7:$Z$480,MATCH($K165,Feiertagsregeln!$A$7:$A$480,0))</f>
        <v>Art. 121 Abs. 2</v>
      </c>
      <c r="N165" s="10" t="s">
        <v>193</v>
      </c>
      <c r="O165" s="10" t="str">
        <f>INDEX(Feiertagsregeln!$AA$7:$AA$480,MATCH($K165,Feiertagsregeln!$A$7:$A$480,0))</f>
        <v>Ganztägig</v>
      </c>
    </row>
    <row r="166" spans="1:15" ht="44" customHeight="1">
      <c r="A166" s="15">
        <f>INDEX(Feiertagsregeln!$X$7:$X$480,MATCH($K166,Feiertagsregeln!$A$7:$A$480,0))</f>
        <v>46859</v>
      </c>
      <c r="B166" s="11" t="str">
        <f t="shared" si="2"/>
        <v>Sonntag</v>
      </c>
      <c r="C166" s="11" t="s">
        <v>207</v>
      </c>
      <c r="D166" s="11" t="s">
        <v>228</v>
      </c>
      <c r="E166" s="11" t="str">
        <f>INDEX(Feiertagsregeln!$D$7:$D$480,MATCH($K166,Feiertagsregeln!$A$7:$A$480,0))</f>
        <v>Ostern</v>
      </c>
      <c r="F166" s="11" t="str">
        <f>INDEX(Feiertagsregeln!$E$7:$E$480,MATCH($K166,Feiertagsregeln!$A$7:$A$480,0))</f>
        <v>Pâques</v>
      </c>
      <c r="G166" s="22" t="str">
        <f>IF(INDEX(Feiertagsregeln!$F$7:$F$480,MATCH($K166,Feiertagsregeln!$A$7:$A$480,0))="","Noch zu erfassen",INDEX(Feiertagsregeln!$F$7:$F$480,MATCH($K166,Feiertagsregeln!$A$7:$A$480,0)))</f>
        <v>Domenica di Pasqua</v>
      </c>
      <c r="H166" s="22" t="str">
        <f>IF(INDEX(Feiertagsregeln!$G$7:$G$480,MATCH($K166,Feiertagsregeln!$A$7:$A$480,0))="","Noch zu erfassen",INDEX(Feiertagsregeln!$G$7:$G$480,MATCH($K166,Feiertagsregeln!$A$7:$A$480,0)))</f>
        <v>Dumengia da Pasca</v>
      </c>
      <c r="I166" s="11" t="str">
        <f>INDEX(Feiertagsregeln!$H$7:$H$480,MATCH($K166,Feiertagsregeln!$A$7:$A$480,0))</f>
        <v>proceduralEquivalentDay</v>
      </c>
      <c r="J166" s="11" t="s">
        <v>69</v>
      </c>
      <c r="K166" s="11" t="s">
        <v>232</v>
      </c>
      <c r="L166" s="11" t="str">
        <f>INDEX(Feiertagsregeln!$Y$7:$Y$480,MATCH($K166,Feiertagsregeln!$A$7:$A$480,0))</f>
        <v>SRC-FR-JG-1301-V7926</v>
      </c>
      <c r="M166" s="11" t="str">
        <f>INDEX(Feiertagsregeln!$Z$7:$Z$480,MATCH($K166,Feiertagsregeln!$A$7:$A$480,0))</f>
        <v>Art. 121 Abs. 2</v>
      </c>
      <c r="N166" s="11" t="s">
        <v>193</v>
      </c>
      <c r="O166" s="11" t="str">
        <f>INDEX(Feiertagsregeln!$AA$7:$AA$480,MATCH($K166,Feiertagsregeln!$A$7:$A$480,0))</f>
        <v>Ganztägig</v>
      </c>
    </row>
    <row r="167" spans="1:15" ht="44" customHeight="1">
      <c r="A167" s="14">
        <f>INDEX(Feiertagsregeln!$X$7:$X$480,MATCH($K167,Feiertagsregeln!$A$7:$A$480,0))</f>
        <v>46860</v>
      </c>
      <c r="B167" s="10" t="str">
        <f t="shared" si="2"/>
        <v>Montag</v>
      </c>
      <c r="C167" s="10" t="s">
        <v>207</v>
      </c>
      <c r="D167" s="10" t="s">
        <v>228</v>
      </c>
      <c r="E167" s="10" t="str">
        <f>INDEX(Feiertagsregeln!$D$7:$D$480,MATCH($K167,Feiertagsregeln!$A$7:$A$480,0))</f>
        <v>Ostermontag</v>
      </c>
      <c r="F167" s="10" t="str">
        <f>INDEX(Feiertagsregeln!$E$7:$E$480,MATCH($K167,Feiertagsregeln!$A$7:$A$480,0))</f>
        <v>Lundi de Pâques</v>
      </c>
      <c r="G167" s="21" t="str">
        <f>IF(INDEX(Feiertagsregeln!$F$7:$F$480,MATCH($K167,Feiertagsregeln!$A$7:$A$480,0))="","Noch zu erfassen",INDEX(Feiertagsregeln!$F$7:$F$480,MATCH($K167,Feiertagsregeln!$A$7:$A$480,0)))</f>
        <v>Lunedì di Pasqua</v>
      </c>
      <c r="H167" s="21" t="str">
        <f>IF(INDEX(Feiertagsregeln!$G$7:$G$480,MATCH($K167,Feiertagsregeln!$A$7:$A$480,0))="","Noch zu erfassen",INDEX(Feiertagsregeln!$G$7:$G$480,MATCH($K167,Feiertagsregeln!$A$7:$A$480,0)))</f>
        <v>Glindesdi da Pasca</v>
      </c>
      <c r="I167" s="10" t="str">
        <f>INDEX(Feiertagsregeln!$H$7:$H$480,MATCH($K167,Feiertagsregeln!$A$7:$A$480,0))</f>
        <v>proceduralEquivalentDay</v>
      </c>
      <c r="J167" s="10" t="s">
        <v>69</v>
      </c>
      <c r="K167" s="10" t="s">
        <v>233</v>
      </c>
      <c r="L167" s="10" t="str">
        <f>INDEX(Feiertagsregeln!$Y$7:$Y$480,MATCH($K167,Feiertagsregeln!$A$7:$A$480,0))</f>
        <v>SRC-FR-JG-1301-V7926</v>
      </c>
      <c r="M167" s="10" t="str">
        <f>INDEX(Feiertagsregeln!$Z$7:$Z$480,MATCH($K167,Feiertagsregeln!$A$7:$A$480,0))</f>
        <v>Art. 121 Abs. 2</v>
      </c>
      <c r="N167" s="10" t="s">
        <v>193</v>
      </c>
      <c r="O167" s="10" t="str">
        <f>INDEX(Feiertagsregeln!$AA$7:$AA$480,MATCH($K167,Feiertagsregeln!$A$7:$A$480,0))</f>
        <v>Ganztägig</v>
      </c>
    </row>
    <row r="168" spans="1:15" ht="44" customHeight="1">
      <c r="A168" s="15">
        <f>INDEX(Feiertagsregeln!$X$7:$X$480,MATCH($K168,Feiertagsregeln!$A$7:$A$480,0))</f>
        <v>46898</v>
      </c>
      <c r="B168" s="11" t="str">
        <f t="shared" si="2"/>
        <v>Donnerstag</v>
      </c>
      <c r="C168" s="11" t="s">
        <v>207</v>
      </c>
      <c r="D168" s="11" t="s">
        <v>228</v>
      </c>
      <c r="E168" s="11" t="str">
        <f>INDEX(Feiertagsregeln!$D$7:$D$480,MATCH($K168,Feiertagsregeln!$A$7:$A$480,0))</f>
        <v>Auffahrt</v>
      </c>
      <c r="F168" s="11" t="str">
        <f>INDEX(Feiertagsregeln!$E$7:$E$480,MATCH($K168,Feiertagsregeln!$A$7:$A$480,0))</f>
        <v>Ascension</v>
      </c>
      <c r="G168" s="22" t="str">
        <f>IF(INDEX(Feiertagsregeln!$F$7:$F$480,MATCH($K168,Feiertagsregeln!$A$7:$A$480,0))="","Noch zu erfassen",INDEX(Feiertagsregeln!$F$7:$F$480,MATCH($K168,Feiertagsregeln!$A$7:$A$480,0)))</f>
        <v>Ascensione</v>
      </c>
      <c r="H168" s="22" t="str">
        <f>IF(INDEX(Feiertagsregeln!$G$7:$G$480,MATCH($K168,Feiertagsregeln!$A$7:$A$480,0))="","Noch zu erfassen",INDEX(Feiertagsregeln!$G$7:$G$480,MATCH($K168,Feiertagsregeln!$A$7:$A$480,0)))</f>
        <v>Ascensiun</v>
      </c>
      <c r="I168" s="11" t="str">
        <f>INDEX(Feiertagsregeln!$H$7:$H$480,MATCH($K168,Feiertagsregeln!$A$7:$A$480,0))</f>
        <v>proceduralEquivalentDay</v>
      </c>
      <c r="J168" s="11" t="s">
        <v>69</v>
      </c>
      <c r="K168" s="11" t="s">
        <v>234</v>
      </c>
      <c r="L168" s="11" t="str">
        <f>INDEX(Feiertagsregeln!$Y$7:$Y$480,MATCH($K168,Feiertagsregeln!$A$7:$A$480,0))</f>
        <v>SRC-FR-JG-1301-V7926</v>
      </c>
      <c r="M168" s="11" t="str">
        <f>INDEX(Feiertagsregeln!$Z$7:$Z$480,MATCH($K168,Feiertagsregeln!$A$7:$A$480,0))</f>
        <v>Art. 121 Abs. 2</v>
      </c>
      <c r="N168" s="11" t="s">
        <v>193</v>
      </c>
      <c r="O168" s="11" t="str">
        <f>INDEX(Feiertagsregeln!$AA$7:$AA$480,MATCH($K168,Feiertagsregeln!$A$7:$A$480,0))</f>
        <v>Ganztägig</v>
      </c>
    </row>
    <row r="169" spans="1:15" ht="44" customHeight="1">
      <c r="A169" s="14">
        <f>INDEX(Feiertagsregeln!$X$7:$X$480,MATCH($K169,Feiertagsregeln!$A$7:$A$480,0))</f>
        <v>46908</v>
      </c>
      <c r="B169" s="10" t="str">
        <f t="shared" si="2"/>
        <v>Sonntag</v>
      </c>
      <c r="C169" s="10" t="s">
        <v>207</v>
      </c>
      <c r="D169" s="10" t="s">
        <v>228</v>
      </c>
      <c r="E169" s="10" t="str">
        <f>INDEX(Feiertagsregeln!$D$7:$D$480,MATCH($K169,Feiertagsregeln!$A$7:$A$480,0))</f>
        <v>Pfingsten</v>
      </c>
      <c r="F169" s="10" t="str">
        <f>INDEX(Feiertagsregeln!$E$7:$E$480,MATCH($K169,Feiertagsregeln!$A$7:$A$480,0))</f>
        <v>Pentecôte</v>
      </c>
      <c r="G169" s="21" t="str">
        <f>IF(INDEX(Feiertagsregeln!$F$7:$F$480,MATCH($K169,Feiertagsregeln!$A$7:$A$480,0))="","Noch zu erfassen",INDEX(Feiertagsregeln!$F$7:$F$480,MATCH($K169,Feiertagsregeln!$A$7:$A$480,0)))</f>
        <v>Domenica di Pentecoste</v>
      </c>
      <c r="H169" s="21" t="str">
        <f>IF(INDEX(Feiertagsregeln!$G$7:$G$480,MATCH($K169,Feiertagsregeln!$A$7:$A$480,0))="","Noch zu erfassen",INDEX(Feiertagsregeln!$G$7:$G$480,MATCH($K169,Feiertagsregeln!$A$7:$A$480,0)))</f>
        <v>Dumengia da Tschuncaisma</v>
      </c>
      <c r="I169" s="10" t="str">
        <f>INDEX(Feiertagsregeln!$H$7:$H$480,MATCH($K169,Feiertagsregeln!$A$7:$A$480,0))</f>
        <v>proceduralEquivalentDay</v>
      </c>
      <c r="J169" s="10" t="s">
        <v>69</v>
      </c>
      <c r="K169" s="10" t="s">
        <v>235</v>
      </c>
      <c r="L169" s="10" t="str">
        <f>INDEX(Feiertagsregeln!$Y$7:$Y$480,MATCH($K169,Feiertagsregeln!$A$7:$A$480,0))</f>
        <v>SRC-FR-JG-1301-V7926</v>
      </c>
      <c r="M169" s="10" t="str">
        <f>INDEX(Feiertagsregeln!$Z$7:$Z$480,MATCH($K169,Feiertagsregeln!$A$7:$A$480,0))</f>
        <v>Art. 121 Abs. 2</v>
      </c>
      <c r="N169" s="10" t="s">
        <v>193</v>
      </c>
      <c r="O169" s="10" t="str">
        <f>INDEX(Feiertagsregeln!$AA$7:$AA$480,MATCH($K169,Feiertagsregeln!$A$7:$A$480,0))</f>
        <v>Ganztägig</v>
      </c>
    </row>
    <row r="170" spans="1:15" ht="44" customHeight="1">
      <c r="A170" s="15">
        <f>INDEX(Feiertagsregeln!$X$7:$X$480,MATCH($K170,Feiertagsregeln!$A$7:$A$480,0))</f>
        <v>46909</v>
      </c>
      <c r="B170" s="11" t="str">
        <f t="shared" si="2"/>
        <v>Montag</v>
      </c>
      <c r="C170" s="11" t="s">
        <v>207</v>
      </c>
      <c r="D170" s="11" t="s">
        <v>228</v>
      </c>
      <c r="E170" s="11" t="str">
        <f>INDEX(Feiertagsregeln!$D$7:$D$480,MATCH($K170,Feiertagsregeln!$A$7:$A$480,0))</f>
        <v>Pfingstmontag</v>
      </c>
      <c r="F170" s="11" t="str">
        <f>INDEX(Feiertagsregeln!$E$7:$E$480,MATCH($K170,Feiertagsregeln!$A$7:$A$480,0))</f>
        <v>Lundi de Pentecôte</v>
      </c>
      <c r="G170" s="22" t="str">
        <f>IF(INDEX(Feiertagsregeln!$F$7:$F$480,MATCH($K170,Feiertagsregeln!$A$7:$A$480,0))="","Noch zu erfassen",INDEX(Feiertagsregeln!$F$7:$F$480,MATCH($K170,Feiertagsregeln!$A$7:$A$480,0)))</f>
        <v>Lunedì di Pentecoste</v>
      </c>
      <c r="H170" s="22" t="str">
        <f>IF(INDEX(Feiertagsregeln!$G$7:$G$480,MATCH($K170,Feiertagsregeln!$A$7:$A$480,0))="","Noch zu erfassen",INDEX(Feiertagsregeln!$G$7:$G$480,MATCH($K170,Feiertagsregeln!$A$7:$A$480,0)))</f>
        <v>Glindesdi da Tschuncaisma</v>
      </c>
      <c r="I170" s="11" t="str">
        <f>INDEX(Feiertagsregeln!$H$7:$H$480,MATCH($K170,Feiertagsregeln!$A$7:$A$480,0))</f>
        <v>proceduralEquivalentDay</v>
      </c>
      <c r="J170" s="11" t="s">
        <v>69</v>
      </c>
      <c r="K170" s="11" t="s">
        <v>236</v>
      </c>
      <c r="L170" s="11" t="str">
        <f>INDEX(Feiertagsregeln!$Y$7:$Y$480,MATCH($K170,Feiertagsregeln!$A$7:$A$480,0))</f>
        <v>SRC-FR-JG-1301-V7926</v>
      </c>
      <c r="M170" s="11" t="str">
        <f>INDEX(Feiertagsregeln!$Z$7:$Z$480,MATCH($K170,Feiertagsregeln!$A$7:$A$480,0))</f>
        <v>Art. 121 Abs. 2</v>
      </c>
      <c r="N170" s="11" t="s">
        <v>193</v>
      </c>
      <c r="O170" s="11" t="str">
        <f>INDEX(Feiertagsregeln!$AA$7:$AA$480,MATCH($K170,Feiertagsregeln!$A$7:$A$480,0))</f>
        <v>Ganztägig</v>
      </c>
    </row>
    <row r="171" spans="1:15" ht="44" customHeight="1">
      <c r="A171" s="14">
        <f>INDEX(Feiertagsregeln!$X$7:$X$480,MATCH($K171,Feiertagsregeln!$A$7:$A$480,0))</f>
        <v>46919</v>
      </c>
      <c r="B171" s="10" t="str">
        <f t="shared" si="2"/>
        <v>Donnerstag</v>
      </c>
      <c r="C171" s="10" t="s">
        <v>207</v>
      </c>
      <c r="D171" s="10" t="s">
        <v>228</v>
      </c>
      <c r="E171" s="10" t="str">
        <f>INDEX(Feiertagsregeln!$D$7:$D$480,MATCH($K171,Feiertagsregeln!$A$7:$A$480,0))</f>
        <v>Fronleichnam</v>
      </c>
      <c r="F171" s="10" t="str">
        <f>INDEX(Feiertagsregeln!$E$7:$E$480,MATCH($K171,Feiertagsregeln!$A$7:$A$480,0))</f>
        <v>Fête-Dieu</v>
      </c>
      <c r="G171" s="21" t="str">
        <f>IF(INDEX(Feiertagsregeln!$F$7:$F$480,MATCH($K171,Feiertagsregeln!$A$7:$A$480,0))="","Noch zu erfassen",INDEX(Feiertagsregeln!$F$7:$F$480,MATCH($K171,Feiertagsregeln!$A$7:$A$480,0)))</f>
        <v>Corpus Domini</v>
      </c>
      <c r="H171" s="21" t="str">
        <f>IF(INDEX(Feiertagsregeln!$G$7:$G$480,MATCH($K171,Feiertagsregeln!$A$7:$A$480,0))="","Noch zu erfassen",INDEX(Feiertagsregeln!$G$7:$G$480,MATCH($K171,Feiertagsregeln!$A$7:$A$480,0)))</f>
        <v>Sontgilcrest</v>
      </c>
      <c r="I171" s="10" t="str">
        <f>INDEX(Feiertagsregeln!$H$7:$H$480,MATCH($K171,Feiertagsregeln!$A$7:$A$480,0))</f>
        <v>proceduralEquivalentDay</v>
      </c>
      <c r="J171" s="10" t="s">
        <v>69</v>
      </c>
      <c r="K171" s="10" t="s">
        <v>237</v>
      </c>
      <c r="L171" s="10" t="str">
        <f>INDEX(Feiertagsregeln!$Y$7:$Y$480,MATCH($K171,Feiertagsregeln!$A$7:$A$480,0))</f>
        <v>SRC-FR-JG-1301-V7926</v>
      </c>
      <c r="M171" s="10" t="str">
        <f>INDEX(Feiertagsregeln!$Z$7:$Z$480,MATCH($K171,Feiertagsregeln!$A$7:$A$480,0))</f>
        <v>Art. 121 Abs. 2</v>
      </c>
      <c r="N171" s="10" t="s">
        <v>193</v>
      </c>
      <c r="O171" s="10" t="str">
        <f>INDEX(Feiertagsregeln!$AA$7:$AA$480,MATCH($K171,Feiertagsregeln!$A$7:$A$480,0))</f>
        <v>Ganztägig</v>
      </c>
    </row>
    <row r="172" spans="1:15" ht="44" customHeight="1">
      <c r="A172" s="15">
        <f>INDEX(Feiertagsregeln!$X$7:$X$480,MATCH($K172,Feiertagsregeln!$A$7:$A$480,0))</f>
        <v>46966</v>
      </c>
      <c r="B172" s="11" t="str">
        <f t="shared" si="2"/>
        <v>Dienstag</v>
      </c>
      <c r="C172" s="11" t="s">
        <v>207</v>
      </c>
      <c r="D172" s="11" t="s">
        <v>228</v>
      </c>
      <c r="E172" s="11" t="str">
        <f>INDEX(Feiertagsregeln!$D$7:$D$480,MATCH($K172,Feiertagsregeln!$A$7:$A$480,0))</f>
        <v>Bundesfeiertag</v>
      </c>
      <c r="F172" s="11" t="str">
        <f>INDEX(Feiertagsregeln!$E$7:$E$480,MATCH($K172,Feiertagsregeln!$A$7:$A$480,0))</f>
        <v>Fête nationale</v>
      </c>
      <c r="G172" s="22" t="str">
        <f>IF(INDEX(Feiertagsregeln!$F$7:$F$480,MATCH($K172,Feiertagsregeln!$A$7:$A$480,0))="","Noch zu erfassen",INDEX(Feiertagsregeln!$F$7:$F$480,MATCH($K172,Feiertagsregeln!$A$7:$A$480,0)))</f>
        <v>Primo agosto</v>
      </c>
      <c r="H172" s="22" t="str">
        <f>IF(INDEX(Feiertagsregeln!$G$7:$G$480,MATCH($K172,Feiertagsregeln!$A$7:$A$480,0))="","Noch zu erfassen",INDEX(Feiertagsregeln!$G$7:$G$480,MATCH($K172,Feiertagsregeln!$A$7:$A$480,0)))</f>
        <v>Festa naziunala svizra</v>
      </c>
      <c r="I172" s="11" t="str">
        <f>INDEX(Feiertagsregeln!$H$7:$H$480,MATCH($K172,Feiertagsregeln!$A$7:$A$480,0))</f>
        <v>proceduralEquivalentDay</v>
      </c>
      <c r="J172" s="11" t="s">
        <v>69</v>
      </c>
      <c r="K172" s="11" t="s">
        <v>238</v>
      </c>
      <c r="L172" s="11" t="str">
        <f>INDEX(Feiertagsregeln!$Y$7:$Y$480,MATCH($K172,Feiertagsregeln!$A$7:$A$480,0))</f>
        <v>SRC-FR-JG-1301-V7926</v>
      </c>
      <c r="M172" s="11" t="str">
        <f>INDEX(Feiertagsregeln!$Z$7:$Z$480,MATCH($K172,Feiertagsregeln!$A$7:$A$480,0))</f>
        <v>Art. 121 Abs. 2</v>
      </c>
      <c r="N172" s="11" t="s">
        <v>193</v>
      </c>
      <c r="O172" s="11" t="str">
        <f>INDEX(Feiertagsregeln!$AA$7:$AA$480,MATCH($K172,Feiertagsregeln!$A$7:$A$480,0))</f>
        <v>Ganztägig</v>
      </c>
    </row>
    <row r="173" spans="1:15" ht="44" customHeight="1">
      <c r="A173" s="14">
        <f>INDEX(Feiertagsregeln!$X$7:$X$480,MATCH($K173,Feiertagsregeln!$A$7:$A$480,0))</f>
        <v>46980</v>
      </c>
      <c r="B173" s="10" t="str">
        <f t="shared" si="2"/>
        <v>Dienstag</v>
      </c>
      <c r="C173" s="10" t="s">
        <v>207</v>
      </c>
      <c r="D173" s="10" t="s">
        <v>228</v>
      </c>
      <c r="E173" s="10" t="str">
        <f>INDEX(Feiertagsregeln!$D$7:$D$480,MATCH($K173,Feiertagsregeln!$A$7:$A$480,0))</f>
        <v>Mariä Himmelfahrt</v>
      </c>
      <c r="F173" s="10" t="str">
        <f>INDEX(Feiertagsregeln!$E$7:$E$480,MATCH($K173,Feiertagsregeln!$A$7:$A$480,0))</f>
        <v>Assomption</v>
      </c>
      <c r="G173" s="21" t="str">
        <f>IF(INDEX(Feiertagsregeln!$F$7:$F$480,MATCH($K173,Feiertagsregeln!$A$7:$A$480,0))="","Noch zu erfassen",INDEX(Feiertagsregeln!$F$7:$F$480,MATCH($K173,Feiertagsregeln!$A$7:$A$480,0)))</f>
        <v>Assunzione</v>
      </c>
      <c r="H173" s="21" t="str">
        <f>IF(INDEX(Feiertagsregeln!$G$7:$G$480,MATCH($K173,Feiertagsregeln!$A$7:$A$480,0))="","Noch zu erfassen",INDEX(Feiertagsregeln!$G$7:$G$480,MATCH($K173,Feiertagsregeln!$A$7:$A$480,0)))</f>
        <v>Nossadunna d’avust</v>
      </c>
      <c r="I173" s="10" t="str">
        <f>INDEX(Feiertagsregeln!$H$7:$H$480,MATCH($K173,Feiertagsregeln!$A$7:$A$480,0))</f>
        <v>proceduralEquivalentDay</v>
      </c>
      <c r="J173" s="10" t="s">
        <v>69</v>
      </c>
      <c r="K173" s="10" t="s">
        <v>239</v>
      </c>
      <c r="L173" s="10" t="str">
        <f>INDEX(Feiertagsregeln!$Y$7:$Y$480,MATCH($K173,Feiertagsregeln!$A$7:$A$480,0))</f>
        <v>SRC-FR-JG-1301-V7926</v>
      </c>
      <c r="M173" s="10" t="str">
        <f>INDEX(Feiertagsregeln!$Z$7:$Z$480,MATCH($K173,Feiertagsregeln!$A$7:$A$480,0))</f>
        <v>Art. 121 Abs. 2</v>
      </c>
      <c r="N173" s="10" t="s">
        <v>193</v>
      </c>
      <c r="O173" s="10" t="str">
        <f>INDEX(Feiertagsregeln!$AA$7:$AA$480,MATCH($K173,Feiertagsregeln!$A$7:$A$480,0))</f>
        <v>Ganztägig</v>
      </c>
    </row>
    <row r="174" spans="1:15" ht="44" customHeight="1">
      <c r="A174" s="15">
        <f>INDEX(Feiertagsregeln!$X$7:$X$480,MATCH($K174,Feiertagsregeln!$A$7:$A$480,0))</f>
        <v>47058</v>
      </c>
      <c r="B174" s="11" t="str">
        <f t="shared" si="2"/>
        <v>Mittwoch</v>
      </c>
      <c r="C174" s="11" t="s">
        <v>207</v>
      </c>
      <c r="D174" s="11" t="s">
        <v>228</v>
      </c>
      <c r="E174" s="11" t="str">
        <f>INDEX(Feiertagsregeln!$D$7:$D$480,MATCH($K174,Feiertagsregeln!$A$7:$A$480,0))</f>
        <v>Allerheiligen</v>
      </c>
      <c r="F174" s="11" t="str">
        <f>INDEX(Feiertagsregeln!$E$7:$E$480,MATCH($K174,Feiertagsregeln!$A$7:$A$480,0))</f>
        <v>Toussaint</v>
      </c>
      <c r="G174" s="22" t="str">
        <f>IF(INDEX(Feiertagsregeln!$F$7:$F$480,MATCH($K174,Feiertagsregeln!$A$7:$A$480,0))="","Noch zu erfassen",INDEX(Feiertagsregeln!$F$7:$F$480,MATCH($K174,Feiertagsregeln!$A$7:$A$480,0)))</f>
        <v>Ognissanti</v>
      </c>
      <c r="H174" s="22" t="str">
        <f>IF(INDEX(Feiertagsregeln!$G$7:$G$480,MATCH($K174,Feiertagsregeln!$A$7:$A$480,0))="","Noch zu erfassen",INDEX(Feiertagsregeln!$G$7:$G$480,MATCH($K174,Feiertagsregeln!$A$7:$A$480,0)))</f>
        <v>Numnasontga</v>
      </c>
      <c r="I174" s="11" t="str">
        <f>INDEX(Feiertagsregeln!$H$7:$H$480,MATCH($K174,Feiertagsregeln!$A$7:$A$480,0))</f>
        <v>proceduralEquivalentDay</v>
      </c>
      <c r="J174" s="11" t="s">
        <v>69</v>
      </c>
      <c r="K174" s="11" t="s">
        <v>240</v>
      </c>
      <c r="L174" s="11" t="str">
        <f>INDEX(Feiertagsregeln!$Y$7:$Y$480,MATCH($K174,Feiertagsregeln!$A$7:$A$480,0))</f>
        <v>SRC-FR-JG-1301-V7926</v>
      </c>
      <c r="M174" s="11" t="str">
        <f>INDEX(Feiertagsregeln!$Z$7:$Z$480,MATCH($K174,Feiertagsregeln!$A$7:$A$480,0))</f>
        <v>Art. 121 Abs. 2</v>
      </c>
      <c r="N174" s="11" t="s">
        <v>193</v>
      </c>
      <c r="O174" s="11" t="str">
        <f>INDEX(Feiertagsregeln!$AA$7:$AA$480,MATCH($K174,Feiertagsregeln!$A$7:$A$480,0))</f>
        <v>Ganztägig</v>
      </c>
    </row>
    <row r="175" spans="1:15" ht="44" customHeight="1">
      <c r="A175" s="14">
        <f>INDEX(Feiertagsregeln!$X$7:$X$480,MATCH($K175,Feiertagsregeln!$A$7:$A$480,0))</f>
        <v>47095</v>
      </c>
      <c r="B175" s="10" t="str">
        <f t="shared" si="2"/>
        <v>Freitag</v>
      </c>
      <c r="C175" s="10" t="s">
        <v>207</v>
      </c>
      <c r="D175" s="10" t="s">
        <v>228</v>
      </c>
      <c r="E175" s="10" t="str">
        <f>INDEX(Feiertagsregeln!$D$7:$D$480,MATCH($K175,Feiertagsregeln!$A$7:$A$480,0))</f>
        <v>Mariä Empfängnis</v>
      </c>
      <c r="F175" s="10" t="str">
        <f>INDEX(Feiertagsregeln!$E$7:$E$480,MATCH($K175,Feiertagsregeln!$A$7:$A$480,0))</f>
        <v>Immaculée Conception</v>
      </c>
      <c r="G175" s="21" t="str">
        <f>IF(INDEX(Feiertagsregeln!$F$7:$F$480,MATCH($K175,Feiertagsregeln!$A$7:$A$480,0))="","Noch zu erfassen",INDEX(Feiertagsregeln!$F$7:$F$480,MATCH($K175,Feiertagsregeln!$A$7:$A$480,0)))</f>
        <v>Immacolata</v>
      </c>
      <c r="H175" s="21" t="str">
        <f>IF(INDEX(Feiertagsregeln!$G$7:$G$480,MATCH($K175,Feiertagsregeln!$A$7:$A$480,0))="","Noch zu erfassen",INDEX(Feiertagsregeln!$G$7:$G$480,MATCH($K175,Feiertagsregeln!$A$7:$A$480,0)))</f>
        <v>Immaculada concepziun da Maria</v>
      </c>
      <c r="I175" s="10" t="str">
        <f>INDEX(Feiertagsregeln!$H$7:$H$480,MATCH($K175,Feiertagsregeln!$A$7:$A$480,0))</f>
        <v>proceduralEquivalentDay</v>
      </c>
      <c r="J175" s="10" t="s">
        <v>69</v>
      </c>
      <c r="K175" s="10" t="s">
        <v>241</v>
      </c>
      <c r="L175" s="10" t="str">
        <f>INDEX(Feiertagsregeln!$Y$7:$Y$480,MATCH($K175,Feiertagsregeln!$A$7:$A$480,0))</f>
        <v>SRC-FR-JG-1301-V7926</v>
      </c>
      <c r="M175" s="10" t="str">
        <f>INDEX(Feiertagsregeln!$Z$7:$Z$480,MATCH($K175,Feiertagsregeln!$A$7:$A$480,0))</f>
        <v>Art. 121 Abs. 2</v>
      </c>
      <c r="N175" s="10" t="s">
        <v>193</v>
      </c>
      <c r="O175" s="10" t="str">
        <f>INDEX(Feiertagsregeln!$AA$7:$AA$480,MATCH($K175,Feiertagsregeln!$A$7:$A$480,0))</f>
        <v>Ganztägig</v>
      </c>
    </row>
    <row r="176" spans="1:15" ht="44" customHeight="1">
      <c r="A176" s="15">
        <f>INDEX(Feiertagsregeln!$X$7:$X$480,MATCH($K176,Feiertagsregeln!$A$7:$A$480,0))</f>
        <v>47112</v>
      </c>
      <c r="B176" s="11" t="str">
        <f t="shared" si="2"/>
        <v>Montag</v>
      </c>
      <c r="C176" s="11" t="s">
        <v>207</v>
      </c>
      <c r="D176" s="11" t="s">
        <v>228</v>
      </c>
      <c r="E176" s="11" t="str">
        <f>INDEX(Feiertagsregeln!$D$7:$D$480,MATCH($K176,Feiertagsregeln!$A$7:$A$480,0))</f>
        <v>Weihnachten</v>
      </c>
      <c r="F176" s="11" t="str">
        <f>INDEX(Feiertagsregeln!$E$7:$E$480,MATCH($K176,Feiertagsregeln!$A$7:$A$480,0))</f>
        <v>Noël</v>
      </c>
      <c r="G176" s="22" t="str">
        <f>IF(INDEX(Feiertagsregeln!$F$7:$F$480,MATCH($K176,Feiertagsregeln!$A$7:$A$480,0))="","Noch zu erfassen",INDEX(Feiertagsregeln!$F$7:$F$480,MATCH($K176,Feiertagsregeln!$A$7:$A$480,0)))</f>
        <v>Natale</v>
      </c>
      <c r="H176" s="22" t="str">
        <f>IF(INDEX(Feiertagsregeln!$G$7:$G$480,MATCH($K176,Feiertagsregeln!$A$7:$A$480,0))="","Noch zu erfassen",INDEX(Feiertagsregeln!$G$7:$G$480,MATCH($K176,Feiertagsregeln!$A$7:$A$480,0)))</f>
        <v>Di da Nadal</v>
      </c>
      <c r="I176" s="11" t="str">
        <f>INDEX(Feiertagsregeln!$H$7:$H$480,MATCH($K176,Feiertagsregeln!$A$7:$A$480,0))</f>
        <v>proceduralEquivalentDay</v>
      </c>
      <c r="J176" s="11" t="s">
        <v>69</v>
      </c>
      <c r="K176" s="11" t="s">
        <v>242</v>
      </c>
      <c r="L176" s="11" t="str">
        <f>INDEX(Feiertagsregeln!$Y$7:$Y$480,MATCH($K176,Feiertagsregeln!$A$7:$A$480,0))</f>
        <v>SRC-FR-JG-1301-V7926</v>
      </c>
      <c r="M176" s="11" t="str">
        <f>INDEX(Feiertagsregeln!$Z$7:$Z$480,MATCH($K176,Feiertagsregeln!$A$7:$A$480,0))</f>
        <v>Art. 121 Abs. 2</v>
      </c>
      <c r="N176" s="11" t="s">
        <v>193</v>
      </c>
      <c r="O176" s="11" t="str">
        <f>INDEX(Feiertagsregeln!$AA$7:$AA$480,MATCH($K176,Feiertagsregeln!$A$7:$A$480,0))</f>
        <v>Ganztägig</v>
      </c>
    </row>
    <row r="177" spans="1:15" ht="44" customHeight="1">
      <c r="A177" s="14">
        <f>INDEX(Feiertagsregeln!$X$7:$X$480,MATCH($K177,Feiertagsregeln!$A$7:$A$480,0))</f>
        <v>47113</v>
      </c>
      <c r="B177" s="10" t="str">
        <f t="shared" si="2"/>
        <v>Dienstag</v>
      </c>
      <c r="C177" s="10" t="s">
        <v>207</v>
      </c>
      <c r="D177" s="10" t="s">
        <v>228</v>
      </c>
      <c r="E177" s="10" t="str">
        <f>INDEX(Feiertagsregeln!$D$7:$D$480,MATCH($K177,Feiertagsregeln!$A$7:$A$480,0))</f>
        <v>Stephanstag</v>
      </c>
      <c r="F177" s="10" t="str">
        <f>INDEX(Feiertagsregeln!$E$7:$E$480,MATCH($K177,Feiertagsregeln!$A$7:$A$480,0))</f>
        <v>Lendemain de Noël</v>
      </c>
      <c r="G177" s="21" t="str">
        <f>IF(INDEX(Feiertagsregeln!$F$7:$F$480,MATCH($K177,Feiertagsregeln!$A$7:$A$480,0))="","Noch zu erfassen",INDEX(Feiertagsregeln!$F$7:$F$480,MATCH($K177,Feiertagsregeln!$A$7:$A$480,0)))</f>
        <v>Santo Stefano</v>
      </c>
      <c r="H177" s="21" t="str">
        <f>IF(INDEX(Feiertagsregeln!$G$7:$G$480,MATCH($K177,Feiertagsregeln!$A$7:$A$480,0))="","Noch zu erfassen",INDEX(Feiertagsregeln!$G$7:$G$480,MATCH($K177,Feiertagsregeln!$A$7:$A$480,0)))</f>
        <v>Son Steffan</v>
      </c>
      <c r="I177" s="10" t="str">
        <f>INDEX(Feiertagsregeln!$H$7:$H$480,MATCH($K177,Feiertagsregeln!$A$7:$A$480,0))</f>
        <v>proceduralEquivalentDay</v>
      </c>
      <c r="J177" s="10" t="s">
        <v>69</v>
      </c>
      <c r="K177" s="10" t="s">
        <v>243</v>
      </c>
      <c r="L177" s="10" t="str">
        <f>INDEX(Feiertagsregeln!$Y$7:$Y$480,MATCH($K177,Feiertagsregeln!$A$7:$A$480,0))</f>
        <v>SRC-FR-JG-1301-V7926</v>
      </c>
      <c r="M177" s="10" t="str">
        <f>INDEX(Feiertagsregeln!$Z$7:$Z$480,MATCH($K177,Feiertagsregeln!$A$7:$A$480,0))</f>
        <v>Art. 121 Abs. 2</v>
      </c>
      <c r="N177" s="10" t="s">
        <v>193</v>
      </c>
      <c r="O177" s="10" t="str">
        <f>INDEX(Feiertagsregeln!$AA$7:$AA$480,MATCH($K177,Feiertagsregeln!$A$7:$A$480,0))</f>
        <v>Ganztägig</v>
      </c>
    </row>
    <row r="178" spans="1:15" ht="44" customHeight="1">
      <c r="A178" s="15">
        <f>INDEX(Feiertagsregeln!$X$7:$X$480,MATCH($K178,Feiertagsregeln!$A$7:$A$480,0))</f>
        <v>46753</v>
      </c>
      <c r="B178" s="11" t="str">
        <f t="shared" si="2"/>
        <v>Samstag</v>
      </c>
      <c r="C178" s="11" t="s">
        <v>244</v>
      </c>
      <c r="D178" s="11" t="s">
        <v>245</v>
      </c>
      <c r="E178" s="11" t="str">
        <f>INDEX(Feiertagsregeln!$D$7:$D$480,MATCH($K178,Feiertagsregeln!$A$7:$A$480,0))</f>
        <v>Neujahr</v>
      </c>
      <c r="F178" s="11" t="str">
        <f>INDEX(Feiertagsregeln!$E$7:$E$480,MATCH($K178,Feiertagsregeln!$A$7:$A$480,0))</f>
        <v>Nouvel An</v>
      </c>
      <c r="G178" s="22" t="str">
        <f>IF(INDEX(Feiertagsregeln!$F$7:$F$480,MATCH($K178,Feiertagsregeln!$A$7:$A$480,0))="","Noch zu erfassen",INDEX(Feiertagsregeln!$F$7:$F$480,MATCH($K178,Feiertagsregeln!$A$7:$A$480,0)))</f>
        <v>Capo d’anno</v>
      </c>
      <c r="H178" s="22" t="str">
        <f>IF(INDEX(Feiertagsregeln!$G$7:$G$480,MATCH($K178,Feiertagsregeln!$A$7:$A$480,0))="","Noch zu erfassen",INDEX(Feiertagsregeln!$G$7:$G$480,MATCH($K178,Feiertagsregeln!$A$7:$A$480,0)))</f>
        <v>Bumaun</v>
      </c>
      <c r="I178" s="11" t="str">
        <f>INDEX(Feiertagsregeln!$H$7:$H$480,MATCH($K178,Feiertagsregeln!$A$7:$A$480,0))</f>
        <v>publicHoliday</v>
      </c>
      <c r="J178" s="11" t="s">
        <v>69</v>
      </c>
      <c r="K178" s="11" t="s">
        <v>246</v>
      </c>
      <c r="L178" s="11" t="str">
        <f>INDEX(Feiertagsregeln!$Y$7:$Y$480,MATCH($K178,Feiertagsregeln!$A$7:$A$480,0))</f>
        <v>SRC-SO-RTG-51241-V4319</v>
      </c>
      <c r="M178" s="11" t="str">
        <f>INDEX(Feiertagsregeln!$Z$7:$Z$480,MATCH($K178,Feiertagsregeln!$A$7:$A$480,0))</f>
        <v>§ 2 Abs. 1 Bst. b</v>
      </c>
      <c r="N178" s="11" t="s">
        <v>193</v>
      </c>
      <c r="O178" s="11" t="str">
        <f>INDEX(Feiertagsregeln!$AA$7:$AA$480,MATCH($K178,Feiertagsregeln!$A$7:$A$480,0))</f>
        <v>Ganztägig</v>
      </c>
    </row>
    <row r="179" spans="1:15" ht="44" customHeight="1">
      <c r="A179" s="14">
        <f>INDEX(Feiertagsregeln!$X$7:$X$480,MATCH($K179,Feiertagsregeln!$A$7:$A$480,0))</f>
        <v>46857</v>
      </c>
      <c r="B179" s="10" t="str">
        <f t="shared" si="2"/>
        <v>Freitag</v>
      </c>
      <c r="C179" s="10" t="s">
        <v>244</v>
      </c>
      <c r="D179" s="10" t="s">
        <v>245</v>
      </c>
      <c r="E179" s="10" t="str">
        <f>INDEX(Feiertagsregeln!$D$7:$D$480,MATCH($K179,Feiertagsregeln!$A$7:$A$480,0))</f>
        <v>Karfreitag</v>
      </c>
      <c r="F179" s="10" t="str">
        <f>INDEX(Feiertagsregeln!$E$7:$E$480,MATCH($K179,Feiertagsregeln!$A$7:$A$480,0))</f>
        <v>Vendredi saint</v>
      </c>
      <c r="G179" s="21" t="str">
        <f>IF(INDEX(Feiertagsregeln!$F$7:$F$480,MATCH($K179,Feiertagsregeln!$A$7:$A$480,0))="","Noch zu erfassen",INDEX(Feiertagsregeln!$F$7:$F$480,MATCH($K179,Feiertagsregeln!$A$7:$A$480,0)))</f>
        <v>Venerdì Santo</v>
      </c>
      <c r="H179" s="21" t="str">
        <f>IF(INDEX(Feiertagsregeln!$G$7:$G$480,MATCH($K179,Feiertagsregeln!$A$7:$A$480,0))="","Noch zu erfassen",INDEX(Feiertagsregeln!$G$7:$G$480,MATCH($K179,Feiertagsregeln!$A$7:$A$480,0)))</f>
        <v>Venderdi sontg</v>
      </c>
      <c r="I179" s="10" t="str">
        <f>INDEX(Feiertagsregeln!$H$7:$H$480,MATCH($K179,Feiertagsregeln!$A$7:$A$480,0))</f>
        <v>publicHoliday</v>
      </c>
      <c r="J179" s="10" t="s">
        <v>69</v>
      </c>
      <c r="K179" s="10" t="s">
        <v>247</v>
      </c>
      <c r="L179" s="10" t="str">
        <f>INDEX(Feiertagsregeln!$Y$7:$Y$480,MATCH($K179,Feiertagsregeln!$A$7:$A$480,0))</f>
        <v>SRC-SO-RTG-51241-V4319</v>
      </c>
      <c r="M179" s="10" t="str">
        <f>INDEX(Feiertagsregeln!$Z$7:$Z$480,MATCH($K179,Feiertagsregeln!$A$7:$A$480,0))</f>
        <v>§ 2 Abs. 1 Bst. c</v>
      </c>
      <c r="N179" s="10" t="s">
        <v>193</v>
      </c>
      <c r="O179" s="10" t="str">
        <f>INDEX(Feiertagsregeln!$AA$7:$AA$480,MATCH($K179,Feiertagsregeln!$A$7:$A$480,0))</f>
        <v>Ganztägig</v>
      </c>
    </row>
    <row r="180" spans="1:15" ht="44" customHeight="1">
      <c r="A180" s="15">
        <f>INDEX(Feiertagsregeln!$X$7:$X$480,MATCH($K180,Feiertagsregeln!$A$7:$A$480,0))</f>
        <v>46859</v>
      </c>
      <c r="B180" s="11" t="str">
        <f t="shared" si="2"/>
        <v>Sonntag</v>
      </c>
      <c r="C180" s="11" t="s">
        <v>244</v>
      </c>
      <c r="D180" s="11" t="s">
        <v>245</v>
      </c>
      <c r="E180" s="11" t="str">
        <f>INDEX(Feiertagsregeln!$D$7:$D$480,MATCH($K180,Feiertagsregeln!$A$7:$A$480,0))</f>
        <v>Ostern</v>
      </c>
      <c r="F180" s="11" t="str">
        <f>INDEX(Feiertagsregeln!$E$7:$E$480,MATCH($K180,Feiertagsregeln!$A$7:$A$480,0))</f>
        <v>Pâques</v>
      </c>
      <c r="G180" s="22" t="str">
        <f>IF(INDEX(Feiertagsregeln!$F$7:$F$480,MATCH($K180,Feiertagsregeln!$A$7:$A$480,0))="","Noch zu erfassen",INDEX(Feiertagsregeln!$F$7:$F$480,MATCH($K180,Feiertagsregeln!$A$7:$A$480,0)))</f>
        <v>Domenica di Pasqua</v>
      </c>
      <c r="H180" s="22" t="str">
        <f>IF(INDEX(Feiertagsregeln!$G$7:$G$480,MATCH($K180,Feiertagsregeln!$A$7:$A$480,0))="","Noch zu erfassen",INDEX(Feiertagsregeln!$G$7:$G$480,MATCH($K180,Feiertagsregeln!$A$7:$A$480,0)))</f>
        <v>Dumengia da Pasca</v>
      </c>
      <c r="I180" s="11" t="str">
        <f>INDEX(Feiertagsregeln!$H$7:$H$480,MATCH($K180,Feiertagsregeln!$A$7:$A$480,0))</f>
        <v>publicHoliday</v>
      </c>
      <c r="J180" s="11" t="s">
        <v>69</v>
      </c>
      <c r="K180" s="11" t="s">
        <v>248</v>
      </c>
      <c r="L180" s="11" t="str">
        <f>INDEX(Feiertagsregeln!$Y$7:$Y$480,MATCH($K180,Feiertagsregeln!$A$7:$A$480,0))</f>
        <v>SRC-SO-RTG-51241-V4319</v>
      </c>
      <c r="M180" s="11" t="str">
        <f>INDEX(Feiertagsregeln!$Z$7:$Z$480,MATCH($K180,Feiertagsregeln!$A$7:$A$480,0))</f>
        <v>§ 2 Abs. 1 Bst. c</v>
      </c>
      <c r="N180" s="11" t="s">
        <v>193</v>
      </c>
      <c r="O180" s="11" t="str">
        <f>INDEX(Feiertagsregeln!$AA$7:$AA$480,MATCH($K180,Feiertagsregeln!$A$7:$A$480,0))</f>
        <v>Ganztägig</v>
      </c>
    </row>
    <row r="181" spans="1:15" ht="44" customHeight="1">
      <c r="A181" s="14">
        <f>INDEX(Feiertagsregeln!$X$7:$X$480,MATCH($K181,Feiertagsregeln!$A$7:$A$480,0))</f>
        <v>46874</v>
      </c>
      <c r="B181" s="10" t="str">
        <f t="shared" si="2"/>
        <v>Montag, ab 12.00 Uhr</v>
      </c>
      <c r="C181" s="10" t="s">
        <v>244</v>
      </c>
      <c r="D181" s="10" t="s">
        <v>245</v>
      </c>
      <c r="E181" s="10" t="str">
        <f>INDEX(Feiertagsregeln!$D$7:$D$480,MATCH($K181,Feiertagsregeln!$A$7:$A$480,0))</f>
        <v>1. Mai</v>
      </c>
      <c r="F181" s="10" t="str">
        <f>INDEX(Feiertagsregeln!$E$7:$E$480,MATCH($K181,Feiertagsregeln!$A$7:$A$480,0))</f>
        <v>1er mai</v>
      </c>
      <c r="G181" s="21" t="str">
        <f>IF(INDEX(Feiertagsregeln!$F$7:$F$480,MATCH($K181,Feiertagsregeln!$A$7:$A$480,0))="","Noch zu erfassen",INDEX(Feiertagsregeln!$F$7:$F$480,MATCH($K181,Feiertagsregeln!$A$7:$A$480,0)))</f>
        <v>Primo maggio</v>
      </c>
      <c r="H181" s="21" t="str">
        <f>IF(INDEX(Feiertagsregeln!$G$7:$G$480,MATCH($K181,Feiertagsregeln!$A$7:$A$480,0))="","Noch zu erfassen",INDEX(Feiertagsregeln!$G$7:$G$480,MATCH($K181,Feiertagsregeln!$A$7:$A$480,0)))</f>
        <v>1. da matg</v>
      </c>
      <c r="I181" s="10" t="str">
        <f>INDEX(Feiertagsregeln!$H$7:$H$480,MATCH($K181,Feiertagsregeln!$A$7:$A$480,0))</f>
        <v>publicHoliday</v>
      </c>
      <c r="J181" s="10" t="s">
        <v>69</v>
      </c>
      <c r="K181" s="10" t="s">
        <v>249</v>
      </c>
      <c r="L181" s="10" t="str">
        <f>INDEX(Feiertagsregeln!$Y$7:$Y$480,MATCH($K181,Feiertagsregeln!$A$7:$A$480,0))</f>
        <v>SRC-SO-RTG-51241-V4319</v>
      </c>
      <c r="M181" s="10" t="str">
        <f>INDEX(Feiertagsregeln!$Z$7:$Z$480,MATCH($K181,Feiertagsregeln!$A$7:$A$480,0))</f>
        <v>§ 2 Abs. 1 Bst. b, 1. Mai ab 12.00 Uhr</v>
      </c>
      <c r="N181" s="10" t="s">
        <v>250</v>
      </c>
      <c r="O181" s="10" t="str">
        <f>INDEX(Feiertagsregeln!$AA$7:$AA$480,MATCH($K181,Feiertagsregeln!$A$7:$A$480,0))</f>
        <v>Ab 12.00 Uhr</v>
      </c>
    </row>
    <row r="182" spans="1:15" ht="44" customHeight="1">
      <c r="A182" s="15">
        <f>INDEX(Feiertagsregeln!$X$7:$X$480,MATCH($K182,Feiertagsregeln!$A$7:$A$480,0))</f>
        <v>46898</v>
      </c>
      <c r="B182" s="11" t="str">
        <f t="shared" si="2"/>
        <v>Donnerstag</v>
      </c>
      <c r="C182" s="11" t="s">
        <v>244</v>
      </c>
      <c r="D182" s="11" t="s">
        <v>245</v>
      </c>
      <c r="E182" s="11" t="str">
        <f>INDEX(Feiertagsregeln!$D$7:$D$480,MATCH($K182,Feiertagsregeln!$A$7:$A$480,0))</f>
        <v>Auffahrt</v>
      </c>
      <c r="F182" s="11" t="str">
        <f>INDEX(Feiertagsregeln!$E$7:$E$480,MATCH($K182,Feiertagsregeln!$A$7:$A$480,0))</f>
        <v>Ascension</v>
      </c>
      <c r="G182" s="22" t="str">
        <f>IF(INDEX(Feiertagsregeln!$F$7:$F$480,MATCH($K182,Feiertagsregeln!$A$7:$A$480,0))="","Noch zu erfassen",INDEX(Feiertagsregeln!$F$7:$F$480,MATCH($K182,Feiertagsregeln!$A$7:$A$480,0)))</f>
        <v>Ascensione</v>
      </c>
      <c r="H182" s="22" t="str">
        <f>IF(INDEX(Feiertagsregeln!$G$7:$G$480,MATCH($K182,Feiertagsregeln!$A$7:$A$480,0))="","Noch zu erfassen",INDEX(Feiertagsregeln!$G$7:$G$480,MATCH($K182,Feiertagsregeln!$A$7:$A$480,0)))</f>
        <v>Ascensiun</v>
      </c>
      <c r="I182" s="11" t="str">
        <f>INDEX(Feiertagsregeln!$H$7:$H$480,MATCH($K182,Feiertagsregeln!$A$7:$A$480,0))</f>
        <v>publicHoliday</v>
      </c>
      <c r="J182" s="11" t="s">
        <v>69</v>
      </c>
      <c r="K182" s="11" t="s">
        <v>251</v>
      </c>
      <c r="L182" s="11" t="str">
        <f>INDEX(Feiertagsregeln!$Y$7:$Y$480,MATCH($K182,Feiertagsregeln!$A$7:$A$480,0))</f>
        <v>SRC-SO-RTG-51241-V4319</v>
      </c>
      <c r="M182" s="11" t="str">
        <f>INDEX(Feiertagsregeln!$Z$7:$Z$480,MATCH($K182,Feiertagsregeln!$A$7:$A$480,0))</f>
        <v>§ 2 Abs. 1 Bst. b</v>
      </c>
      <c r="N182" s="11" t="s">
        <v>193</v>
      </c>
      <c r="O182" s="11" t="str">
        <f>INDEX(Feiertagsregeln!$AA$7:$AA$480,MATCH($K182,Feiertagsregeln!$A$7:$A$480,0))</f>
        <v>Ganztägig</v>
      </c>
    </row>
    <row r="183" spans="1:15" ht="44" customHeight="1">
      <c r="A183" s="14">
        <f>INDEX(Feiertagsregeln!$X$7:$X$480,MATCH($K183,Feiertagsregeln!$A$7:$A$480,0))</f>
        <v>46908</v>
      </c>
      <c r="B183" s="10" t="str">
        <f t="shared" si="2"/>
        <v>Sonntag</v>
      </c>
      <c r="C183" s="10" t="s">
        <v>244</v>
      </c>
      <c r="D183" s="10" t="s">
        <v>245</v>
      </c>
      <c r="E183" s="10" t="str">
        <f>INDEX(Feiertagsregeln!$D$7:$D$480,MATCH($K183,Feiertagsregeln!$A$7:$A$480,0))</f>
        <v>Pfingsten</v>
      </c>
      <c r="F183" s="10" t="str">
        <f>INDEX(Feiertagsregeln!$E$7:$E$480,MATCH($K183,Feiertagsregeln!$A$7:$A$480,0))</f>
        <v>Pentecôte</v>
      </c>
      <c r="G183" s="21" t="str">
        <f>IF(INDEX(Feiertagsregeln!$F$7:$F$480,MATCH($K183,Feiertagsregeln!$A$7:$A$480,0))="","Noch zu erfassen",INDEX(Feiertagsregeln!$F$7:$F$480,MATCH($K183,Feiertagsregeln!$A$7:$A$480,0)))</f>
        <v>Domenica di Pentecoste</v>
      </c>
      <c r="H183" s="21" t="str">
        <f>IF(INDEX(Feiertagsregeln!$G$7:$G$480,MATCH($K183,Feiertagsregeln!$A$7:$A$480,0))="","Noch zu erfassen",INDEX(Feiertagsregeln!$G$7:$G$480,MATCH($K183,Feiertagsregeln!$A$7:$A$480,0)))</f>
        <v>Dumengia da Tschuncaisma</v>
      </c>
      <c r="I183" s="10" t="str">
        <f>INDEX(Feiertagsregeln!$H$7:$H$480,MATCH($K183,Feiertagsregeln!$A$7:$A$480,0))</f>
        <v>publicHoliday</v>
      </c>
      <c r="J183" s="10" t="s">
        <v>69</v>
      </c>
      <c r="K183" s="10" t="s">
        <v>252</v>
      </c>
      <c r="L183" s="10" t="str">
        <f>INDEX(Feiertagsregeln!$Y$7:$Y$480,MATCH($K183,Feiertagsregeln!$A$7:$A$480,0))</f>
        <v>SRC-SO-RTG-51241-V4319</v>
      </c>
      <c r="M183" s="10" t="str">
        <f>INDEX(Feiertagsregeln!$Z$7:$Z$480,MATCH($K183,Feiertagsregeln!$A$7:$A$480,0))</f>
        <v>§ 2 Abs. 1 Bst. c</v>
      </c>
      <c r="N183" s="10" t="s">
        <v>193</v>
      </c>
      <c r="O183" s="10" t="str">
        <f>INDEX(Feiertagsregeln!$AA$7:$AA$480,MATCH($K183,Feiertagsregeln!$A$7:$A$480,0))</f>
        <v>Ganztägig</v>
      </c>
    </row>
    <row r="184" spans="1:15" ht="44" customHeight="1">
      <c r="A184" s="15">
        <f>INDEX(Feiertagsregeln!$X$7:$X$480,MATCH($K184,Feiertagsregeln!$A$7:$A$480,0))</f>
        <v>46919</v>
      </c>
      <c r="B184" s="11" t="str">
        <f t="shared" si="2"/>
        <v>Donnerstag</v>
      </c>
      <c r="C184" s="11" t="s">
        <v>244</v>
      </c>
      <c r="D184" s="11" t="s">
        <v>245</v>
      </c>
      <c r="E184" s="11" t="str">
        <f>INDEX(Feiertagsregeln!$D$7:$D$480,MATCH($K184,Feiertagsregeln!$A$7:$A$480,0))</f>
        <v>Fronleichnam</v>
      </c>
      <c r="F184" s="11" t="str">
        <f>INDEX(Feiertagsregeln!$E$7:$E$480,MATCH($K184,Feiertagsregeln!$A$7:$A$480,0))</f>
        <v>Fête-Dieu</v>
      </c>
      <c r="G184" s="22" t="str">
        <f>IF(INDEX(Feiertagsregeln!$F$7:$F$480,MATCH($K184,Feiertagsregeln!$A$7:$A$480,0))="","Noch zu erfassen",INDEX(Feiertagsregeln!$F$7:$F$480,MATCH($K184,Feiertagsregeln!$A$7:$A$480,0)))</f>
        <v>Corpus Domini</v>
      </c>
      <c r="H184" s="22" t="str">
        <f>IF(INDEX(Feiertagsregeln!$G$7:$G$480,MATCH($K184,Feiertagsregeln!$A$7:$A$480,0))="","Noch zu erfassen",INDEX(Feiertagsregeln!$G$7:$G$480,MATCH($K184,Feiertagsregeln!$A$7:$A$480,0)))</f>
        <v>Sontgilcrest</v>
      </c>
      <c r="I184" s="11" t="str">
        <f>INDEX(Feiertagsregeln!$H$7:$H$480,MATCH($K184,Feiertagsregeln!$A$7:$A$480,0))</f>
        <v>publicHoliday</v>
      </c>
      <c r="J184" s="11" t="s">
        <v>69</v>
      </c>
      <c r="K184" s="11" t="s">
        <v>253</v>
      </c>
      <c r="L184" s="11" t="str">
        <f>INDEX(Feiertagsregeln!$Y$7:$Y$480,MATCH($K184,Feiertagsregeln!$A$7:$A$480,0))</f>
        <v>SRC-SO-RTG-51241-V4319</v>
      </c>
      <c r="M184" s="11" t="str">
        <f>INDEX(Feiertagsregeln!$Z$7:$Z$480,MATCH($K184,Feiertagsregeln!$A$7:$A$480,0))</f>
        <v>§ 2 Abs. 1 Bst. b</v>
      </c>
      <c r="N184" s="11" t="s">
        <v>193</v>
      </c>
      <c r="O184" s="11" t="str">
        <f>INDEX(Feiertagsregeln!$AA$7:$AA$480,MATCH($K184,Feiertagsregeln!$A$7:$A$480,0))</f>
        <v>Ganztägig</v>
      </c>
    </row>
    <row r="185" spans="1:15" ht="44" customHeight="1">
      <c r="A185" s="14">
        <f>INDEX(Feiertagsregeln!$X$7:$X$480,MATCH($K185,Feiertagsregeln!$A$7:$A$480,0))</f>
        <v>46966</v>
      </c>
      <c r="B185" s="10" t="str">
        <f t="shared" si="2"/>
        <v>Dienstag</v>
      </c>
      <c r="C185" s="10" t="s">
        <v>244</v>
      </c>
      <c r="D185" s="10" t="s">
        <v>245</v>
      </c>
      <c r="E185" s="10" t="str">
        <f>INDEX(Feiertagsregeln!$D$7:$D$480,MATCH($K185,Feiertagsregeln!$A$7:$A$480,0))</f>
        <v>Bundesfeiertag</v>
      </c>
      <c r="F185" s="10" t="str">
        <f>INDEX(Feiertagsregeln!$E$7:$E$480,MATCH($K185,Feiertagsregeln!$A$7:$A$480,0))</f>
        <v>Fête nationale</v>
      </c>
      <c r="G185" s="21" t="str">
        <f>IF(INDEX(Feiertagsregeln!$F$7:$F$480,MATCH($K185,Feiertagsregeln!$A$7:$A$480,0))="","Noch zu erfassen",INDEX(Feiertagsregeln!$F$7:$F$480,MATCH($K185,Feiertagsregeln!$A$7:$A$480,0)))</f>
        <v>Primo agosto</v>
      </c>
      <c r="H185" s="21" t="str">
        <f>IF(INDEX(Feiertagsregeln!$G$7:$G$480,MATCH($K185,Feiertagsregeln!$A$7:$A$480,0))="","Noch zu erfassen",INDEX(Feiertagsregeln!$G$7:$G$480,MATCH($K185,Feiertagsregeln!$A$7:$A$480,0)))</f>
        <v>Festa naziunala svizra</v>
      </c>
      <c r="I185" s="10" t="str">
        <f>INDEX(Feiertagsregeln!$H$7:$H$480,MATCH($K185,Feiertagsregeln!$A$7:$A$480,0))</f>
        <v>publicHoliday</v>
      </c>
      <c r="J185" s="10" t="s">
        <v>69</v>
      </c>
      <c r="K185" s="10" t="s">
        <v>254</v>
      </c>
      <c r="L185" s="10" t="str">
        <f>INDEX(Feiertagsregeln!$Y$7:$Y$480,MATCH($K185,Feiertagsregeln!$A$7:$A$480,0))</f>
        <v>SRC-BUNDESFEIERTAG-19940701</v>
      </c>
      <c r="M185" s="10" t="str">
        <f>INDEX(Feiertagsregeln!$Z$7:$Z$480,MATCH($K185,Feiertagsregeln!$A$7:$A$480,0))</f>
        <v>SR 116, Art. 1, neue offene Anwendung auf dieses Geltungsprofil</v>
      </c>
      <c r="N185" s="10" t="s">
        <v>193</v>
      </c>
      <c r="O185" s="10" t="str">
        <f>INDEX(Feiertagsregeln!$AA$7:$AA$480,MATCH($K185,Feiertagsregeln!$A$7:$A$480,0))</f>
        <v>Ganztägig</v>
      </c>
    </row>
    <row r="186" spans="1:15" ht="44" customHeight="1">
      <c r="A186" s="15">
        <f>INDEX(Feiertagsregeln!$X$7:$X$480,MATCH($K186,Feiertagsregeln!$A$7:$A$480,0))</f>
        <v>46980</v>
      </c>
      <c r="B186" s="11" t="str">
        <f t="shared" si="2"/>
        <v>Dienstag</v>
      </c>
      <c r="C186" s="11" t="s">
        <v>244</v>
      </c>
      <c r="D186" s="11" t="s">
        <v>245</v>
      </c>
      <c r="E186" s="11" t="str">
        <f>INDEX(Feiertagsregeln!$D$7:$D$480,MATCH($K186,Feiertagsregeln!$A$7:$A$480,0))</f>
        <v>Mariä Himmelfahrt</v>
      </c>
      <c r="F186" s="11" t="str">
        <f>INDEX(Feiertagsregeln!$E$7:$E$480,MATCH($K186,Feiertagsregeln!$A$7:$A$480,0))</f>
        <v>Assomption</v>
      </c>
      <c r="G186" s="22" t="str">
        <f>IF(INDEX(Feiertagsregeln!$F$7:$F$480,MATCH($K186,Feiertagsregeln!$A$7:$A$480,0))="","Noch zu erfassen",INDEX(Feiertagsregeln!$F$7:$F$480,MATCH($K186,Feiertagsregeln!$A$7:$A$480,0)))</f>
        <v>Assunzione</v>
      </c>
      <c r="H186" s="22" t="str">
        <f>IF(INDEX(Feiertagsregeln!$G$7:$G$480,MATCH($K186,Feiertagsregeln!$A$7:$A$480,0))="","Noch zu erfassen",INDEX(Feiertagsregeln!$G$7:$G$480,MATCH($K186,Feiertagsregeln!$A$7:$A$480,0)))</f>
        <v>Nossadunna d’avust</v>
      </c>
      <c r="I186" s="11" t="str">
        <f>INDEX(Feiertagsregeln!$H$7:$H$480,MATCH($K186,Feiertagsregeln!$A$7:$A$480,0))</f>
        <v>publicHoliday</v>
      </c>
      <c r="J186" s="11" t="s">
        <v>69</v>
      </c>
      <c r="K186" s="11" t="s">
        <v>255</v>
      </c>
      <c r="L186" s="11" t="str">
        <f>INDEX(Feiertagsregeln!$Y$7:$Y$480,MATCH($K186,Feiertagsregeln!$A$7:$A$480,0))</f>
        <v>SRC-SO-RTG-51241-V4319</v>
      </c>
      <c r="M186" s="11" t="str">
        <f>INDEX(Feiertagsregeln!$Z$7:$Z$480,MATCH($K186,Feiertagsregeln!$A$7:$A$480,0))</f>
        <v>§ 2 Abs. 1 Bst. b</v>
      </c>
      <c r="N186" s="11" t="s">
        <v>193</v>
      </c>
      <c r="O186" s="11" t="str">
        <f>INDEX(Feiertagsregeln!$AA$7:$AA$480,MATCH($K186,Feiertagsregeln!$A$7:$A$480,0))</f>
        <v>Ganztägig</v>
      </c>
    </row>
    <row r="187" spans="1:15" ht="44" customHeight="1">
      <c r="A187" s="14">
        <f>INDEX(Feiertagsregeln!$X$7:$X$480,MATCH($K187,Feiertagsregeln!$A$7:$A$480,0))</f>
        <v>47013</v>
      </c>
      <c r="B187" s="10" t="str">
        <f t="shared" si="2"/>
        <v>Sonntag</v>
      </c>
      <c r="C187" s="10" t="s">
        <v>244</v>
      </c>
      <c r="D187" s="10" t="s">
        <v>245</v>
      </c>
      <c r="E187" s="10" t="str">
        <f>INDEX(Feiertagsregeln!$D$7:$D$480,MATCH($K187,Feiertagsregeln!$A$7:$A$480,0))</f>
        <v>Eidgenössischer Dank-, Buss- und Bettag</v>
      </c>
      <c r="F187" s="10" t="str">
        <f>INDEX(Feiertagsregeln!$E$7:$E$480,MATCH($K187,Feiertagsregeln!$A$7:$A$480,0))</f>
        <v>Jeûne fédéral</v>
      </c>
      <c r="G187" s="21" t="str">
        <f>IF(INDEX(Feiertagsregeln!$F$7:$F$480,MATCH($K187,Feiertagsregeln!$A$7:$A$480,0))="","Noch zu erfassen",INDEX(Feiertagsregeln!$F$7:$F$480,MATCH($K187,Feiertagsregeln!$A$7:$A$480,0)))</f>
        <v>Festa federale di preghiera</v>
      </c>
      <c r="H187" s="21" t="str">
        <f>IF(INDEX(Feiertagsregeln!$G$7:$G$480,MATCH($K187,Feiertagsregeln!$A$7:$A$480,0))="","Noch zu erfassen",INDEX(Feiertagsregeln!$G$7:$G$480,MATCH($K187,Feiertagsregeln!$A$7:$A$480,0)))</f>
        <v>Di da la rogaziun federala</v>
      </c>
      <c r="I187" s="10" t="str">
        <f>INDEX(Feiertagsregeln!$H$7:$H$480,MATCH($K187,Feiertagsregeln!$A$7:$A$480,0))</f>
        <v>publicHoliday</v>
      </c>
      <c r="J187" s="10" t="s">
        <v>69</v>
      </c>
      <c r="K187" s="10" t="s">
        <v>256</v>
      </c>
      <c r="L187" s="10" t="str">
        <f>INDEX(Feiertagsregeln!$Y$7:$Y$480,MATCH($K187,Feiertagsregeln!$A$7:$A$480,0))</f>
        <v>SRC-SO-RTG-51241-V4319</v>
      </c>
      <c r="M187" s="10" t="str">
        <f>INDEX(Feiertagsregeln!$Z$7:$Z$480,MATCH($K187,Feiertagsregeln!$A$7:$A$480,0))</f>
        <v>§ 2 Abs. 1 Bst. b</v>
      </c>
      <c r="N187" s="10" t="s">
        <v>193</v>
      </c>
      <c r="O187" s="10" t="str">
        <f>INDEX(Feiertagsregeln!$AA$7:$AA$480,MATCH($K187,Feiertagsregeln!$A$7:$A$480,0))</f>
        <v>Ganztägig</v>
      </c>
    </row>
    <row r="188" spans="1:15" ht="44" customHeight="1">
      <c r="A188" s="15">
        <f>INDEX(Feiertagsregeln!$X$7:$X$480,MATCH($K188,Feiertagsregeln!$A$7:$A$480,0))</f>
        <v>47058</v>
      </c>
      <c r="B188" s="11" t="str">
        <f t="shared" si="2"/>
        <v>Mittwoch</v>
      </c>
      <c r="C188" s="11" t="s">
        <v>244</v>
      </c>
      <c r="D188" s="11" t="s">
        <v>245</v>
      </c>
      <c r="E188" s="11" t="str">
        <f>INDEX(Feiertagsregeln!$D$7:$D$480,MATCH($K188,Feiertagsregeln!$A$7:$A$480,0))</f>
        <v>Allerheiligen</v>
      </c>
      <c r="F188" s="11" t="str">
        <f>INDEX(Feiertagsregeln!$E$7:$E$480,MATCH($K188,Feiertagsregeln!$A$7:$A$480,0))</f>
        <v>Toussaint</v>
      </c>
      <c r="G188" s="22" t="str">
        <f>IF(INDEX(Feiertagsregeln!$F$7:$F$480,MATCH($K188,Feiertagsregeln!$A$7:$A$480,0))="","Noch zu erfassen",INDEX(Feiertagsregeln!$F$7:$F$480,MATCH($K188,Feiertagsregeln!$A$7:$A$480,0)))</f>
        <v>Ognissanti</v>
      </c>
      <c r="H188" s="22" t="str">
        <f>IF(INDEX(Feiertagsregeln!$G$7:$G$480,MATCH($K188,Feiertagsregeln!$A$7:$A$480,0))="","Noch zu erfassen",INDEX(Feiertagsregeln!$G$7:$G$480,MATCH($K188,Feiertagsregeln!$A$7:$A$480,0)))</f>
        <v>Numnasontga</v>
      </c>
      <c r="I188" s="11" t="str">
        <f>INDEX(Feiertagsregeln!$H$7:$H$480,MATCH($K188,Feiertagsregeln!$A$7:$A$480,0))</f>
        <v>publicHoliday</v>
      </c>
      <c r="J188" s="11" t="s">
        <v>69</v>
      </c>
      <c r="K188" s="11" t="s">
        <v>257</v>
      </c>
      <c r="L188" s="11" t="str">
        <f>INDEX(Feiertagsregeln!$Y$7:$Y$480,MATCH($K188,Feiertagsregeln!$A$7:$A$480,0))</f>
        <v>SRC-SO-RTG-51241-V4319</v>
      </c>
      <c r="M188" s="11" t="str">
        <f>INDEX(Feiertagsregeln!$Z$7:$Z$480,MATCH($K188,Feiertagsregeln!$A$7:$A$480,0))</f>
        <v>§ 2 Abs. 1 Bst. b</v>
      </c>
      <c r="N188" s="11" t="s">
        <v>193</v>
      </c>
      <c r="O188" s="11" t="str">
        <f>INDEX(Feiertagsregeln!$AA$7:$AA$480,MATCH($K188,Feiertagsregeln!$A$7:$A$480,0))</f>
        <v>Ganztägig</v>
      </c>
    </row>
    <row r="189" spans="1:15" ht="44" customHeight="1">
      <c r="A189" s="14">
        <f>INDEX(Feiertagsregeln!$X$7:$X$480,MATCH($K189,Feiertagsregeln!$A$7:$A$480,0))</f>
        <v>47112</v>
      </c>
      <c r="B189" s="10" t="str">
        <f t="shared" si="2"/>
        <v>Montag</v>
      </c>
      <c r="C189" s="10" t="s">
        <v>244</v>
      </c>
      <c r="D189" s="10" t="s">
        <v>245</v>
      </c>
      <c r="E189" s="10" t="str">
        <f>INDEX(Feiertagsregeln!$D$7:$D$480,MATCH($K189,Feiertagsregeln!$A$7:$A$480,0))</f>
        <v>Weihnachten</v>
      </c>
      <c r="F189" s="10" t="str">
        <f>INDEX(Feiertagsregeln!$E$7:$E$480,MATCH($K189,Feiertagsregeln!$A$7:$A$480,0))</f>
        <v>Noël</v>
      </c>
      <c r="G189" s="21" t="str">
        <f>IF(INDEX(Feiertagsregeln!$F$7:$F$480,MATCH($K189,Feiertagsregeln!$A$7:$A$480,0))="","Noch zu erfassen",INDEX(Feiertagsregeln!$F$7:$F$480,MATCH($K189,Feiertagsregeln!$A$7:$A$480,0)))</f>
        <v>Natale</v>
      </c>
      <c r="H189" s="21" t="str">
        <f>IF(INDEX(Feiertagsregeln!$G$7:$G$480,MATCH($K189,Feiertagsregeln!$A$7:$A$480,0))="","Noch zu erfassen",INDEX(Feiertagsregeln!$G$7:$G$480,MATCH($K189,Feiertagsregeln!$A$7:$A$480,0)))</f>
        <v>Di da Nadal</v>
      </c>
      <c r="I189" s="10" t="str">
        <f>INDEX(Feiertagsregeln!$H$7:$H$480,MATCH($K189,Feiertagsregeln!$A$7:$A$480,0))</f>
        <v>publicHoliday</v>
      </c>
      <c r="J189" s="10" t="s">
        <v>69</v>
      </c>
      <c r="K189" s="10" t="s">
        <v>258</v>
      </c>
      <c r="L189" s="10" t="str">
        <f>INDEX(Feiertagsregeln!$Y$7:$Y$480,MATCH($K189,Feiertagsregeln!$A$7:$A$480,0))</f>
        <v>SRC-SO-RTG-51241-V4319</v>
      </c>
      <c r="M189" s="10" t="str">
        <f>INDEX(Feiertagsregeln!$Z$7:$Z$480,MATCH($K189,Feiertagsregeln!$A$7:$A$480,0))</f>
        <v>§ 2 Abs. 1 Bst. c</v>
      </c>
      <c r="N189" s="10" t="s">
        <v>193</v>
      </c>
      <c r="O189" s="10" t="str">
        <f>INDEX(Feiertagsregeln!$AA$7:$AA$480,MATCH($K189,Feiertagsregeln!$A$7:$A$480,0))</f>
        <v>Ganztägig</v>
      </c>
    </row>
    <row r="190" spans="1:15" ht="44" customHeight="1">
      <c r="A190" s="15">
        <f>INDEX(Feiertagsregeln!$X$7:$X$480,MATCH($K190,Feiertagsregeln!$A$7:$A$480,0))</f>
        <v>46753</v>
      </c>
      <c r="B190" s="11" t="str">
        <f t="shared" si="2"/>
        <v>Samstag</v>
      </c>
      <c r="C190" s="11" t="s">
        <v>244</v>
      </c>
      <c r="D190" s="11" t="s">
        <v>259</v>
      </c>
      <c r="E190" s="11" t="str">
        <f>INDEX(Feiertagsregeln!$D$7:$D$480,MATCH($K190,Feiertagsregeln!$A$7:$A$480,0))</f>
        <v>Neujahr</v>
      </c>
      <c r="F190" s="11" t="str">
        <f>INDEX(Feiertagsregeln!$E$7:$E$480,MATCH($K190,Feiertagsregeln!$A$7:$A$480,0))</f>
        <v>Nouvel An</v>
      </c>
      <c r="G190" s="22" t="str">
        <f>IF(INDEX(Feiertagsregeln!$F$7:$F$480,MATCH($K190,Feiertagsregeln!$A$7:$A$480,0))="","Noch zu erfassen",INDEX(Feiertagsregeln!$F$7:$F$480,MATCH($K190,Feiertagsregeln!$A$7:$A$480,0)))</f>
        <v>Capo d’anno</v>
      </c>
      <c r="H190" s="22" t="str">
        <f>IF(INDEX(Feiertagsregeln!$G$7:$G$480,MATCH($K190,Feiertagsregeln!$A$7:$A$480,0))="","Noch zu erfassen",INDEX(Feiertagsregeln!$G$7:$G$480,MATCH($K190,Feiertagsregeln!$A$7:$A$480,0)))</f>
        <v>Bumaun</v>
      </c>
      <c r="I190" s="11" t="str">
        <f>INDEX(Feiertagsregeln!$H$7:$H$480,MATCH($K190,Feiertagsregeln!$A$7:$A$480,0))</f>
        <v>publicHoliday</v>
      </c>
      <c r="J190" s="11" t="s">
        <v>69</v>
      </c>
      <c r="K190" s="11" t="s">
        <v>260</v>
      </c>
      <c r="L190" s="11" t="str">
        <f>INDEX(Feiertagsregeln!$Y$7:$Y$480,MATCH($K190,Feiertagsregeln!$A$7:$A$480,0))</f>
        <v>SRC-SO-RTG-51241-V4319</v>
      </c>
      <c r="M190" s="11" t="str">
        <f>INDEX(Feiertagsregeln!$Z$7:$Z$480,MATCH($K190,Feiertagsregeln!$A$7:$A$480,0))</f>
        <v>§ 2 Abs. 1 Bst. b</v>
      </c>
      <c r="N190" s="11" t="s">
        <v>193</v>
      </c>
      <c r="O190" s="11" t="str">
        <f>INDEX(Feiertagsregeln!$AA$7:$AA$480,MATCH($K190,Feiertagsregeln!$A$7:$A$480,0))</f>
        <v>Ganztägig</v>
      </c>
    </row>
    <row r="191" spans="1:15" ht="44" customHeight="1">
      <c r="A191" s="14">
        <f>INDEX(Feiertagsregeln!$X$7:$X$480,MATCH($K191,Feiertagsregeln!$A$7:$A$480,0))</f>
        <v>46857</v>
      </c>
      <c r="B191" s="10" t="str">
        <f t="shared" si="2"/>
        <v>Freitag</v>
      </c>
      <c r="C191" s="10" t="s">
        <v>244</v>
      </c>
      <c r="D191" s="10" t="s">
        <v>259</v>
      </c>
      <c r="E191" s="10" t="str">
        <f>INDEX(Feiertagsregeln!$D$7:$D$480,MATCH($K191,Feiertagsregeln!$A$7:$A$480,0))</f>
        <v>Karfreitag</v>
      </c>
      <c r="F191" s="10" t="str">
        <f>INDEX(Feiertagsregeln!$E$7:$E$480,MATCH($K191,Feiertagsregeln!$A$7:$A$480,0))</f>
        <v>Vendredi saint</v>
      </c>
      <c r="G191" s="21" t="str">
        <f>IF(INDEX(Feiertagsregeln!$F$7:$F$480,MATCH($K191,Feiertagsregeln!$A$7:$A$480,0))="","Noch zu erfassen",INDEX(Feiertagsregeln!$F$7:$F$480,MATCH($K191,Feiertagsregeln!$A$7:$A$480,0)))</f>
        <v>Venerdì Santo</v>
      </c>
      <c r="H191" s="21" t="str">
        <f>IF(INDEX(Feiertagsregeln!$G$7:$G$480,MATCH($K191,Feiertagsregeln!$A$7:$A$480,0))="","Noch zu erfassen",INDEX(Feiertagsregeln!$G$7:$G$480,MATCH($K191,Feiertagsregeln!$A$7:$A$480,0)))</f>
        <v>Venderdi sontg</v>
      </c>
      <c r="I191" s="10" t="str">
        <f>INDEX(Feiertagsregeln!$H$7:$H$480,MATCH($K191,Feiertagsregeln!$A$7:$A$480,0))</f>
        <v>publicHoliday</v>
      </c>
      <c r="J191" s="10" t="s">
        <v>69</v>
      </c>
      <c r="K191" s="10" t="s">
        <v>261</v>
      </c>
      <c r="L191" s="10" t="str">
        <f>INDEX(Feiertagsregeln!$Y$7:$Y$480,MATCH($K191,Feiertagsregeln!$A$7:$A$480,0))</f>
        <v>SRC-SO-RTG-51241-V4319</v>
      </c>
      <c r="M191" s="10" t="str">
        <f>INDEX(Feiertagsregeln!$Z$7:$Z$480,MATCH($K191,Feiertagsregeln!$A$7:$A$480,0))</f>
        <v>§ 2 Abs. 1 Bst. c</v>
      </c>
      <c r="N191" s="10" t="s">
        <v>193</v>
      </c>
      <c r="O191" s="10" t="str">
        <f>INDEX(Feiertagsregeln!$AA$7:$AA$480,MATCH($K191,Feiertagsregeln!$A$7:$A$480,0))</f>
        <v>Ganztägig</v>
      </c>
    </row>
    <row r="192" spans="1:15" ht="44" customHeight="1">
      <c r="A192" s="15">
        <f>INDEX(Feiertagsregeln!$X$7:$X$480,MATCH($K192,Feiertagsregeln!$A$7:$A$480,0))</f>
        <v>46859</v>
      </c>
      <c r="B192" s="11" t="str">
        <f t="shared" si="2"/>
        <v>Sonntag</v>
      </c>
      <c r="C192" s="11" t="s">
        <v>244</v>
      </c>
      <c r="D192" s="11" t="s">
        <v>259</v>
      </c>
      <c r="E192" s="11" t="str">
        <f>INDEX(Feiertagsregeln!$D$7:$D$480,MATCH($K192,Feiertagsregeln!$A$7:$A$480,0))</f>
        <v>Ostern</v>
      </c>
      <c r="F192" s="11" t="str">
        <f>INDEX(Feiertagsregeln!$E$7:$E$480,MATCH($K192,Feiertagsregeln!$A$7:$A$480,0))</f>
        <v>Pâques</v>
      </c>
      <c r="G192" s="22" t="str">
        <f>IF(INDEX(Feiertagsregeln!$F$7:$F$480,MATCH($K192,Feiertagsregeln!$A$7:$A$480,0))="","Noch zu erfassen",INDEX(Feiertagsregeln!$F$7:$F$480,MATCH($K192,Feiertagsregeln!$A$7:$A$480,0)))</f>
        <v>Domenica di Pasqua</v>
      </c>
      <c r="H192" s="22" t="str">
        <f>IF(INDEX(Feiertagsregeln!$G$7:$G$480,MATCH($K192,Feiertagsregeln!$A$7:$A$480,0))="","Noch zu erfassen",INDEX(Feiertagsregeln!$G$7:$G$480,MATCH($K192,Feiertagsregeln!$A$7:$A$480,0)))</f>
        <v>Dumengia da Pasca</v>
      </c>
      <c r="I192" s="11" t="str">
        <f>INDEX(Feiertagsregeln!$H$7:$H$480,MATCH($K192,Feiertagsregeln!$A$7:$A$480,0))</f>
        <v>publicHoliday</v>
      </c>
      <c r="J192" s="11" t="s">
        <v>69</v>
      </c>
      <c r="K192" s="11" t="s">
        <v>262</v>
      </c>
      <c r="L192" s="11" t="str">
        <f>INDEX(Feiertagsregeln!$Y$7:$Y$480,MATCH($K192,Feiertagsregeln!$A$7:$A$480,0))</f>
        <v>SRC-SO-RTG-51241-V4319</v>
      </c>
      <c r="M192" s="11" t="str">
        <f>INDEX(Feiertagsregeln!$Z$7:$Z$480,MATCH($K192,Feiertagsregeln!$A$7:$A$480,0))</f>
        <v>§ 2 Abs. 1 Bst. c</v>
      </c>
      <c r="N192" s="11" t="s">
        <v>193</v>
      </c>
      <c r="O192" s="11" t="str">
        <f>INDEX(Feiertagsregeln!$AA$7:$AA$480,MATCH($K192,Feiertagsregeln!$A$7:$A$480,0))</f>
        <v>Ganztägig</v>
      </c>
    </row>
    <row r="193" spans="1:15" ht="44" customHeight="1">
      <c r="A193" s="14">
        <f>INDEX(Feiertagsregeln!$X$7:$X$480,MATCH($K193,Feiertagsregeln!$A$7:$A$480,0))</f>
        <v>46874</v>
      </c>
      <c r="B193" s="10" t="str">
        <f t="shared" si="2"/>
        <v>Montag, ab 12.00 Uhr</v>
      </c>
      <c r="C193" s="10" t="s">
        <v>244</v>
      </c>
      <c r="D193" s="10" t="s">
        <v>259</v>
      </c>
      <c r="E193" s="10" t="str">
        <f>INDEX(Feiertagsregeln!$D$7:$D$480,MATCH($K193,Feiertagsregeln!$A$7:$A$480,0))</f>
        <v>1. Mai</v>
      </c>
      <c r="F193" s="10" t="str">
        <f>INDEX(Feiertagsregeln!$E$7:$E$480,MATCH($K193,Feiertagsregeln!$A$7:$A$480,0))</f>
        <v>1er mai</v>
      </c>
      <c r="G193" s="21" t="str">
        <f>IF(INDEX(Feiertagsregeln!$F$7:$F$480,MATCH($K193,Feiertagsregeln!$A$7:$A$480,0))="","Noch zu erfassen",INDEX(Feiertagsregeln!$F$7:$F$480,MATCH($K193,Feiertagsregeln!$A$7:$A$480,0)))</f>
        <v>Primo maggio</v>
      </c>
      <c r="H193" s="21" t="str">
        <f>IF(INDEX(Feiertagsregeln!$G$7:$G$480,MATCH($K193,Feiertagsregeln!$A$7:$A$480,0))="","Noch zu erfassen",INDEX(Feiertagsregeln!$G$7:$G$480,MATCH($K193,Feiertagsregeln!$A$7:$A$480,0)))</f>
        <v>1. da matg</v>
      </c>
      <c r="I193" s="10" t="str">
        <f>INDEX(Feiertagsregeln!$H$7:$H$480,MATCH($K193,Feiertagsregeln!$A$7:$A$480,0))</f>
        <v>publicHoliday</v>
      </c>
      <c r="J193" s="10" t="s">
        <v>69</v>
      </c>
      <c r="K193" s="10" t="s">
        <v>263</v>
      </c>
      <c r="L193" s="10" t="str">
        <f>INDEX(Feiertagsregeln!$Y$7:$Y$480,MATCH($K193,Feiertagsregeln!$A$7:$A$480,0))</f>
        <v>SRC-SO-RTG-51241-V4319</v>
      </c>
      <c r="M193" s="10" t="str">
        <f>INDEX(Feiertagsregeln!$Z$7:$Z$480,MATCH($K193,Feiertagsregeln!$A$7:$A$480,0))</f>
        <v>§ 2 Abs. 1 Bst. b, 1. Mai ab 12.00 Uhr</v>
      </c>
      <c r="N193" s="10" t="s">
        <v>250</v>
      </c>
      <c r="O193" s="10" t="str">
        <f>INDEX(Feiertagsregeln!$AA$7:$AA$480,MATCH($K193,Feiertagsregeln!$A$7:$A$480,0))</f>
        <v>Ab 12.00 Uhr</v>
      </c>
    </row>
    <row r="194" spans="1:15" ht="44" customHeight="1">
      <c r="A194" s="15">
        <f>INDEX(Feiertagsregeln!$X$7:$X$480,MATCH($K194,Feiertagsregeln!$A$7:$A$480,0))</f>
        <v>46898</v>
      </c>
      <c r="B194" s="11" t="str">
        <f t="shared" si="2"/>
        <v>Donnerstag</v>
      </c>
      <c r="C194" s="11" t="s">
        <v>244</v>
      </c>
      <c r="D194" s="11" t="s">
        <v>259</v>
      </c>
      <c r="E194" s="11" t="str">
        <f>INDEX(Feiertagsregeln!$D$7:$D$480,MATCH($K194,Feiertagsregeln!$A$7:$A$480,0))</f>
        <v>Auffahrt</v>
      </c>
      <c r="F194" s="11" t="str">
        <f>INDEX(Feiertagsregeln!$E$7:$E$480,MATCH($K194,Feiertagsregeln!$A$7:$A$480,0))</f>
        <v>Ascension</v>
      </c>
      <c r="G194" s="22" t="str">
        <f>IF(INDEX(Feiertagsregeln!$F$7:$F$480,MATCH($K194,Feiertagsregeln!$A$7:$A$480,0))="","Noch zu erfassen",INDEX(Feiertagsregeln!$F$7:$F$480,MATCH($K194,Feiertagsregeln!$A$7:$A$480,0)))</f>
        <v>Ascensione</v>
      </c>
      <c r="H194" s="22" t="str">
        <f>IF(INDEX(Feiertagsregeln!$G$7:$G$480,MATCH($K194,Feiertagsregeln!$A$7:$A$480,0))="","Noch zu erfassen",INDEX(Feiertagsregeln!$G$7:$G$480,MATCH($K194,Feiertagsregeln!$A$7:$A$480,0)))</f>
        <v>Ascensiun</v>
      </c>
      <c r="I194" s="11" t="str">
        <f>INDEX(Feiertagsregeln!$H$7:$H$480,MATCH($K194,Feiertagsregeln!$A$7:$A$480,0))</f>
        <v>publicHoliday</v>
      </c>
      <c r="J194" s="11" t="s">
        <v>69</v>
      </c>
      <c r="K194" s="11" t="s">
        <v>264</v>
      </c>
      <c r="L194" s="11" t="str">
        <f>INDEX(Feiertagsregeln!$Y$7:$Y$480,MATCH($K194,Feiertagsregeln!$A$7:$A$480,0))</f>
        <v>SRC-SO-RTG-51241-V4319</v>
      </c>
      <c r="M194" s="11" t="str">
        <f>INDEX(Feiertagsregeln!$Z$7:$Z$480,MATCH($K194,Feiertagsregeln!$A$7:$A$480,0))</f>
        <v>§ 2 Abs. 1 Bst. b</v>
      </c>
      <c r="N194" s="11" t="s">
        <v>193</v>
      </c>
      <c r="O194" s="11" t="str">
        <f>INDEX(Feiertagsregeln!$AA$7:$AA$480,MATCH($K194,Feiertagsregeln!$A$7:$A$480,0))</f>
        <v>Ganztägig</v>
      </c>
    </row>
    <row r="195" spans="1:15" ht="44" customHeight="1">
      <c r="A195" s="14">
        <f>INDEX(Feiertagsregeln!$X$7:$X$480,MATCH($K195,Feiertagsregeln!$A$7:$A$480,0))</f>
        <v>46908</v>
      </c>
      <c r="B195" s="10" t="str">
        <f t="shared" si="2"/>
        <v>Sonntag</v>
      </c>
      <c r="C195" s="10" t="s">
        <v>244</v>
      </c>
      <c r="D195" s="10" t="s">
        <v>259</v>
      </c>
      <c r="E195" s="10" t="str">
        <f>INDEX(Feiertagsregeln!$D$7:$D$480,MATCH($K195,Feiertagsregeln!$A$7:$A$480,0))</f>
        <v>Pfingsten</v>
      </c>
      <c r="F195" s="10" t="str">
        <f>INDEX(Feiertagsregeln!$E$7:$E$480,MATCH($K195,Feiertagsregeln!$A$7:$A$480,0))</f>
        <v>Pentecôte</v>
      </c>
      <c r="G195" s="21" t="str">
        <f>IF(INDEX(Feiertagsregeln!$F$7:$F$480,MATCH($K195,Feiertagsregeln!$A$7:$A$480,0))="","Noch zu erfassen",INDEX(Feiertagsregeln!$F$7:$F$480,MATCH($K195,Feiertagsregeln!$A$7:$A$480,0)))</f>
        <v>Domenica di Pentecoste</v>
      </c>
      <c r="H195" s="21" t="str">
        <f>IF(INDEX(Feiertagsregeln!$G$7:$G$480,MATCH($K195,Feiertagsregeln!$A$7:$A$480,0))="","Noch zu erfassen",INDEX(Feiertagsregeln!$G$7:$G$480,MATCH($K195,Feiertagsregeln!$A$7:$A$480,0)))</f>
        <v>Dumengia da Tschuncaisma</v>
      </c>
      <c r="I195" s="10" t="str">
        <f>INDEX(Feiertagsregeln!$H$7:$H$480,MATCH($K195,Feiertagsregeln!$A$7:$A$480,0))</f>
        <v>publicHoliday</v>
      </c>
      <c r="J195" s="10" t="s">
        <v>69</v>
      </c>
      <c r="K195" s="10" t="s">
        <v>265</v>
      </c>
      <c r="L195" s="10" t="str">
        <f>INDEX(Feiertagsregeln!$Y$7:$Y$480,MATCH($K195,Feiertagsregeln!$A$7:$A$480,0))</f>
        <v>SRC-SO-RTG-51241-V4319</v>
      </c>
      <c r="M195" s="10" t="str">
        <f>INDEX(Feiertagsregeln!$Z$7:$Z$480,MATCH($K195,Feiertagsregeln!$A$7:$A$480,0))</f>
        <v>§ 2 Abs. 1 Bst. c</v>
      </c>
      <c r="N195" s="10" t="s">
        <v>193</v>
      </c>
      <c r="O195" s="10" t="str">
        <f>INDEX(Feiertagsregeln!$AA$7:$AA$480,MATCH($K195,Feiertagsregeln!$A$7:$A$480,0))</f>
        <v>Ganztägig</v>
      </c>
    </row>
    <row r="196" spans="1:15" ht="44" customHeight="1">
      <c r="A196" s="15">
        <f>INDEX(Feiertagsregeln!$X$7:$X$480,MATCH($K196,Feiertagsregeln!$A$7:$A$480,0))</f>
        <v>46966</v>
      </c>
      <c r="B196" s="11" t="str">
        <f t="shared" si="2"/>
        <v>Dienstag</v>
      </c>
      <c r="C196" s="11" t="s">
        <v>244</v>
      </c>
      <c r="D196" s="11" t="s">
        <v>259</v>
      </c>
      <c r="E196" s="11" t="str">
        <f>INDEX(Feiertagsregeln!$D$7:$D$480,MATCH($K196,Feiertagsregeln!$A$7:$A$480,0))</f>
        <v>Bundesfeiertag</v>
      </c>
      <c r="F196" s="11" t="str">
        <f>INDEX(Feiertagsregeln!$E$7:$E$480,MATCH($K196,Feiertagsregeln!$A$7:$A$480,0))</f>
        <v>Fête nationale</v>
      </c>
      <c r="G196" s="22" t="str">
        <f>IF(INDEX(Feiertagsregeln!$F$7:$F$480,MATCH($K196,Feiertagsregeln!$A$7:$A$480,0))="","Noch zu erfassen",INDEX(Feiertagsregeln!$F$7:$F$480,MATCH($K196,Feiertagsregeln!$A$7:$A$480,0)))</f>
        <v>Primo agosto</v>
      </c>
      <c r="H196" s="22" t="str">
        <f>IF(INDEX(Feiertagsregeln!$G$7:$G$480,MATCH($K196,Feiertagsregeln!$A$7:$A$480,0))="","Noch zu erfassen",INDEX(Feiertagsregeln!$G$7:$G$480,MATCH($K196,Feiertagsregeln!$A$7:$A$480,0)))</f>
        <v>Festa naziunala svizra</v>
      </c>
      <c r="I196" s="11" t="str">
        <f>INDEX(Feiertagsregeln!$H$7:$H$480,MATCH($K196,Feiertagsregeln!$A$7:$A$480,0))</f>
        <v>publicHoliday</v>
      </c>
      <c r="J196" s="11" t="s">
        <v>69</v>
      </c>
      <c r="K196" s="11" t="s">
        <v>266</v>
      </c>
      <c r="L196" s="11" t="str">
        <f>INDEX(Feiertagsregeln!$Y$7:$Y$480,MATCH($K196,Feiertagsregeln!$A$7:$A$480,0))</f>
        <v>SRC-BUNDESFEIERTAG-19940701</v>
      </c>
      <c r="M196" s="11" t="str">
        <f>INDEX(Feiertagsregeln!$Z$7:$Z$480,MATCH($K196,Feiertagsregeln!$A$7:$A$480,0))</f>
        <v>SR 116, Art. 1, neue offene Anwendung auf dieses Geltungsprofil</v>
      </c>
      <c r="N196" s="11" t="s">
        <v>193</v>
      </c>
      <c r="O196" s="11" t="str">
        <f>INDEX(Feiertagsregeln!$AA$7:$AA$480,MATCH($K196,Feiertagsregeln!$A$7:$A$480,0))</f>
        <v>Ganztägig</v>
      </c>
    </row>
    <row r="197" spans="1:15" ht="44" customHeight="1">
      <c r="A197" s="14">
        <f>INDEX(Feiertagsregeln!$X$7:$X$480,MATCH($K197,Feiertagsregeln!$A$7:$A$480,0))</f>
        <v>47013</v>
      </c>
      <c r="B197" s="10" t="str">
        <f t="shared" si="2"/>
        <v>Sonntag</v>
      </c>
      <c r="C197" s="10" t="s">
        <v>244</v>
      </c>
      <c r="D197" s="10" t="s">
        <v>259</v>
      </c>
      <c r="E197" s="10" t="str">
        <f>INDEX(Feiertagsregeln!$D$7:$D$480,MATCH($K197,Feiertagsregeln!$A$7:$A$480,0))</f>
        <v>Eidgenössischer Dank-, Buss- und Bettag</v>
      </c>
      <c r="F197" s="10" t="str">
        <f>INDEX(Feiertagsregeln!$E$7:$E$480,MATCH($K197,Feiertagsregeln!$A$7:$A$480,0))</f>
        <v>Jeûne fédéral</v>
      </c>
      <c r="G197" s="21" t="str">
        <f>IF(INDEX(Feiertagsregeln!$F$7:$F$480,MATCH($K197,Feiertagsregeln!$A$7:$A$480,0))="","Noch zu erfassen",INDEX(Feiertagsregeln!$F$7:$F$480,MATCH($K197,Feiertagsregeln!$A$7:$A$480,0)))</f>
        <v>Festa federale di preghiera</v>
      </c>
      <c r="H197" s="21" t="str">
        <f>IF(INDEX(Feiertagsregeln!$G$7:$G$480,MATCH($K197,Feiertagsregeln!$A$7:$A$480,0))="","Noch zu erfassen",INDEX(Feiertagsregeln!$G$7:$G$480,MATCH($K197,Feiertagsregeln!$A$7:$A$480,0)))</f>
        <v>Di da la rogaziun federala</v>
      </c>
      <c r="I197" s="10" t="str">
        <f>INDEX(Feiertagsregeln!$H$7:$H$480,MATCH($K197,Feiertagsregeln!$A$7:$A$480,0))</f>
        <v>publicHoliday</v>
      </c>
      <c r="J197" s="10" t="s">
        <v>69</v>
      </c>
      <c r="K197" s="10" t="s">
        <v>267</v>
      </c>
      <c r="L197" s="10" t="str">
        <f>INDEX(Feiertagsregeln!$Y$7:$Y$480,MATCH($K197,Feiertagsregeln!$A$7:$A$480,0))</f>
        <v>SRC-SO-RTG-51241-V4319</v>
      </c>
      <c r="M197" s="10" t="str">
        <f>INDEX(Feiertagsregeln!$Z$7:$Z$480,MATCH($K197,Feiertagsregeln!$A$7:$A$480,0))</f>
        <v>§ 2 Abs. 1 Bst. b</v>
      </c>
      <c r="N197" s="10" t="s">
        <v>193</v>
      </c>
      <c r="O197" s="10" t="str">
        <f>INDEX(Feiertagsregeln!$AA$7:$AA$480,MATCH($K197,Feiertagsregeln!$A$7:$A$480,0))</f>
        <v>Ganztägig</v>
      </c>
    </row>
    <row r="198" spans="1:15" ht="44" customHeight="1">
      <c r="A198" s="15">
        <f>INDEX(Feiertagsregeln!$X$7:$X$480,MATCH($K198,Feiertagsregeln!$A$7:$A$480,0))</f>
        <v>47112</v>
      </c>
      <c r="B198" s="11" t="str">
        <f t="shared" si="2"/>
        <v>Montag</v>
      </c>
      <c r="C198" s="11" t="s">
        <v>244</v>
      </c>
      <c r="D198" s="11" t="s">
        <v>259</v>
      </c>
      <c r="E198" s="11" t="str">
        <f>INDEX(Feiertagsregeln!$D$7:$D$480,MATCH($K198,Feiertagsregeln!$A$7:$A$480,0))</f>
        <v>Weihnachten</v>
      </c>
      <c r="F198" s="11" t="str">
        <f>INDEX(Feiertagsregeln!$E$7:$E$480,MATCH($K198,Feiertagsregeln!$A$7:$A$480,0))</f>
        <v>Noël</v>
      </c>
      <c r="G198" s="22" t="str">
        <f>IF(INDEX(Feiertagsregeln!$F$7:$F$480,MATCH($K198,Feiertagsregeln!$A$7:$A$480,0))="","Noch zu erfassen",INDEX(Feiertagsregeln!$F$7:$F$480,MATCH($K198,Feiertagsregeln!$A$7:$A$480,0)))</f>
        <v>Natale</v>
      </c>
      <c r="H198" s="22" t="str">
        <f>IF(INDEX(Feiertagsregeln!$G$7:$G$480,MATCH($K198,Feiertagsregeln!$A$7:$A$480,0))="","Noch zu erfassen",INDEX(Feiertagsregeln!$G$7:$G$480,MATCH($K198,Feiertagsregeln!$A$7:$A$480,0)))</f>
        <v>Di da Nadal</v>
      </c>
      <c r="I198" s="11" t="str">
        <f>INDEX(Feiertagsregeln!$H$7:$H$480,MATCH($K198,Feiertagsregeln!$A$7:$A$480,0))</f>
        <v>publicHoliday</v>
      </c>
      <c r="J198" s="11" t="s">
        <v>69</v>
      </c>
      <c r="K198" s="11" t="s">
        <v>268</v>
      </c>
      <c r="L198" s="11" t="str">
        <f>INDEX(Feiertagsregeln!$Y$7:$Y$480,MATCH($K198,Feiertagsregeln!$A$7:$A$480,0))</f>
        <v>SRC-SO-RTG-51241-V4319</v>
      </c>
      <c r="M198" s="11" t="str">
        <f>INDEX(Feiertagsregeln!$Z$7:$Z$480,MATCH($K198,Feiertagsregeln!$A$7:$A$480,0))</f>
        <v>§ 2 Abs. 1 Bst. c</v>
      </c>
      <c r="N198" s="11" t="s">
        <v>193</v>
      </c>
      <c r="O198" s="11" t="str">
        <f>INDEX(Feiertagsregeln!$AA$7:$AA$480,MATCH($K198,Feiertagsregeln!$A$7:$A$480,0))</f>
        <v>Ganztägig</v>
      </c>
    </row>
    <row r="199" spans="1:15" ht="44" customHeight="1">
      <c r="A199" s="14">
        <f>INDEX(Feiertagsregeln!$X$7:$X$480,MATCH($K199,Feiertagsregeln!$A$7:$A$480,0))</f>
        <v>46753</v>
      </c>
      <c r="B199" s="10" t="str">
        <f t="shared" ref="B199:B262" si="3">IF(ISNUMBER(A199),CHOOSE(WEEKDAY(A199,2),"Montag","Dienstag","Mittwoch","Donnerstag","Freitag","Samstag","Sonntag")&amp;IF(O199="Ab 12.00 Uhr",", ab 12.00 Uhr",""),"n.a.")</f>
        <v>Samstag</v>
      </c>
      <c r="C199" s="10" t="s">
        <v>269</v>
      </c>
      <c r="D199" s="10" t="s">
        <v>270</v>
      </c>
      <c r="E199" s="10" t="str">
        <f>INDEX(Feiertagsregeln!$D$7:$D$480,MATCH($K199,Feiertagsregeln!$A$7:$A$480,0))</f>
        <v>Neujahr</v>
      </c>
      <c r="F199" s="10" t="str">
        <f>INDEX(Feiertagsregeln!$E$7:$E$480,MATCH($K199,Feiertagsregeln!$A$7:$A$480,0))</f>
        <v>Nouvel An</v>
      </c>
      <c r="G199" s="21" t="str">
        <f>IF(INDEX(Feiertagsregeln!$F$7:$F$480,MATCH($K199,Feiertagsregeln!$A$7:$A$480,0))="","Noch zu erfassen",INDEX(Feiertagsregeln!$F$7:$F$480,MATCH($K199,Feiertagsregeln!$A$7:$A$480,0)))</f>
        <v>Capo d’anno</v>
      </c>
      <c r="H199" s="21" t="str">
        <f>IF(INDEX(Feiertagsregeln!$G$7:$G$480,MATCH($K199,Feiertagsregeln!$A$7:$A$480,0))="","Noch zu erfassen",INDEX(Feiertagsregeln!$G$7:$G$480,MATCH($K199,Feiertagsregeln!$A$7:$A$480,0)))</f>
        <v>Bumaun</v>
      </c>
      <c r="I199" s="10" t="str">
        <f>INDEX(Feiertagsregeln!$H$7:$H$480,MATCH($K199,Feiertagsregeln!$A$7:$A$480,0))</f>
        <v>publicHoliday</v>
      </c>
      <c r="J199" s="10" t="s">
        <v>69</v>
      </c>
      <c r="K199" s="10" t="s">
        <v>271</v>
      </c>
      <c r="L199" s="10" t="str">
        <f>INDEX(Feiertagsregeln!$Y$7:$Y$480,MATCH($K199,Feiertagsregeln!$A$7:$A$480,0))</f>
        <v>SRC-GE-LJF-J145-19910101</v>
      </c>
      <c r="M199" s="10" t="str">
        <f>INDEX(Feiertagsregeln!$Z$7:$Z$480,MATCH($K199,Feiertagsregeln!$A$7:$A$480,0))</f>
        <v>Art. 1 Abs. 1 Bst. a</v>
      </c>
      <c r="N199" s="10" t="s">
        <v>193</v>
      </c>
      <c r="O199" s="10" t="str">
        <f>INDEX(Feiertagsregeln!$AA$7:$AA$480,MATCH($K199,Feiertagsregeln!$A$7:$A$480,0))</f>
        <v>Ganztägig</v>
      </c>
    </row>
    <row r="200" spans="1:15" ht="44" customHeight="1">
      <c r="A200" s="15">
        <f>INDEX(Feiertagsregeln!$X$7:$X$480,MATCH($K200,Feiertagsregeln!$A$7:$A$480,0))</f>
        <v>46857</v>
      </c>
      <c r="B200" s="11" t="str">
        <f t="shared" si="3"/>
        <v>Freitag</v>
      </c>
      <c r="C200" s="11" t="s">
        <v>269</v>
      </c>
      <c r="D200" s="11" t="s">
        <v>270</v>
      </c>
      <c r="E200" s="11" t="str">
        <f>INDEX(Feiertagsregeln!$D$7:$D$480,MATCH($K200,Feiertagsregeln!$A$7:$A$480,0))</f>
        <v>Karfreitag</v>
      </c>
      <c r="F200" s="11" t="str">
        <f>INDEX(Feiertagsregeln!$E$7:$E$480,MATCH($K200,Feiertagsregeln!$A$7:$A$480,0))</f>
        <v>Vendredi saint</v>
      </c>
      <c r="G200" s="22" t="str">
        <f>IF(INDEX(Feiertagsregeln!$F$7:$F$480,MATCH($K200,Feiertagsregeln!$A$7:$A$480,0))="","Noch zu erfassen",INDEX(Feiertagsregeln!$F$7:$F$480,MATCH($K200,Feiertagsregeln!$A$7:$A$480,0)))</f>
        <v>Venerdì Santo</v>
      </c>
      <c r="H200" s="22" t="str">
        <f>IF(INDEX(Feiertagsregeln!$G$7:$G$480,MATCH($K200,Feiertagsregeln!$A$7:$A$480,0))="","Noch zu erfassen",INDEX(Feiertagsregeln!$G$7:$G$480,MATCH($K200,Feiertagsregeln!$A$7:$A$480,0)))</f>
        <v>Venderdi sontg</v>
      </c>
      <c r="I200" s="11" t="str">
        <f>INDEX(Feiertagsregeln!$H$7:$H$480,MATCH($K200,Feiertagsregeln!$A$7:$A$480,0))</f>
        <v>publicHoliday</v>
      </c>
      <c r="J200" s="11" t="s">
        <v>69</v>
      </c>
      <c r="K200" s="11" t="s">
        <v>272</v>
      </c>
      <c r="L200" s="11" t="str">
        <f>INDEX(Feiertagsregeln!$Y$7:$Y$480,MATCH($K200,Feiertagsregeln!$A$7:$A$480,0))</f>
        <v>SRC-GE-LJF-J145-19910101</v>
      </c>
      <c r="M200" s="11" t="str">
        <f>INDEX(Feiertagsregeln!$Z$7:$Z$480,MATCH($K200,Feiertagsregeln!$A$7:$A$480,0))</f>
        <v>Art. 1 Abs. 1 Bst. b</v>
      </c>
      <c r="N200" s="11" t="s">
        <v>193</v>
      </c>
      <c r="O200" s="11" t="str">
        <f>INDEX(Feiertagsregeln!$AA$7:$AA$480,MATCH($K200,Feiertagsregeln!$A$7:$A$480,0))</f>
        <v>Ganztägig</v>
      </c>
    </row>
    <row r="201" spans="1:15" ht="44" customHeight="1">
      <c r="A201" s="14">
        <f>INDEX(Feiertagsregeln!$X$7:$X$480,MATCH($K201,Feiertagsregeln!$A$7:$A$480,0))</f>
        <v>46860</v>
      </c>
      <c r="B201" s="10" t="str">
        <f t="shared" si="3"/>
        <v>Montag</v>
      </c>
      <c r="C201" s="10" t="s">
        <v>269</v>
      </c>
      <c r="D201" s="10" t="s">
        <v>270</v>
      </c>
      <c r="E201" s="10" t="str">
        <f>INDEX(Feiertagsregeln!$D$7:$D$480,MATCH($K201,Feiertagsregeln!$A$7:$A$480,0))</f>
        <v>Ostermontag</v>
      </c>
      <c r="F201" s="10" t="str">
        <f>INDEX(Feiertagsregeln!$E$7:$E$480,MATCH($K201,Feiertagsregeln!$A$7:$A$480,0))</f>
        <v>Lundi de Pâques</v>
      </c>
      <c r="G201" s="21" t="str">
        <f>IF(INDEX(Feiertagsregeln!$F$7:$F$480,MATCH($K201,Feiertagsregeln!$A$7:$A$480,0))="","Noch zu erfassen",INDEX(Feiertagsregeln!$F$7:$F$480,MATCH($K201,Feiertagsregeln!$A$7:$A$480,0)))</f>
        <v>Lunedì di Pasqua</v>
      </c>
      <c r="H201" s="21" t="str">
        <f>IF(INDEX(Feiertagsregeln!$G$7:$G$480,MATCH($K201,Feiertagsregeln!$A$7:$A$480,0))="","Noch zu erfassen",INDEX(Feiertagsregeln!$G$7:$G$480,MATCH($K201,Feiertagsregeln!$A$7:$A$480,0)))</f>
        <v>Glindesdi da Pasca</v>
      </c>
      <c r="I201" s="10" t="str">
        <f>INDEX(Feiertagsregeln!$H$7:$H$480,MATCH($K201,Feiertagsregeln!$A$7:$A$480,0))</f>
        <v>publicHoliday</v>
      </c>
      <c r="J201" s="10" t="s">
        <v>69</v>
      </c>
      <c r="K201" s="10" t="s">
        <v>273</v>
      </c>
      <c r="L201" s="10" t="str">
        <f>INDEX(Feiertagsregeln!$Y$7:$Y$480,MATCH($K201,Feiertagsregeln!$A$7:$A$480,0))</f>
        <v>SRC-GE-LJF-J145-19910101</v>
      </c>
      <c r="M201" s="10" t="str">
        <f>INDEX(Feiertagsregeln!$Z$7:$Z$480,MATCH($K201,Feiertagsregeln!$A$7:$A$480,0))</f>
        <v>Art. 1 Abs. 1 Bst. c</v>
      </c>
      <c r="N201" s="10" t="s">
        <v>193</v>
      </c>
      <c r="O201" s="10" t="str">
        <f>INDEX(Feiertagsregeln!$AA$7:$AA$480,MATCH($K201,Feiertagsregeln!$A$7:$A$480,0))</f>
        <v>Ganztägig</v>
      </c>
    </row>
    <row r="202" spans="1:15" ht="44" customHeight="1">
      <c r="A202" s="15">
        <f>INDEX(Feiertagsregeln!$X$7:$X$480,MATCH($K202,Feiertagsregeln!$A$7:$A$480,0))</f>
        <v>46898</v>
      </c>
      <c r="B202" s="11" t="str">
        <f t="shared" si="3"/>
        <v>Donnerstag</v>
      </c>
      <c r="C202" s="11" t="s">
        <v>269</v>
      </c>
      <c r="D202" s="11" t="s">
        <v>270</v>
      </c>
      <c r="E202" s="11" t="str">
        <f>INDEX(Feiertagsregeln!$D$7:$D$480,MATCH($K202,Feiertagsregeln!$A$7:$A$480,0))</f>
        <v>Auffahrt</v>
      </c>
      <c r="F202" s="11" t="str">
        <f>INDEX(Feiertagsregeln!$E$7:$E$480,MATCH($K202,Feiertagsregeln!$A$7:$A$480,0))</f>
        <v>Ascension</v>
      </c>
      <c r="G202" s="22" t="str">
        <f>IF(INDEX(Feiertagsregeln!$F$7:$F$480,MATCH($K202,Feiertagsregeln!$A$7:$A$480,0))="","Noch zu erfassen",INDEX(Feiertagsregeln!$F$7:$F$480,MATCH($K202,Feiertagsregeln!$A$7:$A$480,0)))</f>
        <v>Ascensione</v>
      </c>
      <c r="H202" s="22" t="str">
        <f>IF(INDEX(Feiertagsregeln!$G$7:$G$480,MATCH($K202,Feiertagsregeln!$A$7:$A$480,0))="","Noch zu erfassen",INDEX(Feiertagsregeln!$G$7:$G$480,MATCH($K202,Feiertagsregeln!$A$7:$A$480,0)))</f>
        <v>Ascensiun</v>
      </c>
      <c r="I202" s="11" t="str">
        <f>INDEX(Feiertagsregeln!$H$7:$H$480,MATCH($K202,Feiertagsregeln!$A$7:$A$480,0))</f>
        <v>publicHoliday</v>
      </c>
      <c r="J202" s="11" t="s">
        <v>69</v>
      </c>
      <c r="K202" s="11" t="s">
        <v>274</v>
      </c>
      <c r="L202" s="11" t="str">
        <f>INDEX(Feiertagsregeln!$Y$7:$Y$480,MATCH($K202,Feiertagsregeln!$A$7:$A$480,0))</f>
        <v>SRC-GE-LJF-J145-19910101</v>
      </c>
      <c r="M202" s="11" t="str">
        <f>INDEX(Feiertagsregeln!$Z$7:$Z$480,MATCH($K202,Feiertagsregeln!$A$7:$A$480,0))</f>
        <v>Art. 1 Abs. 1 Bst. d</v>
      </c>
      <c r="N202" s="11" t="s">
        <v>193</v>
      </c>
      <c r="O202" s="11" t="str">
        <f>INDEX(Feiertagsregeln!$AA$7:$AA$480,MATCH($K202,Feiertagsregeln!$A$7:$A$480,0))</f>
        <v>Ganztägig</v>
      </c>
    </row>
    <row r="203" spans="1:15" ht="44" customHeight="1">
      <c r="A203" s="14">
        <f>INDEX(Feiertagsregeln!$X$7:$X$480,MATCH($K203,Feiertagsregeln!$A$7:$A$480,0))</f>
        <v>46909</v>
      </c>
      <c r="B203" s="10" t="str">
        <f t="shared" si="3"/>
        <v>Montag</v>
      </c>
      <c r="C203" s="10" t="s">
        <v>269</v>
      </c>
      <c r="D203" s="10" t="s">
        <v>270</v>
      </c>
      <c r="E203" s="10" t="str">
        <f>INDEX(Feiertagsregeln!$D$7:$D$480,MATCH($K203,Feiertagsregeln!$A$7:$A$480,0))</f>
        <v>Pfingstmontag</v>
      </c>
      <c r="F203" s="10" t="str">
        <f>INDEX(Feiertagsregeln!$E$7:$E$480,MATCH($K203,Feiertagsregeln!$A$7:$A$480,0))</f>
        <v>Lundi de Pentecôte</v>
      </c>
      <c r="G203" s="21" t="str">
        <f>IF(INDEX(Feiertagsregeln!$F$7:$F$480,MATCH($K203,Feiertagsregeln!$A$7:$A$480,0))="","Noch zu erfassen",INDEX(Feiertagsregeln!$F$7:$F$480,MATCH($K203,Feiertagsregeln!$A$7:$A$480,0)))</f>
        <v>Lunedì di Pentecoste</v>
      </c>
      <c r="H203" s="21" t="str">
        <f>IF(INDEX(Feiertagsregeln!$G$7:$G$480,MATCH($K203,Feiertagsregeln!$A$7:$A$480,0))="","Noch zu erfassen",INDEX(Feiertagsregeln!$G$7:$G$480,MATCH($K203,Feiertagsregeln!$A$7:$A$480,0)))</f>
        <v>Glindesdi da Tschuncaisma</v>
      </c>
      <c r="I203" s="10" t="str">
        <f>INDEX(Feiertagsregeln!$H$7:$H$480,MATCH($K203,Feiertagsregeln!$A$7:$A$480,0))</f>
        <v>publicHoliday</v>
      </c>
      <c r="J203" s="10" t="s">
        <v>69</v>
      </c>
      <c r="K203" s="10" t="s">
        <v>275</v>
      </c>
      <c r="L203" s="10" t="str">
        <f>INDEX(Feiertagsregeln!$Y$7:$Y$480,MATCH($K203,Feiertagsregeln!$A$7:$A$480,0))</f>
        <v>SRC-GE-LJF-J145-19910101</v>
      </c>
      <c r="M203" s="10" t="str">
        <f>INDEX(Feiertagsregeln!$Z$7:$Z$480,MATCH($K203,Feiertagsregeln!$A$7:$A$480,0))</f>
        <v>Art. 1 Abs. 1 Bst. e</v>
      </c>
      <c r="N203" s="10" t="s">
        <v>193</v>
      </c>
      <c r="O203" s="10" t="str">
        <f>INDEX(Feiertagsregeln!$AA$7:$AA$480,MATCH($K203,Feiertagsregeln!$A$7:$A$480,0))</f>
        <v>Ganztägig</v>
      </c>
    </row>
    <row r="204" spans="1:15" ht="44" customHeight="1">
      <c r="A204" s="15">
        <f>INDEX(Feiertagsregeln!$X$7:$X$480,MATCH($K204,Feiertagsregeln!$A$7:$A$480,0))</f>
        <v>46966</v>
      </c>
      <c r="B204" s="11" t="str">
        <f t="shared" si="3"/>
        <v>Dienstag</v>
      </c>
      <c r="C204" s="11" t="s">
        <v>269</v>
      </c>
      <c r="D204" s="11" t="s">
        <v>270</v>
      </c>
      <c r="E204" s="11" t="str">
        <f>INDEX(Feiertagsregeln!$D$7:$D$480,MATCH($K204,Feiertagsregeln!$A$7:$A$480,0))</f>
        <v>Bundesfeiertag</v>
      </c>
      <c r="F204" s="11" t="str">
        <f>INDEX(Feiertagsregeln!$E$7:$E$480,MATCH($K204,Feiertagsregeln!$A$7:$A$480,0))</f>
        <v>Fête nationale</v>
      </c>
      <c r="G204" s="22" t="str">
        <f>IF(INDEX(Feiertagsregeln!$F$7:$F$480,MATCH($K204,Feiertagsregeln!$A$7:$A$480,0))="","Noch zu erfassen",INDEX(Feiertagsregeln!$F$7:$F$480,MATCH($K204,Feiertagsregeln!$A$7:$A$480,0)))</f>
        <v>Primo agosto</v>
      </c>
      <c r="H204" s="22" t="str">
        <f>IF(INDEX(Feiertagsregeln!$G$7:$G$480,MATCH($K204,Feiertagsregeln!$A$7:$A$480,0))="","Noch zu erfassen",INDEX(Feiertagsregeln!$G$7:$G$480,MATCH($K204,Feiertagsregeln!$A$7:$A$480,0)))</f>
        <v>Festa naziunala svizra</v>
      </c>
      <c r="I204" s="11" t="str">
        <f>INDEX(Feiertagsregeln!$H$7:$H$480,MATCH($K204,Feiertagsregeln!$A$7:$A$480,0))</f>
        <v>publicHoliday</v>
      </c>
      <c r="J204" s="11" t="s">
        <v>69</v>
      </c>
      <c r="K204" s="11" t="s">
        <v>276</v>
      </c>
      <c r="L204" s="11" t="str">
        <f>INDEX(Feiertagsregeln!$Y$7:$Y$480,MATCH($K204,Feiertagsregeln!$A$7:$A$480,0))</f>
        <v>SRC-GE-LJF-J145-19910101</v>
      </c>
      <c r="M204" s="11" t="str">
        <f>INDEX(Feiertagsregeln!$Z$7:$Z$480,MATCH($K204,Feiertagsregeln!$A$7:$A$480,0))</f>
        <v>Art. 1 Abs. 1 Bst. f</v>
      </c>
      <c r="N204" s="11" t="s">
        <v>193</v>
      </c>
      <c r="O204" s="11" t="str">
        <f>INDEX(Feiertagsregeln!$AA$7:$AA$480,MATCH($K204,Feiertagsregeln!$A$7:$A$480,0))</f>
        <v>Ganztägig</v>
      </c>
    </row>
    <row r="205" spans="1:15" ht="44" customHeight="1">
      <c r="A205" s="14">
        <f>INDEX(Feiertagsregeln!$X$7:$X$480,MATCH($K205,Feiertagsregeln!$A$7:$A$480,0))</f>
        <v>47003</v>
      </c>
      <c r="B205" s="10" t="str">
        <f t="shared" si="3"/>
        <v>Donnerstag</v>
      </c>
      <c r="C205" s="10" t="s">
        <v>269</v>
      </c>
      <c r="D205" s="10" t="s">
        <v>270</v>
      </c>
      <c r="E205" s="10" t="str">
        <f>INDEX(Feiertagsregeln!$D$7:$D$480,MATCH($K205,Feiertagsregeln!$A$7:$A$480,0))</f>
        <v>Genfer Bettag</v>
      </c>
      <c r="F205" s="10" t="str">
        <f>INDEX(Feiertagsregeln!$E$7:$E$480,MATCH($K205,Feiertagsregeln!$A$7:$A$480,0))</f>
        <v>Jeûne genevois</v>
      </c>
      <c r="G205" s="21" t="str">
        <f>IF(INDEX(Feiertagsregeln!$F$7:$F$480,MATCH($K205,Feiertagsregeln!$A$7:$A$480,0))="","Noch zu erfassen",INDEX(Feiertagsregeln!$F$7:$F$480,MATCH($K205,Feiertagsregeln!$A$7:$A$480,0)))</f>
        <v>Noch zu erfassen</v>
      </c>
      <c r="H205" s="21" t="str">
        <f>IF(INDEX(Feiertagsregeln!$G$7:$G$480,MATCH($K205,Feiertagsregeln!$A$7:$A$480,0))="","Noch zu erfassen",INDEX(Feiertagsregeln!$G$7:$G$480,MATCH($K205,Feiertagsregeln!$A$7:$A$480,0)))</f>
        <v>Noch zu erfassen</v>
      </c>
      <c r="I205" s="10" t="str">
        <f>INDEX(Feiertagsregeln!$H$7:$H$480,MATCH($K205,Feiertagsregeln!$A$7:$A$480,0))</f>
        <v>publicHoliday</v>
      </c>
      <c r="J205" s="10" t="s">
        <v>69</v>
      </c>
      <c r="K205" s="10" t="s">
        <v>277</v>
      </c>
      <c r="L205" s="10" t="str">
        <f>INDEX(Feiertagsregeln!$Y$7:$Y$480,MATCH($K205,Feiertagsregeln!$A$7:$A$480,0))</f>
        <v>SRC-GE-LJF-J145-19910101</v>
      </c>
      <c r="M205" s="10" t="str">
        <f>INDEX(Feiertagsregeln!$Z$7:$Z$480,MATCH($K205,Feiertagsregeln!$A$7:$A$480,0))</f>
        <v>Art. 1 Abs. 1 Bst. g und Fussnote a</v>
      </c>
      <c r="N205" s="10" t="s">
        <v>193</v>
      </c>
      <c r="O205" s="10" t="str">
        <f>INDEX(Feiertagsregeln!$AA$7:$AA$480,MATCH($K205,Feiertagsregeln!$A$7:$A$480,0))</f>
        <v>Ganztägig</v>
      </c>
    </row>
    <row r="206" spans="1:15" ht="44" customHeight="1">
      <c r="A206" s="15">
        <f>INDEX(Feiertagsregeln!$X$7:$X$480,MATCH($K206,Feiertagsregeln!$A$7:$A$480,0))</f>
        <v>47112</v>
      </c>
      <c r="B206" s="11" t="str">
        <f t="shared" si="3"/>
        <v>Montag</v>
      </c>
      <c r="C206" s="11" t="s">
        <v>269</v>
      </c>
      <c r="D206" s="11" t="s">
        <v>270</v>
      </c>
      <c r="E206" s="11" t="str">
        <f>INDEX(Feiertagsregeln!$D$7:$D$480,MATCH($K206,Feiertagsregeln!$A$7:$A$480,0))</f>
        <v>Weihnachten</v>
      </c>
      <c r="F206" s="11" t="str">
        <f>INDEX(Feiertagsregeln!$E$7:$E$480,MATCH($K206,Feiertagsregeln!$A$7:$A$480,0))</f>
        <v>Noël</v>
      </c>
      <c r="G206" s="22" t="str">
        <f>IF(INDEX(Feiertagsregeln!$F$7:$F$480,MATCH($K206,Feiertagsregeln!$A$7:$A$480,0))="","Noch zu erfassen",INDEX(Feiertagsregeln!$F$7:$F$480,MATCH($K206,Feiertagsregeln!$A$7:$A$480,0)))</f>
        <v>Natale</v>
      </c>
      <c r="H206" s="22" t="str">
        <f>IF(INDEX(Feiertagsregeln!$G$7:$G$480,MATCH($K206,Feiertagsregeln!$A$7:$A$480,0))="","Noch zu erfassen",INDEX(Feiertagsregeln!$G$7:$G$480,MATCH($K206,Feiertagsregeln!$A$7:$A$480,0)))</f>
        <v>Di da Nadal</v>
      </c>
      <c r="I206" s="11" t="str">
        <f>INDEX(Feiertagsregeln!$H$7:$H$480,MATCH($K206,Feiertagsregeln!$A$7:$A$480,0))</f>
        <v>publicHoliday</v>
      </c>
      <c r="J206" s="11" t="s">
        <v>69</v>
      </c>
      <c r="K206" s="11" t="s">
        <v>278</v>
      </c>
      <c r="L206" s="11" t="str">
        <f>INDEX(Feiertagsregeln!$Y$7:$Y$480,MATCH($K206,Feiertagsregeln!$A$7:$A$480,0))</f>
        <v>SRC-GE-LJF-J145-19910101</v>
      </c>
      <c r="M206" s="11" t="str">
        <f>INDEX(Feiertagsregeln!$Z$7:$Z$480,MATCH($K206,Feiertagsregeln!$A$7:$A$480,0))</f>
        <v>Art. 1 Abs. 1 Bst. h</v>
      </c>
      <c r="N206" s="11" t="s">
        <v>193</v>
      </c>
      <c r="O206" s="11" t="str">
        <f>INDEX(Feiertagsregeln!$AA$7:$AA$480,MATCH($K206,Feiertagsregeln!$A$7:$A$480,0))</f>
        <v>Ganztägig</v>
      </c>
    </row>
    <row r="207" spans="1:15" ht="44" customHeight="1">
      <c r="A207" s="14">
        <f>INDEX(Feiertagsregeln!$X$7:$X$480,MATCH($K207,Feiertagsregeln!$A$7:$A$480,0))</f>
        <v>47118</v>
      </c>
      <c r="B207" s="10" t="str">
        <f t="shared" si="3"/>
        <v>Sonntag</v>
      </c>
      <c r="C207" s="10" t="s">
        <v>269</v>
      </c>
      <c r="D207" s="10" t="s">
        <v>270</v>
      </c>
      <c r="E207" s="10" t="str">
        <f>INDEX(Feiertagsregeln!$D$7:$D$480,MATCH($K207,Feiertagsregeln!$A$7:$A$480,0))</f>
        <v>Wiederherstellung der Republik</v>
      </c>
      <c r="F207" s="10" t="str">
        <f>INDEX(Feiertagsregeln!$E$7:$E$480,MATCH($K207,Feiertagsregeln!$A$7:$A$480,0))</f>
        <v>Restauration de la République</v>
      </c>
      <c r="G207" s="21" t="str">
        <f>IF(INDEX(Feiertagsregeln!$F$7:$F$480,MATCH($K207,Feiertagsregeln!$A$7:$A$480,0))="","Noch zu erfassen",INDEX(Feiertagsregeln!$F$7:$F$480,MATCH($K207,Feiertagsregeln!$A$7:$A$480,0)))</f>
        <v>Noch zu erfassen</v>
      </c>
      <c r="H207" s="21" t="str">
        <f>IF(INDEX(Feiertagsregeln!$G$7:$G$480,MATCH($K207,Feiertagsregeln!$A$7:$A$480,0))="","Noch zu erfassen",INDEX(Feiertagsregeln!$G$7:$G$480,MATCH($K207,Feiertagsregeln!$A$7:$A$480,0)))</f>
        <v>Noch zu erfassen</v>
      </c>
      <c r="I207" s="10" t="str">
        <f>INDEX(Feiertagsregeln!$H$7:$H$480,MATCH($K207,Feiertagsregeln!$A$7:$A$480,0))</f>
        <v>publicHoliday</v>
      </c>
      <c r="J207" s="10" t="s">
        <v>69</v>
      </c>
      <c r="K207" s="10" t="s">
        <v>279</v>
      </c>
      <c r="L207" s="10" t="str">
        <f>INDEX(Feiertagsregeln!$Y$7:$Y$480,MATCH($K207,Feiertagsregeln!$A$7:$A$480,0))</f>
        <v>SRC-GE-LJF-J145-19910101</v>
      </c>
      <c r="M207" s="10" t="str">
        <f>INDEX(Feiertagsregeln!$Z$7:$Z$480,MATCH($K207,Feiertagsregeln!$A$7:$A$480,0))</f>
        <v>Art. 1 Abs. 1 Bst. i</v>
      </c>
      <c r="N207" s="10" t="s">
        <v>193</v>
      </c>
      <c r="O207" s="10" t="str">
        <f>INDEX(Feiertagsregeln!$AA$7:$AA$480,MATCH($K207,Feiertagsregeln!$A$7:$A$480,0))</f>
        <v>Ganztägig</v>
      </c>
    </row>
    <row r="208" spans="1:15" ht="44" customHeight="1">
      <c r="A208" s="15">
        <f>INDEX(Feiertagsregeln!$X$7:$X$480,MATCH($K208,Feiertagsregeln!$A$7:$A$480,0))</f>
        <v>46753</v>
      </c>
      <c r="B208" s="11" t="str">
        <f t="shared" si="3"/>
        <v>Samstag</v>
      </c>
      <c r="C208" s="11" t="s">
        <v>280</v>
      </c>
      <c r="D208" s="11" t="s">
        <v>281</v>
      </c>
      <c r="E208" s="11" t="str">
        <f>INDEX(Feiertagsregeln!$D$7:$D$480,MATCH($K208,Feiertagsregeln!$A$7:$A$480,0))</f>
        <v>Neujahr</v>
      </c>
      <c r="F208" s="11" t="str">
        <f>INDEX(Feiertagsregeln!$E$7:$E$480,MATCH($K208,Feiertagsregeln!$A$7:$A$480,0))</f>
        <v>Nouvel An</v>
      </c>
      <c r="G208" s="22" t="str">
        <f>IF(INDEX(Feiertagsregeln!$F$7:$F$480,MATCH($K208,Feiertagsregeln!$A$7:$A$480,0))="","Noch zu erfassen",INDEX(Feiertagsregeln!$F$7:$F$480,MATCH($K208,Feiertagsregeln!$A$7:$A$480,0)))</f>
        <v>Capo d’anno</v>
      </c>
      <c r="H208" s="22" t="str">
        <f>IF(INDEX(Feiertagsregeln!$G$7:$G$480,MATCH($K208,Feiertagsregeln!$A$7:$A$480,0))="","Noch zu erfassen",INDEX(Feiertagsregeln!$G$7:$G$480,MATCH($K208,Feiertagsregeln!$A$7:$A$480,0)))</f>
        <v>Bumaun</v>
      </c>
      <c r="I208" s="11" t="str">
        <f>INDEX(Feiertagsregeln!$H$7:$H$480,MATCH($K208,Feiertagsregeln!$A$7:$A$480,0))</f>
        <v>publicHoliday</v>
      </c>
      <c r="J208" s="11" t="s">
        <v>69</v>
      </c>
      <c r="K208" s="11" t="s">
        <v>282</v>
      </c>
      <c r="L208" s="11" t="str">
        <f>INDEX(Feiertagsregeln!$Y$7:$Y$480,MATCH($K208,Feiertagsregeln!$A$7:$A$480,0))</f>
        <v>SRC-ZH-RLG-8224-N045</v>
      </c>
      <c r="M208" s="11" t="str">
        <f>INDEX(Feiertagsregeln!$Z$7:$Z$480,MATCH($K208,Feiertagsregeln!$A$7:$A$480,0))</f>
        <v>§ 1 Abs. 1 und 2</v>
      </c>
      <c r="N208" s="11" t="s">
        <v>193</v>
      </c>
      <c r="O208" s="11" t="str">
        <f>INDEX(Feiertagsregeln!$AA$7:$AA$480,MATCH($K208,Feiertagsregeln!$A$7:$A$480,0))</f>
        <v>Ganztägig</v>
      </c>
    </row>
    <row r="209" spans="1:15" ht="44" customHeight="1">
      <c r="A209" s="14">
        <f>INDEX(Feiertagsregeln!$X$7:$X$480,MATCH($K209,Feiertagsregeln!$A$7:$A$480,0))</f>
        <v>46857</v>
      </c>
      <c r="B209" s="10" t="str">
        <f t="shared" si="3"/>
        <v>Freitag</v>
      </c>
      <c r="C209" s="10" t="s">
        <v>280</v>
      </c>
      <c r="D209" s="10" t="s">
        <v>281</v>
      </c>
      <c r="E209" s="10" t="str">
        <f>INDEX(Feiertagsregeln!$D$7:$D$480,MATCH($K209,Feiertagsregeln!$A$7:$A$480,0))</f>
        <v>Karfreitag</v>
      </c>
      <c r="F209" s="10" t="str">
        <f>INDEX(Feiertagsregeln!$E$7:$E$480,MATCH($K209,Feiertagsregeln!$A$7:$A$480,0))</f>
        <v>Vendredi saint</v>
      </c>
      <c r="G209" s="21" t="str">
        <f>IF(INDEX(Feiertagsregeln!$F$7:$F$480,MATCH($K209,Feiertagsregeln!$A$7:$A$480,0))="","Noch zu erfassen",INDEX(Feiertagsregeln!$F$7:$F$480,MATCH($K209,Feiertagsregeln!$A$7:$A$480,0)))</f>
        <v>Venerdì Santo</v>
      </c>
      <c r="H209" s="21" t="str">
        <f>IF(INDEX(Feiertagsregeln!$G$7:$G$480,MATCH($K209,Feiertagsregeln!$A$7:$A$480,0))="","Noch zu erfassen",INDEX(Feiertagsregeln!$G$7:$G$480,MATCH($K209,Feiertagsregeln!$A$7:$A$480,0)))</f>
        <v>Venderdi sontg</v>
      </c>
      <c r="I209" s="10" t="str">
        <f>INDEX(Feiertagsregeln!$H$7:$H$480,MATCH($K209,Feiertagsregeln!$A$7:$A$480,0))</f>
        <v>publicHoliday</v>
      </c>
      <c r="J209" s="10" t="s">
        <v>69</v>
      </c>
      <c r="K209" s="10" t="s">
        <v>283</v>
      </c>
      <c r="L209" s="10" t="str">
        <f>INDEX(Feiertagsregeln!$Y$7:$Y$480,MATCH($K209,Feiertagsregeln!$A$7:$A$480,0))</f>
        <v>SRC-ZH-RLG-8224-N045</v>
      </c>
      <c r="M209" s="10" t="str">
        <f>INDEX(Feiertagsregeln!$Z$7:$Z$480,MATCH($K209,Feiertagsregeln!$A$7:$A$480,0))</f>
        <v>§ 1 Abs. 1 und 2</v>
      </c>
      <c r="N209" s="10" t="s">
        <v>193</v>
      </c>
      <c r="O209" s="10" t="str">
        <f>INDEX(Feiertagsregeln!$AA$7:$AA$480,MATCH($K209,Feiertagsregeln!$A$7:$A$480,0))</f>
        <v>Ganztägig</v>
      </c>
    </row>
    <row r="210" spans="1:15" ht="44" customHeight="1">
      <c r="A210" s="15">
        <f>INDEX(Feiertagsregeln!$X$7:$X$480,MATCH($K210,Feiertagsregeln!$A$7:$A$480,0))</f>
        <v>46860</v>
      </c>
      <c r="B210" s="11" t="str">
        <f t="shared" si="3"/>
        <v>Montag</v>
      </c>
      <c r="C210" s="11" t="s">
        <v>280</v>
      </c>
      <c r="D210" s="11" t="s">
        <v>281</v>
      </c>
      <c r="E210" s="11" t="str">
        <f>INDEX(Feiertagsregeln!$D$7:$D$480,MATCH($K210,Feiertagsregeln!$A$7:$A$480,0))</f>
        <v>Ostermontag</v>
      </c>
      <c r="F210" s="11" t="str">
        <f>INDEX(Feiertagsregeln!$E$7:$E$480,MATCH($K210,Feiertagsregeln!$A$7:$A$480,0))</f>
        <v>Lundi de Pâques</v>
      </c>
      <c r="G210" s="22" t="str">
        <f>IF(INDEX(Feiertagsregeln!$F$7:$F$480,MATCH($K210,Feiertagsregeln!$A$7:$A$480,0))="","Noch zu erfassen",INDEX(Feiertagsregeln!$F$7:$F$480,MATCH($K210,Feiertagsregeln!$A$7:$A$480,0)))</f>
        <v>Lunedì di Pasqua</v>
      </c>
      <c r="H210" s="22" t="str">
        <f>IF(INDEX(Feiertagsregeln!$G$7:$G$480,MATCH($K210,Feiertagsregeln!$A$7:$A$480,0))="","Noch zu erfassen",INDEX(Feiertagsregeln!$G$7:$G$480,MATCH($K210,Feiertagsregeln!$A$7:$A$480,0)))</f>
        <v>Glindesdi da Pasca</v>
      </c>
      <c r="I210" s="11" t="str">
        <f>INDEX(Feiertagsregeln!$H$7:$H$480,MATCH($K210,Feiertagsregeln!$A$7:$A$480,0))</f>
        <v>publicHoliday</v>
      </c>
      <c r="J210" s="11" t="s">
        <v>69</v>
      </c>
      <c r="K210" s="11" t="s">
        <v>284</v>
      </c>
      <c r="L210" s="11" t="str">
        <f>INDEX(Feiertagsregeln!$Y$7:$Y$480,MATCH($K210,Feiertagsregeln!$A$7:$A$480,0))</f>
        <v>SRC-ZH-RLG-8224-N045</v>
      </c>
      <c r="M210" s="11" t="str">
        <f>INDEX(Feiertagsregeln!$Z$7:$Z$480,MATCH($K210,Feiertagsregeln!$A$7:$A$480,0))</f>
        <v>§ 1 Abs. 1 und 2</v>
      </c>
      <c r="N210" s="11" t="s">
        <v>193</v>
      </c>
      <c r="O210" s="11" t="str">
        <f>INDEX(Feiertagsregeln!$AA$7:$AA$480,MATCH($K210,Feiertagsregeln!$A$7:$A$480,0))</f>
        <v>Ganztägig</v>
      </c>
    </row>
    <row r="211" spans="1:15" ht="44" customHeight="1">
      <c r="A211" s="14">
        <f>INDEX(Feiertagsregeln!$X$7:$X$480,MATCH($K211,Feiertagsregeln!$A$7:$A$480,0))</f>
        <v>46898</v>
      </c>
      <c r="B211" s="10" t="str">
        <f t="shared" si="3"/>
        <v>Donnerstag</v>
      </c>
      <c r="C211" s="10" t="s">
        <v>280</v>
      </c>
      <c r="D211" s="10" t="s">
        <v>281</v>
      </c>
      <c r="E211" s="10" t="str">
        <f>INDEX(Feiertagsregeln!$D$7:$D$480,MATCH($K211,Feiertagsregeln!$A$7:$A$480,0))</f>
        <v>Auffahrt</v>
      </c>
      <c r="F211" s="10" t="str">
        <f>INDEX(Feiertagsregeln!$E$7:$E$480,MATCH($K211,Feiertagsregeln!$A$7:$A$480,0))</f>
        <v>Ascension</v>
      </c>
      <c r="G211" s="21" t="str">
        <f>IF(INDEX(Feiertagsregeln!$F$7:$F$480,MATCH($K211,Feiertagsregeln!$A$7:$A$480,0))="","Noch zu erfassen",INDEX(Feiertagsregeln!$F$7:$F$480,MATCH($K211,Feiertagsregeln!$A$7:$A$480,0)))</f>
        <v>Ascensione</v>
      </c>
      <c r="H211" s="21" t="str">
        <f>IF(INDEX(Feiertagsregeln!$G$7:$G$480,MATCH($K211,Feiertagsregeln!$A$7:$A$480,0))="","Noch zu erfassen",INDEX(Feiertagsregeln!$G$7:$G$480,MATCH($K211,Feiertagsregeln!$A$7:$A$480,0)))</f>
        <v>Ascensiun</v>
      </c>
      <c r="I211" s="10" t="str">
        <f>INDEX(Feiertagsregeln!$H$7:$H$480,MATCH($K211,Feiertagsregeln!$A$7:$A$480,0))</f>
        <v>publicHoliday</v>
      </c>
      <c r="J211" s="10" t="s">
        <v>69</v>
      </c>
      <c r="K211" s="10" t="s">
        <v>285</v>
      </c>
      <c r="L211" s="10" t="str">
        <f>INDEX(Feiertagsregeln!$Y$7:$Y$480,MATCH($K211,Feiertagsregeln!$A$7:$A$480,0))</f>
        <v>SRC-ZH-RLG-8224-N045</v>
      </c>
      <c r="M211" s="10" t="str">
        <f>INDEX(Feiertagsregeln!$Z$7:$Z$480,MATCH($K211,Feiertagsregeln!$A$7:$A$480,0))</f>
        <v>§ 1 Abs. 1 und 2</v>
      </c>
      <c r="N211" s="10" t="s">
        <v>193</v>
      </c>
      <c r="O211" s="10" t="str">
        <f>INDEX(Feiertagsregeln!$AA$7:$AA$480,MATCH($K211,Feiertagsregeln!$A$7:$A$480,0))</f>
        <v>Ganztägig</v>
      </c>
    </row>
    <row r="212" spans="1:15" ht="44" customHeight="1">
      <c r="A212" s="15">
        <f>INDEX(Feiertagsregeln!$X$7:$X$480,MATCH($K212,Feiertagsregeln!$A$7:$A$480,0))</f>
        <v>46909</v>
      </c>
      <c r="B212" s="11" t="str">
        <f t="shared" si="3"/>
        <v>Montag</v>
      </c>
      <c r="C212" s="11" t="s">
        <v>280</v>
      </c>
      <c r="D212" s="11" t="s">
        <v>281</v>
      </c>
      <c r="E212" s="11" t="str">
        <f>INDEX(Feiertagsregeln!$D$7:$D$480,MATCH($K212,Feiertagsregeln!$A$7:$A$480,0))</f>
        <v>Pfingstmontag</v>
      </c>
      <c r="F212" s="11" t="str">
        <f>INDEX(Feiertagsregeln!$E$7:$E$480,MATCH($K212,Feiertagsregeln!$A$7:$A$480,0))</f>
        <v>Lundi de Pentecôte</v>
      </c>
      <c r="G212" s="22" t="str">
        <f>IF(INDEX(Feiertagsregeln!$F$7:$F$480,MATCH($K212,Feiertagsregeln!$A$7:$A$480,0))="","Noch zu erfassen",INDEX(Feiertagsregeln!$F$7:$F$480,MATCH($K212,Feiertagsregeln!$A$7:$A$480,0)))</f>
        <v>Lunedì di Pentecoste</v>
      </c>
      <c r="H212" s="22" t="str">
        <f>IF(INDEX(Feiertagsregeln!$G$7:$G$480,MATCH($K212,Feiertagsregeln!$A$7:$A$480,0))="","Noch zu erfassen",INDEX(Feiertagsregeln!$G$7:$G$480,MATCH($K212,Feiertagsregeln!$A$7:$A$480,0)))</f>
        <v>Glindesdi da Tschuncaisma</v>
      </c>
      <c r="I212" s="11" t="str">
        <f>INDEX(Feiertagsregeln!$H$7:$H$480,MATCH($K212,Feiertagsregeln!$A$7:$A$480,0))</f>
        <v>publicHoliday</v>
      </c>
      <c r="J212" s="11" t="s">
        <v>69</v>
      </c>
      <c r="K212" s="11" t="s">
        <v>286</v>
      </c>
      <c r="L212" s="11" t="str">
        <f>INDEX(Feiertagsregeln!$Y$7:$Y$480,MATCH($K212,Feiertagsregeln!$A$7:$A$480,0))</f>
        <v>SRC-ZH-RLG-8224-N045</v>
      </c>
      <c r="M212" s="11" t="str">
        <f>INDEX(Feiertagsregeln!$Z$7:$Z$480,MATCH($K212,Feiertagsregeln!$A$7:$A$480,0))</f>
        <v>§ 1 Abs. 1 und 2</v>
      </c>
      <c r="N212" s="11" t="s">
        <v>193</v>
      </c>
      <c r="O212" s="11" t="str">
        <f>INDEX(Feiertagsregeln!$AA$7:$AA$480,MATCH($K212,Feiertagsregeln!$A$7:$A$480,0))</f>
        <v>Ganztägig</v>
      </c>
    </row>
    <row r="213" spans="1:15" ht="44" customHeight="1">
      <c r="A213" s="14">
        <f>INDEX(Feiertagsregeln!$X$7:$X$480,MATCH($K213,Feiertagsregeln!$A$7:$A$480,0))</f>
        <v>46966</v>
      </c>
      <c r="B213" s="10" t="str">
        <f t="shared" si="3"/>
        <v>Dienstag</v>
      </c>
      <c r="C213" s="10" t="s">
        <v>280</v>
      </c>
      <c r="D213" s="10" t="s">
        <v>281</v>
      </c>
      <c r="E213" s="10" t="str">
        <f>INDEX(Feiertagsregeln!$D$7:$D$480,MATCH($K213,Feiertagsregeln!$A$7:$A$480,0))</f>
        <v>Bundesfeiertag</v>
      </c>
      <c r="F213" s="10" t="str">
        <f>INDEX(Feiertagsregeln!$E$7:$E$480,MATCH($K213,Feiertagsregeln!$A$7:$A$480,0))</f>
        <v>Fête nationale</v>
      </c>
      <c r="G213" s="21" t="str">
        <f>IF(INDEX(Feiertagsregeln!$F$7:$F$480,MATCH($K213,Feiertagsregeln!$A$7:$A$480,0))="","Noch zu erfassen",INDEX(Feiertagsregeln!$F$7:$F$480,MATCH($K213,Feiertagsregeln!$A$7:$A$480,0)))</f>
        <v>Primo agosto</v>
      </c>
      <c r="H213" s="21" t="str">
        <f>IF(INDEX(Feiertagsregeln!$G$7:$G$480,MATCH($K213,Feiertagsregeln!$A$7:$A$480,0))="","Noch zu erfassen",INDEX(Feiertagsregeln!$G$7:$G$480,MATCH($K213,Feiertagsregeln!$A$7:$A$480,0)))</f>
        <v>Festa naziunala svizra</v>
      </c>
      <c r="I213" s="10" t="str">
        <f>INDEX(Feiertagsregeln!$H$7:$H$480,MATCH($K213,Feiertagsregeln!$A$7:$A$480,0))</f>
        <v>publicHoliday</v>
      </c>
      <c r="J213" s="10" t="s">
        <v>69</v>
      </c>
      <c r="K213" s="10" t="s">
        <v>287</v>
      </c>
      <c r="L213" s="10" t="str">
        <f>INDEX(Feiertagsregeln!$Y$7:$Y$480,MATCH($K213,Feiertagsregeln!$A$7:$A$480,0))</f>
        <v>SRC-BUNDESFEIERTAG-19940701</v>
      </c>
      <c r="M213" s="10" t="str">
        <f>INDEX(Feiertagsregeln!$Z$7:$Z$480,MATCH($K213,Feiertagsregeln!$A$7:$A$480,0))</f>
        <v>SR 116 Art. 1, offene Anwendung auf neues kantonales Profil</v>
      </c>
      <c r="N213" s="10" t="s">
        <v>193</v>
      </c>
      <c r="O213" s="10" t="str">
        <f>INDEX(Feiertagsregeln!$AA$7:$AA$480,MATCH($K213,Feiertagsregeln!$A$7:$A$480,0))</f>
        <v>Ganztägig</v>
      </c>
    </row>
    <row r="214" spans="1:15" ht="44" customHeight="1">
      <c r="A214" s="15">
        <f>INDEX(Feiertagsregeln!$X$7:$X$480,MATCH($K214,Feiertagsregeln!$A$7:$A$480,0))</f>
        <v>47112</v>
      </c>
      <c r="B214" s="11" t="str">
        <f t="shared" si="3"/>
        <v>Montag</v>
      </c>
      <c r="C214" s="11" t="s">
        <v>280</v>
      </c>
      <c r="D214" s="11" t="s">
        <v>281</v>
      </c>
      <c r="E214" s="11" t="str">
        <f>INDEX(Feiertagsregeln!$D$7:$D$480,MATCH($K214,Feiertagsregeln!$A$7:$A$480,0))</f>
        <v>Weihnachten</v>
      </c>
      <c r="F214" s="11" t="str">
        <f>INDEX(Feiertagsregeln!$E$7:$E$480,MATCH($K214,Feiertagsregeln!$A$7:$A$480,0))</f>
        <v>Noël</v>
      </c>
      <c r="G214" s="22" t="str">
        <f>IF(INDEX(Feiertagsregeln!$F$7:$F$480,MATCH($K214,Feiertagsregeln!$A$7:$A$480,0))="","Noch zu erfassen",INDEX(Feiertagsregeln!$F$7:$F$480,MATCH($K214,Feiertagsregeln!$A$7:$A$480,0)))</f>
        <v>Natale</v>
      </c>
      <c r="H214" s="22" t="str">
        <f>IF(INDEX(Feiertagsregeln!$G$7:$G$480,MATCH($K214,Feiertagsregeln!$A$7:$A$480,0))="","Noch zu erfassen",INDEX(Feiertagsregeln!$G$7:$G$480,MATCH($K214,Feiertagsregeln!$A$7:$A$480,0)))</f>
        <v>Di da Nadal</v>
      </c>
      <c r="I214" s="11" t="str">
        <f>INDEX(Feiertagsregeln!$H$7:$H$480,MATCH($K214,Feiertagsregeln!$A$7:$A$480,0))</f>
        <v>publicHoliday</v>
      </c>
      <c r="J214" s="11" t="s">
        <v>69</v>
      </c>
      <c r="K214" s="11" t="s">
        <v>288</v>
      </c>
      <c r="L214" s="11" t="str">
        <f>INDEX(Feiertagsregeln!$Y$7:$Y$480,MATCH($K214,Feiertagsregeln!$A$7:$A$480,0))</f>
        <v>SRC-ZH-RLG-8224-N045</v>
      </c>
      <c r="M214" s="11" t="str">
        <f>INDEX(Feiertagsregeln!$Z$7:$Z$480,MATCH($K214,Feiertagsregeln!$A$7:$A$480,0))</f>
        <v>§ 1 Abs. 1 und 2</v>
      </c>
      <c r="N214" s="11" t="s">
        <v>193</v>
      </c>
      <c r="O214" s="11" t="str">
        <f>INDEX(Feiertagsregeln!$AA$7:$AA$480,MATCH($K214,Feiertagsregeln!$A$7:$A$480,0))</f>
        <v>Ganztägig</v>
      </c>
    </row>
    <row r="215" spans="1:15" ht="44" customHeight="1">
      <c r="A215" s="14">
        <f>INDEX(Feiertagsregeln!$X$7:$X$480,MATCH($K215,Feiertagsregeln!$A$7:$A$480,0))</f>
        <v>47113</v>
      </c>
      <c r="B215" s="10" t="str">
        <f t="shared" si="3"/>
        <v>Dienstag</v>
      </c>
      <c r="C215" s="10" t="s">
        <v>280</v>
      </c>
      <c r="D215" s="10" t="s">
        <v>281</v>
      </c>
      <c r="E215" s="10" t="str">
        <f>INDEX(Feiertagsregeln!$D$7:$D$480,MATCH($K215,Feiertagsregeln!$A$7:$A$480,0))</f>
        <v>Stephanstag</v>
      </c>
      <c r="F215" s="10" t="str">
        <f>INDEX(Feiertagsregeln!$E$7:$E$480,MATCH($K215,Feiertagsregeln!$A$7:$A$480,0))</f>
        <v>Saint-Étienne</v>
      </c>
      <c r="G215" s="21" t="str">
        <f>IF(INDEX(Feiertagsregeln!$F$7:$F$480,MATCH($K215,Feiertagsregeln!$A$7:$A$480,0))="","Noch zu erfassen",INDEX(Feiertagsregeln!$F$7:$F$480,MATCH($K215,Feiertagsregeln!$A$7:$A$480,0)))</f>
        <v>Santo Stefano</v>
      </c>
      <c r="H215" s="21" t="str">
        <f>IF(INDEX(Feiertagsregeln!$G$7:$G$480,MATCH($K215,Feiertagsregeln!$A$7:$A$480,0))="","Noch zu erfassen",INDEX(Feiertagsregeln!$G$7:$G$480,MATCH($K215,Feiertagsregeln!$A$7:$A$480,0)))</f>
        <v>Son Steffan</v>
      </c>
      <c r="I215" s="10" t="str">
        <f>INDEX(Feiertagsregeln!$H$7:$H$480,MATCH($K215,Feiertagsregeln!$A$7:$A$480,0))</f>
        <v>publicHoliday</v>
      </c>
      <c r="J215" s="10" t="s">
        <v>69</v>
      </c>
      <c r="K215" s="10" t="s">
        <v>289</v>
      </c>
      <c r="L215" s="10" t="str">
        <f>INDEX(Feiertagsregeln!$Y$7:$Y$480,MATCH($K215,Feiertagsregeln!$A$7:$A$480,0))</f>
        <v>SRC-ZH-RLG-8224-N045</v>
      </c>
      <c r="M215" s="10" t="str">
        <f>INDEX(Feiertagsregeln!$Z$7:$Z$480,MATCH($K215,Feiertagsregeln!$A$7:$A$480,0))</f>
        <v>§ 1 Abs. 1 und 2</v>
      </c>
      <c r="N215" s="10" t="s">
        <v>193</v>
      </c>
      <c r="O215" s="10" t="str">
        <f>INDEX(Feiertagsregeln!$AA$7:$AA$480,MATCH($K215,Feiertagsregeln!$A$7:$A$480,0))</f>
        <v>Ganztägig</v>
      </c>
    </row>
    <row r="216" spans="1:15" ht="44" customHeight="1">
      <c r="A216" s="15">
        <f>INDEX(Feiertagsregeln!$X$7:$X$480,MATCH($K216,Feiertagsregeln!$A$7:$A$480,0))</f>
        <v>46874</v>
      </c>
      <c r="B216" s="11" t="str">
        <f t="shared" si="3"/>
        <v>Montag</v>
      </c>
      <c r="C216" s="11" t="s">
        <v>280</v>
      </c>
      <c r="D216" s="11" t="s">
        <v>281</v>
      </c>
      <c r="E216" s="11" t="str">
        <f>INDEX(Feiertagsregeln!$D$7:$D$480,MATCH($K216,Feiertagsregeln!$A$7:$A$480,0))</f>
        <v>Tag der Arbeit (1. Mai)</v>
      </c>
      <c r="F216" s="11" t="str">
        <f>INDEX(Feiertagsregeln!$E$7:$E$480,MATCH($K216,Feiertagsregeln!$A$7:$A$480,0))</f>
        <v>Fête du travail (1er mai)</v>
      </c>
      <c r="G216" s="22" t="str">
        <f>IF(INDEX(Feiertagsregeln!$F$7:$F$480,MATCH($K216,Feiertagsregeln!$A$7:$A$480,0))="","Noch zu erfassen",INDEX(Feiertagsregeln!$F$7:$F$480,MATCH($K216,Feiertagsregeln!$A$7:$A$480,0)))</f>
        <v>Primo maggio</v>
      </c>
      <c r="H216" s="22" t="str">
        <f>IF(INDEX(Feiertagsregeln!$G$7:$G$480,MATCH($K216,Feiertagsregeln!$A$7:$A$480,0))="","Noch zu erfassen",INDEX(Feiertagsregeln!$G$7:$G$480,MATCH($K216,Feiertagsregeln!$A$7:$A$480,0)))</f>
        <v>Di da la lavur (1. da matg)</v>
      </c>
      <c r="I216" s="11" t="str">
        <f>INDEX(Feiertagsregeln!$H$7:$H$480,MATCH($K216,Feiertagsregeln!$A$7:$A$480,0))</f>
        <v>publicHoliday</v>
      </c>
      <c r="J216" s="11" t="s">
        <v>69</v>
      </c>
      <c r="K216" s="11" t="s">
        <v>290</v>
      </c>
      <c r="L216" s="11" t="str">
        <f>INDEX(Feiertagsregeln!$Y$7:$Y$480,MATCH($K216,Feiertagsregeln!$A$7:$A$480,0))</f>
        <v>SRC-ZH-RLG-8224-N045</v>
      </c>
      <c r="M216" s="11" t="str">
        <f>INDEX(Feiertagsregeln!$Z$7:$Z$480,MATCH($K216,Feiertagsregeln!$A$7:$A$480,0))</f>
        <v>§ 1 Abs. 1 und 2</v>
      </c>
      <c r="N216" s="11" t="s">
        <v>193</v>
      </c>
      <c r="O216" s="11" t="str">
        <f>INDEX(Feiertagsregeln!$AA$7:$AA$480,MATCH($K216,Feiertagsregeln!$A$7:$A$480,0))</f>
        <v>Ganztägig</v>
      </c>
    </row>
    <row r="217" spans="1:15" ht="44" customHeight="1">
      <c r="A217" s="14">
        <f>INDEX(Feiertagsregeln!$X$7:$X$480,MATCH($K217,Feiertagsregeln!$A$7:$A$480,0))</f>
        <v>46859</v>
      </c>
      <c r="B217" s="10" t="str">
        <f t="shared" si="3"/>
        <v>Sonntag</v>
      </c>
      <c r="C217" s="10" t="s">
        <v>280</v>
      </c>
      <c r="D217" s="10" t="s">
        <v>281</v>
      </c>
      <c r="E217" s="10" t="str">
        <f>INDEX(Feiertagsregeln!$D$7:$D$480,MATCH($K217,Feiertagsregeln!$A$7:$A$480,0))</f>
        <v>Ostern</v>
      </c>
      <c r="F217" s="10" t="str">
        <f>INDEX(Feiertagsregeln!$E$7:$E$480,MATCH($K217,Feiertagsregeln!$A$7:$A$480,0))</f>
        <v>Pâques</v>
      </c>
      <c r="G217" s="21" t="str">
        <f>IF(INDEX(Feiertagsregeln!$F$7:$F$480,MATCH($K217,Feiertagsregeln!$A$7:$A$480,0))="","Noch zu erfassen",INDEX(Feiertagsregeln!$F$7:$F$480,MATCH($K217,Feiertagsregeln!$A$7:$A$480,0)))</f>
        <v>Domenica di Pasqua</v>
      </c>
      <c r="H217" s="21" t="str">
        <f>IF(INDEX(Feiertagsregeln!$G$7:$G$480,MATCH($K217,Feiertagsregeln!$A$7:$A$480,0))="","Noch zu erfassen",INDEX(Feiertagsregeln!$G$7:$G$480,MATCH($K217,Feiertagsregeln!$A$7:$A$480,0)))</f>
        <v>Dumengia da Pasca</v>
      </c>
      <c r="I217" s="10" t="str">
        <f>INDEX(Feiertagsregeln!$H$7:$H$480,MATCH($K217,Feiertagsregeln!$A$7:$A$480,0))</f>
        <v>publicHoliday</v>
      </c>
      <c r="J217" s="10" t="s">
        <v>69</v>
      </c>
      <c r="K217" s="10" t="s">
        <v>291</v>
      </c>
      <c r="L217" s="10" t="str">
        <f>INDEX(Feiertagsregeln!$Y$7:$Y$480,MATCH($K217,Feiertagsregeln!$A$7:$A$480,0))</f>
        <v>SRC-ZH-RLG-8224-N045</v>
      </c>
      <c r="M217" s="10" t="str">
        <f>INDEX(Feiertagsregeln!$Z$7:$Z$480,MATCH($K217,Feiertagsregeln!$A$7:$A$480,0))</f>
        <v>§ 1 Abs. 1 und 2</v>
      </c>
      <c r="N217" s="10" t="s">
        <v>193</v>
      </c>
      <c r="O217" s="10" t="str">
        <f>INDEX(Feiertagsregeln!$AA$7:$AA$480,MATCH($K217,Feiertagsregeln!$A$7:$A$480,0))</f>
        <v>Ganztägig</v>
      </c>
    </row>
    <row r="218" spans="1:15" ht="44" customHeight="1">
      <c r="A218" s="15">
        <f>INDEX(Feiertagsregeln!$X$7:$X$480,MATCH($K218,Feiertagsregeln!$A$7:$A$480,0))</f>
        <v>46908</v>
      </c>
      <c r="B218" s="11" t="str">
        <f t="shared" si="3"/>
        <v>Sonntag</v>
      </c>
      <c r="C218" s="11" t="s">
        <v>280</v>
      </c>
      <c r="D218" s="11" t="s">
        <v>281</v>
      </c>
      <c r="E218" s="11" t="str">
        <f>INDEX(Feiertagsregeln!$D$7:$D$480,MATCH($K218,Feiertagsregeln!$A$7:$A$480,0))</f>
        <v>Pfingsten</v>
      </c>
      <c r="F218" s="11" t="str">
        <f>INDEX(Feiertagsregeln!$E$7:$E$480,MATCH($K218,Feiertagsregeln!$A$7:$A$480,0))</f>
        <v>Pentecôte</v>
      </c>
      <c r="G218" s="22" t="str">
        <f>IF(INDEX(Feiertagsregeln!$F$7:$F$480,MATCH($K218,Feiertagsregeln!$A$7:$A$480,0))="","Noch zu erfassen",INDEX(Feiertagsregeln!$F$7:$F$480,MATCH($K218,Feiertagsregeln!$A$7:$A$480,0)))</f>
        <v>Domenica di Pentecoste</v>
      </c>
      <c r="H218" s="22" t="str">
        <f>IF(INDEX(Feiertagsregeln!$G$7:$G$480,MATCH($K218,Feiertagsregeln!$A$7:$A$480,0))="","Noch zu erfassen",INDEX(Feiertagsregeln!$G$7:$G$480,MATCH($K218,Feiertagsregeln!$A$7:$A$480,0)))</f>
        <v>Dumengia da Tschuncaisma</v>
      </c>
      <c r="I218" s="11" t="str">
        <f>INDEX(Feiertagsregeln!$H$7:$H$480,MATCH($K218,Feiertagsregeln!$A$7:$A$480,0))</f>
        <v>publicHoliday</v>
      </c>
      <c r="J218" s="11" t="s">
        <v>69</v>
      </c>
      <c r="K218" s="11" t="s">
        <v>292</v>
      </c>
      <c r="L218" s="11" t="str">
        <f>INDEX(Feiertagsregeln!$Y$7:$Y$480,MATCH($K218,Feiertagsregeln!$A$7:$A$480,0))</f>
        <v>SRC-ZH-RLG-8224-N045</v>
      </c>
      <c r="M218" s="11" t="str">
        <f>INDEX(Feiertagsregeln!$Z$7:$Z$480,MATCH($K218,Feiertagsregeln!$A$7:$A$480,0))</f>
        <v>§ 1 Abs. 1 und 2</v>
      </c>
      <c r="N218" s="11" t="s">
        <v>193</v>
      </c>
      <c r="O218" s="11" t="str">
        <f>INDEX(Feiertagsregeln!$AA$7:$AA$480,MATCH($K218,Feiertagsregeln!$A$7:$A$480,0))</f>
        <v>Ganztägig</v>
      </c>
    </row>
    <row r="219" spans="1:15" ht="44" customHeight="1">
      <c r="A219" s="14">
        <f>INDEX(Feiertagsregeln!$X$7:$X$480,MATCH($K219,Feiertagsregeln!$A$7:$A$480,0))</f>
        <v>47013</v>
      </c>
      <c r="B219" s="10" t="str">
        <f t="shared" si="3"/>
        <v>Sonntag</v>
      </c>
      <c r="C219" s="10" t="s">
        <v>280</v>
      </c>
      <c r="D219" s="10" t="s">
        <v>281</v>
      </c>
      <c r="E219" s="10" t="str">
        <f>INDEX(Feiertagsregeln!$D$7:$D$480,MATCH($K219,Feiertagsregeln!$A$7:$A$480,0))</f>
        <v>Eidgenössischer Dank-, Buss- und Bettag</v>
      </c>
      <c r="F219" s="10" t="str">
        <f>INDEX(Feiertagsregeln!$E$7:$E$480,MATCH($K219,Feiertagsregeln!$A$7:$A$480,0))</f>
        <v>Jeûne fédéral</v>
      </c>
      <c r="G219" s="21" t="str">
        <f>IF(INDEX(Feiertagsregeln!$F$7:$F$480,MATCH($K219,Feiertagsregeln!$A$7:$A$480,0))="","Noch zu erfassen",INDEX(Feiertagsregeln!$F$7:$F$480,MATCH($K219,Feiertagsregeln!$A$7:$A$480,0)))</f>
        <v>Festa federale di preghiera</v>
      </c>
      <c r="H219" s="21" t="str">
        <f>IF(INDEX(Feiertagsregeln!$G$7:$G$480,MATCH($K219,Feiertagsregeln!$A$7:$A$480,0))="","Noch zu erfassen",INDEX(Feiertagsregeln!$G$7:$G$480,MATCH($K219,Feiertagsregeln!$A$7:$A$480,0)))</f>
        <v>Di da la rogaziun federala</v>
      </c>
      <c r="I219" s="10" t="str">
        <f>INDEX(Feiertagsregeln!$H$7:$H$480,MATCH($K219,Feiertagsregeln!$A$7:$A$480,0))</f>
        <v>publicHoliday</v>
      </c>
      <c r="J219" s="10" t="s">
        <v>69</v>
      </c>
      <c r="K219" s="10" t="s">
        <v>293</v>
      </c>
      <c r="L219" s="10" t="str">
        <f>INDEX(Feiertagsregeln!$Y$7:$Y$480,MATCH($K219,Feiertagsregeln!$A$7:$A$480,0))</f>
        <v>SRC-ZH-RLG-8224-N045</v>
      </c>
      <c r="M219" s="10" t="str">
        <f>INDEX(Feiertagsregeln!$Z$7:$Z$480,MATCH($K219,Feiertagsregeln!$A$7:$A$480,0))</f>
        <v>§ 1 Abs. 1 und 2</v>
      </c>
      <c r="N219" s="10" t="s">
        <v>193</v>
      </c>
      <c r="O219" s="10" t="str">
        <f>INDEX(Feiertagsregeln!$AA$7:$AA$480,MATCH($K219,Feiertagsregeln!$A$7:$A$480,0))</f>
        <v>Ganztägig</v>
      </c>
    </row>
    <row r="220" spans="1:15" ht="44" customHeight="1">
      <c r="A220" s="15">
        <f>INDEX(Feiertagsregeln!$X$7:$X$480,MATCH($K220,Feiertagsregeln!$A$7:$A$480,0))</f>
        <v>46753</v>
      </c>
      <c r="B220" s="11" t="str">
        <f t="shared" si="3"/>
        <v>Samstag</v>
      </c>
      <c r="C220" s="11" t="s">
        <v>280</v>
      </c>
      <c r="D220" s="11" t="s">
        <v>294</v>
      </c>
      <c r="E220" s="11" t="str">
        <f>INDEX(Feiertagsregeln!$D$7:$D$480,MATCH($K220,Feiertagsregeln!$A$7:$A$480,0))</f>
        <v>Neujahr</v>
      </c>
      <c r="F220" s="11" t="str">
        <f>INDEX(Feiertagsregeln!$E$7:$E$480,MATCH($K220,Feiertagsregeln!$A$7:$A$480,0))</f>
        <v>Nouvel An</v>
      </c>
      <c r="G220" s="22" t="str">
        <f>IF(INDEX(Feiertagsregeln!$F$7:$F$480,MATCH($K220,Feiertagsregeln!$A$7:$A$480,0))="","Noch zu erfassen",INDEX(Feiertagsregeln!$F$7:$F$480,MATCH($K220,Feiertagsregeln!$A$7:$A$480,0)))</f>
        <v>Capo d’anno</v>
      </c>
      <c r="H220" s="22" t="str">
        <f>IF(INDEX(Feiertagsregeln!$G$7:$G$480,MATCH($K220,Feiertagsregeln!$A$7:$A$480,0))="","Noch zu erfassen",INDEX(Feiertagsregeln!$G$7:$G$480,MATCH($K220,Feiertagsregeln!$A$7:$A$480,0)))</f>
        <v>Bumaun</v>
      </c>
      <c r="I220" s="11" t="str">
        <f>INDEX(Feiertagsregeln!$H$7:$H$480,MATCH($K220,Feiertagsregeln!$A$7:$A$480,0))</f>
        <v>proceduralEquivalentDay</v>
      </c>
      <c r="J220" s="11" t="s">
        <v>69</v>
      </c>
      <c r="K220" s="11" t="s">
        <v>295</v>
      </c>
      <c r="L220" s="11" t="str">
        <f>INDEX(Feiertagsregeln!$Y$7:$Y$480,MATCH($K220,Feiertagsregeln!$A$7:$A$480,0))</f>
        <v>SRC-ZH-GOG-2111-N131</v>
      </c>
      <c r="M220" s="11" t="str">
        <f>INDEX(Feiertagsregeln!$Z$7:$Z$480,MATCH($K220,Feiertagsregeln!$A$7:$A$480,0))</f>
        <v>§ 122</v>
      </c>
      <c r="N220" s="11" t="s">
        <v>193</v>
      </c>
      <c r="O220" s="11" t="str">
        <f>INDEX(Feiertagsregeln!$AA$7:$AA$480,MATCH($K220,Feiertagsregeln!$A$7:$A$480,0))</f>
        <v>Ganztägig</v>
      </c>
    </row>
    <row r="221" spans="1:15" ht="44" customHeight="1">
      <c r="A221" s="14">
        <f>INDEX(Feiertagsregeln!$X$7:$X$480,MATCH($K221,Feiertagsregeln!$A$7:$A$480,0))</f>
        <v>46857</v>
      </c>
      <c r="B221" s="10" t="str">
        <f t="shared" si="3"/>
        <v>Freitag</v>
      </c>
      <c r="C221" s="10" t="s">
        <v>280</v>
      </c>
      <c r="D221" s="10" t="s">
        <v>294</v>
      </c>
      <c r="E221" s="10" t="str">
        <f>INDEX(Feiertagsregeln!$D$7:$D$480,MATCH($K221,Feiertagsregeln!$A$7:$A$480,0))</f>
        <v>Karfreitag</v>
      </c>
      <c r="F221" s="10" t="str">
        <f>INDEX(Feiertagsregeln!$E$7:$E$480,MATCH($K221,Feiertagsregeln!$A$7:$A$480,0))</f>
        <v>Vendredi saint</v>
      </c>
      <c r="G221" s="21" t="str">
        <f>IF(INDEX(Feiertagsregeln!$F$7:$F$480,MATCH($K221,Feiertagsregeln!$A$7:$A$480,0))="","Noch zu erfassen",INDEX(Feiertagsregeln!$F$7:$F$480,MATCH($K221,Feiertagsregeln!$A$7:$A$480,0)))</f>
        <v>Venerdì Santo</v>
      </c>
      <c r="H221" s="21" t="str">
        <f>IF(INDEX(Feiertagsregeln!$G$7:$G$480,MATCH($K221,Feiertagsregeln!$A$7:$A$480,0))="","Noch zu erfassen",INDEX(Feiertagsregeln!$G$7:$G$480,MATCH($K221,Feiertagsregeln!$A$7:$A$480,0)))</f>
        <v>Venderdi sontg</v>
      </c>
      <c r="I221" s="10" t="str">
        <f>INDEX(Feiertagsregeln!$H$7:$H$480,MATCH($K221,Feiertagsregeln!$A$7:$A$480,0))</f>
        <v>proceduralEquivalentDay</v>
      </c>
      <c r="J221" s="10" t="s">
        <v>69</v>
      </c>
      <c r="K221" s="10" t="s">
        <v>296</v>
      </c>
      <c r="L221" s="10" t="str">
        <f>INDEX(Feiertagsregeln!$Y$7:$Y$480,MATCH($K221,Feiertagsregeln!$A$7:$A$480,0))</f>
        <v>SRC-ZH-GOG-2111-N131</v>
      </c>
      <c r="M221" s="10" t="str">
        <f>INDEX(Feiertagsregeln!$Z$7:$Z$480,MATCH($K221,Feiertagsregeln!$A$7:$A$480,0))</f>
        <v>§ 122</v>
      </c>
      <c r="N221" s="10" t="s">
        <v>193</v>
      </c>
      <c r="O221" s="10" t="str">
        <f>INDEX(Feiertagsregeln!$AA$7:$AA$480,MATCH($K221,Feiertagsregeln!$A$7:$A$480,0))</f>
        <v>Ganztägig</v>
      </c>
    </row>
    <row r="222" spans="1:15" ht="44" customHeight="1">
      <c r="A222" s="15">
        <f>INDEX(Feiertagsregeln!$X$7:$X$480,MATCH($K222,Feiertagsregeln!$A$7:$A$480,0))</f>
        <v>46860</v>
      </c>
      <c r="B222" s="11" t="str">
        <f t="shared" si="3"/>
        <v>Montag</v>
      </c>
      <c r="C222" s="11" t="s">
        <v>280</v>
      </c>
      <c r="D222" s="11" t="s">
        <v>294</v>
      </c>
      <c r="E222" s="11" t="str">
        <f>INDEX(Feiertagsregeln!$D$7:$D$480,MATCH($K222,Feiertagsregeln!$A$7:$A$480,0))</f>
        <v>Ostermontag</v>
      </c>
      <c r="F222" s="11" t="str">
        <f>INDEX(Feiertagsregeln!$E$7:$E$480,MATCH($K222,Feiertagsregeln!$A$7:$A$480,0))</f>
        <v>Lundi de Pâques</v>
      </c>
      <c r="G222" s="22" t="str">
        <f>IF(INDEX(Feiertagsregeln!$F$7:$F$480,MATCH($K222,Feiertagsregeln!$A$7:$A$480,0))="","Noch zu erfassen",INDEX(Feiertagsregeln!$F$7:$F$480,MATCH($K222,Feiertagsregeln!$A$7:$A$480,0)))</f>
        <v>Lunedì di Pasqua</v>
      </c>
      <c r="H222" s="22" t="str">
        <f>IF(INDEX(Feiertagsregeln!$G$7:$G$480,MATCH($K222,Feiertagsregeln!$A$7:$A$480,0))="","Noch zu erfassen",INDEX(Feiertagsregeln!$G$7:$G$480,MATCH($K222,Feiertagsregeln!$A$7:$A$480,0)))</f>
        <v>Glindesdi da Pasca</v>
      </c>
      <c r="I222" s="11" t="str">
        <f>INDEX(Feiertagsregeln!$H$7:$H$480,MATCH($K222,Feiertagsregeln!$A$7:$A$480,0))</f>
        <v>proceduralEquivalentDay</v>
      </c>
      <c r="J222" s="11" t="s">
        <v>69</v>
      </c>
      <c r="K222" s="11" t="s">
        <v>297</v>
      </c>
      <c r="L222" s="11" t="str">
        <f>INDEX(Feiertagsregeln!$Y$7:$Y$480,MATCH($K222,Feiertagsregeln!$A$7:$A$480,0))</f>
        <v>SRC-ZH-GOG-2111-N131</v>
      </c>
      <c r="M222" s="11" t="str">
        <f>INDEX(Feiertagsregeln!$Z$7:$Z$480,MATCH($K222,Feiertagsregeln!$A$7:$A$480,0))</f>
        <v>§ 122</v>
      </c>
      <c r="N222" s="11" t="s">
        <v>193</v>
      </c>
      <c r="O222" s="11" t="str">
        <f>INDEX(Feiertagsregeln!$AA$7:$AA$480,MATCH($K222,Feiertagsregeln!$A$7:$A$480,0))</f>
        <v>Ganztägig</v>
      </c>
    </row>
    <row r="223" spans="1:15" ht="44" customHeight="1">
      <c r="A223" s="14">
        <f>INDEX(Feiertagsregeln!$X$7:$X$480,MATCH($K223,Feiertagsregeln!$A$7:$A$480,0))</f>
        <v>46898</v>
      </c>
      <c r="B223" s="10" t="str">
        <f t="shared" si="3"/>
        <v>Donnerstag</v>
      </c>
      <c r="C223" s="10" t="s">
        <v>280</v>
      </c>
      <c r="D223" s="10" t="s">
        <v>294</v>
      </c>
      <c r="E223" s="10" t="str">
        <f>INDEX(Feiertagsregeln!$D$7:$D$480,MATCH($K223,Feiertagsregeln!$A$7:$A$480,0))</f>
        <v>Auffahrt</v>
      </c>
      <c r="F223" s="10" t="str">
        <f>INDEX(Feiertagsregeln!$E$7:$E$480,MATCH($K223,Feiertagsregeln!$A$7:$A$480,0))</f>
        <v>Ascension</v>
      </c>
      <c r="G223" s="21" t="str">
        <f>IF(INDEX(Feiertagsregeln!$F$7:$F$480,MATCH($K223,Feiertagsregeln!$A$7:$A$480,0))="","Noch zu erfassen",INDEX(Feiertagsregeln!$F$7:$F$480,MATCH($K223,Feiertagsregeln!$A$7:$A$480,0)))</f>
        <v>Ascensione</v>
      </c>
      <c r="H223" s="21" t="str">
        <f>IF(INDEX(Feiertagsregeln!$G$7:$G$480,MATCH($K223,Feiertagsregeln!$A$7:$A$480,0))="","Noch zu erfassen",INDEX(Feiertagsregeln!$G$7:$G$480,MATCH($K223,Feiertagsregeln!$A$7:$A$480,0)))</f>
        <v>Ascensiun</v>
      </c>
      <c r="I223" s="10" t="str">
        <f>INDEX(Feiertagsregeln!$H$7:$H$480,MATCH($K223,Feiertagsregeln!$A$7:$A$480,0))</f>
        <v>proceduralEquivalentDay</v>
      </c>
      <c r="J223" s="10" t="s">
        <v>69</v>
      </c>
      <c r="K223" s="10" t="s">
        <v>298</v>
      </c>
      <c r="L223" s="10" t="str">
        <f>INDEX(Feiertagsregeln!$Y$7:$Y$480,MATCH($K223,Feiertagsregeln!$A$7:$A$480,0))</f>
        <v>SRC-ZH-GOG-2111-N131</v>
      </c>
      <c r="M223" s="10" t="str">
        <f>INDEX(Feiertagsregeln!$Z$7:$Z$480,MATCH($K223,Feiertagsregeln!$A$7:$A$480,0))</f>
        <v>§ 122</v>
      </c>
      <c r="N223" s="10" t="s">
        <v>193</v>
      </c>
      <c r="O223" s="10" t="str">
        <f>INDEX(Feiertagsregeln!$AA$7:$AA$480,MATCH($K223,Feiertagsregeln!$A$7:$A$480,0))</f>
        <v>Ganztägig</v>
      </c>
    </row>
    <row r="224" spans="1:15" ht="44" customHeight="1">
      <c r="A224" s="15">
        <f>INDEX(Feiertagsregeln!$X$7:$X$480,MATCH($K224,Feiertagsregeln!$A$7:$A$480,0))</f>
        <v>46909</v>
      </c>
      <c r="B224" s="11" t="str">
        <f t="shared" si="3"/>
        <v>Montag</v>
      </c>
      <c r="C224" s="11" t="s">
        <v>280</v>
      </c>
      <c r="D224" s="11" t="s">
        <v>294</v>
      </c>
      <c r="E224" s="11" t="str">
        <f>INDEX(Feiertagsregeln!$D$7:$D$480,MATCH($K224,Feiertagsregeln!$A$7:$A$480,0))</f>
        <v>Pfingstmontag</v>
      </c>
      <c r="F224" s="11" t="str">
        <f>INDEX(Feiertagsregeln!$E$7:$E$480,MATCH($K224,Feiertagsregeln!$A$7:$A$480,0))</f>
        <v>Lundi de Pentecôte</v>
      </c>
      <c r="G224" s="22" t="str">
        <f>IF(INDEX(Feiertagsregeln!$F$7:$F$480,MATCH($K224,Feiertagsregeln!$A$7:$A$480,0))="","Noch zu erfassen",INDEX(Feiertagsregeln!$F$7:$F$480,MATCH($K224,Feiertagsregeln!$A$7:$A$480,0)))</f>
        <v>Lunedì di Pentecoste</v>
      </c>
      <c r="H224" s="22" t="str">
        <f>IF(INDEX(Feiertagsregeln!$G$7:$G$480,MATCH($K224,Feiertagsregeln!$A$7:$A$480,0))="","Noch zu erfassen",INDEX(Feiertagsregeln!$G$7:$G$480,MATCH($K224,Feiertagsregeln!$A$7:$A$480,0)))</f>
        <v>Glindesdi da Tschuncaisma</v>
      </c>
      <c r="I224" s="11" t="str">
        <f>INDEX(Feiertagsregeln!$H$7:$H$480,MATCH($K224,Feiertagsregeln!$A$7:$A$480,0))</f>
        <v>proceduralEquivalentDay</v>
      </c>
      <c r="J224" s="11" t="s">
        <v>69</v>
      </c>
      <c r="K224" s="11" t="s">
        <v>299</v>
      </c>
      <c r="L224" s="11" t="str">
        <f>INDEX(Feiertagsregeln!$Y$7:$Y$480,MATCH($K224,Feiertagsregeln!$A$7:$A$480,0))</f>
        <v>SRC-ZH-GOG-2111-N131</v>
      </c>
      <c r="M224" s="11" t="str">
        <f>INDEX(Feiertagsregeln!$Z$7:$Z$480,MATCH($K224,Feiertagsregeln!$A$7:$A$480,0))</f>
        <v>§ 122</v>
      </c>
      <c r="N224" s="11" t="s">
        <v>193</v>
      </c>
      <c r="O224" s="11" t="str">
        <f>INDEX(Feiertagsregeln!$AA$7:$AA$480,MATCH($K224,Feiertagsregeln!$A$7:$A$480,0))</f>
        <v>Ganztägig</v>
      </c>
    </row>
    <row r="225" spans="1:15" ht="44" customHeight="1">
      <c r="A225" s="14">
        <f>INDEX(Feiertagsregeln!$X$7:$X$480,MATCH($K225,Feiertagsregeln!$A$7:$A$480,0))</f>
        <v>46966</v>
      </c>
      <c r="B225" s="10" t="str">
        <f t="shared" si="3"/>
        <v>Dienstag</v>
      </c>
      <c r="C225" s="10" t="s">
        <v>280</v>
      </c>
      <c r="D225" s="10" t="s">
        <v>294</v>
      </c>
      <c r="E225" s="10" t="str">
        <f>INDEX(Feiertagsregeln!$D$7:$D$480,MATCH($K225,Feiertagsregeln!$A$7:$A$480,0))</f>
        <v>Bundesfeiertag</v>
      </c>
      <c r="F225" s="10" t="str">
        <f>INDEX(Feiertagsregeln!$E$7:$E$480,MATCH($K225,Feiertagsregeln!$A$7:$A$480,0))</f>
        <v>Fête nationale</v>
      </c>
      <c r="G225" s="21" t="str">
        <f>IF(INDEX(Feiertagsregeln!$F$7:$F$480,MATCH($K225,Feiertagsregeln!$A$7:$A$480,0))="","Noch zu erfassen",INDEX(Feiertagsregeln!$F$7:$F$480,MATCH($K225,Feiertagsregeln!$A$7:$A$480,0)))</f>
        <v>Primo agosto</v>
      </c>
      <c r="H225" s="21" t="str">
        <f>IF(INDEX(Feiertagsregeln!$G$7:$G$480,MATCH($K225,Feiertagsregeln!$A$7:$A$480,0))="","Noch zu erfassen",INDEX(Feiertagsregeln!$G$7:$G$480,MATCH($K225,Feiertagsregeln!$A$7:$A$480,0)))</f>
        <v>Festa naziunala svizra</v>
      </c>
      <c r="I225" s="10" t="str">
        <f>INDEX(Feiertagsregeln!$H$7:$H$480,MATCH($K225,Feiertagsregeln!$A$7:$A$480,0))</f>
        <v>proceduralEquivalentDay</v>
      </c>
      <c r="J225" s="10" t="s">
        <v>69</v>
      </c>
      <c r="K225" s="10" t="s">
        <v>300</v>
      </c>
      <c r="L225" s="10" t="str">
        <f>INDEX(Feiertagsregeln!$Y$7:$Y$480,MATCH($K225,Feiertagsregeln!$A$7:$A$480,0))</f>
        <v>SRC-ZH-GOG-2111-N131</v>
      </c>
      <c r="M225" s="10" t="str">
        <f>INDEX(Feiertagsregeln!$Z$7:$Z$480,MATCH($K225,Feiertagsregeln!$A$7:$A$480,0))</f>
        <v>§ 122</v>
      </c>
      <c r="N225" s="10" t="s">
        <v>193</v>
      </c>
      <c r="O225" s="10" t="str">
        <f>INDEX(Feiertagsregeln!$AA$7:$AA$480,MATCH($K225,Feiertagsregeln!$A$7:$A$480,0))</f>
        <v>Ganztägig</v>
      </c>
    </row>
    <row r="226" spans="1:15" ht="44" customHeight="1">
      <c r="A226" s="15">
        <f>INDEX(Feiertagsregeln!$X$7:$X$480,MATCH($K226,Feiertagsregeln!$A$7:$A$480,0))</f>
        <v>47112</v>
      </c>
      <c r="B226" s="11" t="str">
        <f t="shared" si="3"/>
        <v>Montag</v>
      </c>
      <c r="C226" s="11" t="s">
        <v>280</v>
      </c>
      <c r="D226" s="11" t="s">
        <v>294</v>
      </c>
      <c r="E226" s="11" t="str">
        <f>INDEX(Feiertagsregeln!$D$7:$D$480,MATCH($K226,Feiertagsregeln!$A$7:$A$480,0))</f>
        <v>Weihnachten</v>
      </c>
      <c r="F226" s="11" t="str">
        <f>INDEX(Feiertagsregeln!$E$7:$E$480,MATCH($K226,Feiertagsregeln!$A$7:$A$480,0))</f>
        <v>Noël</v>
      </c>
      <c r="G226" s="22" t="str">
        <f>IF(INDEX(Feiertagsregeln!$F$7:$F$480,MATCH($K226,Feiertagsregeln!$A$7:$A$480,0))="","Noch zu erfassen",INDEX(Feiertagsregeln!$F$7:$F$480,MATCH($K226,Feiertagsregeln!$A$7:$A$480,0)))</f>
        <v>Natale</v>
      </c>
      <c r="H226" s="22" t="str">
        <f>IF(INDEX(Feiertagsregeln!$G$7:$G$480,MATCH($K226,Feiertagsregeln!$A$7:$A$480,0))="","Noch zu erfassen",INDEX(Feiertagsregeln!$G$7:$G$480,MATCH($K226,Feiertagsregeln!$A$7:$A$480,0)))</f>
        <v>Di da Nadal</v>
      </c>
      <c r="I226" s="11" t="str">
        <f>INDEX(Feiertagsregeln!$H$7:$H$480,MATCH($K226,Feiertagsregeln!$A$7:$A$480,0))</f>
        <v>proceduralEquivalentDay</v>
      </c>
      <c r="J226" s="11" t="s">
        <v>69</v>
      </c>
      <c r="K226" s="11" t="s">
        <v>301</v>
      </c>
      <c r="L226" s="11" t="str">
        <f>INDEX(Feiertagsregeln!$Y$7:$Y$480,MATCH($K226,Feiertagsregeln!$A$7:$A$480,0))</f>
        <v>SRC-ZH-GOG-2111-N131</v>
      </c>
      <c r="M226" s="11" t="str">
        <f>INDEX(Feiertagsregeln!$Z$7:$Z$480,MATCH($K226,Feiertagsregeln!$A$7:$A$480,0))</f>
        <v>§ 122</v>
      </c>
      <c r="N226" s="11" t="s">
        <v>193</v>
      </c>
      <c r="O226" s="11" t="str">
        <f>INDEX(Feiertagsregeln!$AA$7:$AA$480,MATCH($K226,Feiertagsregeln!$A$7:$A$480,0))</f>
        <v>Ganztägig</v>
      </c>
    </row>
    <row r="227" spans="1:15" ht="44" customHeight="1">
      <c r="A227" s="14">
        <f>INDEX(Feiertagsregeln!$X$7:$X$480,MATCH($K227,Feiertagsregeln!$A$7:$A$480,0))</f>
        <v>47113</v>
      </c>
      <c r="B227" s="10" t="str">
        <f t="shared" si="3"/>
        <v>Dienstag</v>
      </c>
      <c r="C227" s="10" t="s">
        <v>280</v>
      </c>
      <c r="D227" s="10" t="s">
        <v>294</v>
      </c>
      <c r="E227" s="10" t="str">
        <f>INDEX(Feiertagsregeln!$D$7:$D$480,MATCH($K227,Feiertagsregeln!$A$7:$A$480,0))</f>
        <v>Stephanstag</v>
      </c>
      <c r="F227" s="10" t="str">
        <f>INDEX(Feiertagsregeln!$E$7:$E$480,MATCH($K227,Feiertagsregeln!$A$7:$A$480,0))</f>
        <v>Saint-Étienne</v>
      </c>
      <c r="G227" s="21" t="str">
        <f>IF(INDEX(Feiertagsregeln!$F$7:$F$480,MATCH($K227,Feiertagsregeln!$A$7:$A$480,0))="","Noch zu erfassen",INDEX(Feiertagsregeln!$F$7:$F$480,MATCH($K227,Feiertagsregeln!$A$7:$A$480,0)))</f>
        <v>Santo Stefano</v>
      </c>
      <c r="H227" s="21" t="str">
        <f>IF(INDEX(Feiertagsregeln!$G$7:$G$480,MATCH($K227,Feiertagsregeln!$A$7:$A$480,0))="","Noch zu erfassen",INDEX(Feiertagsregeln!$G$7:$G$480,MATCH($K227,Feiertagsregeln!$A$7:$A$480,0)))</f>
        <v>Son Steffan</v>
      </c>
      <c r="I227" s="10" t="str">
        <f>INDEX(Feiertagsregeln!$H$7:$H$480,MATCH($K227,Feiertagsregeln!$A$7:$A$480,0))</f>
        <v>proceduralEquivalentDay</v>
      </c>
      <c r="J227" s="10" t="s">
        <v>69</v>
      </c>
      <c r="K227" s="10" t="s">
        <v>302</v>
      </c>
      <c r="L227" s="10" t="str">
        <f>INDEX(Feiertagsregeln!$Y$7:$Y$480,MATCH($K227,Feiertagsregeln!$A$7:$A$480,0))</f>
        <v>SRC-ZH-GOG-2111-N131</v>
      </c>
      <c r="M227" s="10" t="str">
        <f>INDEX(Feiertagsregeln!$Z$7:$Z$480,MATCH($K227,Feiertagsregeln!$A$7:$A$480,0))</f>
        <v>§ 122</v>
      </c>
      <c r="N227" s="10" t="s">
        <v>193</v>
      </c>
      <c r="O227" s="10" t="str">
        <f>INDEX(Feiertagsregeln!$AA$7:$AA$480,MATCH($K227,Feiertagsregeln!$A$7:$A$480,0))</f>
        <v>Ganztägig</v>
      </c>
    </row>
    <row r="228" spans="1:15" ht="44" customHeight="1">
      <c r="A228" s="15">
        <f>INDEX(Feiertagsregeln!$X$7:$X$480,MATCH($K228,Feiertagsregeln!$A$7:$A$480,0))</f>
        <v>46874</v>
      </c>
      <c r="B228" s="11" t="str">
        <f t="shared" si="3"/>
        <v>Montag</v>
      </c>
      <c r="C228" s="11" t="s">
        <v>280</v>
      </c>
      <c r="D228" s="11" t="s">
        <v>294</v>
      </c>
      <c r="E228" s="11" t="str">
        <f>INDEX(Feiertagsregeln!$D$7:$D$480,MATCH($K228,Feiertagsregeln!$A$7:$A$480,0))</f>
        <v>Tag der Arbeit (1. Mai)</v>
      </c>
      <c r="F228" s="11" t="str">
        <f>INDEX(Feiertagsregeln!$E$7:$E$480,MATCH($K228,Feiertagsregeln!$A$7:$A$480,0))</f>
        <v>Fête du travail (1er mai)</v>
      </c>
      <c r="G228" s="22" t="str">
        <f>IF(INDEX(Feiertagsregeln!$F$7:$F$480,MATCH($K228,Feiertagsregeln!$A$7:$A$480,0))="","Noch zu erfassen",INDEX(Feiertagsregeln!$F$7:$F$480,MATCH($K228,Feiertagsregeln!$A$7:$A$480,0)))</f>
        <v>Primo maggio</v>
      </c>
      <c r="H228" s="22" t="str">
        <f>IF(INDEX(Feiertagsregeln!$G$7:$G$480,MATCH($K228,Feiertagsregeln!$A$7:$A$480,0))="","Noch zu erfassen",INDEX(Feiertagsregeln!$G$7:$G$480,MATCH($K228,Feiertagsregeln!$A$7:$A$480,0)))</f>
        <v>Di da la lavur (1. da matg)</v>
      </c>
      <c r="I228" s="11" t="str">
        <f>INDEX(Feiertagsregeln!$H$7:$H$480,MATCH($K228,Feiertagsregeln!$A$7:$A$480,0))</f>
        <v>proceduralEquivalentDay</v>
      </c>
      <c r="J228" s="11" t="s">
        <v>69</v>
      </c>
      <c r="K228" s="11" t="s">
        <v>303</v>
      </c>
      <c r="L228" s="11" t="str">
        <f>INDEX(Feiertagsregeln!$Y$7:$Y$480,MATCH($K228,Feiertagsregeln!$A$7:$A$480,0))</f>
        <v>SRC-ZH-GOG-2111-N131</v>
      </c>
      <c r="M228" s="11" t="str">
        <f>INDEX(Feiertagsregeln!$Z$7:$Z$480,MATCH($K228,Feiertagsregeln!$A$7:$A$480,0))</f>
        <v>§ 122</v>
      </c>
      <c r="N228" s="11" t="s">
        <v>193</v>
      </c>
      <c r="O228" s="11" t="str">
        <f>INDEX(Feiertagsregeln!$AA$7:$AA$480,MATCH($K228,Feiertagsregeln!$A$7:$A$480,0))</f>
        <v>Ganztägig</v>
      </c>
    </row>
    <row r="229" spans="1:15" ht="44" customHeight="1">
      <c r="A229" s="14">
        <f>INDEX(Feiertagsregeln!$X$7:$X$480,MATCH($K229,Feiertagsregeln!$A$7:$A$480,0))</f>
        <v>46754</v>
      </c>
      <c r="B229" s="10" t="str">
        <f t="shared" si="3"/>
        <v>Sonntag</v>
      </c>
      <c r="C229" s="10" t="s">
        <v>280</v>
      </c>
      <c r="D229" s="10" t="s">
        <v>294</v>
      </c>
      <c r="E229" s="10" t="str">
        <f>INDEX(Feiertagsregeln!$D$7:$D$480,MATCH($K229,Feiertagsregeln!$A$7:$A$480,0))</f>
        <v>Berchtoldstag</v>
      </c>
      <c r="F229" s="10" t="str">
        <f>INDEX(Feiertagsregeln!$E$7:$E$480,MATCH($K229,Feiertagsregeln!$A$7:$A$480,0))</f>
        <v>Saint-Berchtold</v>
      </c>
      <c r="G229" s="21" t="str">
        <f>IF(INDEX(Feiertagsregeln!$F$7:$F$480,MATCH($K229,Feiertagsregeln!$A$7:$A$480,0))="","Noch zu erfassen",INDEX(Feiertagsregeln!$F$7:$F$480,MATCH($K229,Feiertagsregeln!$A$7:$A$480,0)))</f>
        <v>Giorno di Berchtold</v>
      </c>
      <c r="H229" s="21" t="str">
        <f>IF(INDEX(Feiertagsregeln!$G$7:$G$480,MATCH($K229,Feiertagsregeln!$A$7:$A$480,0))="","Noch zu erfassen",INDEX(Feiertagsregeln!$G$7:$G$480,MATCH($K229,Feiertagsregeln!$A$7:$A$480,0)))</f>
        <v>Di da Berchtold</v>
      </c>
      <c r="I229" s="10" t="str">
        <f>INDEX(Feiertagsregeln!$H$7:$H$480,MATCH($K229,Feiertagsregeln!$A$7:$A$480,0))</f>
        <v>proceduralEquivalentDay</v>
      </c>
      <c r="J229" s="10" t="s">
        <v>69</v>
      </c>
      <c r="K229" s="10" t="s">
        <v>304</v>
      </c>
      <c r="L229" s="10" t="str">
        <f>INDEX(Feiertagsregeln!$Y$7:$Y$480,MATCH($K229,Feiertagsregeln!$A$7:$A$480,0))</f>
        <v>SRC-ZH-GOG-2111-N131</v>
      </c>
      <c r="M229" s="10" t="str">
        <f>INDEX(Feiertagsregeln!$Z$7:$Z$480,MATCH($K229,Feiertagsregeln!$A$7:$A$480,0))</f>
        <v>§ 122</v>
      </c>
      <c r="N229" s="10" t="s">
        <v>193</v>
      </c>
      <c r="O229" s="10" t="str">
        <f>INDEX(Feiertagsregeln!$AA$7:$AA$480,MATCH($K229,Feiertagsregeln!$A$7:$A$480,0))</f>
        <v>Ganztägig</v>
      </c>
    </row>
    <row r="230" spans="1:15" ht="44" customHeight="1">
      <c r="A230" s="15">
        <f>INDEX(Feiertagsregeln!$X$7:$X$480,MATCH($K230,Feiertagsregeln!$A$7:$A$480,0))</f>
        <v>46753</v>
      </c>
      <c r="B230" s="11" t="str">
        <f t="shared" si="3"/>
        <v>Samstag</v>
      </c>
      <c r="C230" s="11" t="s">
        <v>305</v>
      </c>
      <c r="D230" s="11" t="s">
        <v>306</v>
      </c>
      <c r="E230" s="11" t="str">
        <f>INDEX(Feiertagsregeln!$D$7:$D$480,MATCH($K230,Feiertagsregeln!$A$7:$A$480,0))</f>
        <v>Neujahr</v>
      </c>
      <c r="F230" s="11" t="str">
        <f>INDEX(Feiertagsregeln!$E$7:$E$480,MATCH($K230,Feiertagsregeln!$A$7:$A$480,0))</f>
        <v>Nouvel An</v>
      </c>
      <c r="G230" s="22" t="str">
        <f>IF(INDEX(Feiertagsregeln!$F$7:$F$480,MATCH($K230,Feiertagsregeln!$A$7:$A$480,0))="","Noch zu erfassen",INDEX(Feiertagsregeln!$F$7:$F$480,MATCH($K230,Feiertagsregeln!$A$7:$A$480,0)))</f>
        <v>Capo d’anno</v>
      </c>
      <c r="H230" s="22" t="str">
        <f>IF(INDEX(Feiertagsregeln!$G$7:$G$480,MATCH($K230,Feiertagsregeln!$A$7:$A$480,0))="","Noch zu erfassen",INDEX(Feiertagsregeln!$G$7:$G$480,MATCH($K230,Feiertagsregeln!$A$7:$A$480,0)))</f>
        <v>Bumaun</v>
      </c>
      <c r="I230" s="11" t="str">
        <f>INDEX(Feiertagsregeln!$H$7:$H$480,MATCH($K230,Feiertagsregeln!$A$7:$A$480,0))</f>
        <v>publicHoliday</v>
      </c>
      <c r="J230" s="11" t="s">
        <v>69</v>
      </c>
      <c r="K230" s="11" t="s">
        <v>307</v>
      </c>
      <c r="L230" s="11" t="str">
        <f>INDEX(Feiertagsregeln!$Y$7:$Y$480,MATCH($K230,Feiertagsregeln!$A$7:$A$480,0))</f>
        <v>SRC-SH-RTG-900200-V1886</v>
      </c>
      <c r="M230" s="11" t="str">
        <f>INDEX(Feiertagsregeln!$Z$7:$Z$480,MATCH($K230,Feiertagsregeln!$A$7:$A$480,0))</f>
        <v>Art. 1 Abs. 1 und Art. 2</v>
      </c>
      <c r="N230" s="11" t="s">
        <v>193</v>
      </c>
      <c r="O230" s="11" t="str">
        <f>INDEX(Feiertagsregeln!$AA$7:$AA$480,MATCH($K230,Feiertagsregeln!$A$7:$A$480,0))</f>
        <v>Ganztägig</v>
      </c>
    </row>
    <row r="231" spans="1:15" ht="44" customHeight="1">
      <c r="A231" s="14">
        <f>INDEX(Feiertagsregeln!$X$7:$X$480,MATCH($K231,Feiertagsregeln!$A$7:$A$480,0))</f>
        <v>46857</v>
      </c>
      <c r="B231" s="10" t="str">
        <f t="shared" si="3"/>
        <v>Freitag</v>
      </c>
      <c r="C231" s="10" t="s">
        <v>305</v>
      </c>
      <c r="D231" s="10" t="s">
        <v>306</v>
      </c>
      <c r="E231" s="10" t="str">
        <f>INDEX(Feiertagsregeln!$D$7:$D$480,MATCH($K231,Feiertagsregeln!$A$7:$A$480,0))</f>
        <v>Karfreitag</v>
      </c>
      <c r="F231" s="10" t="str">
        <f>INDEX(Feiertagsregeln!$E$7:$E$480,MATCH($K231,Feiertagsregeln!$A$7:$A$480,0))</f>
        <v>Vendredi saint</v>
      </c>
      <c r="G231" s="21" t="str">
        <f>IF(INDEX(Feiertagsregeln!$F$7:$F$480,MATCH($K231,Feiertagsregeln!$A$7:$A$480,0))="","Noch zu erfassen",INDEX(Feiertagsregeln!$F$7:$F$480,MATCH($K231,Feiertagsregeln!$A$7:$A$480,0)))</f>
        <v>Venerdì Santo</v>
      </c>
      <c r="H231" s="21" t="str">
        <f>IF(INDEX(Feiertagsregeln!$G$7:$G$480,MATCH($K231,Feiertagsregeln!$A$7:$A$480,0))="","Noch zu erfassen",INDEX(Feiertagsregeln!$G$7:$G$480,MATCH($K231,Feiertagsregeln!$A$7:$A$480,0)))</f>
        <v>Venderdi sontg</v>
      </c>
      <c r="I231" s="10" t="str">
        <f>INDEX(Feiertagsregeln!$H$7:$H$480,MATCH($K231,Feiertagsregeln!$A$7:$A$480,0))</f>
        <v>publicHoliday</v>
      </c>
      <c r="J231" s="10" t="s">
        <v>69</v>
      </c>
      <c r="K231" s="10" t="s">
        <v>308</v>
      </c>
      <c r="L231" s="10" t="str">
        <f>INDEX(Feiertagsregeln!$Y$7:$Y$480,MATCH($K231,Feiertagsregeln!$A$7:$A$480,0))</f>
        <v>SRC-SH-RTG-900200-V1886</v>
      </c>
      <c r="M231" s="10" t="str">
        <f>INDEX(Feiertagsregeln!$Z$7:$Z$480,MATCH($K231,Feiertagsregeln!$A$7:$A$480,0))</f>
        <v>Art. 1 Abs. 1 und Art. 2</v>
      </c>
      <c r="N231" s="10" t="s">
        <v>193</v>
      </c>
      <c r="O231" s="10" t="str">
        <f>INDEX(Feiertagsregeln!$AA$7:$AA$480,MATCH($K231,Feiertagsregeln!$A$7:$A$480,0))</f>
        <v>Ganztägig</v>
      </c>
    </row>
    <row r="232" spans="1:15" ht="44" customHeight="1">
      <c r="A232" s="15">
        <f>INDEX(Feiertagsregeln!$X$7:$X$480,MATCH($K232,Feiertagsregeln!$A$7:$A$480,0))</f>
        <v>46860</v>
      </c>
      <c r="B232" s="11" t="str">
        <f t="shared" si="3"/>
        <v>Montag</v>
      </c>
      <c r="C232" s="11" t="s">
        <v>305</v>
      </c>
      <c r="D232" s="11" t="s">
        <v>306</v>
      </c>
      <c r="E232" s="11" t="str">
        <f>INDEX(Feiertagsregeln!$D$7:$D$480,MATCH($K232,Feiertagsregeln!$A$7:$A$480,0))</f>
        <v>Ostermontag</v>
      </c>
      <c r="F232" s="11" t="str">
        <f>INDEX(Feiertagsregeln!$E$7:$E$480,MATCH($K232,Feiertagsregeln!$A$7:$A$480,0))</f>
        <v>Lundi de Pâques</v>
      </c>
      <c r="G232" s="22" t="str">
        <f>IF(INDEX(Feiertagsregeln!$F$7:$F$480,MATCH($K232,Feiertagsregeln!$A$7:$A$480,0))="","Noch zu erfassen",INDEX(Feiertagsregeln!$F$7:$F$480,MATCH($K232,Feiertagsregeln!$A$7:$A$480,0)))</f>
        <v>Lunedì di Pasqua</v>
      </c>
      <c r="H232" s="22" t="str">
        <f>IF(INDEX(Feiertagsregeln!$G$7:$G$480,MATCH($K232,Feiertagsregeln!$A$7:$A$480,0))="","Noch zu erfassen",INDEX(Feiertagsregeln!$G$7:$G$480,MATCH($K232,Feiertagsregeln!$A$7:$A$480,0)))</f>
        <v>Glindesdi da Pasca</v>
      </c>
      <c r="I232" s="11" t="str">
        <f>INDEX(Feiertagsregeln!$H$7:$H$480,MATCH($K232,Feiertagsregeln!$A$7:$A$480,0))</f>
        <v>publicHoliday</v>
      </c>
      <c r="J232" s="11" t="s">
        <v>69</v>
      </c>
      <c r="K232" s="11" t="s">
        <v>309</v>
      </c>
      <c r="L232" s="11" t="str">
        <f>INDEX(Feiertagsregeln!$Y$7:$Y$480,MATCH($K232,Feiertagsregeln!$A$7:$A$480,0))</f>
        <v>SRC-SH-RTG-900200-V1886</v>
      </c>
      <c r="M232" s="11" t="str">
        <f>INDEX(Feiertagsregeln!$Z$7:$Z$480,MATCH($K232,Feiertagsregeln!$A$7:$A$480,0))</f>
        <v>Art. 1 Abs. 1 und Art. 2</v>
      </c>
      <c r="N232" s="11" t="s">
        <v>193</v>
      </c>
      <c r="O232" s="11" t="str">
        <f>INDEX(Feiertagsregeln!$AA$7:$AA$480,MATCH($K232,Feiertagsregeln!$A$7:$A$480,0))</f>
        <v>Ganztägig</v>
      </c>
    </row>
    <row r="233" spans="1:15" ht="44" customHeight="1">
      <c r="A233" s="14">
        <f>INDEX(Feiertagsregeln!$X$7:$X$480,MATCH($K233,Feiertagsregeln!$A$7:$A$480,0))</f>
        <v>46898</v>
      </c>
      <c r="B233" s="10" t="str">
        <f t="shared" si="3"/>
        <v>Donnerstag</v>
      </c>
      <c r="C233" s="10" t="s">
        <v>305</v>
      </c>
      <c r="D233" s="10" t="s">
        <v>306</v>
      </c>
      <c r="E233" s="10" t="str">
        <f>INDEX(Feiertagsregeln!$D$7:$D$480,MATCH($K233,Feiertagsregeln!$A$7:$A$480,0))</f>
        <v>Auffahrt</v>
      </c>
      <c r="F233" s="10" t="str">
        <f>INDEX(Feiertagsregeln!$E$7:$E$480,MATCH($K233,Feiertagsregeln!$A$7:$A$480,0))</f>
        <v>Ascension</v>
      </c>
      <c r="G233" s="21" t="str">
        <f>IF(INDEX(Feiertagsregeln!$F$7:$F$480,MATCH($K233,Feiertagsregeln!$A$7:$A$480,0))="","Noch zu erfassen",INDEX(Feiertagsregeln!$F$7:$F$480,MATCH($K233,Feiertagsregeln!$A$7:$A$480,0)))</f>
        <v>Ascensione</v>
      </c>
      <c r="H233" s="21" t="str">
        <f>IF(INDEX(Feiertagsregeln!$G$7:$G$480,MATCH($K233,Feiertagsregeln!$A$7:$A$480,0))="","Noch zu erfassen",INDEX(Feiertagsregeln!$G$7:$G$480,MATCH($K233,Feiertagsregeln!$A$7:$A$480,0)))</f>
        <v>Ascensiun</v>
      </c>
      <c r="I233" s="10" t="str">
        <f>INDEX(Feiertagsregeln!$H$7:$H$480,MATCH($K233,Feiertagsregeln!$A$7:$A$480,0))</f>
        <v>publicHoliday</v>
      </c>
      <c r="J233" s="10" t="s">
        <v>69</v>
      </c>
      <c r="K233" s="10" t="s">
        <v>310</v>
      </c>
      <c r="L233" s="10" t="str">
        <f>INDEX(Feiertagsregeln!$Y$7:$Y$480,MATCH($K233,Feiertagsregeln!$A$7:$A$480,0))</f>
        <v>SRC-SH-RTG-900200-V1886</v>
      </c>
      <c r="M233" s="10" t="str">
        <f>INDEX(Feiertagsregeln!$Z$7:$Z$480,MATCH($K233,Feiertagsregeln!$A$7:$A$480,0))</f>
        <v>Art. 1 Abs. 1 und Art. 2</v>
      </c>
      <c r="N233" s="10" t="s">
        <v>193</v>
      </c>
      <c r="O233" s="10" t="str">
        <f>INDEX(Feiertagsregeln!$AA$7:$AA$480,MATCH($K233,Feiertagsregeln!$A$7:$A$480,0))</f>
        <v>Ganztägig</v>
      </c>
    </row>
    <row r="234" spans="1:15" ht="44" customHeight="1">
      <c r="A234" s="15">
        <f>INDEX(Feiertagsregeln!$X$7:$X$480,MATCH($K234,Feiertagsregeln!$A$7:$A$480,0))</f>
        <v>46909</v>
      </c>
      <c r="B234" s="11" t="str">
        <f t="shared" si="3"/>
        <v>Montag</v>
      </c>
      <c r="C234" s="11" t="s">
        <v>305</v>
      </c>
      <c r="D234" s="11" t="s">
        <v>306</v>
      </c>
      <c r="E234" s="11" t="str">
        <f>INDEX(Feiertagsregeln!$D$7:$D$480,MATCH($K234,Feiertagsregeln!$A$7:$A$480,0))</f>
        <v>Pfingstmontag</v>
      </c>
      <c r="F234" s="11" t="str">
        <f>INDEX(Feiertagsregeln!$E$7:$E$480,MATCH($K234,Feiertagsregeln!$A$7:$A$480,0))</f>
        <v>Lundi de Pentecôte</v>
      </c>
      <c r="G234" s="22" t="str">
        <f>IF(INDEX(Feiertagsregeln!$F$7:$F$480,MATCH($K234,Feiertagsregeln!$A$7:$A$480,0))="","Noch zu erfassen",INDEX(Feiertagsregeln!$F$7:$F$480,MATCH($K234,Feiertagsregeln!$A$7:$A$480,0)))</f>
        <v>Lunedì di Pentecoste</v>
      </c>
      <c r="H234" s="22" t="str">
        <f>IF(INDEX(Feiertagsregeln!$G$7:$G$480,MATCH($K234,Feiertagsregeln!$A$7:$A$480,0))="","Noch zu erfassen",INDEX(Feiertagsregeln!$G$7:$G$480,MATCH($K234,Feiertagsregeln!$A$7:$A$480,0)))</f>
        <v>Glindesdi da Tschuncaisma</v>
      </c>
      <c r="I234" s="11" t="str">
        <f>INDEX(Feiertagsregeln!$H$7:$H$480,MATCH($K234,Feiertagsregeln!$A$7:$A$480,0))</f>
        <v>publicHoliday</v>
      </c>
      <c r="J234" s="11" t="s">
        <v>69</v>
      </c>
      <c r="K234" s="11" t="s">
        <v>311</v>
      </c>
      <c r="L234" s="11" t="str">
        <f>INDEX(Feiertagsregeln!$Y$7:$Y$480,MATCH($K234,Feiertagsregeln!$A$7:$A$480,0))</f>
        <v>SRC-SH-RTG-900200-V1886</v>
      </c>
      <c r="M234" s="11" t="str">
        <f>INDEX(Feiertagsregeln!$Z$7:$Z$480,MATCH($K234,Feiertagsregeln!$A$7:$A$480,0))</f>
        <v>Art. 1 Abs. 1 und Art. 2</v>
      </c>
      <c r="N234" s="11" t="s">
        <v>193</v>
      </c>
      <c r="O234" s="11" t="str">
        <f>INDEX(Feiertagsregeln!$AA$7:$AA$480,MATCH($K234,Feiertagsregeln!$A$7:$A$480,0))</f>
        <v>Ganztägig</v>
      </c>
    </row>
    <row r="235" spans="1:15" ht="44" customHeight="1">
      <c r="A235" s="14">
        <f>INDEX(Feiertagsregeln!$X$7:$X$480,MATCH($K235,Feiertagsregeln!$A$7:$A$480,0))</f>
        <v>46966</v>
      </c>
      <c r="B235" s="10" t="str">
        <f t="shared" si="3"/>
        <v>Dienstag</v>
      </c>
      <c r="C235" s="10" t="s">
        <v>305</v>
      </c>
      <c r="D235" s="10" t="s">
        <v>306</v>
      </c>
      <c r="E235" s="10" t="str">
        <f>INDEX(Feiertagsregeln!$D$7:$D$480,MATCH($K235,Feiertagsregeln!$A$7:$A$480,0))</f>
        <v>Bundesfeiertag</v>
      </c>
      <c r="F235" s="10" t="str">
        <f>INDEX(Feiertagsregeln!$E$7:$E$480,MATCH($K235,Feiertagsregeln!$A$7:$A$480,0))</f>
        <v>Fête nationale</v>
      </c>
      <c r="G235" s="21" t="str">
        <f>IF(INDEX(Feiertagsregeln!$F$7:$F$480,MATCH($K235,Feiertagsregeln!$A$7:$A$480,0))="","Noch zu erfassen",INDEX(Feiertagsregeln!$F$7:$F$480,MATCH($K235,Feiertagsregeln!$A$7:$A$480,0)))</f>
        <v>Primo agosto</v>
      </c>
      <c r="H235" s="21" t="str">
        <f>IF(INDEX(Feiertagsregeln!$G$7:$G$480,MATCH($K235,Feiertagsregeln!$A$7:$A$480,0))="","Noch zu erfassen",INDEX(Feiertagsregeln!$G$7:$G$480,MATCH($K235,Feiertagsregeln!$A$7:$A$480,0)))</f>
        <v>Festa naziunala svizra</v>
      </c>
      <c r="I235" s="10" t="str">
        <f>INDEX(Feiertagsregeln!$H$7:$H$480,MATCH($K235,Feiertagsregeln!$A$7:$A$480,0))</f>
        <v>publicHoliday</v>
      </c>
      <c r="J235" s="10" t="s">
        <v>69</v>
      </c>
      <c r="K235" s="10" t="s">
        <v>312</v>
      </c>
      <c r="L235" s="10" t="str">
        <f>INDEX(Feiertagsregeln!$Y$7:$Y$480,MATCH($K235,Feiertagsregeln!$A$7:$A$480,0))</f>
        <v>SRC-BUNDESFEIERTAG-19940701</v>
      </c>
      <c r="M235" s="10" t="str">
        <f>INDEX(Feiertagsregeln!$Z$7:$Z$480,MATCH($K235,Feiertagsregeln!$A$7:$A$480,0))</f>
        <v>SR 116 Art. 1, offene Anwendung auf neues kantonales Profil</v>
      </c>
      <c r="N235" s="10" t="s">
        <v>193</v>
      </c>
      <c r="O235" s="10" t="str">
        <f>INDEX(Feiertagsregeln!$AA$7:$AA$480,MATCH($K235,Feiertagsregeln!$A$7:$A$480,0))</f>
        <v>Ganztägig</v>
      </c>
    </row>
    <row r="236" spans="1:15" ht="44" customHeight="1">
      <c r="A236" s="15">
        <f>INDEX(Feiertagsregeln!$X$7:$X$480,MATCH($K236,Feiertagsregeln!$A$7:$A$480,0))</f>
        <v>47112</v>
      </c>
      <c r="B236" s="11" t="str">
        <f t="shared" si="3"/>
        <v>Montag</v>
      </c>
      <c r="C236" s="11" t="s">
        <v>305</v>
      </c>
      <c r="D236" s="11" t="s">
        <v>306</v>
      </c>
      <c r="E236" s="11" t="str">
        <f>INDEX(Feiertagsregeln!$D$7:$D$480,MATCH($K236,Feiertagsregeln!$A$7:$A$480,0))</f>
        <v>Weihnachten</v>
      </c>
      <c r="F236" s="11" t="str">
        <f>INDEX(Feiertagsregeln!$E$7:$E$480,MATCH($K236,Feiertagsregeln!$A$7:$A$480,0))</f>
        <v>Noël</v>
      </c>
      <c r="G236" s="22" t="str">
        <f>IF(INDEX(Feiertagsregeln!$F$7:$F$480,MATCH($K236,Feiertagsregeln!$A$7:$A$480,0))="","Noch zu erfassen",INDEX(Feiertagsregeln!$F$7:$F$480,MATCH($K236,Feiertagsregeln!$A$7:$A$480,0)))</f>
        <v>Natale</v>
      </c>
      <c r="H236" s="22" t="str">
        <f>IF(INDEX(Feiertagsregeln!$G$7:$G$480,MATCH($K236,Feiertagsregeln!$A$7:$A$480,0))="","Noch zu erfassen",INDEX(Feiertagsregeln!$G$7:$G$480,MATCH($K236,Feiertagsregeln!$A$7:$A$480,0)))</f>
        <v>Di da Nadal</v>
      </c>
      <c r="I236" s="11" t="str">
        <f>INDEX(Feiertagsregeln!$H$7:$H$480,MATCH($K236,Feiertagsregeln!$A$7:$A$480,0))</f>
        <v>publicHoliday</v>
      </c>
      <c r="J236" s="11" t="s">
        <v>69</v>
      </c>
      <c r="K236" s="11" t="s">
        <v>313</v>
      </c>
      <c r="L236" s="11" t="str">
        <f>INDEX(Feiertagsregeln!$Y$7:$Y$480,MATCH($K236,Feiertagsregeln!$A$7:$A$480,0))</f>
        <v>SRC-SH-RTG-900200-V1886</v>
      </c>
      <c r="M236" s="11" t="str">
        <f>INDEX(Feiertagsregeln!$Z$7:$Z$480,MATCH($K236,Feiertagsregeln!$A$7:$A$480,0))</f>
        <v>Art. 1 Abs. 1 und Art. 2</v>
      </c>
      <c r="N236" s="11" t="s">
        <v>193</v>
      </c>
      <c r="O236" s="11" t="str">
        <f>INDEX(Feiertagsregeln!$AA$7:$AA$480,MATCH($K236,Feiertagsregeln!$A$7:$A$480,0))</f>
        <v>Ganztägig</v>
      </c>
    </row>
    <row r="237" spans="1:15" ht="44" customHeight="1">
      <c r="A237" s="14">
        <f>INDEX(Feiertagsregeln!$X$7:$X$480,MATCH($K237,Feiertagsregeln!$A$7:$A$480,0))</f>
        <v>47113</v>
      </c>
      <c r="B237" s="10" t="str">
        <f t="shared" si="3"/>
        <v>Dienstag</v>
      </c>
      <c r="C237" s="10" t="s">
        <v>305</v>
      </c>
      <c r="D237" s="10" t="s">
        <v>306</v>
      </c>
      <c r="E237" s="10" t="str">
        <f>INDEX(Feiertagsregeln!$D$7:$D$480,MATCH($K237,Feiertagsregeln!$A$7:$A$480,0))</f>
        <v>Stephanstag</v>
      </c>
      <c r="F237" s="10" t="str">
        <f>INDEX(Feiertagsregeln!$E$7:$E$480,MATCH($K237,Feiertagsregeln!$A$7:$A$480,0))</f>
        <v>Saint-Étienne</v>
      </c>
      <c r="G237" s="21" t="str">
        <f>IF(INDEX(Feiertagsregeln!$F$7:$F$480,MATCH($K237,Feiertagsregeln!$A$7:$A$480,0))="","Noch zu erfassen",INDEX(Feiertagsregeln!$F$7:$F$480,MATCH($K237,Feiertagsregeln!$A$7:$A$480,0)))</f>
        <v>Santo Stefano</v>
      </c>
      <c r="H237" s="21" t="str">
        <f>IF(INDEX(Feiertagsregeln!$G$7:$G$480,MATCH($K237,Feiertagsregeln!$A$7:$A$480,0))="","Noch zu erfassen",INDEX(Feiertagsregeln!$G$7:$G$480,MATCH($K237,Feiertagsregeln!$A$7:$A$480,0)))</f>
        <v>Son Steffan</v>
      </c>
      <c r="I237" s="10" t="str">
        <f>INDEX(Feiertagsregeln!$H$7:$H$480,MATCH($K237,Feiertagsregeln!$A$7:$A$480,0))</f>
        <v>publicHoliday</v>
      </c>
      <c r="J237" s="10" t="s">
        <v>69</v>
      </c>
      <c r="K237" s="10" t="s">
        <v>314</v>
      </c>
      <c r="L237" s="10" t="str">
        <f>INDEX(Feiertagsregeln!$Y$7:$Y$480,MATCH($K237,Feiertagsregeln!$A$7:$A$480,0))</f>
        <v>SRC-SH-RTG-900200-V1886</v>
      </c>
      <c r="M237" s="10" t="str">
        <f>INDEX(Feiertagsregeln!$Z$7:$Z$480,MATCH($K237,Feiertagsregeln!$A$7:$A$480,0))</f>
        <v>Art. 1 Abs. 1 und Art. 2</v>
      </c>
      <c r="N237" s="10" t="s">
        <v>193</v>
      </c>
      <c r="O237" s="10" t="str">
        <f>INDEX(Feiertagsregeln!$AA$7:$AA$480,MATCH($K237,Feiertagsregeln!$A$7:$A$480,0))</f>
        <v>Ganztägig</v>
      </c>
    </row>
    <row r="238" spans="1:15" ht="44" customHeight="1">
      <c r="A238" s="15">
        <f>INDEX(Feiertagsregeln!$X$7:$X$480,MATCH($K238,Feiertagsregeln!$A$7:$A$480,0))</f>
        <v>46874</v>
      </c>
      <c r="B238" s="11" t="str">
        <f t="shared" si="3"/>
        <v>Montag</v>
      </c>
      <c r="C238" s="11" t="s">
        <v>305</v>
      </c>
      <c r="D238" s="11" t="s">
        <v>306</v>
      </c>
      <c r="E238" s="11" t="str">
        <f>INDEX(Feiertagsregeln!$D$7:$D$480,MATCH($K238,Feiertagsregeln!$A$7:$A$480,0))</f>
        <v>Tag der Arbeit (1. Mai)</v>
      </c>
      <c r="F238" s="11" t="str">
        <f>INDEX(Feiertagsregeln!$E$7:$E$480,MATCH($K238,Feiertagsregeln!$A$7:$A$480,0))</f>
        <v>Fête du travail (1er mai)</v>
      </c>
      <c r="G238" s="22" t="str">
        <f>IF(INDEX(Feiertagsregeln!$F$7:$F$480,MATCH($K238,Feiertagsregeln!$A$7:$A$480,0))="","Noch zu erfassen",INDEX(Feiertagsregeln!$F$7:$F$480,MATCH($K238,Feiertagsregeln!$A$7:$A$480,0)))</f>
        <v>Primo maggio</v>
      </c>
      <c r="H238" s="22" t="str">
        <f>IF(INDEX(Feiertagsregeln!$G$7:$G$480,MATCH($K238,Feiertagsregeln!$A$7:$A$480,0))="","Noch zu erfassen",INDEX(Feiertagsregeln!$G$7:$G$480,MATCH($K238,Feiertagsregeln!$A$7:$A$480,0)))</f>
        <v>Di da la lavur (1. da matg)</v>
      </c>
      <c r="I238" s="11" t="str">
        <f>INDEX(Feiertagsregeln!$H$7:$H$480,MATCH($K238,Feiertagsregeln!$A$7:$A$480,0))</f>
        <v>publicHoliday</v>
      </c>
      <c r="J238" s="11" t="s">
        <v>69</v>
      </c>
      <c r="K238" s="11" t="s">
        <v>315</v>
      </c>
      <c r="L238" s="11" t="str">
        <f>INDEX(Feiertagsregeln!$Y$7:$Y$480,MATCH($K238,Feiertagsregeln!$A$7:$A$480,0))</f>
        <v>SRC-SH-RTG-900200-V1886</v>
      </c>
      <c r="M238" s="11" t="str">
        <f>INDEX(Feiertagsregeln!$Z$7:$Z$480,MATCH($K238,Feiertagsregeln!$A$7:$A$480,0))</f>
        <v>Art. 1 Abs. 1 und Art. 2</v>
      </c>
      <c r="N238" s="11" t="s">
        <v>193</v>
      </c>
      <c r="O238" s="11" t="str">
        <f>INDEX(Feiertagsregeln!$AA$7:$AA$480,MATCH($K238,Feiertagsregeln!$A$7:$A$480,0))</f>
        <v>Ganztägig</v>
      </c>
    </row>
    <row r="239" spans="1:15" ht="44" customHeight="1">
      <c r="A239" s="14">
        <f>INDEX(Feiertagsregeln!$X$7:$X$480,MATCH($K239,Feiertagsregeln!$A$7:$A$480,0))</f>
        <v>46859</v>
      </c>
      <c r="B239" s="10" t="str">
        <f t="shared" si="3"/>
        <v>Sonntag</v>
      </c>
      <c r="C239" s="10" t="s">
        <v>305</v>
      </c>
      <c r="D239" s="10" t="s">
        <v>306</v>
      </c>
      <c r="E239" s="10" t="str">
        <f>INDEX(Feiertagsregeln!$D$7:$D$480,MATCH($K239,Feiertagsregeln!$A$7:$A$480,0))</f>
        <v>Ostern</v>
      </c>
      <c r="F239" s="10" t="str">
        <f>INDEX(Feiertagsregeln!$E$7:$E$480,MATCH($K239,Feiertagsregeln!$A$7:$A$480,0))</f>
        <v>Pâques</v>
      </c>
      <c r="G239" s="21" t="str">
        <f>IF(INDEX(Feiertagsregeln!$F$7:$F$480,MATCH($K239,Feiertagsregeln!$A$7:$A$480,0))="","Noch zu erfassen",INDEX(Feiertagsregeln!$F$7:$F$480,MATCH($K239,Feiertagsregeln!$A$7:$A$480,0)))</f>
        <v>Domenica di Pasqua</v>
      </c>
      <c r="H239" s="21" t="str">
        <f>IF(INDEX(Feiertagsregeln!$G$7:$G$480,MATCH($K239,Feiertagsregeln!$A$7:$A$480,0))="","Noch zu erfassen",INDEX(Feiertagsregeln!$G$7:$G$480,MATCH($K239,Feiertagsregeln!$A$7:$A$480,0)))</f>
        <v>Dumengia da Pasca</v>
      </c>
      <c r="I239" s="10" t="str">
        <f>INDEX(Feiertagsregeln!$H$7:$H$480,MATCH($K239,Feiertagsregeln!$A$7:$A$480,0))</f>
        <v>publicHoliday</v>
      </c>
      <c r="J239" s="10" t="s">
        <v>69</v>
      </c>
      <c r="K239" s="10" t="s">
        <v>316</v>
      </c>
      <c r="L239" s="10" t="str">
        <f>INDEX(Feiertagsregeln!$Y$7:$Y$480,MATCH($K239,Feiertagsregeln!$A$7:$A$480,0))</f>
        <v>SRC-SH-RTG-900200-V1886</v>
      </c>
      <c r="M239" s="10" t="str">
        <f>INDEX(Feiertagsregeln!$Z$7:$Z$480,MATCH($K239,Feiertagsregeln!$A$7:$A$480,0))</f>
        <v>Art. 1 Abs. 1 und Art. 2</v>
      </c>
      <c r="N239" s="10" t="s">
        <v>193</v>
      </c>
      <c r="O239" s="10" t="str">
        <f>INDEX(Feiertagsregeln!$AA$7:$AA$480,MATCH($K239,Feiertagsregeln!$A$7:$A$480,0))</f>
        <v>Ganztägig</v>
      </c>
    </row>
    <row r="240" spans="1:15" ht="44" customHeight="1">
      <c r="A240" s="15">
        <f>INDEX(Feiertagsregeln!$X$7:$X$480,MATCH($K240,Feiertagsregeln!$A$7:$A$480,0))</f>
        <v>46908</v>
      </c>
      <c r="B240" s="11" t="str">
        <f t="shared" si="3"/>
        <v>Sonntag</v>
      </c>
      <c r="C240" s="11" t="s">
        <v>305</v>
      </c>
      <c r="D240" s="11" t="s">
        <v>306</v>
      </c>
      <c r="E240" s="11" t="str">
        <f>INDEX(Feiertagsregeln!$D$7:$D$480,MATCH($K240,Feiertagsregeln!$A$7:$A$480,0))</f>
        <v>Pfingsten</v>
      </c>
      <c r="F240" s="11" t="str">
        <f>INDEX(Feiertagsregeln!$E$7:$E$480,MATCH($K240,Feiertagsregeln!$A$7:$A$480,0))</f>
        <v>Pentecôte</v>
      </c>
      <c r="G240" s="22" t="str">
        <f>IF(INDEX(Feiertagsregeln!$F$7:$F$480,MATCH($K240,Feiertagsregeln!$A$7:$A$480,0))="","Noch zu erfassen",INDEX(Feiertagsregeln!$F$7:$F$480,MATCH($K240,Feiertagsregeln!$A$7:$A$480,0)))</f>
        <v>Domenica di Pentecoste</v>
      </c>
      <c r="H240" s="22" t="str">
        <f>IF(INDEX(Feiertagsregeln!$G$7:$G$480,MATCH($K240,Feiertagsregeln!$A$7:$A$480,0))="","Noch zu erfassen",INDEX(Feiertagsregeln!$G$7:$G$480,MATCH($K240,Feiertagsregeln!$A$7:$A$480,0)))</f>
        <v>Dumengia da Tschuncaisma</v>
      </c>
      <c r="I240" s="11" t="str">
        <f>INDEX(Feiertagsregeln!$H$7:$H$480,MATCH($K240,Feiertagsregeln!$A$7:$A$480,0))</f>
        <v>publicHoliday</v>
      </c>
      <c r="J240" s="11" t="s">
        <v>69</v>
      </c>
      <c r="K240" s="11" t="s">
        <v>317</v>
      </c>
      <c r="L240" s="11" t="str">
        <f>INDEX(Feiertagsregeln!$Y$7:$Y$480,MATCH($K240,Feiertagsregeln!$A$7:$A$480,0))</f>
        <v>SRC-SH-RTG-900200-V1886</v>
      </c>
      <c r="M240" s="11" t="str">
        <f>INDEX(Feiertagsregeln!$Z$7:$Z$480,MATCH($K240,Feiertagsregeln!$A$7:$A$480,0))</f>
        <v>Art. 1 Abs. 1 und Art. 2</v>
      </c>
      <c r="N240" s="11" t="s">
        <v>193</v>
      </c>
      <c r="O240" s="11" t="str">
        <f>INDEX(Feiertagsregeln!$AA$7:$AA$480,MATCH($K240,Feiertagsregeln!$A$7:$A$480,0))</f>
        <v>Ganztägig</v>
      </c>
    </row>
    <row r="241" spans="1:15" ht="44" customHeight="1">
      <c r="A241" s="14">
        <f>INDEX(Feiertagsregeln!$X$7:$X$480,MATCH($K241,Feiertagsregeln!$A$7:$A$480,0))</f>
        <v>47013</v>
      </c>
      <c r="B241" s="10" t="str">
        <f t="shared" si="3"/>
        <v>Sonntag</v>
      </c>
      <c r="C241" s="10" t="s">
        <v>305</v>
      </c>
      <c r="D241" s="10" t="s">
        <v>306</v>
      </c>
      <c r="E241" s="10" t="str">
        <f>INDEX(Feiertagsregeln!$D$7:$D$480,MATCH($K241,Feiertagsregeln!$A$7:$A$480,0))</f>
        <v>Eidgenössischer Dank-, Buss- und Bettag</v>
      </c>
      <c r="F241" s="10" t="str">
        <f>INDEX(Feiertagsregeln!$E$7:$E$480,MATCH($K241,Feiertagsregeln!$A$7:$A$480,0))</f>
        <v>Jeûne fédéral</v>
      </c>
      <c r="G241" s="21" t="str">
        <f>IF(INDEX(Feiertagsregeln!$F$7:$F$480,MATCH($K241,Feiertagsregeln!$A$7:$A$480,0))="","Noch zu erfassen",INDEX(Feiertagsregeln!$F$7:$F$480,MATCH($K241,Feiertagsregeln!$A$7:$A$480,0)))</f>
        <v>Festa federale di preghiera</v>
      </c>
      <c r="H241" s="21" t="str">
        <f>IF(INDEX(Feiertagsregeln!$G$7:$G$480,MATCH($K241,Feiertagsregeln!$A$7:$A$480,0))="","Noch zu erfassen",INDEX(Feiertagsregeln!$G$7:$G$480,MATCH($K241,Feiertagsregeln!$A$7:$A$480,0)))</f>
        <v>Di da la rogaziun federala</v>
      </c>
      <c r="I241" s="10" t="str">
        <f>INDEX(Feiertagsregeln!$H$7:$H$480,MATCH($K241,Feiertagsregeln!$A$7:$A$480,0))</f>
        <v>publicHoliday</v>
      </c>
      <c r="J241" s="10" t="s">
        <v>69</v>
      </c>
      <c r="K241" s="10" t="s">
        <v>318</v>
      </c>
      <c r="L241" s="10" t="str">
        <f>INDEX(Feiertagsregeln!$Y$7:$Y$480,MATCH($K241,Feiertagsregeln!$A$7:$A$480,0))</f>
        <v>SRC-SH-RTG-900200-V1886</v>
      </c>
      <c r="M241" s="10" t="str">
        <f>INDEX(Feiertagsregeln!$Z$7:$Z$480,MATCH($K241,Feiertagsregeln!$A$7:$A$480,0))</f>
        <v>Art. 1 Abs. 1 und Art. 2</v>
      </c>
      <c r="N241" s="10" t="s">
        <v>193</v>
      </c>
      <c r="O241" s="10" t="str">
        <f>INDEX(Feiertagsregeln!$AA$7:$AA$480,MATCH($K241,Feiertagsregeln!$A$7:$A$480,0))</f>
        <v>Ganztägig</v>
      </c>
    </row>
    <row r="242" spans="1:15" ht="44" customHeight="1">
      <c r="A242" s="15">
        <f>INDEX(Feiertagsregeln!$X$7:$X$480,MATCH($K242,Feiertagsregeln!$A$7:$A$480,0))</f>
        <v>46754</v>
      </c>
      <c r="B242" s="11" t="str">
        <f t="shared" si="3"/>
        <v>Sonntag</v>
      </c>
      <c r="C242" s="11" t="s">
        <v>305</v>
      </c>
      <c r="D242" s="11" t="s">
        <v>319</v>
      </c>
      <c r="E242" s="11" t="str">
        <f>INDEX(Feiertagsregeln!$D$7:$D$480,MATCH($K242,Feiertagsregeln!$A$7:$A$480,0))</f>
        <v>Berchtoldstag</v>
      </c>
      <c r="F242" s="11" t="str">
        <f>INDEX(Feiertagsregeln!$E$7:$E$480,MATCH($K242,Feiertagsregeln!$A$7:$A$480,0))</f>
        <v>Saint-Berchtold</v>
      </c>
      <c r="G242" s="22" t="str">
        <f>IF(INDEX(Feiertagsregeln!$F$7:$F$480,MATCH($K242,Feiertagsregeln!$A$7:$A$480,0))="","Noch zu erfassen",INDEX(Feiertagsregeln!$F$7:$F$480,MATCH($K242,Feiertagsregeln!$A$7:$A$480,0)))</f>
        <v>Giorno di Berchtold</v>
      </c>
      <c r="H242" s="22" t="str">
        <f>IF(INDEX(Feiertagsregeln!$G$7:$G$480,MATCH($K242,Feiertagsregeln!$A$7:$A$480,0))="","Noch zu erfassen",INDEX(Feiertagsregeln!$G$7:$G$480,MATCH($K242,Feiertagsregeln!$A$7:$A$480,0)))</f>
        <v>Di da Berchtold</v>
      </c>
      <c r="I242" s="11" t="str">
        <f>INDEX(Feiertagsregeln!$H$7:$H$480,MATCH($K242,Feiertagsregeln!$A$7:$A$480,0))</f>
        <v>proceduralEquivalentDay</v>
      </c>
      <c r="J242" s="11" t="s">
        <v>69</v>
      </c>
      <c r="K242" s="11" t="s">
        <v>320</v>
      </c>
      <c r="L242" s="11" t="str">
        <f>INDEX(Feiertagsregeln!$Y$7:$Y$480,MATCH($K242,Feiertagsregeln!$A$7:$A$480,0))</f>
        <v>SRC-SH-OGE-4020181K-20180824</v>
      </c>
      <c r="M242" s="11" t="str">
        <f>INDEX(Feiertagsregeln!$Z$7:$Z$480,MATCH($K242,Feiertagsregeln!$A$7:$A$480,0))</f>
        <v>OGE 40/2018/1/K, E. 2.1.1–2.1.4</v>
      </c>
      <c r="N242" s="11" t="s">
        <v>193</v>
      </c>
      <c r="O242" s="11" t="str">
        <f>INDEX(Feiertagsregeln!$AA$7:$AA$480,MATCH($K242,Feiertagsregeln!$A$7:$A$480,0))</f>
        <v>Ganztägig</v>
      </c>
    </row>
    <row r="243" spans="1:15" ht="44" customHeight="1">
      <c r="A243" s="14">
        <f>INDEX(Feiertagsregeln!$X$7:$X$480,MATCH($K243,Feiertagsregeln!$A$7:$A$480,0))</f>
        <v>46753</v>
      </c>
      <c r="B243" s="10" t="str">
        <f t="shared" si="3"/>
        <v>Samstag</v>
      </c>
      <c r="C243" s="10" t="s">
        <v>321</v>
      </c>
      <c r="D243" s="10" t="s">
        <v>322</v>
      </c>
      <c r="E243" s="10" t="str">
        <f>INDEX(Feiertagsregeln!$D$7:$D$480,MATCH($K243,Feiertagsregeln!$A$7:$A$480,0))</f>
        <v>Neujahr</v>
      </c>
      <c r="F243" s="10" t="str">
        <f>INDEX(Feiertagsregeln!$E$7:$E$480,MATCH($K243,Feiertagsregeln!$A$7:$A$480,0))</f>
        <v>Nouvel An</v>
      </c>
      <c r="G243" s="21" t="str">
        <f>IF(INDEX(Feiertagsregeln!$F$7:$F$480,MATCH($K243,Feiertagsregeln!$A$7:$A$480,0))="","Noch zu erfassen",INDEX(Feiertagsregeln!$F$7:$F$480,MATCH($K243,Feiertagsregeln!$A$7:$A$480,0)))</f>
        <v>Capo d’anno</v>
      </c>
      <c r="H243" s="21" t="str">
        <f>IF(INDEX(Feiertagsregeln!$G$7:$G$480,MATCH($K243,Feiertagsregeln!$A$7:$A$480,0))="","Noch zu erfassen",INDEX(Feiertagsregeln!$G$7:$G$480,MATCH($K243,Feiertagsregeln!$A$7:$A$480,0)))</f>
        <v>Bumaun</v>
      </c>
      <c r="I243" s="10" t="str">
        <f>INDEX(Feiertagsregeln!$H$7:$H$480,MATCH($K243,Feiertagsregeln!$A$7:$A$480,0))</f>
        <v>publicHoliday</v>
      </c>
      <c r="J243" s="10" t="s">
        <v>69</v>
      </c>
      <c r="K243" s="10" t="s">
        <v>323</v>
      </c>
      <c r="L243" s="10" t="str">
        <f>INDEX(Feiertagsregeln!$Y$7:$Y$480,MATCH($K243,Feiertagsregeln!$A$7:$A$480,0))</f>
        <v>SRC-TG-RTG-8229-V2949</v>
      </c>
      <c r="M243" s="10" t="str">
        <f>INDEX(Feiertagsregeln!$Z$7:$Z$480,MATCH($K243,Feiertagsregeln!$A$7:$A$480,0))</f>
        <v>§ 1 und § 2</v>
      </c>
      <c r="N243" s="10" t="s">
        <v>193</v>
      </c>
      <c r="O243" s="10" t="str">
        <f>INDEX(Feiertagsregeln!$AA$7:$AA$480,MATCH($K243,Feiertagsregeln!$A$7:$A$480,0))</f>
        <v>Ganztägig</v>
      </c>
    </row>
    <row r="244" spans="1:15" ht="44" customHeight="1">
      <c r="A244" s="15">
        <f>INDEX(Feiertagsregeln!$X$7:$X$480,MATCH($K244,Feiertagsregeln!$A$7:$A$480,0))</f>
        <v>46857</v>
      </c>
      <c r="B244" s="11" t="str">
        <f t="shared" si="3"/>
        <v>Freitag</v>
      </c>
      <c r="C244" s="11" t="s">
        <v>321</v>
      </c>
      <c r="D244" s="11" t="s">
        <v>322</v>
      </c>
      <c r="E244" s="11" t="str">
        <f>INDEX(Feiertagsregeln!$D$7:$D$480,MATCH($K244,Feiertagsregeln!$A$7:$A$480,0))</f>
        <v>Karfreitag</v>
      </c>
      <c r="F244" s="11" t="str">
        <f>INDEX(Feiertagsregeln!$E$7:$E$480,MATCH($K244,Feiertagsregeln!$A$7:$A$480,0))</f>
        <v>Vendredi saint</v>
      </c>
      <c r="G244" s="22" t="str">
        <f>IF(INDEX(Feiertagsregeln!$F$7:$F$480,MATCH($K244,Feiertagsregeln!$A$7:$A$480,0))="","Noch zu erfassen",INDEX(Feiertagsregeln!$F$7:$F$480,MATCH($K244,Feiertagsregeln!$A$7:$A$480,0)))</f>
        <v>Venerdì Santo</v>
      </c>
      <c r="H244" s="22" t="str">
        <f>IF(INDEX(Feiertagsregeln!$G$7:$G$480,MATCH($K244,Feiertagsregeln!$A$7:$A$480,0))="","Noch zu erfassen",INDEX(Feiertagsregeln!$G$7:$G$480,MATCH($K244,Feiertagsregeln!$A$7:$A$480,0)))</f>
        <v>Venderdi sontg</v>
      </c>
      <c r="I244" s="11" t="str">
        <f>INDEX(Feiertagsregeln!$H$7:$H$480,MATCH($K244,Feiertagsregeln!$A$7:$A$480,0))</f>
        <v>publicHoliday</v>
      </c>
      <c r="J244" s="11" t="s">
        <v>69</v>
      </c>
      <c r="K244" s="11" t="s">
        <v>324</v>
      </c>
      <c r="L244" s="11" t="str">
        <f>INDEX(Feiertagsregeln!$Y$7:$Y$480,MATCH($K244,Feiertagsregeln!$A$7:$A$480,0))</f>
        <v>SRC-TG-RTG-8229-V2949</v>
      </c>
      <c r="M244" s="11" t="str">
        <f>INDEX(Feiertagsregeln!$Z$7:$Z$480,MATCH($K244,Feiertagsregeln!$A$7:$A$480,0))</f>
        <v>§ 1 und § 2</v>
      </c>
      <c r="N244" s="11" t="s">
        <v>193</v>
      </c>
      <c r="O244" s="11" t="str">
        <f>INDEX(Feiertagsregeln!$AA$7:$AA$480,MATCH($K244,Feiertagsregeln!$A$7:$A$480,0))</f>
        <v>Ganztägig</v>
      </c>
    </row>
    <row r="245" spans="1:15" ht="44" customHeight="1">
      <c r="A245" s="14">
        <f>INDEX(Feiertagsregeln!$X$7:$X$480,MATCH($K245,Feiertagsregeln!$A$7:$A$480,0))</f>
        <v>46860</v>
      </c>
      <c r="B245" s="10" t="str">
        <f t="shared" si="3"/>
        <v>Montag</v>
      </c>
      <c r="C245" s="10" t="s">
        <v>321</v>
      </c>
      <c r="D245" s="10" t="s">
        <v>322</v>
      </c>
      <c r="E245" s="10" t="str">
        <f>INDEX(Feiertagsregeln!$D$7:$D$480,MATCH($K245,Feiertagsregeln!$A$7:$A$480,0))</f>
        <v>Ostermontag</v>
      </c>
      <c r="F245" s="10" t="str">
        <f>INDEX(Feiertagsregeln!$E$7:$E$480,MATCH($K245,Feiertagsregeln!$A$7:$A$480,0))</f>
        <v>Lundi de Pâques</v>
      </c>
      <c r="G245" s="21" t="str">
        <f>IF(INDEX(Feiertagsregeln!$F$7:$F$480,MATCH($K245,Feiertagsregeln!$A$7:$A$480,0))="","Noch zu erfassen",INDEX(Feiertagsregeln!$F$7:$F$480,MATCH($K245,Feiertagsregeln!$A$7:$A$480,0)))</f>
        <v>Lunedì di Pasqua</v>
      </c>
      <c r="H245" s="21" t="str">
        <f>IF(INDEX(Feiertagsregeln!$G$7:$G$480,MATCH($K245,Feiertagsregeln!$A$7:$A$480,0))="","Noch zu erfassen",INDEX(Feiertagsregeln!$G$7:$G$480,MATCH($K245,Feiertagsregeln!$A$7:$A$480,0)))</f>
        <v>Glindesdi da Pasca</v>
      </c>
      <c r="I245" s="10" t="str">
        <f>INDEX(Feiertagsregeln!$H$7:$H$480,MATCH($K245,Feiertagsregeln!$A$7:$A$480,0))</f>
        <v>publicHoliday</v>
      </c>
      <c r="J245" s="10" t="s">
        <v>69</v>
      </c>
      <c r="K245" s="10" t="s">
        <v>325</v>
      </c>
      <c r="L245" s="10" t="str">
        <f>INDEX(Feiertagsregeln!$Y$7:$Y$480,MATCH($K245,Feiertagsregeln!$A$7:$A$480,0))</f>
        <v>SRC-TG-RTG-8229-V2949</v>
      </c>
      <c r="M245" s="10" t="str">
        <f>INDEX(Feiertagsregeln!$Z$7:$Z$480,MATCH($K245,Feiertagsregeln!$A$7:$A$480,0))</f>
        <v>§ 1 und § 2</v>
      </c>
      <c r="N245" s="10" t="s">
        <v>193</v>
      </c>
      <c r="O245" s="10" t="str">
        <f>INDEX(Feiertagsregeln!$AA$7:$AA$480,MATCH($K245,Feiertagsregeln!$A$7:$A$480,0))</f>
        <v>Ganztägig</v>
      </c>
    </row>
    <row r="246" spans="1:15" ht="44" customHeight="1">
      <c r="A246" s="15">
        <f>INDEX(Feiertagsregeln!$X$7:$X$480,MATCH($K246,Feiertagsregeln!$A$7:$A$480,0))</f>
        <v>46898</v>
      </c>
      <c r="B246" s="11" t="str">
        <f t="shared" si="3"/>
        <v>Donnerstag</v>
      </c>
      <c r="C246" s="11" t="s">
        <v>321</v>
      </c>
      <c r="D246" s="11" t="s">
        <v>322</v>
      </c>
      <c r="E246" s="11" t="str">
        <f>INDEX(Feiertagsregeln!$D$7:$D$480,MATCH($K246,Feiertagsregeln!$A$7:$A$480,0))</f>
        <v>Auffahrt</v>
      </c>
      <c r="F246" s="11" t="str">
        <f>INDEX(Feiertagsregeln!$E$7:$E$480,MATCH($K246,Feiertagsregeln!$A$7:$A$480,0))</f>
        <v>Ascension</v>
      </c>
      <c r="G246" s="22" t="str">
        <f>IF(INDEX(Feiertagsregeln!$F$7:$F$480,MATCH($K246,Feiertagsregeln!$A$7:$A$480,0))="","Noch zu erfassen",INDEX(Feiertagsregeln!$F$7:$F$480,MATCH($K246,Feiertagsregeln!$A$7:$A$480,0)))</f>
        <v>Ascensione</v>
      </c>
      <c r="H246" s="22" t="str">
        <f>IF(INDEX(Feiertagsregeln!$G$7:$G$480,MATCH($K246,Feiertagsregeln!$A$7:$A$480,0))="","Noch zu erfassen",INDEX(Feiertagsregeln!$G$7:$G$480,MATCH($K246,Feiertagsregeln!$A$7:$A$480,0)))</f>
        <v>Ascensiun</v>
      </c>
      <c r="I246" s="11" t="str">
        <f>INDEX(Feiertagsregeln!$H$7:$H$480,MATCH($K246,Feiertagsregeln!$A$7:$A$480,0))</f>
        <v>publicHoliday</v>
      </c>
      <c r="J246" s="11" t="s">
        <v>69</v>
      </c>
      <c r="K246" s="11" t="s">
        <v>326</v>
      </c>
      <c r="L246" s="11" t="str">
        <f>INDEX(Feiertagsregeln!$Y$7:$Y$480,MATCH($K246,Feiertagsregeln!$A$7:$A$480,0))</f>
        <v>SRC-TG-RTG-8229-V2949</v>
      </c>
      <c r="M246" s="11" t="str">
        <f>INDEX(Feiertagsregeln!$Z$7:$Z$480,MATCH($K246,Feiertagsregeln!$A$7:$A$480,0))</f>
        <v>§ 1 und § 2</v>
      </c>
      <c r="N246" s="11" t="s">
        <v>193</v>
      </c>
      <c r="O246" s="11" t="str">
        <f>INDEX(Feiertagsregeln!$AA$7:$AA$480,MATCH($K246,Feiertagsregeln!$A$7:$A$480,0))</f>
        <v>Ganztägig</v>
      </c>
    </row>
    <row r="247" spans="1:15" ht="44" customHeight="1">
      <c r="A247" s="14">
        <f>INDEX(Feiertagsregeln!$X$7:$X$480,MATCH($K247,Feiertagsregeln!$A$7:$A$480,0))</f>
        <v>46909</v>
      </c>
      <c r="B247" s="10" t="str">
        <f t="shared" si="3"/>
        <v>Montag</v>
      </c>
      <c r="C247" s="10" t="s">
        <v>321</v>
      </c>
      <c r="D247" s="10" t="s">
        <v>322</v>
      </c>
      <c r="E247" s="10" t="str">
        <f>INDEX(Feiertagsregeln!$D$7:$D$480,MATCH($K247,Feiertagsregeln!$A$7:$A$480,0))</f>
        <v>Pfingstmontag</v>
      </c>
      <c r="F247" s="10" t="str">
        <f>INDEX(Feiertagsregeln!$E$7:$E$480,MATCH($K247,Feiertagsregeln!$A$7:$A$480,0))</f>
        <v>Lundi de Pentecôte</v>
      </c>
      <c r="G247" s="21" t="str">
        <f>IF(INDEX(Feiertagsregeln!$F$7:$F$480,MATCH($K247,Feiertagsregeln!$A$7:$A$480,0))="","Noch zu erfassen",INDEX(Feiertagsregeln!$F$7:$F$480,MATCH($K247,Feiertagsregeln!$A$7:$A$480,0)))</f>
        <v>Lunedì di Pentecoste</v>
      </c>
      <c r="H247" s="21" t="str">
        <f>IF(INDEX(Feiertagsregeln!$G$7:$G$480,MATCH($K247,Feiertagsregeln!$A$7:$A$480,0))="","Noch zu erfassen",INDEX(Feiertagsregeln!$G$7:$G$480,MATCH($K247,Feiertagsregeln!$A$7:$A$480,0)))</f>
        <v>Glindesdi da Tschuncaisma</v>
      </c>
      <c r="I247" s="10" t="str">
        <f>INDEX(Feiertagsregeln!$H$7:$H$480,MATCH($K247,Feiertagsregeln!$A$7:$A$480,0))</f>
        <v>publicHoliday</v>
      </c>
      <c r="J247" s="10" t="s">
        <v>69</v>
      </c>
      <c r="K247" s="10" t="s">
        <v>327</v>
      </c>
      <c r="L247" s="10" t="str">
        <f>INDEX(Feiertagsregeln!$Y$7:$Y$480,MATCH($K247,Feiertagsregeln!$A$7:$A$480,0))</f>
        <v>SRC-TG-RTG-8229-V2949</v>
      </c>
      <c r="M247" s="10" t="str">
        <f>INDEX(Feiertagsregeln!$Z$7:$Z$480,MATCH($K247,Feiertagsregeln!$A$7:$A$480,0))</f>
        <v>§ 1 und § 2</v>
      </c>
      <c r="N247" s="10" t="s">
        <v>193</v>
      </c>
      <c r="O247" s="10" t="str">
        <f>INDEX(Feiertagsregeln!$AA$7:$AA$480,MATCH($K247,Feiertagsregeln!$A$7:$A$480,0))</f>
        <v>Ganztägig</v>
      </c>
    </row>
    <row r="248" spans="1:15" ht="44" customHeight="1">
      <c r="A248" s="15">
        <f>INDEX(Feiertagsregeln!$X$7:$X$480,MATCH($K248,Feiertagsregeln!$A$7:$A$480,0))</f>
        <v>46966</v>
      </c>
      <c r="B248" s="11" t="str">
        <f t="shared" si="3"/>
        <v>Dienstag</v>
      </c>
      <c r="C248" s="11" t="s">
        <v>321</v>
      </c>
      <c r="D248" s="11" t="s">
        <v>322</v>
      </c>
      <c r="E248" s="11" t="str">
        <f>INDEX(Feiertagsregeln!$D$7:$D$480,MATCH($K248,Feiertagsregeln!$A$7:$A$480,0))</f>
        <v>Bundesfeiertag</v>
      </c>
      <c r="F248" s="11" t="str">
        <f>INDEX(Feiertagsregeln!$E$7:$E$480,MATCH($K248,Feiertagsregeln!$A$7:$A$480,0))</f>
        <v>Fête nationale</v>
      </c>
      <c r="G248" s="22" t="str">
        <f>IF(INDEX(Feiertagsregeln!$F$7:$F$480,MATCH($K248,Feiertagsregeln!$A$7:$A$480,0))="","Noch zu erfassen",INDEX(Feiertagsregeln!$F$7:$F$480,MATCH($K248,Feiertagsregeln!$A$7:$A$480,0)))</f>
        <v>Primo agosto</v>
      </c>
      <c r="H248" s="22" t="str">
        <f>IF(INDEX(Feiertagsregeln!$G$7:$G$480,MATCH($K248,Feiertagsregeln!$A$7:$A$480,0))="","Noch zu erfassen",INDEX(Feiertagsregeln!$G$7:$G$480,MATCH($K248,Feiertagsregeln!$A$7:$A$480,0)))</f>
        <v>Festa naziunala svizra</v>
      </c>
      <c r="I248" s="11" t="str">
        <f>INDEX(Feiertagsregeln!$H$7:$H$480,MATCH($K248,Feiertagsregeln!$A$7:$A$480,0))</f>
        <v>publicHoliday</v>
      </c>
      <c r="J248" s="11" t="s">
        <v>69</v>
      </c>
      <c r="K248" s="11" t="s">
        <v>328</v>
      </c>
      <c r="L248" s="11" t="str">
        <f>INDEX(Feiertagsregeln!$Y$7:$Y$480,MATCH($K248,Feiertagsregeln!$A$7:$A$480,0))</f>
        <v>SRC-BUNDESFEIERTAG-19940701</v>
      </c>
      <c r="M248" s="11" t="str">
        <f>INDEX(Feiertagsregeln!$Z$7:$Z$480,MATCH($K248,Feiertagsregeln!$A$7:$A$480,0))</f>
        <v>SR 116 Art. 1, offene Anwendung auf neues kantonales Profil</v>
      </c>
      <c r="N248" s="11" t="s">
        <v>193</v>
      </c>
      <c r="O248" s="11" t="str">
        <f>INDEX(Feiertagsregeln!$AA$7:$AA$480,MATCH($K248,Feiertagsregeln!$A$7:$A$480,0))</f>
        <v>Ganztägig</v>
      </c>
    </row>
    <row r="249" spans="1:15" ht="44" customHeight="1">
      <c r="A249" s="14">
        <f>INDEX(Feiertagsregeln!$X$7:$X$480,MATCH($K249,Feiertagsregeln!$A$7:$A$480,0))</f>
        <v>47112</v>
      </c>
      <c r="B249" s="10" t="str">
        <f t="shared" si="3"/>
        <v>Montag</v>
      </c>
      <c r="C249" s="10" t="s">
        <v>321</v>
      </c>
      <c r="D249" s="10" t="s">
        <v>322</v>
      </c>
      <c r="E249" s="10" t="str">
        <f>INDEX(Feiertagsregeln!$D$7:$D$480,MATCH($K249,Feiertagsregeln!$A$7:$A$480,0))</f>
        <v>Weihnachten</v>
      </c>
      <c r="F249" s="10" t="str">
        <f>INDEX(Feiertagsregeln!$E$7:$E$480,MATCH($K249,Feiertagsregeln!$A$7:$A$480,0))</f>
        <v>Noël</v>
      </c>
      <c r="G249" s="21" t="str">
        <f>IF(INDEX(Feiertagsregeln!$F$7:$F$480,MATCH($K249,Feiertagsregeln!$A$7:$A$480,0))="","Noch zu erfassen",INDEX(Feiertagsregeln!$F$7:$F$480,MATCH($K249,Feiertagsregeln!$A$7:$A$480,0)))</f>
        <v>Natale</v>
      </c>
      <c r="H249" s="21" t="str">
        <f>IF(INDEX(Feiertagsregeln!$G$7:$G$480,MATCH($K249,Feiertagsregeln!$A$7:$A$480,0))="","Noch zu erfassen",INDEX(Feiertagsregeln!$G$7:$G$480,MATCH($K249,Feiertagsregeln!$A$7:$A$480,0)))</f>
        <v>Di da Nadal</v>
      </c>
      <c r="I249" s="10" t="str">
        <f>INDEX(Feiertagsregeln!$H$7:$H$480,MATCH($K249,Feiertagsregeln!$A$7:$A$480,0))</f>
        <v>publicHoliday</v>
      </c>
      <c r="J249" s="10" t="s">
        <v>69</v>
      </c>
      <c r="K249" s="10" t="s">
        <v>329</v>
      </c>
      <c r="L249" s="10" t="str">
        <f>INDEX(Feiertagsregeln!$Y$7:$Y$480,MATCH($K249,Feiertagsregeln!$A$7:$A$480,0))</f>
        <v>SRC-TG-RTG-8229-V2949</v>
      </c>
      <c r="M249" s="10" t="str">
        <f>INDEX(Feiertagsregeln!$Z$7:$Z$480,MATCH($K249,Feiertagsregeln!$A$7:$A$480,0))</f>
        <v>§ 1 und § 2</v>
      </c>
      <c r="N249" s="10" t="s">
        <v>193</v>
      </c>
      <c r="O249" s="10" t="str">
        <f>INDEX(Feiertagsregeln!$AA$7:$AA$480,MATCH($K249,Feiertagsregeln!$A$7:$A$480,0))</f>
        <v>Ganztägig</v>
      </c>
    </row>
    <row r="250" spans="1:15" ht="44" customHeight="1">
      <c r="A250" s="15">
        <f>INDEX(Feiertagsregeln!$X$7:$X$480,MATCH($K250,Feiertagsregeln!$A$7:$A$480,0))</f>
        <v>47113</v>
      </c>
      <c r="B250" s="11" t="str">
        <f t="shared" si="3"/>
        <v>Dienstag</v>
      </c>
      <c r="C250" s="11" t="s">
        <v>321</v>
      </c>
      <c r="D250" s="11" t="s">
        <v>322</v>
      </c>
      <c r="E250" s="11" t="str">
        <f>INDEX(Feiertagsregeln!$D$7:$D$480,MATCH($K250,Feiertagsregeln!$A$7:$A$480,0))</f>
        <v>Stephanstag</v>
      </c>
      <c r="F250" s="11" t="str">
        <f>INDEX(Feiertagsregeln!$E$7:$E$480,MATCH($K250,Feiertagsregeln!$A$7:$A$480,0))</f>
        <v>Saint-Étienne</v>
      </c>
      <c r="G250" s="22" t="str">
        <f>IF(INDEX(Feiertagsregeln!$F$7:$F$480,MATCH($K250,Feiertagsregeln!$A$7:$A$480,0))="","Noch zu erfassen",INDEX(Feiertagsregeln!$F$7:$F$480,MATCH($K250,Feiertagsregeln!$A$7:$A$480,0)))</f>
        <v>Santo Stefano</v>
      </c>
      <c r="H250" s="22" t="str">
        <f>IF(INDEX(Feiertagsregeln!$G$7:$G$480,MATCH($K250,Feiertagsregeln!$A$7:$A$480,0))="","Noch zu erfassen",INDEX(Feiertagsregeln!$G$7:$G$480,MATCH($K250,Feiertagsregeln!$A$7:$A$480,0)))</f>
        <v>Son Steffan</v>
      </c>
      <c r="I250" s="11" t="str">
        <f>INDEX(Feiertagsregeln!$H$7:$H$480,MATCH($K250,Feiertagsregeln!$A$7:$A$480,0))</f>
        <v>publicHoliday</v>
      </c>
      <c r="J250" s="11" t="s">
        <v>69</v>
      </c>
      <c r="K250" s="11" t="s">
        <v>330</v>
      </c>
      <c r="L250" s="11" t="str">
        <f>INDEX(Feiertagsregeln!$Y$7:$Y$480,MATCH($K250,Feiertagsregeln!$A$7:$A$480,0))</f>
        <v>SRC-TG-RTG-8229-V2949</v>
      </c>
      <c r="M250" s="11" t="str">
        <f>INDEX(Feiertagsregeln!$Z$7:$Z$480,MATCH($K250,Feiertagsregeln!$A$7:$A$480,0))</f>
        <v>§ 1 und § 2</v>
      </c>
      <c r="N250" s="11" t="s">
        <v>193</v>
      </c>
      <c r="O250" s="11" t="str">
        <f>INDEX(Feiertagsregeln!$AA$7:$AA$480,MATCH($K250,Feiertagsregeln!$A$7:$A$480,0))</f>
        <v>Ganztägig</v>
      </c>
    </row>
    <row r="251" spans="1:15" ht="44" customHeight="1">
      <c r="A251" s="14">
        <f>INDEX(Feiertagsregeln!$X$7:$X$480,MATCH($K251,Feiertagsregeln!$A$7:$A$480,0))</f>
        <v>46874</v>
      </c>
      <c r="B251" s="10" t="str">
        <f t="shared" si="3"/>
        <v>Montag</v>
      </c>
      <c r="C251" s="10" t="s">
        <v>321</v>
      </c>
      <c r="D251" s="10" t="s">
        <v>322</v>
      </c>
      <c r="E251" s="10" t="str">
        <f>INDEX(Feiertagsregeln!$D$7:$D$480,MATCH($K251,Feiertagsregeln!$A$7:$A$480,0))</f>
        <v>Tag der Arbeit (1. Mai)</v>
      </c>
      <c r="F251" s="10" t="str">
        <f>INDEX(Feiertagsregeln!$E$7:$E$480,MATCH($K251,Feiertagsregeln!$A$7:$A$480,0))</f>
        <v>Fête du travail (1er mai)</v>
      </c>
      <c r="G251" s="21" t="str">
        <f>IF(INDEX(Feiertagsregeln!$F$7:$F$480,MATCH($K251,Feiertagsregeln!$A$7:$A$480,0))="","Noch zu erfassen",INDEX(Feiertagsregeln!$F$7:$F$480,MATCH($K251,Feiertagsregeln!$A$7:$A$480,0)))</f>
        <v>Primo maggio</v>
      </c>
      <c r="H251" s="21" t="str">
        <f>IF(INDEX(Feiertagsregeln!$G$7:$G$480,MATCH($K251,Feiertagsregeln!$A$7:$A$480,0))="","Noch zu erfassen",INDEX(Feiertagsregeln!$G$7:$G$480,MATCH($K251,Feiertagsregeln!$A$7:$A$480,0)))</f>
        <v>Di da la lavur (1. da matg)</v>
      </c>
      <c r="I251" s="10" t="str">
        <f>INDEX(Feiertagsregeln!$H$7:$H$480,MATCH($K251,Feiertagsregeln!$A$7:$A$480,0))</f>
        <v>publicHoliday</v>
      </c>
      <c r="J251" s="10" t="s">
        <v>69</v>
      </c>
      <c r="K251" s="10" t="s">
        <v>331</v>
      </c>
      <c r="L251" s="10" t="str">
        <f>INDEX(Feiertagsregeln!$Y$7:$Y$480,MATCH($K251,Feiertagsregeln!$A$7:$A$480,0))</f>
        <v>SRC-TG-RTG-8229-V2949</v>
      </c>
      <c r="M251" s="10" t="str">
        <f>INDEX(Feiertagsregeln!$Z$7:$Z$480,MATCH($K251,Feiertagsregeln!$A$7:$A$480,0))</f>
        <v>§ 1 und § 2</v>
      </c>
      <c r="N251" s="10" t="s">
        <v>193</v>
      </c>
      <c r="O251" s="10" t="str">
        <f>INDEX(Feiertagsregeln!$AA$7:$AA$480,MATCH($K251,Feiertagsregeln!$A$7:$A$480,0))</f>
        <v>Ganztägig</v>
      </c>
    </row>
    <row r="252" spans="1:15" ht="44" customHeight="1">
      <c r="A252" s="15">
        <f>INDEX(Feiertagsregeln!$X$7:$X$480,MATCH($K252,Feiertagsregeln!$A$7:$A$480,0))</f>
        <v>46754</v>
      </c>
      <c r="B252" s="11" t="str">
        <f t="shared" si="3"/>
        <v>Sonntag</v>
      </c>
      <c r="C252" s="11" t="s">
        <v>321</v>
      </c>
      <c r="D252" s="11" t="s">
        <v>322</v>
      </c>
      <c r="E252" s="11" t="str">
        <f>INDEX(Feiertagsregeln!$D$7:$D$480,MATCH($K252,Feiertagsregeln!$A$7:$A$480,0))</f>
        <v>Berchtoldstag</v>
      </c>
      <c r="F252" s="11" t="str">
        <f>INDEX(Feiertagsregeln!$E$7:$E$480,MATCH($K252,Feiertagsregeln!$A$7:$A$480,0))</f>
        <v>Saint-Berchtold</v>
      </c>
      <c r="G252" s="22" t="str">
        <f>IF(INDEX(Feiertagsregeln!$F$7:$F$480,MATCH($K252,Feiertagsregeln!$A$7:$A$480,0))="","Noch zu erfassen",INDEX(Feiertagsregeln!$F$7:$F$480,MATCH($K252,Feiertagsregeln!$A$7:$A$480,0)))</f>
        <v>Giorno di Berchtold</v>
      </c>
      <c r="H252" s="22" t="str">
        <f>IF(INDEX(Feiertagsregeln!$G$7:$G$480,MATCH($K252,Feiertagsregeln!$A$7:$A$480,0))="","Noch zu erfassen",INDEX(Feiertagsregeln!$G$7:$G$480,MATCH($K252,Feiertagsregeln!$A$7:$A$480,0)))</f>
        <v>Di da Berchtold</v>
      </c>
      <c r="I252" s="11" t="str">
        <f>INDEX(Feiertagsregeln!$H$7:$H$480,MATCH($K252,Feiertagsregeln!$A$7:$A$480,0))</f>
        <v>publicHoliday</v>
      </c>
      <c r="J252" s="11" t="s">
        <v>69</v>
      </c>
      <c r="K252" s="11" t="s">
        <v>332</v>
      </c>
      <c r="L252" s="11" t="str">
        <f>INDEX(Feiertagsregeln!$Y$7:$Y$480,MATCH($K252,Feiertagsregeln!$A$7:$A$480,0))</f>
        <v>SRC-TG-RTG-8229-V2949</v>
      </c>
      <c r="M252" s="11" t="str">
        <f>INDEX(Feiertagsregeln!$Z$7:$Z$480,MATCH($K252,Feiertagsregeln!$A$7:$A$480,0))</f>
        <v>§ 1 und § 2</v>
      </c>
      <c r="N252" s="11" t="s">
        <v>193</v>
      </c>
      <c r="O252" s="11" t="str">
        <f>INDEX(Feiertagsregeln!$AA$7:$AA$480,MATCH($K252,Feiertagsregeln!$A$7:$A$480,0))</f>
        <v>Ganztägig</v>
      </c>
    </row>
    <row r="253" spans="1:15" ht="44" customHeight="1">
      <c r="A253" s="14">
        <f>INDEX(Feiertagsregeln!$X$7:$X$480,MATCH($K253,Feiertagsregeln!$A$7:$A$480,0))</f>
        <v>46859</v>
      </c>
      <c r="B253" s="10" t="str">
        <f t="shared" si="3"/>
        <v>Sonntag</v>
      </c>
      <c r="C253" s="10" t="s">
        <v>321</v>
      </c>
      <c r="D253" s="10" t="s">
        <v>322</v>
      </c>
      <c r="E253" s="10" t="str">
        <f>INDEX(Feiertagsregeln!$D$7:$D$480,MATCH($K253,Feiertagsregeln!$A$7:$A$480,0))</f>
        <v>Ostern</v>
      </c>
      <c r="F253" s="10" t="str">
        <f>INDEX(Feiertagsregeln!$E$7:$E$480,MATCH($K253,Feiertagsregeln!$A$7:$A$480,0))</f>
        <v>Pâques</v>
      </c>
      <c r="G253" s="21" t="str">
        <f>IF(INDEX(Feiertagsregeln!$F$7:$F$480,MATCH($K253,Feiertagsregeln!$A$7:$A$480,0))="","Noch zu erfassen",INDEX(Feiertagsregeln!$F$7:$F$480,MATCH($K253,Feiertagsregeln!$A$7:$A$480,0)))</f>
        <v>Domenica di Pasqua</v>
      </c>
      <c r="H253" s="21" t="str">
        <f>IF(INDEX(Feiertagsregeln!$G$7:$G$480,MATCH($K253,Feiertagsregeln!$A$7:$A$480,0))="","Noch zu erfassen",INDEX(Feiertagsregeln!$G$7:$G$480,MATCH($K253,Feiertagsregeln!$A$7:$A$480,0)))</f>
        <v>Dumengia da Pasca</v>
      </c>
      <c r="I253" s="10" t="str">
        <f>INDEX(Feiertagsregeln!$H$7:$H$480,MATCH($K253,Feiertagsregeln!$A$7:$A$480,0))</f>
        <v>publicHoliday</v>
      </c>
      <c r="J253" s="10" t="s">
        <v>69</v>
      </c>
      <c r="K253" s="10" t="s">
        <v>333</v>
      </c>
      <c r="L253" s="10" t="str">
        <f>INDEX(Feiertagsregeln!$Y$7:$Y$480,MATCH($K253,Feiertagsregeln!$A$7:$A$480,0))</f>
        <v>SRC-TG-RTG-8229-V2949</v>
      </c>
      <c r="M253" s="10" t="str">
        <f>INDEX(Feiertagsregeln!$Z$7:$Z$480,MATCH($K253,Feiertagsregeln!$A$7:$A$480,0))</f>
        <v>§ 1 und § 2</v>
      </c>
      <c r="N253" s="10" t="s">
        <v>193</v>
      </c>
      <c r="O253" s="10" t="str">
        <f>INDEX(Feiertagsregeln!$AA$7:$AA$480,MATCH($K253,Feiertagsregeln!$A$7:$A$480,0))</f>
        <v>Ganztägig</v>
      </c>
    </row>
    <row r="254" spans="1:15" ht="44" customHeight="1">
      <c r="A254" s="15">
        <f>INDEX(Feiertagsregeln!$X$7:$X$480,MATCH($K254,Feiertagsregeln!$A$7:$A$480,0))</f>
        <v>46908</v>
      </c>
      <c r="B254" s="11" t="str">
        <f t="shared" si="3"/>
        <v>Sonntag</v>
      </c>
      <c r="C254" s="11" t="s">
        <v>321</v>
      </c>
      <c r="D254" s="11" t="s">
        <v>322</v>
      </c>
      <c r="E254" s="11" t="str">
        <f>INDEX(Feiertagsregeln!$D$7:$D$480,MATCH($K254,Feiertagsregeln!$A$7:$A$480,0))</f>
        <v>Pfingsten</v>
      </c>
      <c r="F254" s="11" t="str">
        <f>INDEX(Feiertagsregeln!$E$7:$E$480,MATCH($K254,Feiertagsregeln!$A$7:$A$480,0))</f>
        <v>Pentecôte</v>
      </c>
      <c r="G254" s="22" t="str">
        <f>IF(INDEX(Feiertagsregeln!$F$7:$F$480,MATCH($K254,Feiertagsregeln!$A$7:$A$480,0))="","Noch zu erfassen",INDEX(Feiertagsregeln!$F$7:$F$480,MATCH($K254,Feiertagsregeln!$A$7:$A$480,0)))</f>
        <v>Domenica di Pentecoste</v>
      </c>
      <c r="H254" s="22" t="str">
        <f>IF(INDEX(Feiertagsregeln!$G$7:$G$480,MATCH($K254,Feiertagsregeln!$A$7:$A$480,0))="","Noch zu erfassen",INDEX(Feiertagsregeln!$G$7:$G$480,MATCH($K254,Feiertagsregeln!$A$7:$A$480,0)))</f>
        <v>Dumengia da Tschuncaisma</v>
      </c>
      <c r="I254" s="11" t="str">
        <f>INDEX(Feiertagsregeln!$H$7:$H$480,MATCH($K254,Feiertagsregeln!$A$7:$A$480,0))</f>
        <v>publicHoliday</v>
      </c>
      <c r="J254" s="11" t="s">
        <v>69</v>
      </c>
      <c r="K254" s="11" t="s">
        <v>334</v>
      </c>
      <c r="L254" s="11" t="str">
        <f>INDEX(Feiertagsregeln!$Y$7:$Y$480,MATCH($K254,Feiertagsregeln!$A$7:$A$480,0))</f>
        <v>SRC-TG-RTG-8229-V2949</v>
      </c>
      <c r="M254" s="11" t="str">
        <f>INDEX(Feiertagsregeln!$Z$7:$Z$480,MATCH($K254,Feiertagsregeln!$A$7:$A$480,0))</f>
        <v>§ 1 und § 2</v>
      </c>
      <c r="N254" s="11" t="s">
        <v>193</v>
      </c>
      <c r="O254" s="11" t="str">
        <f>INDEX(Feiertagsregeln!$AA$7:$AA$480,MATCH($K254,Feiertagsregeln!$A$7:$A$480,0))</f>
        <v>Ganztägig</v>
      </c>
    </row>
    <row r="255" spans="1:15" ht="44" customHeight="1">
      <c r="A255" s="14">
        <f>INDEX(Feiertagsregeln!$X$7:$X$480,MATCH($K255,Feiertagsregeln!$A$7:$A$480,0))</f>
        <v>47013</v>
      </c>
      <c r="B255" s="10" t="str">
        <f t="shared" si="3"/>
        <v>Sonntag</v>
      </c>
      <c r="C255" s="10" t="s">
        <v>321</v>
      </c>
      <c r="D255" s="10" t="s">
        <v>322</v>
      </c>
      <c r="E255" s="10" t="str">
        <f>INDEX(Feiertagsregeln!$D$7:$D$480,MATCH($K255,Feiertagsregeln!$A$7:$A$480,0))</f>
        <v>Eidgenössischer Dank-, Buss- und Bettag</v>
      </c>
      <c r="F255" s="10" t="str">
        <f>INDEX(Feiertagsregeln!$E$7:$E$480,MATCH($K255,Feiertagsregeln!$A$7:$A$480,0))</f>
        <v>Jeûne fédéral</v>
      </c>
      <c r="G255" s="21" t="str">
        <f>IF(INDEX(Feiertagsregeln!$F$7:$F$480,MATCH($K255,Feiertagsregeln!$A$7:$A$480,0))="","Noch zu erfassen",INDEX(Feiertagsregeln!$F$7:$F$480,MATCH($K255,Feiertagsregeln!$A$7:$A$480,0)))</f>
        <v>Festa federale di preghiera</v>
      </c>
      <c r="H255" s="21" t="str">
        <f>IF(INDEX(Feiertagsregeln!$G$7:$G$480,MATCH($K255,Feiertagsregeln!$A$7:$A$480,0))="","Noch zu erfassen",INDEX(Feiertagsregeln!$G$7:$G$480,MATCH($K255,Feiertagsregeln!$A$7:$A$480,0)))</f>
        <v>Di da la rogaziun federala</v>
      </c>
      <c r="I255" s="10" t="str">
        <f>INDEX(Feiertagsregeln!$H$7:$H$480,MATCH($K255,Feiertagsregeln!$A$7:$A$480,0))</f>
        <v>publicHoliday</v>
      </c>
      <c r="J255" s="10" t="s">
        <v>69</v>
      </c>
      <c r="K255" s="10" t="s">
        <v>335</v>
      </c>
      <c r="L255" s="10" t="str">
        <f>INDEX(Feiertagsregeln!$Y$7:$Y$480,MATCH($K255,Feiertagsregeln!$A$7:$A$480,0))</f>
        <v>SRC-TG-RTG-8229-V2949</v>
      </c>
      <c r="M255" s="10" t="str">
        <f>INDEX(Feiertagsregeln!$Z$7:$Z$480,MATCH($K255,Feiertagsregeln!$A$7:$A$480,0))</f>
        <v>§ 1 und § 2</v>
      </c>
      <c r="N255" s="10" t="s">
        <v>193</v>
      </c>
      <c r="O255" s="10" t="str">
        <f>INDEX(Feiertagsregeln!$AA$7:$AA$480,MATCH($K255,Feiertagsregeln!$A$7:$A$480,0))</f>
        <v>Ganztägig</v>
      </c>
    </row>
    <row r="256" spans="1:15" ht="44" customHeight="1">
      <c r="A256" s="15">
        <f>INDEX(Feiertagsregeln!$X$7:$X$480,MATCH($K256,Feiertagsregeln!$A$7:$A$480,0))</f>
        <v>46753</v>
      </c>
      <c r="B256" s="11" t="str">
        <f t="shared" si="3"/>
        <v>Samstag</v>
      </c>
      <c r="C256" s="11" t="s">
        <v>336</v>
      </c>
      <c r="D256" s="11" t="s">
        <v>337</v>
      </c>
      <c r="E256" s="11" t="str">
        <f>INDEX(Feiertagsregeln!$D$7:$D$480,MATCH($K256,Feiertagsregeln!$A$7:$A$480,0))</f>
        <v>Neujahr</v>
      </c>
      <c r="F256" s="11" t="str">
        <f>INDEX(Feiertagsregeln!$E$7:$E$480,MATCH($K256,Feiertagsregeln!$A$7:$A$480,0))</f>
        <v>Nouvel An</v>
      </c>
      <c r="G256" s="22" t="str">
        <f>IF(INDEX(Feiertagsregeln!$F$7:$F$480,MATCH($K256,Feiertagsregeln!$A$7:$A$480,0))="","Noch zu erfassen",INDEX(Feiertagsregeln!$F$7:$F$480,MATCH($K256,Feiertagsregeln!$A$7:$A$480,0)))</f>
        <v>Capo d’anno</v>
      </c>
      <c r="H256" s="22" t="str">
        <f>IF(INDEX(Feiertagsregeln!$G$7:$G$480,MATCH($K256,Feiertagsregeln!$A$7:$A$480,0))="","Noch zu erfassen",INDEX(Feiertagsregeln!$G$7:$G$480,MATCH($K256,Feiertagsregeln!$A$7:$A$480,0)))</f>
        <v>Bumaun</v>
      </c>
      <c r="I256" s="11" t="str">
        <f>INDEX(Feiertagsregeln!$H$7:$H$480,MATCH($K256,Feiertagsregeln!$A$7:$A$480,0))</f>
        <v>publicHoliday</v>
      </c>
      <c r="J256" s="11" t="s">
        <v>69</v>
      </c>
      <c r="K256" s="11" t="s">
        <v>338</v>
      </c>
      <c r="L256" s="11" t="str">
        <f>INDEX(Feiertagsregeln!$Y$7:$Y$480,MATCH($K256,Feiertagsregeln!$A$7:$A$480,0))</f>
        <v>SRC-SG-RLG-5521-V228</v>
      </c>
      <c r="M256" s="11" t="str">
        <f>INDEX(Feiertagsregeln!$Z$7:$Z$480,MATCH($K256,Feiertagsregeln!$A$7:$A$480,0))</f>
        <v>Art. 2 und Art. 3</v>
      </c>
      <c r="N256" s="11" t="s">
        <v>193</v>
      </c>
      <c r="O256" s="11" t="str">
        <f>INDEX(Feiertagsregeln!$AA$7:$AA$480,MATCH($K256,Feiertagsregeln!$A$7:$A$480,0))</f>
        <v>Ganztägig</v>
      </c>
    </row>
    <row r="257" spans="1:15" ht="44" customHeight="1">
      <c r="A257" s="14">
        <f>INDEX(Feiertagsregeln!$X$7:$X$480,MATCH($K257,Feiertagsregeln!$A$7:$A$480,0))</f>
        <v>46857</v>
      </c>
      <c r="B257" s="10" t="str">
        <f t="shared" si="3"/>
        <v>Freitag</v>
      </c>
      <c r="C257" s="10" t="s">
        <v>336</v>
      </c>
      <c r="D257" s="10" t="s">
        <v>337</v>
      </c>
      <c r="E257" s="10" t="str">
        <f>INDEX(Feiertagsregeln!$D$7:$D$480,MATCH($K257,Feiertagsregeln!$A$7:$A$480,0))</f>
        <v>Karfreitag</v>
      </c>
      <c r="F257" s="10" t="str">
        <f>INDEX(Feiertagsregeln!$E$7:$E$480,MATCH($K257,Feiertagsregeln!$A$7:$A$480,0))</f>
        <v>Vendredi saint</v>
      </c>
      <c r="G257" s="21" t="str">
        <f>IF(INDEX(Feiertagsregeln!$F$7:$F$480,MATCH($K257,Feiertagsregeln!$A$7:$A$480,0))="","Noch zu erfassen",INDEX(Feiertagsregeln!$F$7:$F$480,MATCH($K257,Feiertagsregeln!$A$7:$A$480,0)))</f>
        <v>Venerdì Santo</v>
      </c>
      <c r="H257" s="21" t="str">
        <f>IF(INDEX(Feiertagsregeln!$G$7:$G$480,MATCH($K257,Feiertagsregeln!$A$7:$A$480,0))="","Noch zu erfassen",INDEX(Feiertagsregeln!$G$7:$G$480,MATCH($K257,Feiertagsregeln!$A$7:$A$480,0)))</f>
        <v>Venderdi sontg</v>
      </c>
      <c r="I257" s="10" t="str">
        <f>INDEX(Feiertagsregeln!$H$7:$H$480,MATCH($K257,Feiertagsregeln!$A$7:$A$480,0))</f>
        <v>publicHoliday</v>
      </c>
      <c r="J257" s="10" t="s">
        <v>69</v>
      </c>
      <c r="K257" s="10" t="s">
        <v>339</v>
      </c>
      <c r="L257" s="10" t="str">
        <f>INDEX(Feiertagsregeln!$Y$7:$Y$480,MATCH($K257,Feiertagsregeln!$A$7:$A$480,0))</f>
        <v>SRC-SG-RLG-5521-V228</v>
      </c>
      <c r="M257" s="10" t="str">
        <f>INDEX(Feiertagsregeln!$Z$7:$Z$480,MATCH($K257,Feiertagsregeln!$A$7:$A$480,0))</f>
        <v>Art. 2 und Art. 3</v>
      </c>
      <c r="N257" s="10" t="s">
        <v>193</v>
      </c>
      <c r="O257" s="10" t="str">
        <f>INDEX(Feiertagsregeln!$AA$7:$AA$480,MATCH($K257,Feiertagsregeln!$A$7:$A$480,0))</f>
        <v>Ganztägig</v>
      </c>
    </row>
    <row r="258" spans="1:15" ht="44" customHeight="1">
      <c r="A258" s="15">
        <f>INDEX(Feiertagsregeln!$X$7:$X$480,MATCH($K258,Feiertagsregeln!$A$7:$A$480,0))</f>
        <v>46860</v>
      </c>
      <c r="B258" s="11" t="str">
        <f t="shared" si="3"/>
        <v>Montag</v>
      </c>
      <c r="C258" s="11" t="s">
        <v>336</v>
      </c>
      <c r="D258" s="11" t="s">
        <v>337</v>
      </c>
      <c r="E258" s="11" t="str">
        <f>INDEX(Feiertagsregeln!$D$7:$D$480,MATCH($K258,Feiertagsregeln!$A$7:$A$480,0))</f>
        <v>Ostermontag</v>
      </c>
      <c r="F258" s="11" t="str">
        <f>INDEX(Feiertagsregeln!$E$7:$E$480,MATCH($K258,Feiertagsregeln!$A$7:$A$480,0))</f>
        <v>Lundi de Pâques</v>
      </c>
      <c r="G258" s="22" t="str">
        <f>IF(INDEX(Feiertagsregeln!$F$7:$F$480,MATCH($K258,Feiertagsregeln!$A$7:$A$480,0))="","Noch zu erfassen",INDEX(Feiertagsregeln!$F$7:$F$480,MATCH($K258,Feiertagsregeln!$A$7:$A$480,0)))</f>
        <v>Lunedì di Pasqua</v>
      </c>
      <c r="H258" s="22" t="str">
        <f>IF(INDEX(Feiertagsregeln!$G$7:$G$480,MATCH($K258,Feiertagsregeln!$A$7:$A$480,0))="","Noch zu erfassen",INDEX(Feiertagsregeln!$G$7:$G$480,MATCH($K258,Feiertagsregeln!$A$7:$A$480,0)))</f>
        <v>Glindesdi da Pasca</v>
      </c>
      <c r="I258" s="11" t="str">
        <f>INDEX(Feiertagsregeln!$H$7:$H$480,MATCH($K258,Feiertagsregeln!$A$7:$A$480,0))</f>
        <v>publicHoliday</v>
      </c>
      <c r="J258" s="11" t="s">
        <v>69</v>
      </c>
      <c r="K258" s="11" t="s">
        <v>340</v>
      </c>
      <c r="L258" s="11" t="str">
        <f>INDEX(Feiertagsregeln!$Y$7:$Y$480,MATCH($K258,Feiertagsregeln!$A$7:$A$480,0))</f>
        <v>SRC-SG-RLG-5521-V228</v>
      </c>
      <c r="M258" s="11" t="str">
        <f>INDEX(Feiertagsregeln!$Z$7:$Z$480,MATCH($K258,Feiertagsregeln!$A$7:$A$480,0))</f>
        <v>Art. 2 und Art. 3</v>
      </c>
      <c r="N258" s="11" t="s">
        <v>193</v>
      </c>
      <c r="O258" s="11" t="str">
        <f>INDEX(Feiertagsregeln!$AA$7:$AA$480,MATCH($K258,Feiertagsregeln!$A$7:$A$480,0))</f>
        <v>Ganztägig</v>
      </c>
    </row>
    <row r="259" spans="1:15" ht="44" customHeight="1">
      <c r="A259" s="14">
        <f>INDEX(Feiertagsregeln!$X$7:$X$480,MATCH($K259,Feiertagsregeln!$A$7:$A$480,0))</f>
        <v>46898</v>
      </c>
      <c r="B259" s="10" t="str">
        <f t="shared" si="3"/>
        <v>Donnerstag</v>
      </c>
      <c r="C259" s="10" t="s">
        <v>336</v>
      </c>
      <c r="D259" s="10" t="s">
        <v>337</v>
      </c>
      <c r="E259" s="10" t="str">
        <f>INDEX(Feiertagsregeln!$D$7:$D$480,MATCH($K259,Feiertagsregeln!$A$7:$A$480,0))</f>
        <v>Auffahrt</v>
      </c>
      <c r="F259" s="10" t="str">
        <f>INDEX(Feiertagsregeln!$E$7:$E$480,MATCH($K259,Feiertagsregeln!$A$7:$A$480,0))</f>
        <v>Ascension</v>
      </c>
      <c r="G259" s="21" t="str">
        <f>IF(INDEX(Feiertagsregeln!$F$7:$F$480,MATCH($K259,Feiertagsregeln!$A$7:$A$480,0))="","Noch zu erfassen",INDEX(Feiertagsregeln!$F$7:$F$480,MATCH($K259,Feiertagsregeln!$A$7:$A$480,0)))</f>
        <v>Ascensione</v>
      </c>
      <c r="H259" s="21" t="str">
        <f>IF(INDEX(Feiertagsregeln!$G$7:$G$480,MATCH($K259,Feiertagsregeln!$A$7:$A$480,0))="","Noch zu erfassen",INDEX(Feiertagsregeln!$G$7:$G$480,MATCH($K259,Feiertagsregeln!$A$7:$A$480,0)))</f>
        <v>Ascensiun</v>
      </c>
      <c r="I259" s="10" t="str">
        <f>INDEX(Feiertagsregeln!$H$7:$H$480,MATCH($K259,Feiertagsregeln!$A$7:$A$480,0))</f>
        <v>publicHoliday</v>
      </c>
      <c r="J259" s="10" t="s">
        <v>69</v>
      </c>
      <c r="K259" s="10" t="s">
        <v>341</v>
      </c>
      <c r="L259" s="10" t="str">
        <f>INDEX(Feiertagsregeln!$Y$7:$Y$480,MATCH($K259,Feiertagsregeln!$A$7:$A$480,0))</f>
        <v>SRC-SG-RLG-5521-V228</v>
      </c>
      <c r="M259" s="10" t="str">
        <f>INDEX(Feiertagsregeln!$Z$7:$Z$480,MATCH($K259,Feiertagsregeln!$A$7:$A$480,0))</f>
        <v>Art. 2 und Art. 3</v>
      </c>
      <c r="N259" s="10" t="s">
        <v>193</v>
      </c>
      <c r="O259" s="10" t="str">
        <f>INDEX(Feiertagsregeln!$AA$7:$AA$480,MATCH($K259,Feiertagsregeln!$A$7:$A$480,0))</f>
        <v>Ganztägig</v>
      </c>
    </row>
    <row r="260" spans="1:15" ht="44" customHeight="1">
      <c r="A260" s="15">
        <f>INDEX(Feiertagsregeln!$X$7:$X$480,MATCH($K260,Feiertagsregeln!$A$7:$A$480,0))</f>
        <v>46909</v>
      </c>
      <c r="B260" s="11" t="str">
        <f t="shared" si="3"/>
        <v>Montag</v>
      </c>
      <c r="C260" s="11" t="s">
        <v>336</v>
      </c>
      <c r="D260" s="11" t="s">
        <v>337</v>
      </c>
      <c r="E260" s="11" t="str">
        <f>INDEX(Feiertagsregeln!$D$7:$D$480,MATCH($K260,Feiertagsregeln!$A$7:$A$480,0))</f>
        <v>Pfingstmontag</v>
      </c>
      <c r="F260" s="11" t="str">
        <f>INDEX(Feiertagsregeln!$E$7:$E$480,MATCH($K260,Feiertagsregeln!$A$7:$A$480,0))</f>
        <v>Lundi de Pentecôte</v>
      </c>
      <c r="G260" s="22" t="str">
        <f>IF(INDEX(Feiertagsregeln!$F$7:$F$480,MATCH($K260,Feiertagsregeln!$A$7:$A$480,0))="","Noch zu erfassen",INDEX(Feiertagsregeln!$F$7:$F$480,MATCH($K260,Feiertagsregeln!$A$7:$A$480,0)))</f>
        <v>Lunedì di Pentecoste</v>
      </c>
      <c r="H260" s="22" t="str">
        <f>IF(INDEX(Feiertagsregeln!$G$7:$G$480,MATCH($K260,Feiertagsregeln!$A$7:$A$480,0))="","Noch zu erfassen",INDEX(Feiertagsregeln!$G$7:$G$480,MATCH($K260,Feiertagsregeln!$A$7:$A$480,0)))</f>
        <v>Glindesdi da Tschuncaisma</v>
      </c>
      <c r="I260" s="11" t="str">
        <f>INDEX(Feiertagsregeln!$H$7:$H$480,MATCH($K260,Feiertagsregeln!$A$7:$A$480,0))</f>
        <v>publicHoliday</v>
      </c>
      <c r="J260" s="11" t="s">
        <v>69</v>
      </c>
      <c r="K260" s="11" t="s">
        <v>342</v>
      </c>
      <c r="L260" s="11" t="str">
        <f>INDEX(Feiertagsregeln!$Y$7:$Y$480,MATCH($K260,Feiertagsregeln!$A$7:$A$480,0))</f>
        <v>SRC-SG-RLG-5521-V228</v>
      </c>
      <c r="M260" s="11" t="str">
        <f>INDEX(Feiertagsregeln!$Z$7:$Z$480,MATCH($K260,Feiertagsregeln!$A$7:$A$480,0))</f>
        <v>Art. 2 und Art. 3</v>
      </c>
      <c r="N260" s="11" t="s">
        <v>193</v>
      </c>
      <c r="O260" s="11" t="str">
        <f>INDEX(Feiertagsregeln!$AA$7:$AA$480,MATCH($K260,Feiertagsregeln!$A$7:$A$480,0))</f>
        <v>Ganztägig</v>
      </c>
    </row>
    <row r="261" spans="1:15" ht="44" customHeight="1">
      <c r="A261" s="14">
        <f>INDEX(Feiertagsregeln!$X$7:$X$480,MATCH($K261,Feiertagsregeln!$A$7:$A$480,0))</f>
        <v>46966</v>
      </c>
      <c r="B261" s="10" t="str">
        <f t="shared" si="3"/>
        <v>Dienstag</v>
      </c>
      <c r="C261" s="10" t="s">
        <v>336</v>
      </c>
      <c r="D261" s="10" t="s">
        <v>337</v>
      </c>
      <c r="E261" s="10" t="str">
        <f>INDEX(Feiertagsregeln!$D$7:$D$480,MATCH($K261,Feiertagsregeln!$A$7:$A$480,0))</f>
        <v>Bundesfeiertag</v>
      </c>
      <c r="F261" s="10" t="str">
        <f>INDEX(Feiertagsregeln!$E$7:$E$480,MATCH($K261,Feiertagsregeln!$A$7:$A$480,0))</f>
        <v>Fête nationale</v>
      </c>
      <c r="G261" s="21" t="str">
        <f>IF(INDEX(Feiertagsregeln!$F$7:$F$480,MATCH($K261,Feiertagsregeln!$A$7:$A$480,0))="","Noch zu erfassen",INDEX(Feiertagsregeln!$F$7:$F$480,MATCH($K261,Feiertagsregeln!$A$7:$A$480,0)))</f>
        <v>Primo agosto</v>
      </c>
      <c r="H261" s="21" t="str">
        <f>IF(INDEX(Feiertagsregeln!$G$7:$G$480,MATCH($K261,Feiertagsregeln!$A$7:$A$480,0))="","Noch zu erfassen",INDEX(Feiertagsregeln!$G$7:$G$480,MATCH($K261,Feiertagsregeln!$A$7:$A$480,0)))</f>
        <v>Festa naziunala svizra</v>
      </c>
      <c r="I261" s="10" t="str">
        <f>INDEX(Feiertagsregeln!$H$7:$H$480,MATCH($K261,Feiertagsregeln!$A$7:$A$480,0))</f>
        <v>publicHoliday</v>
      </c>
      <c r="J261" s="10" t="s">
        <v>69</v>
      </c>
      <c r="K261" s="10" t="s">
        <v>343</v>
      </c>
      <c r="L261" s="10" t="str">
        <f>INDEX(Feiertagsregeln!$Y$7:$Y$480,MATCH($K261,Feiertagsregeln!$A$7:$A$480,0))</f>
        <v>SRC-BUNDESFEIERTAG-19940701</v>
      </c>
      <c r="M261" s="10" t="str">
        <f>INDEX(Feiertagsregeln!$Z$7:$Z$480,MATCH($K261,Feiertagsregeln!$A$7:$A$480,0))</f>
        <v>SR 116 Art. 1, offene Anwendung auf neues kantonales Profil</v>
      </c>
      <c r="N261" s="10" t="s">
        <v>193</v>
      </c>
      <c r="O261" s="10" t="str">
        <f>INDEX(Feiertagsregeln!$AA$7:$AA$480,MATCH($K261,Feiertagsregeln!$A$7:$A$480,0))</f>
        <v>Ganztägig</v>
      </c>
    </row>
    <row r="262" spans="1:15" ht="44" customHeight="1">
      <c r="A262" s="15">
        <f>INDEX(Feiertagsregeln!$X$7:$X$480,MATCH($K262,Feiertagsregeln!$A$7:$A$480,0))</f>
        <v>47112</v>
      </c>
      <c r="B262" s="11" t="str">
        <f t="shared" si="3"/>
        <v>Montag</v>
      </c>
      <c r="C262" s="11" t="s">
        <v>336</v>
      </c>
      <c r="D262" s="11" t="s">
        <v>337</v>
      </c>
      <c r="E262" s="11" t="str">
        <f>INDEX(Feiertagsregeln!$D$7:$D$480,MATCH($K262,Feiertagsregeln!$A$7:$A$480,0))</f>
        <v>Weihnachten</v>
      </c>
      <c r="F262" s="11" t="str">
        <f>INDEX(Feiertagsregeln!$E$7:$E$480,MATCH($K262,Feiertagsregeln!$A$7:$A$480,0))</f>
        <v>Noël</v>
      </c>
      <c r="G262" s="22" t="str">
        <f>IF(INDEX(Feiertagsregeln!$F$7:$F$480,MATCH($K262,Feiertagsregeln!$A$7:$A$480,0))="","Noch zu erfassen",INDEX(Feiertagsregeln!$F$7:$F$480,MATCH($K262,Feiertagsregeln!$A$7:$A$480,0)))</f>
        <v>Natale</v>
      </c>
      <c r="H262" s="22" t="str">
        <f>IF(INDEX(Feiertagsregeln!$G$7:$G$480,MATCH($K262,Feiertagsregeln!$A$7:$A$480,0))="","Noch zu erfassen",INDEX(Feiertagsregeln!$G$7:$G$480,MATCH($K262,Feiertagsregeln!$A$7:$A$480,0)))</f>
        <v>Di da Nadal</v>
      </c>
      <c r="I262" s="11" t="str">
        <f>INDEX(Feiertagsregeln!$H$7:$H$480,MATCH($K262,Feiertagsregeln!$A$7:$A$480,0))</f>
        <v>publicHoliday</v>
      </c>
      <c r="J262" s="11" t="s">
        <v>69</v>
      </c>
      <c r="K262" s="11" t="s">
        <v>344</v>
      </c>
      <c r="L262" s="11" t="str">
        <f>INDEX(Feiertagsregeln!$Y$7:$Y$480,MATCH($K262,Feiertagsregeln!$A$7:$A$480,0))</f>
        <v>SRC-SG-RLG-5521-V228</v>
      </c>
      <c r="M262" s="11" t="str">
        <f>INDEX(Feiertagsregeln!$Z$7:$Z$480,MATCH($K262,Feiertagsregeln!$A$7:$A$480,0))</f>
        <v>Art. 2 und Art. 3</v>
      </c>
      <c r="N262" s="11" t="s">
        <v>193</v>
      </c>
      <c r="O262" s="11" t="str">
        <f>INDEX(Feiertagsregeln!$AA$7:$AA$480,MATCH($K262,Feiertagsregeln!$A$7:$A$480,0))</f>
        <v>Ganztägig</v>
      </c>
    </row>
    <row r="263" spans="1:15" ht="44" customHeight="1">
      <c r="A263" s="14">
        <f>INDEX(Feiertagsregeln!$X$7:$X$480,MATCH($K263,Feiertagsregeln!$A$7:$A$480,0))</f>
        <v>47113</v>
      </c>
      <c r="B263" s="10" t="str">
        <f t="shared" ref="B263:B326" si="4">IF(ISNUMBER(A263),CHOOSE(WEEKDAY(A263,2),"Montag","Dienstag","Mittwoch","Donnerstag","Freitag","Samstag","Sonntag")&amp;IF(O263="Ab 12.00 Uhr",", ab 12.00 Uhr",""),"n.a.")</f>
        <v>Dienstag</v>
      </c>
      <c r="C263" s="10" t="s">
        <v>336</v>
      </c>
      <c r="D263" s="10" t="s">
        <v>337</v>
      </c>
      <c r="E263" s="10" t="str">
        <f>INDEX(Feiertagsregeln!$D$7:$D$480,MATCH($K263,Feiertagsregeln!$A$7:$A$480,0))</f>
        <v>Stephanstag</v>
      </c>
      <c r="F263" s="10" t="str">
        <f>INDEX(Feiertagsregeln!$E$7:$E$480,MATCH($K263,Feiertagsregeln!$A$7:$A$480,0))</f>
        <v>Saint-Étienne</v>
      </c>
      <c r="G263" s="21" t="str">
        <f>IF(INDEX(Feiertagsregeln!$F$7:$F$480,MATCH($K263,Feiertagsregeln!$A$7:$A$480,0))="","Noch zu erfassen",INDEX(Feiertagsregeln!$F$7:$F$480,MATCH($K263,Feiertagsregeln!$A$7:$A$480,0)))</f>
        <v>Santo Stefano</v>
      </c>
      <c r="H263" s="21" t="str">
        <f>IF(INDEX(Feiertagsregeln!$G$7:$G$480,MATCH($K263,Feiertagsregeln!$A$7:$A$480,0))="","Noch zu erfassen",INDEX(Feiertagsregeln!$G$7:$G$480,MATCH($K263,Feiertagsregeln!$A$7:$A$480,0)))</f>
        <v>Son Steffan</v>
      </c>
      <c r="I263" s="10" t="str">
        <f>INDEX(Feiertagsregeln!$H$7:$H$480,MATCH($K263,Feiertagsregeln!$A$7:$A$480,0))</f>
        <v>publicHoliday</v>
      </c>
      <c r="J263" s="10" t="s">
        <v>69</v>
      </c>
      <c r="K263" s="10" t="s">
        <v>345</v>
      </c>
      <c r="L263" s="10" t="str">
        <f>INDEX(Feiertagsregeln!$Y$7:$Y$480,MATCH($K263,Feiertagsregeln!$A$7:$A$480,0))</f>
        <v>SRC-SG-RLG-5521-V228</v>
      </c>
      <c r="M263" s="10" t="str">
        <f>INDEX(Feiertagsregeln!$Z$7:$Z$480,MATCH($K263,Feiertagsregeln!$A$7:$A$480,0))</f>
        <v>Art. 2 und Art. 3</v>
      </c>
      <c r="N263" s="10" t="s">
        <v>193</v>
      </c>
      <c r="O263" s="10" t="str">
        <f>INDEX(Feiertagsregeln!$AA$7:$AA$480,MATCH($K263,Feiertagsregeln!$A$7:$A$480,0))</f>
        <v>Ganztägig</v>
      </c>
    </row>
    <row r="264" spans="1:15" ht="44" customHeight="1">
      <c r="A264" s="15">
        <f>INDEX(Feiertagsregeln!$X$7:$X$480,MATCH($K264,Feiertagsregeln!$A$7:$A$480,0))</f>
        <v>47058</v>
      </c>
      <c r="B264" s="11" t="str">
        <f t="shared" si="4"/>
        <v>Mittwoch</v>
      </c>
      <c r="C264" s="11" t="s">
        <v>336</v>
      </c>
      <c r="D264" s="11" t="s">
        <v>337</v>
      </c>
      <c r="E264" s="11" t="str">
        <f>INDEX(Feiertagsregeln!$D$7:$D$480,MATCH($K264,Feiertagsregeln!$A$7:$A$480,0))</f>
        <v>Allerheiligen</v>
      </c>
      <c r="F264" s="11" t="str">
        <f>INDEX(Feiertagsregeln!$E$7:$E$480,MATCH($K264,Feiertagsregeln!$A$7:$A$480,0))</f>
        <v>Toussaint</v>
      </c>
      <c r="G264" s="22" t="str">
        <f>IF(INDEX(Feiertagsregeln!$F$7:$F$480,MATCH($K264,Feiertagsregeln!$A$7:$A$480,0))="","Noch zu erfassen",INDEX(Feiertagsregeln!$F$7:$F$480,MATCH($K264,Feiertagsregeln!$A$7:$A$480,0)))</f>
        <v>Ognissanti</v>
      </c>
      <c r="H264" s="22" t="str">
        <f>IF(INDEX(Feiertagsregeln!$G$7:$G$480,MATCH($K264,Feiertagsregeln!$A$7:$A$480,0))="","Noch zu erfassen",INDEX(Feiertagsregeln!$G$7:$G$480,MATCH($K264,Feiertagsregeln!$A$7:$A$480,0)))</f>
        <v>Numnasontga</v>
      </c>
      <c r="I264" s="11" t="str">
        <f>INDEX(Feiertagsregeln!$H$7:$H$480,MATCH($K264,Feiertagsregeln!$A$7:$A$480,0))</f>
        <v>publicHoliday</v>
      </c>
      <c r="J264" s="11" t="s">
        <v>69</v>
      </c>
      <c r="K264" s="11" t="s">
        <v>346</v>
      </c>
      <c r="L264" s="11" t="str">
        <f>INDEX(Feiertagsregeln!$Y$7:$Y$480,MATCH($K264,Feiertagsregeln!$A$7:$A$480,0))</f>
        <v>SRC-SG-RLG-5521-V228</v>
      </c>
      <c r="M264" s="11" t="str">
        <f>INDEX(Feiertagsregeln!$Z$7:$Z$480,MATCH($K264,Feiertagsregeln!$A$7:$A$480,0))</f>
        <v>Art. 2 und Art. 3</v>
      </c>
      <c r="N264" s="11" t="s">
        <v>193</v>
      </c>
      <c r="O264" s="11" t="str">
        <f>INDEX(Feiertagsregeln!$AA$7:$AA$480,MATCH($K264,Feiertagsregeln!$A$7:$A$480,0))</f>
        <v>Ganztägig</v>
      </c>
    </row>
    <row r="265" spans="1:15" ht="44" customHeight="1">
      <c r="A265" s="14">
        <f>INDEX(Feiertagsregeln!$X$7:$X$480,MATCH($K265,Feiertagsregeln!$A$7:$A$480,0))</f>
        <v>46859</v>
      </c>
      <c r="B265" s="10" t="str">
        <f t="shared" si="4"/>
        <v>Sonntag</v>
      </c>
      <c r="C265" s="10" t="s">
        <v>336</v>
      </c>
      <c r="D265" s="10" t="s">
        <v>337</v>
      </c>
      <c r="E265" s="10" t="str">
        <f>INDEX(Feiertagsregeln!$D$7:$D$480,MATCH($K265,Feiertagsregeln!$A$7:$A$480,0))</f>
        <v>Ostern</v>
      </c>
      <c r="F265" s="10" t="str">
        <f>INDEX(Feiertagsregeln!$E$7:$E$480,MATCH($K265,Feiertagsregeln!$A$7:$A$480,0))</f>
        <v>Pâques</v>
      </c>
      <c r="G265" s="21" t="str">
        <f>IF(INDEX(Feiertagsregeln!$F$7:$F$480,MATCH($K265,Feiertagsregeln!$A$7:$A$480,0))="","Noch zu erfassen",INDEX(Feiertagsregeln!$F$7:$F$480,MATCH($K265,Feiertagsregeln!$A$7:$A$480,0)))</f>
        <v>Domenica di Pasqua</v>
      </c>
      <c r="H265" s="21" t="str">
        <f>IF(INDEX(Feiertagsregeln!$G$7:$G$480,MATCH($K265,Feiertagsregeln!$A$7:$A$480,0))="","Noch zu erfassen",INDEX(Feiertagsregeln!$G$7:$G$480,MATCH($K265,Feiertagsregeln!$A$7:$A$480,0)))</f>
        <v>Dumengia da Pasca</v>
      </c>
      <c r="I265" s="10" t="str">
        <f>INDEX(Feiertagsregeln!$H$7:$H$480,MATCH($K265,Feiertagsregeln!$A$7:$A$480,0))</f>
        <v>publicHoliday</v>
      </c>
      <c r="J265" s="10" t="s">
        <v>69</v>
      </c>
      <c r="K265" s="10" t="s">
        <v>347</v>
      </c>
      <c r="L265" s="10" t="str">
        <f>INDEX(Feiertagsregeln!$Y$7:$Y$480,MATCH($K265,Feiertagsregeln!$A$7:$A$480,0))</f>
        <v>SRC-SG-RLG-5521-V228</v>
      </c>
      <c r="M265" s="10" t="str">
        <f>INDEX(Feiertagsregeln!$Z$7:$Z$480,MATCH($K265,Feiertagsregeln!$A$7:$A$480,0))</f>
        <v>Art. 2 und Art. 3</v>
      </c>
      <c r="N265" s="10" t="s">
        <v>193</v>
      </c>
      <c r="O265" s="10" t="str">
        <f>INDEX(Feiertagsregeln!$AA$7:$AA$480,MATCH($K265,Feiertagsregeln!$A$7:$A$480,0))</f>
        <v>Ganztägig</v>
      </c>
    </row>
    <row r="266" spans="1:15" ht="44" customHeight="1">
      <c r="A266" s="15">
        <f>INDEX(Feiertagsregeln!$X$7:$X$480,MATCH($K266,Feiertagsregeln!$A$7:$A$480,0))</f>
        <v>46908</v>
      </c>
      <c r="B266" s="11" t="str">
        <f t="shared" si="4"/>
        <v>Sonntag</v>
      </c>
      <c r="C266" s="11" t="s">
        <v>336</v>
      </c>
      <c r="D266" s="11" t="s">
        <v>337</v>
      </c>
      <c r="E266" s="11" t="str">
        <f>INDEX(Feiertagsregeln!$D$7:$D$480,MATCH($K266,Feiertagsregeln!$A$7:$A$480,0))</f>
        <v>Pfingsten</v>
      </c>
      <c r="F266" s="11" t="str">
        <f>INDEX(Feiertagsregeln!$E$7:$E$480,MATCH($K266,Feiertagsregeln!$A$7:$A$480,0))</f>
        <v>Pentecôte</v>
      </c>
      <c r="G266" s="22" t="str">
        <f>IF(INDEX(Feiertagsregeln!$F$7:$F$480,MATCH($K266,Feiertagsregeln!$A$7:$A$480,0))="","Noch zu erfassen",INDEX(Feiertagsregeln!$F$7:$F$480,MATCH($K266,Feiertagsregeln!$A$7:$A$480,0)))</f>
        <v>Domenica di Pentecoste</v>
      </c>
      <c r="H266" s="22" t="str">
        <f>IF(INDEX(Feiertagsregeln!$G$7:$G$480,MATCH($K266,Feiertagsregeln!$A$7:$A$480,0))="","Noch zu erfassen",INDEX(Feiertagsregeln!$G$7:$G$480,MATCH($K266,Feiertagsregeln!$A$7:$A$480,0)))</f>
        <v>Dumengia da Tschuncaisma</v>
      </c>
      <c r="I266" s="11" t="str">
        <f>INDEX(Feiertagsregeln!$H$7:$H$480,MATCH($K266,Feiertagsregeln!$A$7:$A$480,0))</f>
        <v>publicHoliday</v>
      </c>
      <c r="J266" s="11" t="s">
        <v>69</v>
      </c>
      <c r="K266" s="11" t="s">
        <v>348</v>
      </c>
      <c r="L266" s="11" t="str">
        <f>INDEX(Feiertagsregeln!$Y$7:$Y$480,MATCH($K266,Feiertagsregeln!$A$7:$A$480,0))</f>
        <v>SRC-SG-RLG-5521-V228</v>
      </c>
      <c r="M266" s="11" t="str">
        <f>INDEX(Feiertagsregeln!$Z$7:$Z$480,MATCH($K266,Feiertagsregeln!$A$7:$A$480,0))</f>
        <v>Art. 2 und Art. 3</v>
      </c>
      <c r="N266" s="11" t="s">
        <v>193</v>
      </c>
      <c r="O266" s="11" t="str">
        <f>INDEX(Feiertagsregeln!$AA$7:$AA$480,MATCH($K266,Feiertagsregeln!$A$7:$A$480,0))</f>
        <v>Ganztägig</v>
      </c>
    </row>
    <row r="267" spans="1:15" ht="44" customHeight="1">
      <c r="A267" s="14">
        <f>INDEX(Feiertagsregeln!$X$7:$X$480,MATCH($K267,Feiertagsregeln!$A$7:$A$480,0))</f>
        <v>47013</v>
      </c>
      <c r="B267" s="10" t="str">
        <f t="shared" si="4"/>
        <v>Sonntag</v>
      </c>
      <c r="C267" s="10" t="s">
        <v>336</v>
      </c>
      <c r="D267" s="10" t="s">
        <v>337</v>
      </c>
      <c r="E267" s="10" t="str">
        <f>INDEX(Feiertagsregeln!$D$7:$D$480,MATCH($K267,Feiertagsregeln!$A$7:$A$480,0))</f>
        <v>Eidgenössischer Dank-, Buss- und Bettag</v>
      </c>
      <c r="F267" s="10" t="str">
        <f>INDEX(Feiertagsregeln!$E$7:$E$480,MATCH($K267,Feiertagsregeln!$A$7:$A$480,0))</f>
        <v>Jeûne fédéral</v>
      </c>
      <c r="G267" s="21" t="str">
        <f>IF(INDEX(Feiertagsregeln!$F$7:$F$480,MATCH($K267,Feiertagsregeln!$A$7:$A$480,0))="","Noch zu erfassen",INDEX(Feiertagsregeln!$F$7:$F$480,MATCH($K267,Feiertagsregeln!$A$7:$A$480,0)))</f>
        <v>Festa federale di preghiera</v>
      </c>
      <c r="H267" s="21" t="str">
        <f>IF(INDEX(Feiertagsregeln!$G$7:$G$480,MATCH($K267,Feiertagsregeln!$A$7:$A$480,0))="","Noch zu erfassen",INDEX(Feiertagsregeln!$G$7:$G$480,MATCH($K267,Feiertagsregeln!$A$7:$A$480,0)))</f>
        <v>Di da la rogaziun federala</v>
      </c>
      <c r="I267" s="10" t="str">
        <f>INDEX(Feiertagsregeln!$H$7:$H$480,MATCH($K267,Feiertagsregeln!$A$7:$A$480,0))</f>
        <v>publicHoliday</v>
      </c>
      <c r="J267" s="10" t="s">
        <v>69</v>
      </c>
      <c r="K267" s="10" t="s">
        <v>349</v>
      </c>
      <c r="L267" s="10" t="str">
        <f>INDEX(Feiertagsregeln!$Y$7:$Y$480,MATCH($K267,Feiertagsregeln!$A$7:$A$480,0))</f>
        <v>SRC-SG-RLG-5521-V228</v>
      </c>
      <c r="M267" s="10" t="str">
        <f>INDEX(Feiertagsregeln!$Z$7:$Z$480,MATCH($K267,Feiertagsregeln!$A$7:$A$480,0))</f>
        <v>Art. 2 und Art. 3</v>
      </c>
      <c r="N267" s="10" t="s">
        <v>193</v>
      </c>
      <c r="O267" s="10" t="str">
        <f>INDEX(Feiertagsregeln!$AA$7:$AA$480,MATCH($K267,Feiertagsregeln!$A$7:$A$480,0))</f>
        <v>Ganztägig</v>
      </c>
    </row>
    <row r="268" spans="1:15" ht="44" customHeight="1">
      <c r="A268" s="15">
        <f>INDEX(Feiertagsregeln!$X$7:$X$480,MATCH($K268,Feiertagsregeln!$A$7:$A$480,0))</f>
        <v>46754</v>
      </c>
      <c r="B268" s="11" t="str">
        <f t="shared" si="4"/>
        <v>Sonntag</v>
      </c>
      <c r="C268" s="11" t="s">
        <v>336</v>
      </c>
      <c r="D268" s="11" t="s">
        <v>350</v>
      </c>
      <c r="E268" s="11" t="str">
        <f>INDEX(Feiertagsregeln!$D$7:$D$480,MATCH($K268,Feiertagsregeln!$A$7:$A$480,0))</f>
        <v>Berchtoldstag</v>
      </c>
      <c r="F268" s="11" t="str">
        <f>INDEX(Feiertagsregeln!$E$7:$E$480,MATCH($K268,Feiertagsregeln!$A$7:$A$480,0))</f>
        <v>Saint-Berchtold</v>
      </c>
      <c r="G268" s="22" t="str">
        <f>IF(INDEX(Feiertagsregeln!$F$7:$F$480,MATCH($K268,Feiertagsregeln!$A$7:$A$480,0))="","Noch zu erfassen",INDEX(Feiertagsregeln!$F$7:$F$480,MATCH($K268,Feiertagsregeln!$A$7:$A$480,0)))</f>
        <v>Giorno di Berchtold</v>
      </c>
      <c r="H268" s="22" t="str">
        <f>IF(INDEX(Feiertagsregeln!$G$7:$G$480,MATCH($K268,Feiertagsregeln!$A$7:$A$480,0))="","Noch zu erfassen",INDEX(Feiertagsregeln!$G$7:$G$480,MATCH($K268,Feiertagsregeln!$A$7:$A$480,0)))</f>
        <v>Di da Berchtold</v>
      </c>
      <c r="I268" s="11" t="str">
        <f>INDEX(Feiertagsregeln!$H$7:$H$480,MATCH($K268,Feiertagsregeln!$A$7:$A$480,0))</f>
        <v>proceduralEquivalentDay</v>
      </c>
      <c r="J268" s="11" t="s">
        <v>69</v>
      </c>
      <c r="K268" s="11" t="s">
        <v>351</v>
      </c>
      <c r="L268" s="11" t="str">
        <f>INDEX(Feiertagsregeln!$Y$7:$Y$480,MATCH($K268,Feiertagsregeln!$A$7:$A$480,0))</f>
        <v>SRC-SG-KGER-FS20121-20120329</v>
      </c>
      <c r="M268" s="11" t="str">
        <f>INDEX(Feiertagsregeln!$Z$7:$Z$480,MATCH($K268,Feiertagsregeln!$A$7:$A$480,0))</f>
        <v>FS.2012.1, Erwägungen zur Fristwahrung</v>
      </c>
      <c r="N268" s="11" t="s">
        <v>193</v>
      </c>
      <c r="O268" s="11" t="str">
        <f>INDEX(Feiertagsregeln!$AA$7:$AA$480,MATCH($K268,Feiertagsregeln!$A$7:$A$480,0))</f>
        <v>Ganztägig</v>
      </c>
    </row>
    <row r="269" spans="1:15" ht="44" customHeight="1">
      <c r="A269" s="14">
        <f>INDEX(Feiertagsregeln!$X$7:$X$480,MATCH($K269,Feiertagsregeln!$A$7:$A$480,0))</f>
        <v>46753</v>
      </c>
      <c r="B269" s="10" t="str">
        <f t="shared" si="4"/>
        <v>Samstag</v>
      </c>
      <c r="C269" s="10" t="s">
        <v>352</v>
      </c>
      <c r="D269" s="10" t="s">
        <v>353</v>
      </c>
      <c r="E269" s="10" t="str">
        <f>INDEX(Feiertagsregeln!$D$7:$D$480,MATCH($K269,Feiertagsregeln!$A$7:$A$480,0))</f>
        <v>Neujahr</v>
      </c>
      <c r="F269" s="10" t="str">
        <f>INDEX(Feiertagsregeln!$E$7:$E$480,MATCH($K269,Feiertagsregeln!$A$7:$A$480,0))</f>
        <v>Nouvel An</v>
      </c>
      <c r="G269" s="21" t="str">
        <f>IF(INDEX(Feiertagsregeln!$F$7:$F$480,MATCH($K269,Feiertagsregeln!$A$7:$A$480,0))="","Noch zu erfassen",INDEX(Feiertagsregeln!$F$7:$F$480,MATCH($K269,Feiertagsregeln!$A$7:$A$480,0)))</f>
        <v>Capo d’anno</v>
      </c>
      <c r="H269" s="21" t="str">
        <f>IF(INDEX(Feiertagsregeln!$G$7:$G$480,MATCH($K269,Feiertagsregeln!$A$7:$A$480,0))="","Noch zu erfassen",INDEX(Feiertagsregeln!$G$7:$G$480,MATCH($K269,Feiertagsregeln!$A$7:$A$480,0)))</f>
        <v>Bumaun</v>
      </c>
      <c r="I269" s="10" t="str">
        <f>INDEX(Feiertagsregeln!$H$7:$H$480,MATCH($K269,Feiertagsregeln!$A$7:$A$480,0))</f>
        <v>labourLawHoliday</v>
      </c>
      <c r="J269" s="10" t="s">
        <v>69</v>
      </c>
      <c r="K269" s="10" t="s">
        <v>354</v>
      </c>
      <c r="L269" s="10" t="str">
        <f>INDEX(Feiertagsregeln!$Y$7:$Y$480,MATCH($K269,Feiertagsregeln!$A$7:$A$480,0))</f>
        <v>SRC-AR-ARGV-82211-V1058</v>
      </c>
      <c r="M269" s="10" t="str">
        <f>INDEX(Feiertagsregeln!$Z$7:$Z$480,MATCH($K269,Feiertagsregeln!$A$7:$A$480,0))</f>
        <v>Art. 7</v>
      </c>
      <c r="N269" s="10" t="s">
        <v>193</v>
      </c>
      <c r="O269" s="10" t="str">
        <f>INDEX(Feiertagsregeln!$AA$7:$AA$480,MATCH($K269,Feiertagsregeln!$A$7:$A$480,0))</f>
        <v>Ganztägig</v>
      </c>
    </row>
    <row r="270" spans="1:15" ht="44" customHeight="1">
      <c r="A270" s="15">
        <f>INDEX(Feiertagsregeln!$X$7:$X$480,MATCH($K270,Feiertagsregeln!$A$7:$A$480,0))</f>
        <v>46857</v>
      </c>
      <c r="B270" s="11" t="str">
        <f t="shared" si="4"/>
        <v>Freitag</v>
      </c>
      <c r="C270" s="11" t="s">
        <v>352</v>
      </c>
      <c r="D270" s="11" t="s">
        <v>353</v>
      </c>
      <c r="E270" s="11" t="str">
        <f>INDEX(Feiertagsregeln!$D$7:$D$480,MATCH($K270,Feiertagsregeln!$A$7:$A$480,0))</f>
        <v>Karfreitag</v>
      </c>
      <c r="F270" s="11" t="str">
        <f>INDEX(Feiertagsregeln!$E$7:$E$480,MATCH($K270,Feiertagsregeln!$A$7:$A$480,0))</f>
        <v>Vendredi saint</v>
      </c>
      <c r="G270" s="22" t="str">
        <f>IF(INDEX(Feiertagsregeln!$F$7:$F$480,MATCH($K270,Feiertagsregeln!$A$7:$A$480,0))="","Noch zu erfassen",INDEX(Feiertagsregeln!$F$7:$F$480,MATCH($K270,Feiertagsregeln!$A$7:$A$480,0)))</f>
        <v>Venerdì Santo</v>
      </c>
      <c r="H270" s="22" t="str">
        <f>IF(INDEX(Feiertagsregeln!$G$7:$G$480,MATCH($K270,Feiertagsregeln!$A$7:$A$480,0))="","Noch zu erfassen",INDEX(Feiertagsregeln!$G$7:$G$480,MATCH($K270,Feiertagsregeln!$A$7:$A$480,0)))</f>
        <v>Venderdi sontg</v>
      </c>
      <c r="I270" s="11" t="str">
        <f>INDEX(Feiertagsregeln!$H$7:$H$480,MATCH($K270,Feiertagsregeln!$A$7:$A$480,0))</f>
        <v>labourLawHoliday</v>
      </c>
      <c r="J270" s="11" t="s">
        <v>69</v>
      </c>
      <c r="K270" s="11" t="s">
        <v>355</v>
      </c>
      <c r="L270" s="11" t="str">
        <f>INDEX(Feiertagsregeln!$Y$7:$Y$480,MATCH($K270,Feiertagsregeln!$A$7:$A$480,0))</f>
        <v>SRC-AR-ARGV-82211-V1058</v>
      </c>
      <c r="M270" s="11" t="str">
        <f>INDEX(Feiertagsregeln!$Z$7:$Z$480,MATCH($K270,Feiertagsregeln!$A$7:$A$480,0))</f>
        <v>Art. 7</v>
      </c>
      <c r="N270" s="11" t="s">
        <v>193</v>
      </c>
      <c r="O270" s="11" t="str">
        <f>INDEX(Feiertagsregeln!$AA$7:$AA$480,MATCH($K270,Feiertagsregeln!$A$7:$A$480,0))</f>
        <v>Ganztägig</v>
      </c>
    </row>
    <row r="271" spans="1:15" ht="44" customHeight="1">
      <c r="A271" s="14">
        <f>INDEX(Feiertagsregeln!$X$7:$X$480,MATCH($K271,Feiertagsregeln!$A$7:$A$480,0))</f>
        <v>46860</v>
      </c>
      <c r="B271" s="10" t="str">
        <f t="shared" si="4"/>
        <v>Montag</v>
      </c>
      <c r="C271" s="10" t="s">
        <v>352</v>
      </c>
      <c r="D271" s="10" t="s">
        <v>353</v>
      </c>
      <c r="E271" s="10" t="str">
        <f>INDEX(Feiertagsregeln!$D$7:$D$480,MATCH($K271,Feiertagsregeln!$A$7:$A$480,0))</f>
        <v>Ostermontag</v>
      </c>
      <c r="F271" s="10" t="str">
        <f>INDEX(Feiertagsregeln!$E$7:$E$480,MATCH($K271,Feiertagsregeln!$A$7:$A$480,0))</f>
        <v>Lundi de Pâques</v>
      </c>
      <c r="G271" s="21" t="str">
        <f>IF(INDEX(Feiertagsregeln!$F$7:$F$480,MATCH($K271,Feiertagsregeln!$A$7:$A$480,0))="","Noch zu erfassen",INDEX(Feiertagsregeln!$F$7:$F$480,MATCH($K271,Feiertagsregeln!$A$7:$A$480,0)))</f>
        <v>Lunedì di Pasqua</v>
      </c>
      <c r="H271" s="21" t="str">
        <f>IF(INDEX(Feiertagsregeln!$G$7:$G$480,MATCH($K271,Feiertagsregeln!$A$7:$A$480,0))="","Noch zu erfassen",INDEX(Feiertagsregeln!$G$7:$G$480,MATCH($K271,Feiertagsregeln!$A$7:$A$480,0)))</f>
        <v>Glindesdi da Pasca</v>
      </c>
      <c r="I271" s="10" t="str">
        <f>INDEX(Feiertagsregeln!$H$7:$H$480,MATCH($K271,Feiertagsregeln!$A$7:$A$480,0))</f>
        <v>labourLawHoliday</v>
      </c>
      <c r="J271" s="10" t="s">
        <v>69</v>
      </c>
      <c r="K271" s="10" t="s">
        <v>356</v>
      </c>
      <c r="L271" s="10" t="str">
        <f>INDEX(Feiertagsregeln!$Y$7:$Y$480,MATCH($K271,Feiertagsregeln!$A$7:$A$480,0))</f>
        <v>SRC-AR-ARGV-82211-V1058</v>
      </c>
      <c r="M271" s="10" t="str">
        <f>INDEX(Feiertagsregeln!$Z$7:$Z$480,MATCH($K271,Feiertagsregeln!$A$7:$A$480,0))</f>
        <v>Art. 7</v>
      </c>
      <c r="N271" s="10" t="s">
        <v>193</v>
      </c>
      <c r="O271" s="10" t="str">
        <f>INDEX(Feiertagsregeln!$AA$7:$AA$480,MATCH($K271,Feiertagsregeln!$A$7:$A$480,0))</f>
        <v>Ganztägig</v>
      </c>
    </row>
    <row r="272" spans="1:15" ht="44" customHeight="1">
      <c r="A272" s="15">
        <f>INDEX(Feiertagsregeln!$X$7:$X$480,MATCH($K272,Feiertagsregeln!$A$7:$A$480,0))</f>
        <v>46898</v>
      </c>
      <c r="B272" s="11" t="str">
        <f t="shared" si="4"/>
        <v>Donnerstag</v>
      </c>
      <c r="C272" s="11" t="s">
        <v>352</v>
      </c>
      <c r="D272" s="11" t="s">
        <v>353</v>
      </c>
      <c r="E272" s="11" t="str">
        <f>INDEX(Feiertagsregeln!$D$7:$D$480,MATCH($K272,Feiertagsregeln!$A$7:$A$480,0))</f>
        <v>Auffahrt</v>
      </c>
      <c r="F272" s="11" t="str">
        <f>INDEX(Feiertagsregeln!$E$7:$E$480,MATCH($K272,Feiertagsregeln!$A$7:$A$480,0))</f>
        <v>Ascension</v>
      </c>
      <c r="G272" s="22" t="str">
        <f>IF(INDEX(Feiertagsregeln!$F$7:$F$480,MATCH($K272,Feiertagsregeln!$A$7:$A$480,0))="","Noch zu erfassen",INDEX(Feiertagsregeln!$F$7:$F$480,MATCH($K272,Feiertagsregeln!$A$7:$A$480,0)))</f>
        <v>Ascensione</v>
      </c>
      <c r="H272" s="22" t="str">
        <f>IF(INDEX(Feiertagsregeln!$G$7:$G$480,MATCH($K272,Feiertagsregeln!$A$7:$A$480,0))="","Noch zu erfassen",INDEX(Feiertagsregeln!$G$7:$G$480,MATCH($K272,Feiertagsregeln!$A$7:$A$480,0)))</f>
        <v>Ascensiun</v>
      </c>
      <c r="I272" s="11" t="str">
        <f>INDEX(Feiertagsregeln!$H$7:$H$480,MATCH($K272,Feiertagsregeln!$A$7:$A$480,0))</f>
        <v>labourLawHoliday</v>
      </c>
      <c r="J272" s="11" t="s">
        <v>69</v>
      </c>
      <c r="K272" s="11" t="s">
        <v>357</v>
      </c>
      <c r="L272" s="11" t="str">
        <f>INDEX(Feiertagsregeln!$Y$7:$Y$480,MATCH($K272,Feiertagsregeln!$A$7:$A$480,0))</f>
        <v>SRC-AR-ARGV-82211-V1058</v>
      </c>
      <c r="M272" s="11" t="str">
        <f>INDEX(Feiertagsregeln!$Z$7:$Z$480,MATCH($K272,Feiertagsregeln!$A$7:$A$480,0))</f>
        <v>Art. 7</v>
      </c>
      <c r="N272" s="11" t="s">
        <v>193</v>
      </c>
      <c r="O272" s="11" t="str">
        <f>INDEX(Feiertagsregeln!$AA$7:$AA$480,MATCH($K272,Feiertagsregeln!$A$7:$A$480,0))</f>
        <v>Ganztägig</v>
      </c>
    </row>
    <row r="273" spans="1:15" ht="44" customHeight="1">
      <c r="A273" s="14">
        <f>INDEX(Feiertagsregeln!$X$7:$X$480,MATCH($K273,Feiertagsregeln!$A$7:$A$480,0))</f>
        <v>46909</v>
      </c>
      <c r="B273" s="10" t="str">
        <f t="shared" si="4"/>
        <v>Montag</v>
      </c>
      <c r="C273" s="10" t="s">
        <v>352</v>
      </c>
      <c r="D273" s="10" t="s">
        <v>353</v>
      </c>
      <c r="E273" s="10" t="str">
        <f>INDEX(Feiertagsregeln!$D$7:$D$480,MATCH($K273,Feiertagsregeln!$A$7:$A$480,0))</f>
        <v>Pfingstmontag</v>
      </c>
      <c r="F273" s="10" t="str">
        <f>INDEX(Feiertagsregeln!$E$7:$E$480,MATCH($K273,Feiertagsregeln!$A$7:$A$480,0))</f>
        <v>Lundi de Pentecôte</v>
      </c>
      <c r="G273" s="21" t="str">
        <f>IF(INDEX(Feiertagsregeln!$F$7:$F$480,MATCH($K273,Feiertagsregeln!$A$7:$A$480,0))="","Noch zu erfassen",INDEX(Feiertagsregeln!$F$7:$F$480,MATCH($K273,Feiertagsregeln!$A$7:$A$480,0)))</f>
        <v>Lunedì di Pentecoste</v>
      </c>
      <c r="H273" s="21" t="str">
        <f>IF(INDEX(Feiertagsregeln!$G$7:$G$480,MATCH($K273,Feiertagsregeln!$A$7:$A$480,0))="","Noch zu erfassen",INDEX(Feiertagsregeln!$G$7:$G$480,MATCH($K273,Feiertagsregeln!$A$7:$A$480,0)))</f>
        <v>Glindesdi da Tschuncaisma</v>
      </c>
      <c r="I273" s="10" t="str">
        <f>INDEX(Feiertagsregeln!$H$7:$H$480,MATCH($K273,Feiertagsregeln!$A$7:$A$480,0))</f>
        <v>labourLawHoliday</v>
      </c>
      <c r="J273" s="10" t="s">
        <v>69</v>
      </c>
      <c r="K273" s="10" t="s">
        <v>358</v>
      </c>
      <c r="L273" s="10" t="str">
        <f>INDEX(Feiertagsregeln!$Y$7:$Y$480,MATCH($K273,Feiertagsregeln!$A$7:$A$480,0))</f>
        <v>SRC-AR-ARGV-82211-V1058</v>
      </c>
      <c r="M273" s="10" t="str">
        <f>INDEX(Feiertagsregeln!$Z$7:$Z$480,MATCH($K273,Feiertagsregeln!$A$7:$A$480,0))</f>
        <v>Art. 7</v>
      </c>
      <c r="N273" s="10" t="s">
        <v>193</v>
      </c>
      <c r="O273" s="10" t="str">
        <f>INDEX(Feiertagsregeln!$AA$7:$AA$480,MATCH($K273,Feiertagsregeln!$A$7:$A$480,0))</f>
        <v>Ganztägig</v>
      </c>
    </row>
    <row r="274" spans="1:15" ht="44" customHeight="1">
      <c r="A274" s="15">
        <f>INDEX(Feiertagsregeln!$X$7:$X$480,MATCH($K274,Feiertagsregeln!$A$7:$A$480,0))</f>
        <v>46966</v>
      </c>
      <c r="B274" s="11" t="str">
        <f t="shared" si="4"/>
        <v>Dienstag</v>
      </c>
      <c r="C274" s="11" t="s">
        <v>352</v>
      </c>
      <c r="D274" s="11" t="s">
        <v>353</v>
      </c>
      <c r="E274" s="11" t="str">
        <f>INDEX(Feiertagsregeln!$D$7:$D$480,MATCH($K274,Feiertagsregeln!$A$7:$A$480,0))</f>
        <v>Bundesfeiertag</v>
      </c>
      <c r="F274" s="11" t="str">
        <f>INDEX(Feiertagsregeln!$E$7:$E$480,MATCH($K274,Feiertagsregeln!$A$7:$A$480,0))</f>
        <v>Fête nationale</v>
      </c>
      <c r="G274" s="22" t="str">
        <f>IF(INDEX(Feiertagsregeln!$F$7:$F$480,MATCH($K274,Feiertagsregeln!$A$7:$A$480,0))="","Noch zu erfassen",INDEX(Feiertagsregeln!$F$7:$F$480,MATCH($K274,Feiertagsregeln!$A$7:$A$480,0)))</f>
        <v>Primo agosto</v>
      </c>
      <c r="H274" s="22" t="str">
        <f>IF(INDEX(Feiertagsregeln!$G$7:$G$480,MATCH($K274,Feiertagsregeln!$A$7:$A$480,0))="","Noch zu erfassen",INDEX(Feiertagsregeln!$G$7:$G$480,MATCH($K274,Feiertagsregeln!$A$7:$A$480,0)))</f>
        <v>Festa naziunala svizra</v>
      </c>
      <c r="I274" s="11" t="str">
        <f>INDEX(Feiertagsregeln!$H$7:$H$480,MATCH($K274,Feiertagsregeln!$A$7:$A$480,0))</f>
        <v>publicHoliday</v>
      </c>
      <c r="J274" s="11" t="s">
        <v>69</v>
      </c>
      <c r="K274" s="11" t="s">
        <v>359</v>
      </c>
      <c r="L274" s="11" t="str">
        <f>INDEX(Feiertagsregeln!$Y$7:$Y$480,MATCH($K274,Feiertagsregeln!$A$7:$A$480,0))</f>
        <v>SRC-BUNDESFEIERTAG-19940701</v>
      </c>
      <c r="M274" s="11" t="str">
        <f>INDEX(Feiertagsregeln!$Z$7:$Z$480,MATCH($K274,Feiertagsregeln!$A$7:$A$480,0))</f>
        <v>SR 116 Art. 1, offene Anwendung auf neues kantonales Profil</v>
      </c>
      <c r="N274" s="11" t="s">
        <v>193</v>
      </c>
      <c r="O274" s="11" t="str">
        <f>INDEX(Feiertagsregeln!$AA$7:$AA$480,MATCH($K274,Feiertagsregeln!$A$7:$A$480,0))</f>
        <v>Ganztägig</v>
      </c>
    </row>
    <row r="275" spans="1:15" ht="44" customHeight="1">
      <c r="A275" s="14">
        <f>INDEX(Feiertagsregeln!$X$7:$X$480,MATCH($K275,Feiertagsregeln!$A$7:$A$480,0))</f>
        <v>47112</v>
      </c>
      <c r="B275" s="10" t="str">
        <f t="shared" si="4"/>
        <v>Montag</v>
      </c>
      <c r="C275" s="10" t="s">
        <v>352</v>
      </c>
      <c r="D275" s="10" t="s">
        <v>353</v>
      </c>
      <c r="E275" s="10" t="str">
        <f>INDEX(Feiertagsregeln!$D$7:$D$480,MATCH($K275,Feiertagsregeln!$A$7:$A$480,0))</f>
        <v>Weihnachten</v>
      </c>
      <c r="F275" s="10" t="str">
        <f>INDEX(Feiertagsregeln!$E$7:$E$480,MATCH($K275,Feiertagsregeln!$A$7:$A$480,0))</f>
        <v>Noël</v>
      </c>
      <c r="G275" s="21" t="str">
        <f>IF(INDEX(Feiertagsregeln!$F$7:$F$480,MATCH($K275,Feiertagsregeln!$A$7:$A$480,0))="","Noch zu erfassen",INDEX(Feiertagsregeln!$F$7:$F$480,MATCH($K275,Feiertagsregeln!$A$7:$A$480,0)))</f>
        <v>Natale</v>
      </c>
      <c r="H275" s="21" t="str">
        <f>IF(INDEX(Feiertagsregeln!$G$7:$G$480,MATCH($K275,Feiertagsregeln!$A$7:$A$480,0))="","Noch zu erfassen",INDEX(Feiertagsregeln!$G$7:$G$480,MATCH($K275,Feiertagsregeln!$A$7:$A$480,0)))</f>
        <v>Di da Nadal</v>
      </c>
      <c r="I275" s="10" t="str">
        <f>INDEX(Feiertagsregeln!$H$7:$H$480,MATCH($K275,Feiertagsregeln!$A$7:$A$480,0))</f>
        <v>labourLawHoliday</v>
      </c>
      <c r="J275" s="10" t="s">
        <v>69</v>
      </c>
      <c r="K275" s="10" t="s">
        <v>360</v>
      </c>
      <c r="L275" s="10" t="str">
        <f>INDEX(Feiertagsregeln!$Y$7:$Y$480,MATCH($K275,Feiertagsregeln!$A$7:$A$480,0))</f>
        <v>SRC-AR-ARGV-82211-V1058</v>
      </c>
      <c r="M275" s="10" t="str">
        <f>INDEX(Feiertagsregeln!$Z$7:$Z$480,MATCH($K275,Feiertagsregeln!$A$7:$A$480,0))</f>
        <v>Art. 7</v>
      </c>
      <c r="N275" s="10" t="s">
        <v>193</v>
      </c>
      <c r="O275" s="10" t="str">
        <f>INDEX(Feiertagsregeln!$AA$7:$AA$480,MATCH($K275,Feiertagsregeln!$A$7:$A$480,0))</f>
        <v>Ganztägig</v>
      </c>
    </row>
    <row r="276" spans="1:15" ht="44" customHeight="1">
      <c r="A276" s="15">
        <f>INDEX(Feiertagsregeln!$X$7:$X$480,MATCH($K276,Feiertagsregeln!$A$7:$A$480,0))</f>
        <v>46753</v>
      </c>
      <c r="B276" s="11" t="str">
        <f t="shared" si="4"/>
        <v>Samstag</v>
      </c>
      <c r="C276" s="11" t="s">
        <v>361</v>
      </c>
      <c r="D276" s="11" t="s">
        <v>362</v>
      </c>
      <c r="E276" s="11" t="str">
        <f>INDEX(Feiertagsregeln!$D$7:$D$480,MATCH($K276,Feiertagsregeln!$A$7:$A$480,0))</f>
        <v>Neujahr</v>
      </c>
      <c r="F276" s="11" t="str">
        <f>INDEX(Feiertagsregeln!$E$7:$E$480,MATCH($K276,Feiertagsregeln!$A$7:$A$480,0))</f>
        <v>Nouvel An</v>
      </c>
      <c r="G276" s="22" t="str">
        <f>IF(INDEX(Feiertagsregeln!$F$7:$F$480,MATCH($K276,Feiertagsregeln!$A$7:$A$480,0))="","Noch zu erfassen",INDEX(Feiertagsregeln!$F$7:$F$480,MATCH($K276,Feiertagsregeln!$A$7:$A$480,0)))</f>
        <v>Capo d’anno</v>
      </c>
      <c r="H276" s="22" t="str">
        <f>IF(INDEX(Feiertagsregeln!$G$7:$G$480,MATCH($K276,Feiertagsregeln!$A$7:$A$480,0))="","Noch zu erfassen",INDEX(Feiertagsregeln!$G$7:$G$480,MATCH($K276,Feiertagsregeln!$A$7:$A$480,0)))</f>
        <v>Bumaun</v>
      </c>
      <c r="I276" s="11" t="str">
        <f>INDEX(Feiertagsregeln!$H$7:$H$480,MATCH($K276,Feiertagsregeln!$A$7:$A$480,0))</f>
        <v>publicHoliday</v>
      </c>
      <c r="J276" s="11" t="s">
        <v>69</v>
      </c>
      <c r="K276" s="11" t="s">
        <v>363</v>
      </c>
      <c r="L276" s="11" t="str">
        <f>INDEX(Feiertagsregeln!$Y$7:$Y$480,MATCH($K276,Feiertagsregeln!$A$7:$A$480,0))</f>
        <v>SRC-AI-RTG-822200-V1327</v>
      </c>
      <c r="M276" s="11" t="str">
        <f>INDEX(Feiertagsregeln!$Z$7:$Z$480,MATCH($K276,Feiertagsregeln!$A$7:$A$480,0))</f>
        <v>Art. 2 Abs. 1 Bst. b und c sowie Art. 3</v>
      </c>
      <c r="N276" s="11" t="s">
        <v>193</v>
      </c>
      <c r="O276" s="11" t="str">
        <f>INDEX(Feiertagsregeln!$AA$7:$AA$480,MATCH($K276,Feiertagsregeln!$A$7:$A$480,0))</f>
        <v>Ganztägig</v>
      </c>
    </row>
    <row r="277" spans="1:15" ht="44" customHeight="1">
      <c r="A277" s="14">
        <f>INDEX(Feiertagsregeln!$X$7:$X$480,MATCH($K277,Feiertagsregeln!$A$7:$A$480,0))</f>
        <v>46857</v>
      </c>
      <c r="B277" s="10" t="str">
        <f t="shared" si="4"/>
        <v>Freitag</v>
      </c>
      <c r="C277" s="10" t="s">
        <v>361</v>
      </c>
      <c r="D277" s="10" t="s">
        <v>362</v>
      </c>
      <c r="E277" s="10" t="str">
        <f>INDEX(Feiertagsregeln!$D$7:$D$480,MATCH($K277,Feiertagsregeln!$A$7:$A$480,0))</f>
        <v>Karfreitag</v>
      </c>
      <c r="F277" s="10" t="str">
        <f>INDEX(Feiertagsregeln!$E$7:$E$480,MATCH($K277,Feiertagsregeln!$A$7:$A$480,0))</f>
        <v>Vendredi saint</v>
      </c>
      <c r="G277" s="21" t="str">
        <f>IF(INDEX(Feiertagsregeln!$F$7:$F$480,MATCH($K277,Feiertagsregeln!$A$7:$A$480,0))="","Noch zu erfassen",INDEX(Feiertagsregeln!$F$7:$F$480,MATCH($K277,Feiertagsregeln!$A$7:$A$480,0)))</f>
        <v>Venerdì Santo</v>
      </c>
      <c r="H277" s="21" t="str">
        <f>IF(INDEX(Feiertagsregeln!$G$7:$G$480,MATCH($K277,Feiertagsregeln!$A$7:$A$480,0))="","Noch zu erfassen",INDEX(Feiertagsregeln!$G$7:$G$480,MATCH($K277,Feiertagsregeln!$A$7:$A$480,0)))</f>
        <v>Venderdi sontg</v>
      </c>
      <c r="I277" s="10" t="str">
        <f>INDEX(Feiertagsregeln!$H$7:$H$480,MATCH($K277,Feiertagsregeln!$A$7:$A$480,0))</f>
        <v>publicHoliday</v>
      </c>
      <c r="J277" s="10" t="s">
        <v>69</v>
      </c>
      <c r="K277" s="10" t="s">
        <v>364</v>
      </c>
      <c r="L277" s="10" t="str">
        <f>INDEX(Feiertagsregeln!$Y$7:$Y$480,MATCH($K277,Feiertagsregeln!$A$7:$A$480,0))</f>
        <v>SRC-AI-RTG-822200-V1327</v>
      </c>
      <c r="M277" s="10" t="str">
        <f>INDEX(Feiertagsregeln!$Z$7:$Z$480,MATCH($K277,Feiertagsregeln!$A$7:$A$480,0))</f>
        <v>Art. 2 Abs. 1 Bst. b und c sowie Art. 3</v>
      </c>
      <c r="N277" s="10" t="s">
        <v>193</v>
      </c>
      <c r="O277" s="10" t="str">
        <f>INDEX(Feiertagsregeln!$AA$7:$AA$480,MATCH($K277,Feiertagsregeln!$A$7:$A$480,0))</f>
        <v>Ganztägig</v>
      </c>
    </row>
    <row r="278" spans="1:15" ht="44" customHeight="1">
      <c r="A278" s="15">
        <f>INDEX(Feiertagsregeln!$X$7:$X$480,MATCH($K278,Feiertagsregeln!$A$7:$A$480,0))</f>
        <v>46860</v>
      </c>
      <c r="B278" s="11" t="str">
        <f t="shared" si="4"/>
        <v>Montag</v>
      </c>
      <c r="C278" s="11" t="s">
        <v>361</v>
      </c>
      <c r="D278" s="11" t="s">
        <v>362</v>
      </c>
      <c r="E278" s="11" t="str">
        <f>INDEX(Feiertagsregeln!$D$7:$D$480,MATCH($K278,Feiertagsregeln!$A$7:$A$480,0))</f>
        <v>Ostermontag</v>
      </c>
      <c r="F278" s="11" t="str">
        <f>INDEX(Feiertagsregeln!$E$7:$E$480,MATCH($K278,Feiertagsregeln!$A$7:$A$480,0))</f>
        <v>Lundi de Pâques</v>
      </c>
      <c r="G278" s="22" t="str">
        <f>IF(INDEX(Feiertagsregeln!$F$7:$F$480,MATCH($K278,Feiertagsregeln!$A$7:$A$480,0))="","Noch zu erfassen",INDEX(Feiertagsregeln!$F$7:$F$480,MATCH($K278,Feiertagsregeln!$A$7:$A$480,0)))</f>
        <v>Lunedì di Pasqua</v>
      </c>
      <c r="H278" s="22" t="str">
        <f>IF(INDEX(Feiertagsregeln!$G$7:$G$480,MATCH($K278,Feiertagsregeln!$A$7:$A$480,0))="","Noch zu erfassen",INDEX(Feiertagsregeln!$G$7:$G$480,MATCH($K278,Feiertagsregeln!$A$7:$A$480,0)))</f>
        <v>Glindesdi da Pasca</v>
      </c>
      <c r="I278" s="11" t="str">
        <f>INDEX(Feiertagsregeln!$H$7:$H$480,MATCH($K278,Feiertagsregeln!$A$7:$A$480,0))</f>
        <v>publicHoliday</v>
      </c>
      <c r="J278" s="11" t="s">
        <v>69</v>
      </c>
      <c r="K278" s="11" t="s">
        <v>365</v>
      </c>
      <c r="L278" s="11" t="str">
        <f>INDEX(Feiertagsregeln!$Y$7:$Y$480,MATCH($K278,Feiertagsregeln!$A$7:$A$480,0))</f>
        <v>SRC-AI-RTG-822200-V1327</v>
      </c>
      <c r="M278" s="11" t="str">
        <f>INDEX(Feiertagsregeln!$Z$7:$Z$480,MATCH($K278,Feiertagsregeln!$A$7:$A$480,0))</f>
        <v>Art. 2 Abs. 1 Bst. b und c sowie Art. 3</v>
      </c>
      <c r="N278" s="11" t="s">
        <v>193</v>
      </c>
      <c r="O278" s="11" t="str">
        <f>INDEX(Feiertagsregeln!$AA$7:$AA$480,MATCH($K278,Feiertagsregeln!$A$7:$A$480,0))</f>
        <v>Ganztägig</v>
      </c>
    </row>
    <row r="279" spans="1:15" ht="44" customHeight="1">
      <c r="A279" s="14">
        <f>INDEX(Feiertagsregeln!$X$7:$X$480,MATCH($K279,Feiertagsregeln!$A$7:$A$480,0))</f>
        <v>46898</v>
      </c>
      <c r="B279" s="10" t="str">
        <f t="shared" si="4"/>
        <v>Donnerstag</v>
      </c>
      <c r="C279" s="10" t="s">
        <v>361</v>
      </c>
      <c r="D279" s="10" t="s">
        <v>362</v>
      </c>
      <c r="E279" s="10" t="str">
        <f>INDEX(Feiertagsregeln!$D$7:$D$480,MATCH($K279,Feiertagsregeln!$A$7:$A$480,0))</f>
        <v>Auffahrt</v>
      </c>
      <c r="F279" s="10" t="str">
        <f>INDEX(Feiertagsregeln!$E$7:$E$480,MATCH($K279,Feiertagsregeln!$A$7:$A$480,0))</f>
        <v>Ascension</v>
      </c>
      <c r="G279" s="21" t="str">
        <f>IF(INDEX(Feiertagsregeln!$F$7:$F$480,MATCH($K279,Feiertagsregeln!$A$7:$A$480,0))="","Noch zu erfassen",INDEX(Feiertagsregeln!$F$7:$F$480,MATCH($K279,Feiertagsregeln!$A$7:$A$480,0)))</f>
        <v>Ascensione</v>
      </c>
      <c r="H279" s="21" t="str">
        <f>IF(INDEX(Feiertagsregeln!$G$7:$G$480,MATCH($K279,Feiertagsregeln!$A$7:$A$480,0))="","Noch zu erfassen",INDEX(Feiertagsregeln!$G$7:$G$480,MATCH($K279,Feiertagsregeln!$A$7:$A$480,0)))</f>
        <v>Ascensiun</v>
      </c>
      <c r="I279" s="10" t="str">
        <f>INDEX(Feiertagsregeln!$H$7:$H$480,MATCH($K279,Feiertagsregeln!$A$7:$A$480,0))</f>
        <v>publicHoliday</v>
      </c>
      <c r="J279" s="10" t="s">
        <v>69</v>
      </c>
      <c r="K279" s="10" t="s">
        <v>366</v>
      </c>
      <c r="L279" s="10" t="str">
        <f>INDEX(Feiertagsregeln!$Y$7:$Y$480,MATCH($K279,Feiertagsregeln!$A$7:$A$480,0))</f>
        <v>SRC-AI-RTG-822200-V1327</v>
      </c>
      <c r="M279" s="10" t="str">
        <f>INDEX(Feiertagsregeln!$Z$7:$Z$480,MATCH($K279,Feiertagsregeln!$A$7:$A$480,0))</f>
        <v>Art. 2 Abs. 1 Bst. b und c sowie Art. 3</v>
      </c>
      <c r="N279" s="10" t="s">
        <v>193</v>
      </c>
      <c r="O279" s="10" t="str">
        <f>INDEX(Feiertagsregeln!$AA$7:$AA$480,MATCH($K279,Feiertagsregeln!$A$7:$A$480,0))</f>
        <v>Ganztägig</v>
      </c>
    </row>
    <row r="280" spans="1:15" ht="44" customHeight="1">
      <c r="A280" s="15">
        <f>INDEX(Feiertagsregeln!$X$7:$X$480,MATCH($K280,Feiertagsregeln!$A$7:$A$480,0))</f>
        <v>46909</v>
      </c>
      <c r="B280" s="11" t="str">
        <f t="shared" si="4"/>
        <v>Montag</v>
      </c>
      <c r="C280" s="11" t="s">
        <v>361</v>
      </c>
      <c r="D280" s="11" t="s">
        <v>362</v>
      </c>
      <c r="E280" s="11" t="str">
        <f>INDEX(Feiertagsregeln!$D$7:$D$480,MATCH($K280,Feiertagsregeln!$A$7:$A$480,0))</f>
        <v>Pfingstmontag</v>
      </c>
      <c r="F280" s="11" t="str">
        <f>INDEX(Feiertagsregeln!$E$7:$E$480,MATCH($K280,Feiertagsregeln!$A$7:$A$480,0))</f>
        <v>Lundi de Pentecôte</v>
      </c>
      <c r="G280" s="22" t="str">
        <f>IF(INDEX(Feiertagsregeln!$F$7:$F$480,MATCH($K280,Feiertagsregeln!$A$7:$A$480,0))="","Noch zu erfassen",INDEX(Feiertagsregeln!$F$7:$F$480,MATCH($K280,Feiertagsregeln!$A$7:$A$480,0)))</f>
        <v>Lunedì di Pentecoste</v>
      </c>
      <c r="H280" s="22" t="str">
        <f>IF(INDEX(Feiertagsregeln!$G$7:$G$480,MATCH($K280,Feiertagsregeln!$A$7:$A$480,0))="","Noch zu erfassen",INDEX(Feiertagsregeln!$G$7:$G$480,MATCH($K280,Feiertagsregeln!$A$7:$A$480,0)))</f>
        <v>Glindesdi da Tschuncaisma</v>
      </c>
      <c r="I280" s="11" t="str">
        <f>INDEX(Feiertagsregeln!$H$7:$H$480,MATCH($K280,Feiertagsregeln!$A$7:$A$480,0))</f>
        <v>publicHoliday</v>
      </c>
      <c r="J280" s="11" t="s">
        <v>69</v>
      </c>
      <c r="K280" s="11" t="s">
        <v>367</v>
      </c>
      <c r="L280" s="11" t="str">
        <f>INDEX(Feiertagsregeln!$Y$7:$Y$480,MATCH($K280,Feiertagsregeln!$A$7:$A$480,0))</f>
        <v>SRC-AI-RTG-822200-V1327</v>
      </c>
      <c r="M280" s="11" t="str">
        <f>INDEX(Feiertagsregeln!$Z$7:$Z$480,MATCH($K280,Feiertagsregeln!$A$7:$A$480,0))</f>
        <v>Art. 2 Abs. 1 Bst. b und c sowie Art. 3</v>
      </c>
      <c r="N280" s="11" t="s">
        <v>193</v>
      </c>
      <c r="O280" s="11" t="str">
        <f>INDEX(Feiertagsregeln!$AA$7:$AA$480,MATCH($K280,Feiertagsregeln!$A$7:$A$480,0))</f>
        <v>Ganztägig</v>
      </c>
    </row>
    <row r="281" spans="1:15" ht="44" customHeight="1">
      <c r="A281" s="14">
        <f>INDEX(Feiertagsregeln!$X$7:$X$480,MATCH($K281,Feiertagsregeln!$A$7:$A$480,0))</f>
        <v>46966</v>
      </c>
      <c r="B281" s="10" t="str">
        <f t="shared" si="4"/>
        <v>Dienstag</v>
      </c>
      <c r="C281" s="10" t="s">
        <v>361</v>
      </c>
      <c r="D281" s="10" t="s">
        <v>362</v>
      </c>
      <c r="E281" s="10" t="str">
        <f>INDEX(Feiertagsregeln!$D$7:$D$480,MATCH($K281,Feiertagsregeln!$A$7:$A$480,0))</f>
        <v>Bundesfeiertag</v>
      </c>
      <c r="F281" s="10" t="str">
        <f>INDEX(Feiertagsregeln!$E$7:$E$480,MATCH($K281,Feiertagsregeln!$A$7:$A$480,0))</f>
        <v>Fête nationale</v>
      </c>
      <c r="G281" s="21" t="str">
        <f>IF(INDEX(Feiertagsregeln!$F$7:$F$480,MATCH($K281,Feiertagsregeln!$A$7:$A$480,0))="","Noch zu erfassen",INDEX(Feiertagsregeln!$F$7:$F$480,MATCH($K281,Feiertagsregeln!$A$7:$A$480,0)))</f>
        <v>Primo agosto</v>
      </c>
      <c r="H281" s="21" t="str">
        <f>IF(INDEX(Feiertagsregeln!$G$7:$G$480,MATCH($K281,Feiertagsregeln!$A$7:$A$480,0))="","Noch zu erfassen",INDEX(Feiertagsregeln!$G$7:$G$480,MATCH($K281,Feiertagsregeln!$A$7:$A$480,0)))</f>
        <v>Festa naziunala svizra</v>
      </c>
      <c r="I281" s="10" t="str">
        <f>INDEX(Feiertagsregeln!$H$7:$H$480,MATCH($K281,Feiertagsregeln!$A$7:$A$480,0))</f>
        <v>publicHoliday</v>
      </c>
      <c r="J281" s="10" t="s">
        <v>69</v>
      </c>
      <c r="K281" s="10" t="s">
        <v>368</v>
      </c>
      <c r="L281" s="10" t="str">
        <f>INDEX(Feiertagsregeln!$Y$7:$Y$480,MATCH($K281,Feiertagsregeln!$A$7:$A$480,0))</f>
        <v>SRC-BUNDESFEIERTAG-19940701</v>
      </c>
      <c r="M281" s="10" t="str">
        <f>INDEX(Feiertagsregeln!$Z$7:$Z$480,MATCH($K281,Feiertagsregeln!$A$7:$A$480,0))</f>
        <v>SR 116 Art. 1, offene Anwendung auf neues kantonales Profil</v>
      </c>
      <c r="N281" s="10" t="s">
        <v>193</v>
      </c>
      <c r="O281" s="10" t="str">
        <f>INDEX(Feiertagsregeln!$AA$7:$AA$480,MATCH($K281,Feiertagsregeln!$A$7:$A$480,0))</f>
        <v>Ganztägig</v>
      </c>
    </row>
    <row r="282" spans="1:15" ht="44" customHeight="1">
      <c r="A282" s="15">
        <f>INDEX(Feiertagsregeln!$X$7:$X$480,MATCH($K282,Feiertagsregeln!$A$7:$A$480,0))</f>
        <v>47112</v>
      </c>
      <c r="B282" s="11" t="str">
        <f t="shared" si="4"/>
        <v>Montag</v>
      </c>
      <c r="C282" s="11" t="s">
        <v>361</v>
      </c>
      <c r="D282" s="11" t="s">
        <v>362</v>
      </c>
      <c r="E282" s="11" t="str">
        <f>INDEX(Feiertagsregeln!$D$7:$D$480,MATCH($K282,Feiertagsregeln!$A$7:$A$480,0))</f>
        <v>Weihnachten</v>
      </c>
      <c r="F282" s="11" t="str">
        <f>INDEX(Feiertagsregeln!$E$7:$E$480,MATCH($K282,Feiertagsregeln!$A$7:$A$480,0))</f>
        <v>Noël</v>
      </c>
      <c r="G282" s="22" t="str">
        <f>IF(INDEX(Feiertagsregeln!$F$7:$F$480,MATCH($K282,Feiertagsregeln!$A$7:$A$480,0))="","Noch zu erfassen",INDEX(Feiertagsregeln!$F$7:$F$480,MATCH($K282,Feiertagsregeln!$A$7:$A$480,0)))</f>
        <v>Natale</v>
      </c>
      <c r="H282" s="22" t="str">
        <f>IF(INDEX(Feiertagsregeln!$G$7:$G$480,MATCH($K282,Feiertagsregeln!$A$7:$A$480,0))="","Noch zu erfassen",INDEX(Feiertagsregeln!$G$7:$G$480,MATCH($K282,Feiertagsregeln!$A$7:$A$480,0)))</f>
        <v>Di da Nadal</v>
      </c>
      <c r="I282" s="11" t="str">
        <f>INDEX(Feiertagsregeln!$H$7:$H$480,MATCH($K282,Feiertagsregeln!$A$7:$A$480,0))</f>
        <v>publicHoliday</v>
      </c>
      <c r="J282" s="11" t="s">
        <v>69</v>
      </c>
      <c r="K282" s="11" t="s">
        <v>369</v>
      </c>
      <c r="L282" s="11" t="str">
        <f>INDEX(Feiertagsregeln!$Y$7:$Y$480,MATCH($K282,Feiertagsregeln!$A$7:$A$480,0))</f>
        <v>SRC-AI-RTG-822200-V1327</v>
      </c>
      <c r="M282" s="11" t="str">
        <f>INDEX(Feiertagsregeln!$Z$7:$Z$480,MATCH($K282,Feiertagsregeln!$A$7:$A$480,0))</f>
        <v>Art. 2 Abs. 1 Bst. b und c sowie Art. 3</v>
      </c>
      <c r="N282" s="11" t="s">
        <v>193</v>
      </c>
      <c r="O282" s="11" t="str">
        <f>INDEX(Feiertagsregeln!$AA$7:$AA$480,MATCH($K282,Feiertagsregeln!$A$7:$A$480,0))</f>
        <v>Ganztägig</v>
      </c>
    </row>
    <row r="283" spans="1:15" ht="44" customHeight="1">
      <c r="A283" s="14">
        <f>INDEX(Feiertagsregeln!$X$7:$X$480,MATCH($K283,Feiertagsregeln!$A$7:$A$480,0))</f>
        <v>46919</v>
      </c>
      <c r="B283" s="10" t="str">
        <f t="shared" si="4"/>
        <v>Donnerstag</v>
      </c>
      <c r="C283" s="10" t="s">
        <v>361</v>
      </c>
      <c r="D283" s="10" t="s">
        <v>362</v>
      </c>
      <c r="E283" s="10" t="str">
        <f>INDEX(Feiertagsregeln!$D$7:$D$480,MATCH($K283,Feiertagsregeln!$A$7:$A$480,0))</f>
        <v>Fronleichnam</v>
      </c>
      <c r="F283" s="10" t="str">
        <f>INDEX(Feiertagsregeln!$E$7:$E$480,MATCH($K283,Feiertagsregeln!$A$7:$A$480,0))</f>
        <v>Fête-Dieu</v>
      </c>
      <c r="G283" s="21" t="str">
        <f>IF(INDEX(Feiertagsregeln!$F$7:$F$480,MATCH($K283,Feiertagsregeln!$A$7:$A$480,0))="","Noch zu erfassen",INDEX(Feiertagsregeln!$F$7:$F$480,MATCH($K283,Feiertagsregeln!$A$7:$A$480,0)))</f>
        <v>Corpus Domini</v>
      </c>
      <c r="H283" s="21" t="str">
        <f>IF(INDEX(Feiertagsregeln!$G$7:$G$480,MATCH($K283,Feiertagsregeln!$A$7:$A$480,0))="","Noch zu erfassen",INDEX(Feiertagsregeln!$G$7:$G$480,MATCH($K283,Feiertagsregeln!$A$7:$A$480,0)))</f>
        <v>Sontgilcrest</v>
      </c>
      <c r="I283" s="10" t="str">
        <f>INDEX(Feiertagsregeln!$H$7:$H$480,MATCH($K283,Feiertagsregeln!$A$7:$A$480,0))</f>
        <v>publicHoliday</v>
      </c>
      <c r="J283" s="10" t="s">
        <v>69</v>
      </c>
      <c r="K283" s="10" t="s">
        <v>370</v>
      </c>
      <c r="L283" s="10" t="str">
        <f>INDEX(Feiertagsregeln!$Y$7:$Y$480,MATCH($K283,Feiertagsregeln!$A$7:$A$480,0))</f>
        <v>SRC-AI-RTG-822200-V1327</v>
      </c>
      <c r="M283" s="10" t="str">
        <f>INDEX(Feiertagsregeln!$Z$7:$Z$480,MATCH($K283,Feiertagsregeln!$A$7:$A$480,0))</f>
        <v>Art. 2 Abs. 1 Bst. b und c sowie Art. 3</v>
      </c>
      <c r="N283" s="10" t="s">
        <v>193</v>
      </c>
      <c r="O283" s="10" t="str">
        <f>INDEX(Feiertagsregeln!$AA$7:$AA$480,MATCH($K283,Feiertagsregeln!$A$7:$A$480,0))</f>
        <v>Ganztägig</v>
      </c>
    </row>
    <row r="284" spans="1:15" ht="44" customHeight="1">
      <c r="A284" s="15">
        <f>INDEX(Feiertagsregeln!$X$7:$X$480,MATCH($K284,Feiertagsregeln!$A$7:$A$480,0))</f>
        <v>46980</v>
      </c>
      <c r="B284" s="11" t="str">
        <f t="shared" si="4"/>
        <v>Dienstag</v>
      </c>
      <c r="C284" s="11" t="s">
        <v>361</v>
      </c>
      <c r="D284" s="11" t="s">
        <v>362</v>
      </c>
      <c r="E284" s="11" t="str">
        <f>INDEX(Feiertagsregeln!$D$7:$D$480,MATCH($K284,Feiertagsregeln!$A$7:$A$480,0))</f>
        <v>Mariä Himmelfahrt</v>
      </c>
      <c r="F284" s="11" t="str">
        <f>INDEX(Feiertagsregeln!$E$7:$E$480,MATCH($K284,Feiertagsregeln!$A$7:$A$480,0))</f>
        <v>Assomption</v>
      </c>
      <c r="G284" s="22" t="str">
        <f>IF(INDEX(Feiertagsregeln!$F$7:$F$480,MATCH($K284,Feiertagsregeln!$A$7:$A$480,0))="","Noch zu erfassen",INDEX(Feiertagsregeln!$F$7:$F$480,MATCH($K284,Feiertagsregeln!$A$7:$A$480,0)))</f>
        <v>Assunzione</v>
      </c>
      <c r="H284" s="22" t="str">
        <f>IF(INDEX(Feiertagsregeln!$G$7:$G$480,MATCH($K284,Feiertagsregeln!$A$7:$A$480,0))="","Noch zu erfassen",INDEX(Feiertagsregeln!$G$7:$G$480,MATCH($K284,Feiertagsregeln!$A$7:$A$480,0)))</f>
        <v>Nossadunna d’avust</v>
      </c>
      <c r="I284" s="11" t="str">
        <f>INDEX(Feiertagsregeln!$H$7:$H$480,MATCH($K284,Feiertagsregeln!$A$7:$A$480,0))</f>
        <v>publicHoliday</v>
      </c>
      <c r="J284" s="11" t="s">
        <v>69</v>
      </c>
      <c r="K284" s="11" t="s">
        <v>371</v>
      </c>
      <c r="L284" s="11" t="str">
        <f>INDEX(Feiertagsregeln!$Y$7:$Y$480,MATCH($K284,Feiertagsregeln!$A$7:$A$480,0))</f>
        <v>SRC-AI-RTG-822200-V1327</v>
      </c>
      <c r="M284" s="11" t="str">
        <f>INDEX(Feiertagsregeln!$Z$7:$Z$480,MATCH($K284,Feiertagsregeln!$A$7:$A$480,0))</f>
        <v>Art. 2 Abs. 1 Bst. b und c sowie Art. 3</v>
      </c>
      <c r="N284" s="11" t="s">
        <v>193</v>
      </c>
      <c r="O284" s="11" t="str">
        <f>INDEX(Feiertagsregeln!$AA$7:$AA$480,MATCH($K284,Feiertagsregeln!$A$7:$A$480,0))</f>
        <v>Ganztägig</v>
      </c>
    </row>
    <row r="285" spans="1:15" ht="44" customHeight="1">
      <c r="A285" s="14">
        <f>INDEX(Feiertagsregeln!$X$7:$X$480,MATCH($K285,Feiertagsregeln!$A$7:$A$480,0))</f>
        <v>47058</v>
      </c>
      <c r="B285" s="10" t="str">
        <f t="shared" si="4"/>
        <v>Mittwoch</v>
      </c>
      <c r="C285" s="10" t="s">
        <v>361</v>
      </c>
      <c r="D285" s="10" t="s">
        <v>362</v>
      </c>
      <c r="E285" s="10" t="str">
        <f>INDEX(Feiertagsregeln!$D$7:$D$480,MATCH($K285,Feiertagsregeln!$A$7:$A$480,0))</f>
        <v>Allerheiligen</v>
      </c>
      <c r="F285" s="10" t="str">
        <f>INDEX(Feiertagsregeln!$E$7:$E$480,MATCH($K285,Feiertagsregeln!$A$7:$A$480,0))</f>
        <v>Toussaint</v>
      </c>
      <c r="G285" s="21" t="str">
        <f>IF(INDEX(Feiertagsregeln!$F$7:$F$480,MATCH($K285,Feiertagsregeln!$A$7:$A$480,0))="","Noch zu erfassen",INDEX(Feiertagsregeln!$F$7:$F$480,MATCH($K285,Feiertagsregeln!$A$7:$A$480,0)))</f>
        <v>Ognissanti</v>
      </c>
      <c r="H285" s="21" t="str">
        <f>IF(INDEX(Feiertagsregeln!$G$7:$G$480,MATCH($K285,Feiertagsregeln!$A$7:$A$480,0))="","Noch zu erfassen",INDEX(Feiertagsregeln!$G$7:$G$480,MATCH($K285,Feiertagsregeln!$A$7:$A$480,0)))</f>
        <v>Numnasontga</v>
      </c>
      <c r="I285" s="10" t="str">
        <f>INDEX(Feiertagsregeln!$H$7:$H$480,MATCH($K285,Feiertagsregeln!$A$7:$A$480,0))</f>
        <v>publicHoliday</v>
      </c>
      <c r="J285" s="10" t="s">
        <v>69</v>
      </c>
      <c r="K285" s="10" t="s">
        <v>372</v>
      </c>
      <c r="L285" s="10" t="str">
        <f>INDEX(Feiertagsregeln!$Y$7:$Y$480,MATCH($K285,Feiertagsregeln!$A$7:$A$480,0))</f>
        <v>SRC-AI-RTG-822200-V1327</v>
      </c>
      <c r="M285" s="10" t="str">
        <f>INDEX(Feiertagsregeln!$Z$7:$Z$480,MATCH($K285,Feiertagsregeln!$A$7:$A$480,0))</f>
        <v>Art. 2 Abs. 1 Bst. b und c sowie Art. 3</v>
      </c>
      <c r="N285" s="10" t="s">
        <v>193</v>
      </c>
      <c r="O285" s="10" t="str">
        <f>INDEX(Feiertagsregeln!$AA$7:$AA$480,MATCH($K285,Feiertagsregeln!$A$7:$A$480,0))</f>
        <v>Ganztägig</v>
      </c>
    </row>
    <row r="286" spans="1:15" ht="44" customHeight="1">
      <c r="A286" s="15">
        <f>INDEX(Feiertagsregeln!$X$7:$X$480,MATCH($K286,Feiertagsregeln!$A$7:$A$480,0))</f>
        <v>47095</v>
      </c>
      <c r="B286" s="11" t="str">
        <f t="shared" si="4"/>
        <v>Freitag</v>
      </c>
      <c r="C286" s="11" t="s">
        <v>361</v>
      </c>
      <c r="D286" s="11" t="s">
        <v>362</v>
      </c>
      <c r="E286" s="11" t="str">
        <f>INDEX(Feiertagsregeln!$D$7:$D$480,MATCH($K286,Feiertagsregeln!$A$7:$A$480,0))</f>
        <v>Mariä Empfängnis</v>
      </c>
      <c r="F286" s="11" t="str">
        <f>INDEX(Feiertagsregeln!$E$7:$E$480,MATCH($K286,Feiertagsregeln!$A$7:$A$480,0))</f>
        <v>Immaculée Conception</v>
      </c>
      <c r="G286" s="22" t="str">
        <f>IF(INDEX(Feiertagsregeln!$F$7:$F$480,MATCH($K286,Feiertagsregeln!$A$7:$A$480,0))="","Noch zu erfassen",INDEX(Feiertagsregeln!$F$7:$F$480,MATCH($K286,Feiertagsregeln!$A$7:$A$480,0)))</f>
        <v>Immacolata</v>
      </c>
      <c r="H286" s="22" t="str">
        <f>IF(INDEX(Feiertagsregeln!$G$7:$G$480,MATCH($K286,Feiertagsregeln!$A$7:$A$480,0))="","Noch zu erfassen",INDEX(Feiertagsregeln!$G$7:$G$480,MATCH($K286,Feiertagsregeln!$A$7:$A$480,0)))</f>
        <v>Immaculada concepziun da Maria</v>
      </c>
      <c r="I286" s="11" t="str">
        <f>INDEX(Feiertagsregeln!$H$7:$H$480,MATCH($K286,Feiertagsregeln!$A$7:$A$480,0))</f>
        <v>publicHoliday</v>
      </c>
      <c r="J286" s="11" t="s">
        <v>69</v>
      </c>
      <c r="K286" s="11" t="s">
        <v>373</v>
      </c>
      <c r="L286" s="11" t="str">
        <f>INDEX(Feiertagsregeln!$Y$7:$Y$480,MATCH($K286,Feiertagsregeln!$A$7:$A$480,0))</f>
        <v>SRC-AI-RTG-822200-V1327</v>
      </c>
      <c r="M286" s="11" t="str">
        <f>INDEX(Feiertagsregeln!$Z$7:$Z$480,MATCH($K286,Feiertagsregeln!$A$7:$A$480,0))</f>
        <v>Art. 2 Abs. 1 Bst. b und c sowie Art. 3</v>
      </c>
      <c r="N286" s="11" t="s">
        <v>193</v>
      </c>
      <c r="O286" s="11" t="str">
        <f>INDEX(Feiertagsregeln!$AA$7:$AA$480,MATCH($K286,Feiertagsregeln!$A$7:$A$480,0))</f>
        <v>Ganztägig</v>
      </c>
    </row>
    <row r="287" spans="1:15" ht="44" customHeight="1">
      <c r="A287" s="14">
        <f>INDEX(Feiertagsregeln!$X$7:$X$480,MATCH($K287,Feiertagsregeln!$A$7:$A$480,0))</f>
        <v>46859</v>
      </c>
      <c r="B287" s="10" t="str">
        <f t="shared" si="4"/>
        <v>Sonntag</v>
      </c>
      <c r="C287" s="10" t="s">
        <v>361</v>
      </c>
      <c r="D287" s="10" t="s">
        <v>362</v>
      </c>
      <c r="E287" s="10" t="str">
        <f>INDEX(Feiertagsregeln!$D$7:$D$480,MATCH($K287,Feiertagsregeln!$A$7:$A$480,0))</f>
        <v>Ostern</v>
      </c>
      <c r="F287" s="10" t="str">
        <f>INDEX(Feiertagsregeln!$E$7:$E$480,MATCH($K287,Feiertagsregeln!$A$7:$A$480,0))</f>
        <v>Pâques</v>
      </c>
      <c r="G287" s="21" t="str">
        <f>IF(INDEX(Feiertagsregeln!$F$7:$F$480,MATCH($K287,Feiertagsregeln!$A$7:$A$480,0))="","Noch zu erfassen",INDEX(Feiertagsregeln!$F$7:$F$480,MATCH($K287,Feiertagsregeln!$A$7:$A$480,0)))</f>
        <v>Domenica di Pasqua</v>
      </c>
      <c r="H287" s="21" t="str">
        <f>IF(INDEX(Feiertagsregeln!$G$7:$G$480,MATCH($K287,Feiertagsregeln!$A$7:$A$480,0))="","Noch zu erfassen",INDEX(Feiertagsregeln!$G$7:$G$480,MATCH($K287,Feiertagsregeln!$A$7:$A$480,0)))</f>
        <v>Dumengia da Pasca</v>
      </c>
      <c r="I287" s="10" t="str">
        <f>INDEX(Feiertagsregeln!$H$7:$H$480,MATCH($K287,Feiertagsregeln!$A$7:$A$480,0))</f>
        <v>publicHoliday</v>
      </c>
      <c r="J287" s="10" t="s">
        <v>69</v>
      </c>
      <c r="K287" s="10" t="s">
        <v>374</v>
      </c>
      <c r="L287" s="10" t="str">
        <f>INDEX(Feiertagsregeln!$Y$7:$Y$480,MATCH($K287,Feiertagsregeln!$A$7:$A$480,0))</f>
        <v>SRC-AI-RTG-822200-V1327</v>
      </c>
      <c r="M287" s="10" t="str">
        <f>INDEX(Feiertagsregeln!$Z$7:$Z$480,MATCH($K287,Feiertagsregeln!$A$7:$A$480,0))</f>
        <v>Art. 2 Abs. 1 Bst. b und c sowie Art. 3</v>
      </c>
      <c r="N287" s="10" t="s">
        <v>193</v>
      </c>
      <c r="O287" s="10" t="str">
        <f>INDEX(Feiertagsregeln!$AA$7:$AA$480,MATCH($K287,Feiertagsregeln!$A$7:$A$480,0))</f>
        <v>Ganztägig</v>
      </c>
    </row>
    <row r="288" spans="1:15" ht="44" customHeight="1">
      <c r="A288" s="15">
        <f>INDEX(Feiertagsregeln!$X$7:$X$480,MATCH($K288,Feiertagsregeln!$A$7:$A$480,0))</f>
        <v>46908</v>
      </c>
      <c r="B288" s="11" t="str">
        <f t="shared" si="4"/>
        <v>Sonntag</v>
      </c>
      <c r="C288" s="11" t="s">
        <v>361</v>
      </c>
      <c r="D288" s="11" t="s">
        <v>362</v>
      </c>
      <c r="E288" s="11" t="str">
        <f>INDEX(Feiertagsregeln!$D$7:$D$480,MATCH($K288,Feiertagsregeln!$A$7:$A$480,0))</f>
        <v>Pfingsten</v>
      </c>
      <c r="F288" s="11" t="str">
        <f>INDEX(Feiertagsregeln!$E$7:$E$480,MATCH($K288,Feiertagsregeln!$A$7:$A$480,0))</f>
        <v>Pentecôte</v>
      </c>
      <c r="G288" s="22" t="str">
        <f>IF(INDEX(Feiertagsregeln!$F$7:$F$480,MATCH($K288,Feiertagsregeln!$A$7:$A$480,0))="","Noch zu erfassen",INDEX(Feiertagsregeln!$F$7:$F$480,MATCH($K288,Feiertagsregeln!$A$7:$A$480,0)))</f>
        <v>Domenica di Pentecoste</v>
      </c>
      <c r="H288" s="22" t="str">
        <f>IF(INDEX(Feiertagsregeln!$G$7:$G$480,MATCH($K288,Feiertagsregeln!$A$7:$A$480,0))="","Noch zu erfassen",INDEX(Feiertagsregeln!$G$7:$G$480,MATCH($K288,Feiertagsregeln!$A$7:$A$480,0)))</f>
        <v>Dumengia da Tschuncaisma</v>
      </c>
      <c r="I288" s="11" t="str">
        <f>INDEX(Feiertagsregeln!$H$7:$H$480,MATCH($K288,Feiertagsregeln!$A$7:$A$480,0))</f>
        <v>publicHoliday</v>
      </c>
      <c r="J288" s="11" t="s">
        <v>69</v>
      </c>
      <c r="K288" s="11" t="s">
        <v>375</v>
      </c>
      <c r="L288" s="11" t="str">
        <f>INDEX(Feiertagsregeln!$Y$7:$Y$480,MATCH($K288,Feiertagsregeln!$A$7:$A$480,0))</f>
        <v>SRC-AI-RTG-822200-V1327</v>
      </c>
      <c r="M288" s="11" t="str">
        <f>INDEX(Feiertagsregeln!$Z$7:$Z$480,MATCH($K288,Feiertagsregeln!$A$7:$A$480,0))</f>
        <v>Art. 2 Abs. 1 Bst. b und c sowie Art. 3</v>
      </c>
      <c r="N288" s="11" t="s">
        <v>193</v>
      </c>
      <c r="O288" s="11" t="str">
        <f>INDEX(Feiertagsregeln!$AA$7:$AA$480,MATCH($K288,Feiertagsregeln!$A$7:$A$480,0))</f>
        <v>Ganztägig</v>
      </c>
    </row>
    <row r="289" spans="1:15" ht="44" customHeight="1">
      <c r="A289" s="14">
        <f>INDEX(Feiertagsregeln!$X$7:$X$480,MATCH($K289,Feiertagsregeln!$A$7:$A$480,0))</f>
        <v>47013</v>
      </c>
      <c r="B289" s="10" t="str">
        <f t="shared" si="4"/>
        <v>Sonntag</v>
      </c>
      <c r="C289" s="10" t="s">
        <v>361</v>
      </c>
      <c r="D289" s="10" t="s">
        <v>362</v>
      </c>
      <c r="E289" s="10" t="str">
        <f>INDEX(Feiertagsregeln!$D$7:$D$480,MATCH($K289,Feiertagsregeln!$A$7:$A$480,0))</f>
        <v>Eidgenössischer Dank-, Buss- und Bettag</v>
      </c>
      <c r="F289" s="10" t="str">
        <f>INDEX(Feiertagsregeln!$E$7:$E$480,MATCH($K289,Feiertagsregeln!$A$7:$A$480,0))</f>
        <v>Jeûne fédéral</v>
      </c>
      <c r="G289" s="21" t="str">
        <f>IF(INDEX(Feiertagsregeln!$F$7:$F$480,MATCH($K289,Feiertagsregeln!$A$7:$A$480,0))="","Noch zu erfassen",INDEX(Feiertagsregeln!$F$7:$F$480,MATCH($K289,Feiertagsregeln!$A$7:$A$480,0)))</f>
        <v>Festa federale di preghiera</v>
      </c>
      <c r="H289" s="21" t="str">
        <f>IF(INDEX(Feiertagsregeln!$G$7:$G$480,MATCH($K289,Feiertagsregeln!$A$7:$A$480,0))="","Noch zu erfassen",INDEX(Feiertagsregeln!$G$7:$G$480,MATCH($K289,Feiertagsregeln!$A$7:$A$480,0)))</f>
        <v>Di da la rogaziun federala</v>
      </c>
      <c r="I289" s="10" t="str">
        <f>INDEX(Feiertagsregeln!$H$7:$H$480,MATCH($K289,Feiertagsregeln!$A$7:$A$480,0))</f>
        <v>publicHoliday</v>
      </c>
      <c r="J289" s="10" t="s">
        <v>69</v>
      </c>
      <c r="K289" s="10" t="s">
        <v>376</v>
      </c>
      <c r="L289" s="10" t="str">
        <f>INDEX(Feiertagsregeln!$Y$7:$Y$480,MATCH($K289,Feiertagsregeln!$A$7:$A$480,0))</f>
        <v>SRC-AI-RTG-822200-V1327</v>
      </c>
      <c r="M289" s="10" t="str">
        <f>INDEX(Feiertagsregeln!$Z$7:$Z$480,MATCH($K289,Feiertagsregeln!$A$7:$A$480,0))</f>
        <v>Art. 2 Abs. 1 Bst. b und c sowie Art. 3</v>
      </c>
      <c r="N289" s="10" t="s">
        <v>193</v>
      </c>
      <c r="O289" s="10" t="str">
        <f>INDEX(Feiertagsregeln!$AA$7:$AA$480,MATCH($K289,Feiertagsregeln!$A$7:$A$480,0))</f>
        <v>Ganztägig</v>
      </c>
    </row>
    <row r="290" spans="1:15" ht="44" customHeight="1">
      <c r="A290" s="15">
        <f>INDEX(Feiertagsregeln!$X$7:$X$480,MATCH($K290,Feiertagsregeln!$A$7:$A$480,0))</f>
        <v>47018</v>
      </c>
      <c r="B290" s="11" t="str">
        <f t="shared" si="4"/>
        <v>Freitag</v>
      </c>
      <c r="C290" s="11" t="s">
        <v>361</v>
      </c>
      <c r="D290" s="11" t="s">
        <v>377</v>
      </c>
      <c r="E290" s="11" t="str">
        <f>INDEX(Feiertagsregeln!$D$7:$D$480,MATCH($K290,Feiertagsregeln!$A$7:$A$480,0))</f>
        <v>St. Mauritiustag</v>
      </c>
      <c r="F290" s="11" t="str">
        <f>INDEX(Feiertagsregeln!$E$7:$E$480,MATCH($K290,Feiertagsregeln!$A$7:$A$480,0))</f>
        <v>Saint-Maurice</v>
      </c>
      <c r="G290" s="22" t="str">
        <f>IF(INDEX(Feiertagsregeln!$F$7:$F$480,MATCH($K290,Feiertagsregeln!$A$7:$A$480,0))="","Noch zu erfassen",INDEX(Feiertagsregeln!$F$7:$F$480,MATCH($K290,Feiertagsregeln!$A$7:$A$480,0)))</f>
        <v>San Maurizio</v>
      </c>
      <c r="H290" s="22" t="str">
        <f>IF(INDEX(Feiertagsregeln!$G$7:$G$480,MATCH($K290,Feiertagsregeln!$A$7:$A$480,0))="","Noch zu erfassen",INDEX(Feiertagsregeln!$G$7:$G$480,MATCH($K290,Feiertagsregeln!$A$7:$A$480,0)))</f>
        <v>Son Murezi</v>
      </c>
      <c r="I290" s="11" t="str">
        <f>INDEX(Feiertagsregeln!$H$7:$H$480,MATCH($K290,Feiertagsregeln!$A$7:$A$480,0))</f>
        <v>publicHoliday</v>
      </c>
      <c r="J290" s="11" t="s">
        <v>69</v>
      </c>
      <c r="K290" s="11" t="s">
        <v>378</v>
      </c>
      <c r="L290" s="11" t="str">
        <f>INDEX(Feiertagsregeln!$Y$7:$Y$480,MATCH($K290,Feiertagsregeln!$A$7:$A$480,0))</f>
        <v>SRC-AI-RTG-822200-V1327</v>
      </c>
      <c r="M290" s="11" t="str">
        <f>INDEX(Feiertagsregeln!$Z$7:$Z$480,MATCH($K290,Feiertagsregeln!$A$7:$A$480,0))</f>
        <v>Art. 2 Abs. 1 Bst. c</v>
      </c>
      <c r="N290" s="11" t="s">
        <v>193</v>
      </c>
      <c r="O290" s="11" t="str">
        <f>INDEX(Feiertagsregeln!$AA$7:$AA$480,MATCH($K290,Feiertagsregeln!$A$7:$A$480,0))</f>
        <v>Ganztägig</v>
      </c>
    </row>
    <row r="291" spans="1:15" ht="44" customHeight="1">
      <c r="A291" s="14">
        <f>INDEX(Feiertagsregeln!$X$7:$X$480,MATCH($K291,Feiertagsregeln!$A$7:$A$480,0))</f>
        <v>46753</v>
      </c>
      <c r="B291" s="10" t="str">
        <f t="shared" si="4"/>
        <v>Samstag</v>
      </c>
      <c r="C291" s="10" t="s">
        <v>379</v>
      </c>
      <c r="D291" s="10" t="s">
        <v>380</v>
      </c>
      <c r="E291" s="10" t="str">
        <f>INDEX(Feiertagsregeln!$D$7:$D$480,MATCH($K291,Feiertagsregeln!$A$7:$A$480,0))</f>
        <v>Neujahr</v>
      </c>
      <c r="F291" s="10" t="str">
        <f>INDEX(Feiertagsregeln!$E$7:$E$480,MATCH($K291,Feiertagsregeln!$A$7:$A$480,0))</f>
        <v>Nouvel An</v>
      </c>
      <c r="G291" s="21" t="str">
        <f>IF(INDEX(Feiertagsregeln!$F$7:$F$480,MATCH($K291,Feiertagsregeln!$A$7:$A$480,0))="","Noch zu erfassen",INDEX(Feiertagsregeln!$F$7:$F$480,MATCH($K291,Feiertagsregeln!$A$7:$A$480,0)))</f>
        <v>Capo d’anno</v>
      </c>
      <c r="H291" s="21" t="str">
        <f>IF(INDEX(Feiertagsregeln!$G$7:$G$480,MATCH($K291,Feiertagsregeln!$A$7:$A$480,0))="","Noch zu erfassen",INDEX(Feiertagsregeln!$G$7:$G$480,MATCH($K291,Feiertagsregeln!$A$7:$A$480,0)))</f>
        <v>Bumaun</v>
      </c>
      <c r="I291" s="10" t="str">
        <f>INDEX(Feiertagsregeln!$H$7:$H$480,MATCH($K291,Feiertagsregeln!$A$7:$A$480,0))</f>
        <v>publicHoliday</v>
      </c>
      <c r="J291" s="10" t="s">
        <v>69</v>
      </c>
      <c r="K291" s="10" t="s">
        <v>381</v>
      </c>
      <c r="L291" s="10" t="str">
        <f>INDEX(Feiertagsregeln!$Y$7:$Y$480,MATCH($K291,Feiertagsregeln!$A$7:$A$480,0))</f>
        <v>SRC-LU-RLG-855-20200501</v>
      </c>
      <c r="M291" s="10" t="str">
        <f>INDEX(Feiertagsregeln!$Z$7:$Z$480,MATCH($K291,Feiertagsregeln!$A$7:$A$480,0))</f>
        <v>§ 1a Abs. 1 Bst. b und Abs. 2</v>
      </c>
      <c r="N291" s="10" t="s">
        <v>193</v>
      </c>
      <c r="O291" s="10" t="str">
        <f>INDEX(Feiertagsregeln!$AA$7:$AA$480,MATCH($K291,Feiertagsregeln!$A$7:$A$480,0))</f>
        <v>Ganztägig</v>
      </c>
    </row>
    <row r="292" spans="1:15" ht="44" customHeight="1">
      <c r="A292" s="15">
        <f>INDEX(Feiertagsregeln!$X$7:$X$480,MATCH($K292,Feiertagsregeln!$A$7:$A$480,0))</f>
        <v>46857</v>
      </c>
      <c r="B292" s="11" t="str">
        <f t="shared" si="4"/>
        <v>Freitag</v>
      </c>
      <c r="C292" s="11" t="s">
        <v>379</v>
      </c>
      <c r="D292" s="11" t="s">
        <v>380</v>
      </c>
      <c r="E292" s="11" t="str">
        <f>INDEX(Feiertagsregeln!$D$7:$D$480,MATCH($K292,Feiertagsregeln!$A$7:$A$480,0))</f>
        <v>Karfreitag</v>
      </c>
      <c r="F292" s="11" t="str">
        <f>INDEX(Feiertagsregeln!$E$7:$E$480,MATCH($K292,Feiertagsregeln!$A$7:$A$480,0))</f>
        <v>Vendredi saint</v>
      </c>
      <c r="G292" s="22" t="str">
        <f>IF(INDEX(Feiertagsregeln!$F$7:$F$480,MATCH($K292,Feiertagsregeln!$A$7:$A$480,0))="","Noch zu erfassen",INDEX(Feiertagsregeln!$F$7:$F$480,MATCH($K292,Feiertagsregeln!$A$7:$A$480,0)))</f>
        <v>Venerdì Santo</v>
      </c>
      <c r="H292" s="22" t="str">
        <f>IF(INDEX(Feiertagsregeln!$G$7:$G$480,MATCH($K292,Feiertagsregeln!$A$7:$A$480,0))="","Noch zu erfassen",INDEX(Feiertagsregeln!$G$7:$G$480,MATCH($K292,Feiertagsregeln!$A$7:$A$480,0)))</f>
        <v>Venderdi sontg</v>
      </c>
      <c r="I292" s="11" t="str">
        <f>INDEX(Feiertagsregeln!$H$7:$H$480,MATCH($K292,Feiertagsregeln!$A$7:$A$480,0))</f>
        <v>publicHoliday</v>
      </c>
      <c r="J292" s="11" t="s">
        <v>69</v>
      </c>
      <c r="K292" s="11" t="s">
        <v>382</v>
      </c>
      <c r="L292" s="11" t="str">
        <f>INDEX(Feiertagsregeln!$Y$7:$Y$480,MATCH($K292,Feiertagsregeln!$A$7:$A$480,0))</f>
        <v>SRC-LU-RLG-855-20200501</v>
      </c>
      <c r="M292" s="11" t="str">
        <f>INDEX(Feiertagsregeln!$Z$7:$Z$480,MATCH($K292,Feiertagsregeln!$A$7:$A$480,0))</f>
        <v>§ 2 / § 1a Abs. 1</v>
      </c>
      <c r="N292" s="11" t="s">
        <v>193</v>
      </c>
      <c r="O292" s="11" t="str">
        <f>INDEX(Feiertagsregeln!$AA$7:$AA$480,MATCH($K292,Feiertagsregeln!$A$7:$A$480,0))</f>
        <v>Ganztägig</v>
      </c>
    </row>
    <row r="293" spans="1:15" ht="44" customHeight="1">
      <c r="A293" s="14">
        <f>INDEX(Feiertagsregeln!$X$7:$X$480,MATCH($K293,Feiertagsregeln!$A$7:$A$480,0))</f>
        <v>46859</v>
      </c>
      <c r="B293" s="10" t="str">
        <f t="shared" si="4"/>
        <v>Sonntag</v>
      </c>
      <c r="C293" s="10" t="s">
        <v>379</v>
      </c>
      <c r="D293" s="10" t="s">
        <v>380</v>
      </c>
      <c r="E293" s="10" t="str">
        <f>INDEX(Feiertagsregeln!$D$7:$D$480,MATCH($K293,Feiertagsregeln!$A$7:$A$480,0))</f>
        <v>Ostern</v>
      </c>
      <c r="F293" s="10" t="str">
        <f>INDEX(Feiertagsregeln!$E$7:$E$480,MATCH($K293,Feiertagsregeln!$A$7:$A$480,0))</f>
        <v>Pâques</v>
      </c>
      <c r="G293" s="21" t="str">
        <f>IF(INDEX(Feiertagsregeln!$F$7:$F$480,MATCH($K293,Feiertagsregeln!$A$7:$A$480,0))="","Noch zu erfassen",INDEX(Feiertagsregeln!$F$7:$F$480,MATCH($K293,Feiertagsregeln!$A$7:$A$480,0)))</f>
        <v>Domenica di Pasqua</v>
      </c>
      <c r="H293" s="21" t="str">
        <f>IF(INDEX(Feiertagsregeln!$G$7:$G$480,MATCH($K293,Feiertagsregeln!$A$7:$A$480,0))="","Noch zu erfassen",INDEX(Feiertagsregeln!$G$7:$G$480,MATCH($K293,Feiertagsregeln!$A$7:$A$480,0)))</f>
        <v>Dumengia da Pasca</v>
      </c>
      <c r="I293" s="10" t="str">
        <f>INDEX(Feiertagsregeln!$H$7:$H$480,MATCH($K293,Feiertagsregeln!$A$7:$A$480,0))</f>
        <v>publicHoliday</v>
      </c>
      <c r="J293" s="10" t="s">
        <v>69</v>
      </c>
      <c r="K293" s="10" t="s">
        <v>383</v>
      </c>
      <c r="L293" s="10" t="str">
        <f>INDEX(Feiertagsregeln!$Y$7:$Y$480,MATCH($K293,Feiertagsregeln!$A$7:$A$480,0))</f>
        <v>SRC-LU-RLG-855-20200501</v>
      </c>
      <c r="M293" s="10" t="str">
        <f>INDEX(Feiertagsregeln!$Z$7:$Z$480,MATCH($K293,Feiertagsregeln!$A$7:$A$480,0))</f>
        <v>§ 2 / § 1a Abs. 1</v>
      </c>
      <c r="N293" s="10" t="s">
        <v>193</v>
      </c>
      <c r="O293" s="10" t="str">
        <f>INDEX(Feiertagsregeln!$AA$7:$AA$480,MATCH($K293,Feiertagsregeln!$A$7:$A$480,0))</f>
        <v>Ganztägig</v>
      </c>
    </row>
    <row r="294" spans="1:15" ht="44" customHeight="1">
      <c r="A294" s="15">
        <f>INDEX(Feiertagsregeln!$X$7:$X$480,MATCH($K294,Feiertagsregeln!$A$7:$A$480,0))</f>
        <v>46898</v>
      </c>
      <c r="B294" s="11" t="str">
        <f t="shared" si="4"/>
        <v>Donnerstag</v>
      </c>
      <c r="C294" s="11" t="s">
        <v>379</v>
      </c>
      <c r="D294" s="11" t="s">
        <v>380</v>
      </c>
      <c r="E294" s="11" t="str">
        <f>INDEX(Feiertagsregeln!$D$7:$D$480,MATCH($K294,Feiertagsregeln!$A$7:$A$480,0))</f>
        <v>Auffahrt</v>
      </c>
      <c r="F294" s="11" t="str">
        <f>INDEX(Feiertagsregeln!$E$7:$E$480,MATCH($K294,Feiertagsregeln!$A$7:$A$480,0))</f>
        <v>Ascension</v>
      </c>
      <c r="G294" s="22" t="str">
        <f>IF(INDEX(Feiertagsregeln!$F$7:$F$480,MATCH($K294,Feiertagsregeln!$A$7:$A$480,0))="","Noch zu erfassen",INDEX(Feiertagsregeln!$F$7:$F$480,MATCH($K294,Feiertagsregeln!$A$7:$A$480,0)))</f>
        <v>Ascensione</v>
      </c>
      <c r="H294" s="22" t="str">
        <f>IF(INDEX(Feiertagsregeln!$G$7:$G$480,MATCH($K294,Feiertagsregeln!$A$7:$A$480,0))="","Noch zu erfassen",INDEX(Feiertagsregeln!$G$7:$G$480,MATCH($K294,Feiertagsregeln!$A$7:$A$480,0)))</f>
        <v>Ascensiun</v>
      </c>
      <c r="I294" s="11" t="str">
        <f>INDEX(Feiertagsregeln!$H$7:$H$480,MATCH($K294,Feiertagsregeln!$A$7:$A$480,0))</f>
        <v>publicHoliday</v>
      </c>
      <c r="J294" s="11" t="s">
        <v>69</v>
      </c>
      <c r="K294" s="11" t="s">
        <v>384</v>
      </c>
      <c r="L294" s="11" t="str">
        <f>INDEX(Feiertagsregeln!$Y$7:$Y$480,MATCH($K294,Feiertagsregeln!$A$7:$A$480,0))</f>
        <v>SRC-LU-RLG-855-20200501</v>
      </c>
      <c r="M294" s="11" t="str">
        <f>INDEX(Feiertagsregeln!$Z$7:$Z$480,MATCH($K294,Feiertagsregeln!$A$7:$A$480,0))</f>
        <v>§ 1a Abs. 1 Bst. b und Abs. 2</v>
      </c>
      <c r="N294" s="11" t="s">
        <v>193</v>
      </c>
      <c r="O294" s="11" t="str">
        <f>INDEX(Feiertagsregeln!$AA$7:$AA$480,MATCH($K294,Feiertagsregeln!$A$7:$A$480,0))</f>
        <v>Ganztägig</v>
      </c>
    </row>
    <row r="295" spans="1:15" ht="44" customHeight="1">
      <c r="A295" s="14">
        <f>INDEX(Feiertagsregeln!$X$7:$X$480,MATCH($K295,Feiertagsregeln!$A$7:$A$480,0))</f>
        <v>46908</v>
      </c>
      <c r="B295" s="10" t="str">
        <f t="shared" si="4"/>
        <v>Sonntag</v>
      </c>
      <c r="C295" s="10" t="s">
        <v>379</v>
      </c>
      <c r="D295" s="10" t="s">
        <v>380</v>
      </c>
      <c r="E295" s="10" t="str">
        <f>INDEX(Feiertagsregeln!$D$7:$D$480,MATCH($K295,Feiertagsregeln!$A$7:$A$480,0))</f>
        <v>Pfingsten</v>
      </c>
      <c r="F295" s="10" t="str">
        <f>INDEX(Feiertagsregeln!$E$7:$E$480,MATCH($K295,Feiertagsregeln!$A$7:$A$480,0))</f>
        <v>Pentecôte</v>
      </c>
      <c r="G295" s="21" t="str">
        <f>IF(INDEX(Feiertagsregeln!$F$7:$F$480,MATCH($K295,Feiertagsregeln!$A$7:$A$480,0))="","Noch zu erfassen",INDEX(Feiertagsregeln!$F$7:$F$480,MATCH($K295,Feiertagsregeln!$A$7:$A$480,0)))</f>
        <v>Domenica di Pentecoste</v>
      </c>
      <c r="H295" s="21" t="str">
        <f>IF(INDEX(Feiertagsregeln!$G$7:$G$480,MATCH($K295,Feiertagsregeln!$A$7:$A$480,0))="","Noch zu erfassen",INDEX(Feiertagsregeln!$G$7:$G$480,MATCH($K295,Feiertagsregeln!$A$7:$A$480,0)))</f>
        <v>Dumengia da Tschuncaisma</v>
      </c>
      <c r="I295" s="10" t="str">
        <f>INDEX(Feiertagsregeln!$H$7:$H$480,MATCH($K295,Feiertagsregeln!$A$7:$A$480,0))</f>
        <v>publicHoliday</v>
      </c>
      <c r="J295" s="10" t="s">
        <v>69</v>
      </c>
      <c r="K295" s="10" t="s">
        <v>385</v>
      </c>
      <c r="L295" s="10" t="str">
        <f>INDEX(Feiertagsregeln!$Y$7:$Y$480,MATCH($K295,Feiertagsregeln!$A$7:$A$480,0))</f>
        <v>SRC-LU-RLG-855-20200501</v>
      </c>
      <c r="M295" s="10" t="str">
        <f>INDEX(Feiertagsregeln!$Z$7:$Z$480,MATCH($K295,Feiertagsregeln!$A$7:$A$480,0))</f>
        <v>§ 2 / § 1a Abs. 1</v>
      </c>
      <c r="N295" s="10" t="s">
        <v>193</v>
      </c>
      <c r="O295" s="10" t="str">
        <f>INDEX(Feiertagsregeln!$AA$7:$AA$480,MATCH($K295,Feiertagsregeln!$A$7:$A$480,0))</f>
        <v>Ganztägig</v>
      </c>
    </row>
    <row r="296" spans="1:15" ht="44" customHeight="1">
      <c r="A296" s="15">
        <f>INDEX(Feiertagsregeln!$X$7:$X$480,MATCH($K296,Feiertagsregeln!$A$7:$A$480,0))</f>
        <v>46919</v>
      </c>
      <c r="B296" s="11" t="str">
        <f t="shared" si="4"/>
        <v>Donnerstag</v>
      </c>
      <c r="C296" s="11" t="s">
        <v>379</v>
      </c>
      <c r="D296" s="11" t="s">
        <v>380</v>
      </c>
      <c r="E296" s="11" t="str">
        <f>INDEX(Feiertagsregeln!$D$7:$D$480,MATCH($K296,Feiertagsregeln!$A$7:$A$480,0))</f>
        <v>Fronleichnam</v>
      </c>
      <c r="F296" s="11" t="str">
        <f>INDEX(Feiertagsregeln!$E$7:$E$480,MATCH($K296,Feiertagsregeln!$A$7:$A$480,0))</f>
        <v>Fête-Dieu</v>
      </c>
      <c r="G296" s="22" t="str">
        <f>IF(INDEX(Feiertagsregeln!$F$7:$F$480,MATCH($K296,Feiertagsregeln!$A$7:$A$480,0))="","Noch zu erfassen",INDEX(Feiertagsregeln!$F$7:$F$480,MATCH($K296,Feiertagsregeln!$A$7:$A$480,0)))</f>
        <v>Corpus Domini</v>
      </c>
      <c r="H296" s="22" t="str">
        <f>IF(INDEX(Feiertagsregeln!$G$7:$G$480,MATCH($K296,Feiertagsregeln!$A$7:$A$480,0))="","Noch zu erfassen",INDEX(Feiertagsregeln!$G$7:$G$480,MATCH($K296,Feiertagsregeln!$A$7:$A$480,0)))</f>
        <v>Sontgilcrest</v>
      </c>
      <c r="I296" s="11" t="str">
        <f>INDEX(Feiertagsregeln!$H$7:$H$480,MATCH($K296,Feiertagsregeln!$A$7:$A$480,0))</f>
        <v>publicHoliday</v>
      </c>
      <c r="J296" s="11" t="s">
        <v>69</v>
      </c>
      <c r="K296" s="11" t="s">
        <v>386</v>
      </c>
      <c r="L296" s="11" t="str">
        <f>INDEX(Feiertagsregeln!$Y$7:$Y$480,MATCH($K296,Feiertagsregeln!$A$7:$A$480,0))</f>
        <v>SRC-LU-RLG-855-20200501</v>
      </c>
      <c r="M296" s="11" t="str">
        <f>INDEX(Feiertagsregeln!$Z$7:$Z$480,MATCH($K296,Feiertagsregeln!$A$7:$A$480,0))</f>
        <v>§ 1a Abs. 1 Bst. b und Abs. 2</v>
      </c>
      <c r="N296" s="11" t="s">
        <v>193</v>
      </c>
      <c r="O296" s="11" t="str">
        <f>INDEX(Feiertagsregeln!$AA$7:$AA$480,MATCH($K296,Feiertagsregeln!$A$7:$A$480,0))</f>
        <v>Ganztägig</v>
      </c>
    </row>
    <row r="297" spans="1:15" ht="44" customHeight="1">
      <c r="A297" s="14">
        <f>INDEX(Feiertagsregeln!$X$7:$X$480,MATCH($K297,Feiertagsregeln!$A$7:$A$480,0))</f>
        <v>46966</v>
      </c>
      <c r="B297" s="10" t="str">
        <f t="shared" si="4"/>
        <v>Dienstag</v>
      </c>
      <c r="C297" s="10" t="s">
        <v>379</v>
      </c>
      <c r="D297" s="10" t="s">
        <v>380</v>
      </c>
      <c r="E297" s="10" t="str">
        <f>INDEX(Feiertagsregeln!$D$7:$D$480,MATCH($K297,Feiertagsregeln!$A$7:$A$480,0))</f>
        <v>Bundesfeiertag</v>
      </c>
      <c r="F297" s="10" t="str">
        <f>INDEX(Feiertagsregeln!$E$7:$E$480,MATCH($K297,Feiertagsregeln!$A$7:$A$480,0))</f>
        <v>Fête nationale</v>
      </c>
      <c r="G297" s="21" t="str">
        <f>IF(INDEX(Feiertagsregeln!$F$7:$F$480,MATCH($K297,Feiertagsregeln!$A$7:$A$480,0))="","Noch zu erfassen",INDEX(Feiertagsregeln!$F$7:$F$480,MATCH($K297,Feiertagsregeln!$A$7:$A$480,0)))</f>
        <v>Primo agosto</v>
      </c>
      <c r="H297" s="21" t="str">
        <f>IF(INDEX(Feiertagsregeln!$G$7:$G$480,MATCH($K297,Feiertagsregeln!$A$7:$A$480,0))="","Noch zu erfassen",INDEX(Feiertagsregeln!$G$7:$G$480,MATCH($K297,Feiertagsregeln!$A$7:$A$480,0)))</f>
        <v>Festa naziunala svizra</v>
      </c>
      <c r="I297" s="10" t="str">
        <f>INDEX(Feiertagsregeln!$H$7:$H$480,MATCH($K297,Feiertagsregeln!$A$7:$A$480,0))</f>
        <v>publicHoliday</v>
      </c>
      <c r="J297" s="10" t="s">
        <v>69</v>
      </c>
      <c r="K297" s="10" t="s">
        <v>387</v>
      </c>
      <c r="L297" s="10" t="str">
        <f>INDEX(Feiertagsregeln!$Y$7:$Y$480,MATCH($K297,Feiertagsregeln!$A$7:$A$480,0))</f>
        <v>SRC-BUNDESFEIERTAG-19940701</v>
      </c>
      <c r="M297" s="10" t="str">
        <f>INDEX(Feiertagsregeln!$Z$7:$Z$480,MATCH($K297,Feiertagsregeln!$A$7:$A$480,0))</f>
        <v>SR 116 Art. 1, neue offene Anwendung auf dieses Geltungsprofil</v>
      </c>
      <c r="N297" s="10" t="s">
        <v>193</v>
      </c>
      <c r="O297" s="10" t="str">
        <f>INDEX(Feiertagsregeln!$AA$7:$AA$480,MATCH($K297,Feiertagsregeln!$A$7:$A$480,0))</f>
        <v>Ganztägig</v>
      </c>
    </row>
    <row r="298" spans="1:15" ht="44" customHeight="1">
      <c r="A298" s="15">
        <f>INDEX(Feiertagsregeln!$X$7:$X$480,MATCH($K298,Feiertagsregeln!$A$7:$A$480,0))</f>
        <v>46980</v>
      </c>
      <c r="B298" s="11" t="str">
        <f t="shared" si="4"/>
        <v>Dienstag</v>
      </c>
      <c r="C298" s="11" t="s">
        <v>379</v>
      </c>
      <c r="D298" s="11" t="s">
        <v>380</v>
      </c>
      <c r="E298" s="11" t="str">
        <f>INDEX(Feiertagsregeln!$D$7:$D$480,MATCH($K298,Feiertagsregeln!$A$7:$A$480,0))</f>
        <v>Mariä Himmelfahrt</v>
      </c>
      <c r="F298" s="11" t="str">
        <f>INDEX(Feiertagsregeln!$E$7:$E$480,MATCH($K298,Feiertagsregeln!$A$7:$A$480,0))</f>
        <v>Assomption</v>
      </c>
      <c r="G298" s="22" t="str">
        <f>IF(INDEX(Feiertagsregeln!$F$7:$F$480,MATCH($K298,Feiertagsregeln!$A$7:$A$480,0))="","Noch zu erfassen",INDEX(Feiertagsregeln!$F$7:$F$480,MATCH($K298,Feiertagsregeln!$A$7:$A$480,0)))</f>
        <v>Assunzione</v>
      </c>
      <c r="H298" s="22" t="str">
        <f>IF(INDEX(Feiertagsregeln!$G$7:$G$480,MATCH($K298,Feiertagsregeln!$A$7:$A$480,0))="","Noch zu erfassen",INDEX(Feiertagsregeln!$G$7:$G$480,MATCH($K298,Feiertagsregeln!$A$7:$A$480,0)))</f>
        <v>Nossadunna d’avust</v>
      </c>
      <c r="I298" s="11" t="str">
        <f>INDEX(Feiertagsregeln!$H$7:$H$480,MATCH($K298,Feiertagsregeln!$A$7:$A$480,0))</f>
        <v>publicHoliday</v>
      </c>
      <c r="J298" s="11" t="s">
        <v>69</v>
      </c>
      <c r="K298" s="11" t="s">
        <v>388</v>
      </c>
      <c r="L298" s="11" t="str">
        <f>INDEX(Feiertagsregeln!$Y$7:$Y$480,MATCH($K298,Feiertagsregeln!$A$7:$A$480,0))</f>
        <v>SRC-LU-RLG-855-20200501</v>
      </c>
      <c r="M298" s="11" t="str">
        <f>INDEX(Feiertagsregeln!$Z$7:$Z$480,MATCH($K298,Feiertagsregeln!$A$7:$A$480,0))</f>
        <v>§ 1a Abs. 1 Bst. b und Abs. 2</v>
      </c>
      <c r="N298" s="11" t="s">
        <v>193</v>
      </c>
      <c r="O298" s="11" t="str">
        <f>INDEX(Feiertagsregeln!$AA$7:$AA$480,MATCH($K298,Feiertagsregeln!$A$7:$A$480,0))</f>
        <v>Ganztägig</v>
      </c>
    </row>
    <row r="299" spans="1:15" ht="44" customHeight="1">
      <c r="A299" s="14">
        <f>INDEX(Feiertagsregeln!$X$7:$X$480,MATCH($K299,Feiertagsregeln!$A$7:$A$480,0))</f>
        <v>47013</v>
      </c>
      <c r="B299" s="10" t="str">
        <f t="shared" si="4"/>
        <v>Sonntag</v>
      </c>
      <c r="C299" s="10" t="s">
        <v>379</v>
      </c>
      <c r="D299" s="10" t="s">
        <v>380</v>
      </c>
      <c r="E299" s="10" t="str">
        <f>INDEX(Feiertagsregeln!$D$7:$D$480,MATCH($K299,Feiertagsregeln!$A$7:$A$480,0))</f>
        <v>Eidgenössischer Dank-, Buss- und Bettag</v>
      </c>
      <c r="F299" s="10" t="str">
        <f>INDEX(Feiertagsregeln!$E$7:$E$480,MATCH($K299,Feiertagsregeln!$A$7:$A$480,0))</f>
        <v>Jeûne fédéral</v>
      </c>
      <c r="G299" s="21" t="str">
        <f>IF(INDEX(Feiertagsregeln!$F$7:$F$480,MATCH($K299,Feiertagsregeln!$A$7:$A$480,0))="","Noch zu erfassen",INDEX(Feiertagsregeln!$F$7:$F$480,MATCH($K299,Feiertagsregeln!$A$7:$A$480,0)))</f>
        <v>Festa federale di preghiera</v>
      </c>
      <c r="H299" s="21" t="str">
        <f>IF(INDEX(Feiertagsregeln!$G$7:$G$480,MATCH($K299,Feiertagsregeln!$A$7:$A$480,0))="","Noch zu erfassen",INDEX(Feiertagsregeln!$G$7:$G$480,MATCH($K299,Feiertagsregeln!$A$7:$A$480,0)))</f>
        <v>Di da la rogaziun federala</v>
      </c>
      <c r="I299" s="10" t="str">
        <f>INDEX(Feiertagsregeln!$H$7:$H$480,MATCH($K299,Feiertagsregeln!$A$7:$A$480,0))</f>
        <v>publicHoliday</v>
      </c>
      <c r="J299" s="10" t="s">
        <v>69</v>
      </c>
      <c r="K299" s="10" t="s">
        <v>389</v>
      </c>
      <c r="L299" s="10" t="str">
        <f>INDEX(Feiertagsregeln!$Y$7:$Y$480,MATCH($K299,Feiertagsregeln!$A$7:$A$480,0))</f>
        <v>SRC-LU-RLG-855-20200501</v>
      </c>
      <c r="M299" s="10" t="str">
        <f>INDEX(Feiertagsregeln!$Z$7:$Z$480,MATCH($K299,Feiertagsregeln!$A$7:$A$480,0))</f>
        <v>§ 2 / § 1a Abs. 1</v>
      </c>
      <c r="N299" s="10" t="s">
        <v>193</v>
      </c>
      <c r="O299" s="10" t="str">
        <f>INDEX(Feiertagsregeln!$AA$7:$AA$480,MATCH($K299,Feiertagsregeln!$A$7:$A$480,0))</f>
        <v>Ganztägig</v>
      </c>
    </row>
    <row r="300" spans="1:15" ht="44" customHeight="1">
      <c r="A300" s="15">
        <f>INDEX(Feiertagsregeln!$X$7:$X$480,MATCH($K300,Feiertagsregeln!$A$7:$A$480,0))</f>
        <v>47058</v>
      </c>
      <c r="B300" s="11" t="str">
        <f t="shared" si="4"/>
        <v>Mittwoch</v>
      </c>
      <c r="C300" s="11" t="s">
        <v>379</v>
      </c>
      <c r="D300" s="11" t="s">
        <v>380</v>
      </c>
      <c r="E300" s="11" t="str">
        <f>INDEX(Feiertagsregeln!$D$7:$D$480,MATCH($K300,Feiertagsregeln!$A$7:$A$480,0))</f>
        <v>Allerheiligen</v>
      </c>
      <c r="F300" s="11" t="str">
        <f>INDEX(Feiertagsregeln!$E$7:$E$480,MATCH($K300,Feiertagsregeln!$A$7:$A$480,0))</f>
        <v>Toussaint</v>
      </c>
      <c r="G300" s="22" t="str">
        <f>IF(INDEX(Feiertagsregeln!$F$7:$F$480,MATCH($K300,Feiertagsregeln!$A$7:$A$480,0))="","Noch zu erfassen",INDEX(Feiertagsregeln!$F$7:$F$480,MATCH($K300,Feiertagsregeln!$A$7:$A$480,0)))</f>
        <v>Ognissanti</v>
      </c>
      <c r="H300" s="22" t="str">
        <f>IF(INDEX(Feiertagsregeln!$G$7:$G$480,MATCH($K300,Feiertagsregeln!$A$7:$A$480,0))="","Noch zu erfassen",INDEX(Feiertagsregeln!$G$7:$G$480,MATCH($K300,Feiertagsregeln!$A$7:$A$480,0)))</f>
        <v>Numnasontga</v>
      </c>
      <c r="I300" s="11" t="str">
        <f>INDEX(Feiertagsregeln!$H$7:$H$480,MATCH($K300,Feiertagsregeln!$A$7:$A$480,0))</f>
        <v>publicHoliday</v>
      </c>
      <c r="J300" s="11" t="s">
        <v>69</v>
      </c>
      <c r="K300" s="11" t="s">
        <v>390</v>
      </c>
      <c r="L300" s="11" t="str">
        <f>INDEX(Feiertagsregeln!$Y$7:$Y$480,MATCH($K300,Feiertagsregeln!$A$7:$A$480,0))</f>
        <v>SRC-LU-RLG-855-20200501</v>
      </c>
      <c r="M300" s="11" t="str">
        <f>INDEX(Feiertagsregeln!$Z$7:$Z$480,MATCH($K300,Feiertagsregeln!$A$7:$A$480,0))</f>
        <v>§ 1a Abs. 1 Bst. b und Abs. 2</v>
      </c>
      <c r="N300" s="11" t="s">
        <v>193</v>
      </c>
      <c r="O300" s="11" t="str">
        <f>INDEX(Feiertagsregeln!$AA$7:$AA$480,MATCH($K300,Feiertagsregeln!$A$7:$A$480,0))</f>
        <v>Ganztägig</v>
      </c>
    </row>
    <row r="301" spans="1:15" ht="44" customHeight="1">
      <c r="A301" s="14">
        <f>INDEX(Feiertagsregeln!$X$7:$X$480,MATCH($K301,Feiertagsregeln!$A$7:$A$480,0))</f>
        <v>47095</v>
      </c>
      <c r="B301" s="10" t="str">
        <f t="shared" si="4"/>
        <v>Freitag</v>
      </c>
      <c r="C301" s="10" t="s">
        <v>379</v>
      </c>
      <c r="D301" s="10" t="s">
        <v>380</v>
      </c>
      <c r="E301" s="10" t="str">
        <f>INDEX(Feiertagsregeln!$D$7:$D$480,MATCH($K301,Feiertagsregeln!$A$7:$A$480,0))</f>
        <v>Mariä Empfängnis</v>
      </c>
      <c r="F301" s="10" t="str">
        <f>INDEX(Feiertagsregeln!$E$7:$E$480,MATCH($K301,Feiertagsregeln!$A$7:$A$480,0))</f>
        <v>Immaculée Conception</v>
      </c>
      <c r="G301" s="21" t="str">
        <f>IF(INDEX(Feiertagsregeln!$F$7:$F$480,MATCH($K301,Feiertagsregeln!$A$7:$A$480,0))="","Noch zu erfassen",INDEX(Feiertagsregeln!$F$7:$F$480,MATCH($K301,Feiertagsregeln!$A$7:$A$480,0)))</f>
        <v>Immacolata</v>
      </c>
      <c r="H301" s="21" t="str">
        <f>IF(INDEX(Feiertagsregeln!$G$7:$G$480,MATCH($K301,Feiertagsregeln!$A$7:$A$480,0))="","Noch zu erfassen",INDEX(Feiertagsregeln!$G$7:$G$480,MATCH($K301,Feiertagsregeln!$A$7:$A$480,0)))</f>
        <v>Immaculada concepziun da Maria</v>
      </c>
      <c r="I301" s="10" t="str">
        <f>INDEX(Feiertagsregeln!$H$7:$H$480,MATCH($K301,Feiertagsregeln!$A$7:$A$480,0))</f>
        <v>publicHoliday</v>
      </c>
      <c r="J301" s="10" t="s">
        <v>69</v>
      </c>
      <c r="K301" s="10" t="s">
        <v>391</v>
      </c>
      <c r="L301" s="10" t="str">
        <f>INDEX(Feiertagsregeln!$Y$7:$Y$480,MATCH($K301,Feiertagsregeln!$A$7:$A$480,0))</f>
        <v>SRC-LU-RLG-855-20200501</v>
      </c>
      <c r="M301" s="10" t="str">
        <f>INDEX(Feiertagsregeln!$Z$7:$Z$480,MATCH($K301,Feiertagsregeln!$A$7:$A$480,0))</f>
        <v>§ 1a Abs. 1 Bst. b und Abs. 2</v>
      </c>
      <c r="N301" s="10" t="s">
        <v>193</v>
      </c>
      <c r="O301" s="10" t="str">
        <f>INDEX(Feiertagsregeln!$AA$7:$AA$480,MATCH($K301,Feiertagsregeln!$A$7:$A$480,0))</f>
        <v>Ganztägig</v>
      </c>
    </row>
    <row r="302" spans="1:15" ht="44" customHeight="1">
      <c r="A302" s="15">
        <f>INDEX(Feiertagsregeln!$X$7:$X$480,MATCH($K302,Feiertagsregeln!$A$7:$A$480,0))</f>
        <v>47112</v>
      </c>
      <c r="B302" s="11" t="str">
        <f t="shared" si="4"/>
        <v>Montag</v>
      </c>
      <c r="C302" s="11" t="s">
        <v>379</v>
      </c>
      <c r="D302" s="11" t="s">
        <v>380</v>
      </c>
      <c r="E302" s="11" t="str">
        <f>INDEX(Feiertagsregeln!$D$7:$D$480,MATCH($K302,Feiertagsregeln!$A$7:$A$480,0))</f>
        <v>Weihnachten</v>
      </c>
      <c r="F302" s="11" t="str">
        <f>INDEX(Feiertagsregeln!$E$7:$E$480,MATCH($K302,Feiertagsregeln!$A$7:$A$480,0))</f>
        <v>Noël</v>
      </c>
      <c r="G302" s="22" t="str">
        <f>IF(INDEX(Feiertagsregeln!$F$7:$F$480,MATCH($K302,Feiertagsregeln!$A$7:$A$480,0))="","Noch zu erfassen",INDEX(Feiertagsregeln!$F$7:$F$480,MATCH($K302,Feiertagsregeln!$A$7:$A$480,0)))</f>
        <v>Natale</v>
      </c>
      <c r="H302" s="22" t="str">
        <f>IF(INDEX(Feiertagsregeln!$G$7:$G$480,MATCH($K302,Feiertagsregeln!$A$7:$A$480,0))="","Noch zu erfassen",INDEX(Feiertagsregeln!$G$7:$G$480,MATCH($K302,Feiertagsregeln!$A$7:$A$480,0)))</f>
        <v>Di da Nadal</v>
      </c>
      <c r="I302" s="11" t="str">
        <f>INDEX(Feiertagsregeln!$H$7:$H$480,MATCH($K302,Feiertagsregeln!$A$7:$A$480,0))</f>
        <v>publicHoliday</v>
      </c>
      <c r="J302" s="11" t="s">
        <v>69</v>
      </c>
      <c r="K302" s="11" t="s">
        <v>392</v>
      </c>
      <c r="L302" s="11" t="str">
        <f>INDEX(Feiertagsregeln!$Y$7:$Y$480,MATCH($K302,Feiertagsregeln!$A$7:$A$480,0))</f>
        <v>SRC-LU-RLG-855-20200501</v>
      </c>
      <c r="M302" s="11" t="str">
        <f>INDEX(Feiertagsregeln!$Z$7:$Z$480,MATCH($K302,Feiertagsregeln!$A$7:$A$480,0))</f>
        <v>§ 2 / § 1a Abs. 1</v>
      </c>
      <c r="N302" s="11" t="s">
        <v>193</v>
      </c>
      <c r="O302" s="11" t="str">
        <f>INDEX(Feiertagsregeln!$AA$7:$AA$480,MATCH($K302,Feiertagsregeln!$A$7:$A$480,0))</f>
        <v>Ganztägig</v>
      </c>
    </row>
    <row r="303" spans="1:15" ht="44" customHeight="1">
      <c r="A303" s="14">
        <f>INDEX(Feiertagsregeln!$X$7:$X$480,MATCH($K303,Feiertagsregeln!$A$7:$A$480,0))</f>
        <v>47113</v>
      </c>
      <c r="B303" s="10" t="str">
        <f t="shared" si="4"/>
        <v>Dienstag</v>
      </c>
      <c r="C303" s="10" t="s">
        <v>379</v>
      </c>
      <c r="D303" s="10" t="s">
        <v>380</v>
      </c>
      <c r="E303" s="10" t="str">
        <f>INDEX(Feiertagsregeln!$D$7:$D$480,MATCH($K303,Feiertagsregeln!$A$7:$A$480,0))</f>
        <v>Stephanstag</v>
      </c>
      <c r="F303" s="10" t="str">
        <f>INDEX(Feiertagsregeln!$E$7:$E$480,MATCH($K303,Feiertagsregeln!$A$7:$A$480,0))</f>
        <v>Saint-Étienne</v>
      </c>
      <c r="G303" s="21" t="str">
        <f>IF(INDEX(Feiertagsregeln!$F$7:$F$480,MATCH($K303,Feiertagsregeln!$A$7:$A$480,0))="","Noch zu erfassen",INDEX(Feiertagsregeln!$F$7:$F$480,MATCH($K303,Feiertagsregeln!$A$7:$A$480,0)))</f>
        <v>Santo Stefano</v>
      </c>
      <c r="H303" s="21" t="str">
        <f>IF(INDEX(Feiertagsregeln!$G$7:$G$480,MATCH($K303,Feiertagsregeln!$A$7:$A$480,0))="","Noch zu erfassen",INDEX(Feiertagsregeln!$G$7:$G$480,MATCH($K303,Feiertagsregeln!$A$7:$A$480,0)))</f>
        <v>Son Steffan</v>
      </c>
      <c r="I303" s="10" t="str">
        <f>INDEX(Feiertagsregeln!$H$7:$H$480,MATCH($K303,Feiertagsregeln!$A$7:$A$480,0))</f>
        <v>publicHoliday</v>
      </c>
      <c r="J303" s="10" t="s">
        <v>69</v>
      </c>
      <c r="K303" s="10" t="s">
        <v>393</v>
      </c>
      <c r="L303" s="10" t="str">
        <f>INDEX(Feiertagsregeln!$Y$7:$Y$480,MATCH($K303,Feiertagsregeln!$A$7:$A$480,0))</f>
        <v>SRC-LU-RLG-855-20200501</v>
      </c>
      <c r="M303" s="10" t="str">
        <f>INDEX(Feiertagsregeln!$Z$7:$Z$480,MATCH($K303,Feiertagsregeln!$A$7:$A$480,0))</f>
        <v>§ 1a Abs. 1 Bst. b und Abs. 2</v>
      </c>
      <c r="N303" s="10" t="s">
        <v>193</v>
      </c>
      <c r="O303" s="10" t="str">
        <f>INDEX(Feiertagsregeln!$AA$7:$AA$480,MATCH($K303,Feiertagsregeln!$A$7:$A$480,0))</f>
        <v>Ganztägig</v>
      </c>
    </row>
    <row r="304" spans="1:15" ht="44" customHeight="1">
      <c r="A304" s="15">
        <f>INDEX(Feiertagsregeln!$X$7:$X$480,MATCH($K304,Feiertagsregeln!$A$7:$A$480,0))</f>
        <v>46753</v>
      </c>
      <c r="B304" s="11" t="str">
        <f t="shared" si="4"/>
        <v>Samstag</v>
      </c>
      <c r="C304" s="11" t="s">
        <v>379</v>
      </c>
      <c r="D304" s="11" t="s">
        <v>394</v>
      </c>
      <c r="E304" s="11" t="str">
        <f>INDEX(Feiertagsregeln!$D$7:$D$480,MATCH($K304,Feiertagsregeln!$A$7:$A$480,0))</f>
        <v>Neujahr</v>
      </c>
      <c r="F304" s="11" t="str">
        <f>INDEX(Feiertagsregeln!$E$7:$E$480,MATCH($K304,Feiertagsregeln!$A$7:$A$480,0))</f>
        <v>Nouvel An</v>
      </c>
      <c r="G304" s="22" t="str">
        <f>IF(INDEX(Feiertagsregeln!$F$7:$F$480,MATCH($K304,Feiertagsregeln!$A$7:$A$480,0))="","Noch zu erfassen",INDEX(Feiertagsregeln!$F$7:$F$480,MATCH($K304,Feiertagsregeln!$A$7:$A$480,0)))</f>
        <v>Capo d’anno</v>
      </c>
      <c r="H304" s="22" t="str">
        <f>IF(INDEX(Feiertagsregeln!$G$7:$G$480,MATCH($K304,Feiertagsregeln!$A$7:$A$480,0))="","Noch zu erfassen",INDEX(Feiertagsregeln!$G$7:$G$480,MATCH($K304,Feiertagsregeln!$A$7:$A$480,0)))</f>
        <v>Bumaun</v>
      </c>
      <c r="I304" s="11" t="str">
        <f>INDEX(Feiertagsregeln!$H$7:$H$480,MATCH($K304,Feiertagsregeln!$A$7:$A$480,0))</f>
        <v>proceduralEquivalentDay</v>
      </c>
      <c r="J304" s="11" t="s">
        <v>69</v>
      </c>
      <c r="K304" s="11" t="s">
        <v>395</v>
      </c>
      <c r="L304" s="11" t="str">
        <f>INDEX(Feiertagsregeln!$Y$7:$Y$480,MATCH($K304,Feiertagsregeln!$A$7:$A$480,0))</f>
        <v>SRC-LU-JUSG-260-20260101</v>
      </c>
      <c r="M304" s="11" t="str">
        <f>INDEX(Feiertagsregeln!$Z$7:$Z$480,MATCH($K304,Feiertagsregeln!$A$7:$A$480,0))</f>
        <v>§ 76</v>
      </c>
      <c r="N304" s="11" t="s">
        <v>193</v>
      </c>
      <c r="O304" s="11" t="str">
        <f>INDEX(Feiertagsregeln!$AA$7:$AA$480,MATCH($K304,Feiertagsregeln!$A$7:$A$480,0))</f>
        <v>Ganztägig</v>
      </c>
    </row>
    <row r="305" spans="1:15" ht="44" customHeight="1">
      <c r="A305" s="14">
        <f>INDEX(Feiertagsregeln!$X$7:$X$480,MATCH($K305,Feiertagsregeln!$A$7:$A$480,0))</f>
        <v>46754</v>
      </c>
      <c r="B305" s="10" t="str">
        <f t="shared" si="4"/>
        <v>Sonntag</v>
      </c>
      <c r="C305" s="10" t="s">
        <v>379</v>
      </c>
      <c r="D305" s="10" t="s">
        <v>394</v>
      </c>
      <c r="E305" s="10" t="str">
        <f>INDEX(Feiertagsregeln!$D$7:$D$480,MATCH($K305,Feiertagsregeln!$A$7:$A$480,0))</f>
        <v>Berchtoldstag</v>
      </c>
      <c r="F305" s="10" t="str">
        <f>INDEX(Feiertagsregeln!$E$7:$E$480,MATCH($K305,Feiertagsregeln!$A$7:$A$480,0))</f>
        <v>Saint-Berchtold</v>
      </c>
      <c r="G305" s="21" t="str">
        <f>IF(INDEX(Feiertagsregeln!$F$7:$F$480,MATCH($K305,Feiertagsregeln!$A$7:$A$480,0))="","Noch zu erfassen",INDEX(Feiertagsregeln!$F$7:$F$480,MATCH($K305,Feiertagsregeln!$A$7:$A$480,0)))</f>
        <v>Giorno di Berchtold</v>
      </c>
      <c r="H305" s="21" t="str">
        <f>IF(INDEX(Feiertagsregeln!$G$7:$G$480,MATCH($K305,Feiertagsregeln!$A$7:$A$480,0))="","Noch zu erfassen",INDEX(Feiertagsregeln!$G$7:$G$480,MATCH($K305,Feiertagsregeln!$A$7:$A$480,0)))</f>
        <v>Di da Berchtold</v>
      </c>
      <c r="I305" s="10" t="str">
        <f>INDEX(Feiertagsregeln!$H$7:$H$480,MATCH($K305,Feiertagsregeln!$A$7:$A$480,0))</f>
        <v>proceduralEquivalentDay</v>
      </c>
      <c r="J305" s="10" t="s">
        <v>69</v>
      </c>
      <c r="K305" s="10" t="s">
        <v>396</v>
      </c>
      <c r="L305" s="10" t="str">
        <f>INDEX(Feiertagsregeln!$Y$7:$Y$480,MATCH($K305,Feiertagsregeln!$A$7:$A$480,0))</f>
        <v>SRC-LU-JUSG-260-20260101</v>
      </c>
      <c r="M305" s="10" t="str">
        <f>INDEX(Feiertagsregeln!$Z$7:$Z$480,MATCH($K305,Feiertagsregeln!$A$7:$A$480,0))</f>
        <v>§ 76</v>
      </c>
      <c r="N305" s="10" t="s">
        <v>193</v>
      </c>
      <c r="O305" s="10" t="str">
        <f>INDEX(Feiertagsregeln!$AA$7:$AA$480,MATCH($K305,Feiertagsregeln!$A$7:$A$480,0))</f>
        <v>Ganztägig</v>
      </c>
    </row>
    <row r="306" spans="1:15" ht="44" customHeight="1">
      <c r="A306" s="15">
        <f>INDEX(Feiertagsregeln!$X$7:$X$480,MATCH($K306,Feiertagsregeln!$A$7:$A$480,0))</f>
        <v>46857</v>
      </c>
      <c r="B306" s="11" t="str">
        <f t="shared" si="4"/>
        <v>Freitag</v>
      </c>
      <c r="C306" s="11" t="s">
        <v>379</v>
      </c>
      <c r="D306" s="11" t="s">
        <v>394</v>
      </c>
      <c r="E306" s="11" t="str">
        <f>INDEX(Feiertagsregeln!$D$7:$D$480,MATCH($K306,Feiertagsregeln!$A$7:$A$480,0))</f>
        <v>Karfreitag</v>
      </c>
      <c r="F306" s="11" t="str">
        <f>INDEX(Feiertagsregeln!$E$7:$E$480,MATCH($K306,Feiertagsregeln!$A$7:$A$480,0))</f>
        <v>Vendredi saint</v>
      </c>
      <c r="G306" s="22" t="str">
        <f>IF(INDEX(Feiertagsregeln!$F$7:$F$480,MATCH($K306,Feiertagsregeln!$A$7:$A$480,0))="","Noch zu erfassen",INDEX(Feiertagsregeln!$F$7:$F$480,MATCH($K306,Feiertagsregeln!$A$7:$A$480,0)))</f>
        <v>Venerdì Santo</v>
      </c>
      <c r="H306" s="22" t="str">
        <f>IF(INDEX(Feiertagsregeln!$G$7:$G$480,MATCH($K306,Feiertagsregeln!$A$7:$A$480,0))="","Noch zu erfassen",INDEX(Feiertagsregeln!$G$7:$G$480,MATCH($K306,Feiertagsregeln!$A$7:$A$480,0)))</f>
        <v>Venderdi sontg</v>
      </c>
      <c r="I306" s="11" t="str">
        <f>INDEX(Feiertagsregeln!$H$7:$H$480,MATCH($K306,Feiertagsregeln!$A$7:$A$480,0))</f>
        <v>proceduralEquivalentDay</v>
      </c>
      <c r="J306" s="11" t="s">
        <v>69</v>
      </c>
      <c r="K306" s="11" t="s">
        <v>397</v>
      </c>
      <c r="L306" s="11" t="str">
        <f>INDEX(Feiertagsregeln!$Y$7:$Y$480,MATCH($K306,Feiertagsregeln!$A$7:$A$480,0))</f>
        <v>SRC-LU-JUSG-260-20260101</v>
      </c>
      <c r="M306" s="11" t="str">
        <f>INDEX(Feiertagsregeln!$Z$7:$Z$480,MATCH($K306,Feiertagsregeln!$A$7:$A$480,0))</f>
        <v>§ 76</v>
      </c>
      <c r="N306" s="11" t="s">
        <v>193</v>
      </c>
      <c r="O306" s="11" t="str">
        <f>INDEX(Feiertagsregeln!$AA$7:$AA$480,MATCH($K306,Feiertagsregeln!$A$7:$A$480,0))</f>
        <v>Ganztägig</v>
      </c>
    </row>
    <row r="307" spans="1:15" ht="44" customHeight="1">
      <c r="A307" s="14">
        <f>INDEX(Feiertagsregeln!$X$7:$X$480,MATCH($K307,Feiertagsregeln!$A$7:$A$480,0))</f>
        <v>46860</v>
      </c>
      <c r="B307" s="10" t="str">
        <f t="shared" si="4"/>
        <v>Montag</v>
      </c>
      <c r="C307" s="10" t="s">
        <v>379</v>
      </c>
      <c r="D307" s="10" t="s">
        <v>394</v>
      </c>
      <c r="E307" s="10" t="str">
        <f>INDEX(Feiertagsregeln!$D$7:$D$480,MATCH($K307,Feiertagsregeln!$A$7:$A$480,0))</f>
        <v>Ostermontag</v>
      </c>
      <c r="F307" s="10" t="str">
        <f>INDEX(Feiertagsregeln!$E$7:$E$480,MATCH($K307,Feiertagsregeln!$A$7:$A$480,0))</f>
        <v>Lundi de Pâques</v>
      </c>
      <c r="G307" s="21" t="str">
        <f>IF(INDEX(Feiertagsregeln!$F$7:$F$480,MATCH($K307,Feiertagsregeln!$A$7:$A$480,0))="","Noch zu erfassen",INDEX(Feiertagsregeln!$F$7:$F$480,MATCH($K307,Feiertagsregeln!$A$7:$A$480,0)))</f>
        <v>Lunedì di Pasqua</v>
      </c>
      <c r="H307" s="21" t="str">
        <f>IF(INDEX(Feiertagsregeln!$G$7:$G$480,MATCH($K307,Feiertagsregeln!$A$7:$A$480,0))="","Noch zu erfassen",INDEX(Feiertagsregeln!$G$7:$G$480,MATCH($K307,Feiertagsregeln!$A$7:$A$480,0)))</f>
        <v>Glindesdi da Pasca</v>
      </c>
      <c r="I307" s="10" t="str">
        <f>INDEX(Feiertagsregeln!$H$7:$H$480,MATCH($K307,Feiertagsregeln!$A$7:$A$480,0))</f>
        <v>proceduralEquivalentDay</v>
      </c>
      <c r="J307" s="10" t="s">
        <v>69</v>
      </c>
      <c r="K307" s="10" t="s">
        <v>398</v>
      </c>
      <c r="L307" s="10" t="str">
        <f>INDEX(Feiertagsregeln!$Y$7:$Y$480,MATCH($K307,Feiertagsregeln!$A$7:$A$480,0))</f>
        <v>SRC-LU-JUSG-260-20260101</v>
      </c>
      <c r="M307" s="10" t="str">
        <f>INDEX(Feiertagsregeln!$Z$7:$Z$480,MATCH($K307,Feiertagsregeln!$A$7:$A$480,0))</f>
        <v>§ 76</v>
      </c>
      <c r="N307" s="10" t="s">
        <v>193</v>
      </c>
      <c r="O307" s="10" t="str">
        <f>INDEX(Feiertagsregeln!$AA$7:$AA$480,MATCH($K307,Feiertagsregeln!$A$7:$A$480,0))</f>
        <v>Ganztägig</v>
      </c>
    </row>
    <row r="308" spans="1:15" ht="44" customHeight="1">
      <c r="A308" s="15">
        <f>INDEX(Feiertagsregeln!$X$7:$X$480,MATCH($K308,Feiertagsregeln!$A$7:$A$480,0))</f>
        <v>46898</v>
      </c>
      <c r="B308" s="11" t="str">
        <f t="shared" si="4"/>
        <v>Donnerstag</v>
      </c>
      <c r="C308" s="11" t="s">
        <v>379</v>
      </c>
      <c r="D308" s="11" t="s">
        <v>394</v>
      </c>
      <c r="E308" s="11" t="str">
        <f>INDEX(Feiertagsregeln!$D$7:$D$480,MATCH($K308,Feiertagsregeln!$A$7:$A$480,0))</f>
        <v>Auffahrt</v>
      </c>
      <c r="F308" s="11" t="str">
        <f>INDEX(Feiertagsregeln!$E$7:$E$480,MATCH($K308,Feiertagsregeln!$A$7:$A$480,0))</f>
        <v>Ascension</v>
      </c>
      <c r="G308" s="22" t="str">
        <f>IF(INDEX(Feiertagsregeln!$F$7:$F$480,MATCH($K308,Feiertagsregeln!$A$7:$A$480,0))="","Noch zu erfassen",INDEX(Feiertagsregeln!$F$7:$F$480,MATCH($K308,Feiertagsregeln!$A$7:$A$480,0)))</f>
        <v>Ascensione</v>
      </c>
      <c r="H308" s="22" t="str">
        <f>IF(INDEX(Feiertagsregeln!$G$7:$G$480,MATCH($K308,Feiertagsregeln!$A$7:$A$480,0))="","Noch zu erfassen",INDEX(Feiertagsregeln!$G$7:$G$480,MATCH($K308,Feiertagsregeln!$A$7:$A$480,0)))</f>
        <v>Ascensiun</v>
      </c>
      <c r="I308" s="11" t="str">
        <f>INDEX(Feiertagsregeln!$H$7:$H$480,MATCH($K308,Feiertagsregeln!$A$7:$A$480,0))</f>
        <v>proceduralEquivalentDay</v>
      </c>
      <c r="J308" s="11" t="s">
        <v>69</v>
      </c>
      <c r="K308" s="11" t="s">
        <v>399</v>
      </c>
      <c r="L308" s="11" t="str">
        <f>INDEX(Feiertagsregeln!$Y$7:$Y$480,MATCH($K308,Feiertagsregeln!$A$7:$A$480,0))</f>
        <v>SRC-LU-JUSG-260-20260101</v>
      </c>
      <c r="M308" s="11" t="str">
        <f>INDEX(Feiertagsregeln!$Z$7:$Z$480,MATCH($K308,Feiertagsregeln!$A$7:$A$480,0))</f>
        <v>§ 76</v>
      </c>
      <c r="N308" s="11" t="s">
        <v>193</v>
      </c>
      <c r="O308" s="11" t="str">
        <f>INDEX(Feiertagsregeln!$AA$7:$AA$480,MATCH($K308,Feiertagsregeln!$A$7:$A$480,0))</f>
        <v>Ganztägig</v>
      </c>
    </row>
    <row r="309" spans="1:15" ht="44" customHeight="1">
      <c r="A309" s="14">
        <f>INDEX(Feiertagsregeln!$X$7:$X$480,MATCH($K309,Feiertagsregeln!$A$7:$A$480,0))</f>
        <v>46909</v>
      </c>
      <c r="B309" s="10" t="str">
        <f t="shared" si="4"/>
        <v>Montag</v>
      </c>
      <c r="C309" s="10" t="s">
        <v>379</v>
      </c>
      <c r="D309" s="10" t="s">
        <v>394</v>
      </c>
      <c r="E309" s="10" t="str">
        <f>INDEX(Feiertagsregeln!$D$7:$D$480,MATCH($K309,Feiertagsregeln!$A$7:$A$480,0))</f>
        <v>Pfingstmontag</v>
      </c>
      <c r="F309" s="10" t="str">
        <f>INDEX(Feiertagsregeln!$E$7:$E$480,MATCH($K309,Feiertagsregeln!$A$7:$A$480,0))</f>
        <v>Lundi de Pentecôte</v>
      </c>
      <c r="G309" s="21" t="str">
        <f>IF(INDEX(Feiertagsregeln!$F$7:$F$480,MATCH($K309,Feiertagsregeln!$A$7:$A$480,0))="","Noch zu erfassen",INDEX(Feiertagsregeln!$F$7:$F$480,MATCH($K309,Feiertagsregeln!$A$7:$A$480,0)))</f>
        <v>Lunedì di Pentecoste</v>
      </c>
      <c r="H309" s="21" t="str">
        <f>IF(INDEX(Feiertagsregeln!$G$7:$G$480,MATCH($K309,Feiertagsregeln!$A$7:$A$480,0))="","Noch zu erfassen",INDEX(Feiertagsregeln!$G$7:$G$480,MATCH($K309,Feiertagsregeln!$A$7:$A$480,0)))</f>
        <v>Glindesdi da Tschuncaisma</v>
      </c>
      <c r="I309" s="10" t="str">
        <f>INDEX(Feiertagsregeln!$H$7:$H$480,MATCH($K309,Feiertagsregeln!$A$7:$A$480,0))</f>
        <v>proceduralEquivalentDay</v>
      </c>
      <c r="J309" s="10" t="s">
        <v>69</v>
      </c>
      <c r="K309" s="10" t="s">
        <v>400</v>
      </c>
      <c r="L309" s="10" t="str">
        <f>INDEX(Feiertagsregeln!$Y$7:$Y$480,MATCH($K309,Feiertagsregeln!$A$7:$A$480,0))</f>
        <v>SRC-LU-JUSG-260-20260101</v>
      </c>
      <c r="M309" s="10" t="str">
        <f>INDEX(Feiertagsregeln!$Z$7:$Z$480,MATCH($K309,Feiertagsregeln!$A$7:$A$480,0))</f>
        <v>§ 76</v>
      </c>
      <c r="N309" s="10" t="s">
        <v>193</v>
      </c>
      <c r="O309" s="10" t="str">
        <f>INDEX(Feiertagsregeln!$AA$7:$AA$480,MATCH($K309,Feiertagsregeln!$A$7:$A$480,0))</f>
        <v>Ganztägig</v>
      </c>
    </row>
    <row r="310" spans="1:15" ht="44" customHeight="1">
      <c r="A310" s="15">
        <f>INDEX(Feiertagsregeln!$X$7:$X$480,MATCH($K310,Feiertagsregeln!$A$7:$A$480,0))</f>
        <v>46919</v>
      </c>
      <c r="B310" s="11" t="str">
        <f t="shared" si="4"/>
        <v>Donnerstag</v>
      </c>
      <c r="C310" s="11" t="s">
        <v>379</v>
      </c>
      <c r="D310" s="11" t="s">
        <v>394</v>
      </c>
      <c r="E310" s="11" t="str">
        <f>INDEX(Feiertagsregeln!$D$7:$D$480,MATCH($K310,Feiertagsregeln!$A$7:$A$480,0))</f>
        <v>Fronleichnam</v>
      </c>
      <c r="F310" s="11" t="str">
        <f>INDEX(Feiertagsregeln!$E$7:$E$480,MATCH($K310,Feiertagsregeln!$A$7:$A$480,0))</f>
        <v>Fête-Dieu</v>
      </c>
      <c r="G310" s="22" t="str">
        <f>IF(INDEX(Feiertagsregeln!$F$7:$F$480,MATCH($K310,Feiertagsregeln!$A$7:$A$480,0))="","Noch zu erfassen",INDEX(Feiertagsregeln!$F$7:$F$480,MATCH($K310,Feiertagsregeln!$A$7:$A$480,0)))</f>
        <v>Corpus Domini</v>
      </c>
      <c r="H310" s="22" t="str">
        <f>IF(INDEX(Feiertagsregeln!$G$7:$G$480,MATCH($K310,Feiertagsregeln!$A$7:$A$480,0))="","Noch zu erfassen",INDEX(Feiertagsregeln!$G$7:$G$480,MATCH($K310,Feiertagsregeln!$A$7:$A$480,0)))</f>
        <v>Sontgilcrest</v>
      </c>
      <c r="I310" s="11" t="str">
        <f>INDEX(Feiertagsregeln!$H$7:$H$480,MATCH($K310,Feiertagsregeln!$A$7:$A$480,0))</f>
        <v>proceduralEquivalentDay</v>
      </c>
      <c r="J310" s="11" t="s">
        <v>69</v>
      </c>
      <c r="K310" s="11" t="s">
        <v>401</v>
      </c>
      <c r="L310" s="11" t="str">
        <f>INDEX(Feiertagsregeln!$Y$7:$Y$480,MATCH($K310,Feiertagsregeln!$A$7:$A$480,0))</f>
        <v>SRC-LU-JUSG-260-20260101</v>
      </c>
      <c r="M310" s="11" t="str">
        <f>INDEX(Feiertagsregeln!$Z$7:$Z$480,MATCH($K310,Feiertagsregeln!$A$7:$A$480,0))</f>
        <v>§ 76</v>
      </c>
      <c r="N310" s="11" t="s">
        <v>193</v>
      </c>
      <c r="O310" s="11" t="str">
        <f>INDEX(Feiertagsregeln!$AA$7:$AA$480,MATCH($K310,Feiertagsregeln!$A$7:$A$480,0))</f>
        <v>Ganztägig</v>
      </c>
    </row>
    <row r="311" spans="1:15" ht="44" customHeight="1">
      <c r="A311" s="14">
        <f>INDEX(Feiertagsregeln!$X$7:$X$480,MATCH($K311,Feiertagsregeln!$A$7:$A$480,0))</f>
        <v>46966</v>
      </c>
      <c r="B311" s="10" t="str">
        <f t="shared" si="4"/>
        <v>Dienstag</v>
      </c>
      <c r="C311" s="10" t="s">
        <v>379</v>
      </c>
      <c r="D311" s="10" t="s">
        <v>394</v>
      </c>
      <c r="E311" s="10" t="str">
        <f>INDEX(Feiertagsregeln!$D$7:$D$480,MATCH($K311,Feiertagsregeln!$A$7:$A$480,0))</f>
        <v>Bundesfeiertag</v>
      </c>
      <c r="F311" s="10" t="str">
        <f>INDEX(Feiertagsregeln!$E$7:$E$480,MATCH($K311,Feiertagsregeln!$A$7:$A$480,0))</f>
        <v>Fête nationale</v>
      </c>
      <c r="G311" s="21" t="str">
        <f>IF(INDEX(Feiertagsregeln!$F$7:$F$480,MATCH($K311,Feiertagsregeln!$A$7:$A$480,0))="","Noch zu erfassen",INDEX(Feiertagsregeln!$F$7:$F$480,MATCH($K311,Feiertagsregeln!$A$7:$A$480,0)))</f>
        <v>Primo agosto</v>
      </c>
      <c r="H311" s="21" t="str">
        <f>IF(INDEX(Feiertagsregeln!$G$7:$G$480,MATCH($K311,Feiertagsregeln!$A$7:$A$480,0))="","Noch zu erfassen",INDEX(Feiertagsregeln!$G$7:$G$480,MATCH($K311,Feiertagsregeln!$A$7:$A$480,0)))</f>
        <v>Festa naziunala svizra</v>
      </c>
      <c r="I311" s="10" t="str">
        <f>INDEX(Feiertagsregeln!$H$7:$H$480,MATCH($K311,Feiertagsregeln!$A$7:$A$480,0))</f>
        <v>proceduralEquivalentDay</v>
      </c>
      <c r="J311" s="10" t="s">
        <v>69</v>
      </c>
      <c r="K311" s="10" t="s">
        <v>402</v>
      </c>
      <c r="L311" s="10" t="str">
        <f>INDEX(Feiertagsregeln!$Y$7:$Y$480,MATCH($K311,Feiertagsregeln!$A$7:$A$480,0))</f>
        <v>SRC-LU-JUSG-260-20260101</v>
      </c>
      <c r="M311" s="10" t="str">
        <f>INDEX(Feiertagsregeln!$Z$7:$Z$480,MATCH($K311,Feiertagsregeln!$A$7:$A$480,0))</f>
        <v>§ 76</v>
      </c>
      <c r="N311" s="10" t="s">
        <v>193</v>
      </c>
      <c r="O311" s="10" t="str">
        <f>INDEX(Feiertagsregeln!$AA$7:$AA$480,MATCH($K311,Feiertagsregeln!$A$7:$A$480,0))</f>
        <v>Ganztägig</v>
      </c>
    </row>
    <row r="312" spans="1:15" ht="44" customHeight="1">
      <c r="A312" s="15">
        <f>INDEX(Feiertagsregeln!$X$7:$X$480,MATCH($K312,Feiertagsregeln!$A$7:$A$480,0))</f>
        <v>46980</v>
      </c>
      <c r="B312" s="11" t="str">
        <f t="shared" si="4"/>
        <v>Dienstag</v>
      </c>
      <c r="C312" s="11" t="s">
        <v>379</v>
      </c>
      <c r="D312" s="11" t="s">
        <v>394</v>
      </c>
      <c r="E312" s="11" t="str">
        <f>INDEX(Feiertagsregeln!$D$7:$D$480,MATCH($K312,Feiertagsregeln!$A$7:$A$480,0))</f>
        <v>Mariä Himmelfahrt</v>
      </c>
      <c r="F312" s="11" t="str">
        <f>INDEX(Feiertagsregeln!$E$7:$E$480,MATCH($K312,Feiertagsregeln!$A$7:$A$480,0))</f>
        <v>Assomption</v>
      </c>
      <c r="G312" s="22" t="str">
        <f>IF(INDEX(Feiertagsregeln!$F$7:$F$480,MATCH($K312,Feiertagsregeln!$A$7:$A$480,0))="","Noch zu erfassen",INDEX(Feiertagsregeln!$F$7:$F$480,MATCH($K312,Feiertagsregeln!$A$7:$A$480,0)))</f>
        <v>Assunzione</v>
      </c>
      <c r="H312" s="22" t="str">
        <f>IF(INDEX(Feiertagsregeln!$G$7:$G$480,MATCH($K312,Feiertagsregeln!$A$7:$A$480,0))="","Noch zu erfassen",INDEX(Feiertagsregeln!$G$7:$G$480,MATCH($K312,Feiertagsregeln!$A$7:$A$480,0)))</f>
        <v>Nossadunna d’avust</v>
      </c>
      <c r="I312" s="11" t="str">
        <f>INDEX(Feiertagsregeln!$H$7:$H$480,MATCH($K312,Feiertagsregeln!$A$7:$A$480,0))</f>
        <v>proceduralEquivalentDay</v>
      </c>
      <c r="J312" s="11" t="s">
        <v>69</v>
      </c>
      <c r="K312" s="11" t="s">
        <v>403</v>
      </c>
      <c r="L312" s="11" t="str">
        <f>INDEX(Feiertagsregeln!$Y$7:$Y$480,MATCH($K312,Feiertagsregeln!$A$7:$A$480,0))</f>
        <v>SRC-LU-JUSG-260-20260101</v>
      </c>
      <c r="M312" s="11" t="str">
        <f>INDEX(Feiertagsregeln!$Z$7:$Z$480,MATCH($K312,Feiertagsregeln!$A$7:$A$480,0))</f>
        <v>§ 76</v>
      </c>
      <c r="N312" s="11" t="s">
        <v>193</v>
      </c>
      <c r="O312" s="11" t="str">
        <f>INDEX(Feiertagsregeln!$AA$7:$AA$480,MATCH($K312,Feiertagsregeln!$A$7:$A$480,0))</f>
        <v>Ganztägig</v>
      </c>
    </row>
    <row r="313" spans="1:15" ht="44" customHeight="1">
      <c r="A313" s="14">
        <f>INDEX(Feiertagsregeln!$X$7:$X$480,MATCH($K313,Feiertagsregeln!$A$7:$A$480,0))</f>
        <v>47058</v>
      </c>
      <c r="B313" s="10" t="str">
        <f t="shared" si="4"/>
        <v>Mittwoch</v>
      </c>
      <c r="C313" s="10" t="s">
        <v>379</v>
      </c>
      <c r="D313" s="10" t="s">
        <v>394</v>
      </c>
      <c r="E313" s="10" t="str">
        <f>INDEX(Feiertagsregeln!$D$7:$D$480,MATCH($K313,Feiertagsregeln!$A$7:$A$480,0))</f>
        <v>Allerheiligen</v>
      </c>
      <c r="F313" s="10" t="str">
        <f>INDEX(Feiertagsregeln!$E$7:$E$480,MATCH($K313,Feiertagsregeln!$A$7:$A$480,0))</f>
        <v>Toussaint</v>
      </c>
      <c r="G313" s="21" t="str">
        <f>IF(INDEX(Feiertagsregeln!$F$7:$F$480,MATCH($K313,Feiertagsregeln!$A$7:$A$480,0))="","Noch zu erfassen",INDEX(Feiertagsregeln!$F$7:$F$480,MATCH($K313,Feiertagsregeln!$A$7:$A$480,0)))</f>
        <v>Ognissanti</v>
      </c>
      <c r="H313" s="21" t="str">
        <f>IF(INDEX(Feiertagsregeln!$G$7:$G$480,MATCH($K313,Feiertagsregeln!$A$7:$A$480,0))="","Noch zu erfassen",INDEX(Feiertagsregeln!$G$7:$G$480,MATCH($K313,Feiertagsregeln!$A$7:$A$480,0)))</f>
        <v>Numnasontga</v>
      </c>
      <c r="I313" s="10" t="str">
        <f>INDEX(Feiertagsregeln!$H$7:$H$480,MATCH($K313,Feiertagsregeln!$A$7:$A$480,0))</f>
        <v>proceduralEquivalentDay</v>
      </c>
      <c r="J313" s="10" t="s">
        <v>69</v>
      </c>
      <c r="K313" s="10" t="s">
        <v>404</v>
      </c>
      <c r="L313" s="10" t="str">
        <f>INDEX(Feiertagsregeln!$Y$7:$Y$480,MATCH($K313,Feiertagsregeln!$A$7:$A$480,0))</f>
        <v>SRC-LU-JUSG-260-20260101</v>
      </c>
      <c r="M313" s="10" t="str">
        <f>INDEX(Feiertagsregeln!$Z$7:$Z$480,MATCH($K313,Feiertagsregeln!$A$7:$A$480,0))</f>
        <v>§ 76</v>
      </c>
      <c r="N313" s="10" t="s">
        <v>193</v>
      </c>
      <c r="O313" s="10" t="str">
        <f>INDEX(Feiertagsregeln!$AA$7:$AA$480,MATCH($K313,Feiertagsregeln!$A$7:$A$480,0))</f>
        <v>Ganztägig</v>
      </c>
    </row>
    <row r="314" spans="1:15" ht="44" customHeight="1">
      <c r="A314" s="15">
        <f>INDEX(Feiertagsregeln!$X$7:$X$480,MATCH($K314,Feiertagsregeln!$A$7:$A$480,0))</f>
        <v>47095</v>
      </c>
      <c r="B314" s="11" t="str">
        <f t="shared" si="4"/>
        <v>Freitag</v>
      </c>
      <c r="C314" s="11" t="s">
        <v>379</v>
      </c>
      <c r="D314" s="11" t="s">
        <v>394</v>
      </c>
      <c r="E314" s="11" t="str">
        <f>INDEX(Feiertagsregeln!$D$7:$D$480,MATCH($K314,Feiertagsregeln!$A$7:$A$480,0))</f>
        <v>Mariä Empfängnis</v>
      </c>
      <c r="F314" s="11" t="str">
        <f>INDEX(Feiertagsregeln!$E$7:$E$480,MATCH($K314,Feiertagsregeln!$A$7:$A$480,0))</f>
        <v>Immaculée Conception</v>
      </c>
      <c r="G314" s="22" t="str">
        <f>IF(INDEX(Feiertagsregeln!$F$7:$F$480,MATCH($K314,Feiertagsregeln!$A$7:$A$480,0))="","Noch zu erfassen",INDEX(Feiertagsregeln!$F$7:$F$480,MATCH($K314,Feiertagsregeln!$A$7:$A$480,0)))</f>
        <v>Immacolata</v>
      </c>
      <c r="H314" s="22" t="str">
        <f>IF(INDEX(Feiertagsregeln!$G$7:$G$480,MATCH($K314,Feiertagsregeln!$A$7:$A$480,0))="","Noch zu erfassen",INDEX(Feiertagsregeln!$G$7:$G$480,MATCH($K314,Feiertagsregeln!$A$7:$A$480,0)))</f>
        <v>Immaculada concepziun da Maria</v>
      </c>
      <c r="I314" s="11" t="str">
        <f>INDEX(Feiertagsregeln!$H$7:$H$480,MATCH($K314,Feiertagsregeln!$A$7:$A$480,0))</f>
        <v>proceduralEquivalentDay</v>
      </c>
      <c r="J314" s="11" t="s">
        <v>69</v>
      </c>
      <c r="K314" s="11" t="s">
        <v>405</v>
      </c>
      <c r="L314" s="11" t="str">
        <f>INDEX(Feiertagsregeln!$Y$7:$Y$480,MATCH($K314,Feiertagsregeln!$A$7:$A$480,0))</f>
        <v>SRC-LU-JUSG-260-20260101</v>
      </c>
      <c r="M314" s="11" t="str">
        <f>INDEX(Feiertagsregeln!$Z$7:$Z$480,MATCH($K314,Feiertagsregeln!$A$7:$A$480,0))</f>
        <v>§ 76</v>
      </c>
      <c r="N314" s="11" t="s">
        <v>193</v>
      </c>
      <c r="O314" s="11" t="str">
        <f>INDEX(Feiertagsregeln!$AA$7:$AA$480,MATCH($K314,Feiertagsregeln!$A$7:$A$480,0))</f>
        <v>Ganztägig</v>
      </c>
    </row>
    <row r="315" spans="1:15" ht="44" customHeight="1">
      <c r="A315" s="14">
        <f>INDEX(Feiertagsregeln!$X$7:$X$480,MATCH($K315,Feiertagsregeln!$A$7:$A$480,0))</f>
        <v>47112</v>
      </c>
      <c r="B315" s="10" t="str">
        <f t="shared" si="4"/>
        <v>Montag</v>
      </c>
      <c r="C315" s="10" t="s">
        <v>379</v>
      </c>
      <c r="D315" s="10" t="s">
        <v>394</v>
      </c>
      <c r="E315" s="10" t="str">
        <f>INDEX(Feiertagsregeln!$D$7:$D$480,MATCH($K315,Feiertagsregeln!$A$7:$A$480,0))</f>
        <v>Weihnachten</v>
      </c>
      <c r="F315" s="10" t="str">
        <f>INDEX(Feiertagsregeln!$E$7:$E$480,MATCH($K315,Feiertagsregeln!$A$7:$A$480,0))</f>
        <v>Noël</v>
      </c>
      <c r="G315" s="21" t="str">
        <f>IF(INDEX(Feiertagsregeln!$F$7:$F$480,MATCH($K315,Feiertagsregeln!$A$7:$A$480,0))="","Noch zu erfassen",INDEX(Feiertagsregeln!$F$7:$F$480,MATCH($K315,Feiertagsregeln!$A$7:$A$480,0)))</f>
        <v>Natale</v>
      </c>
      <c r="H315" s="21" t="str">
        <f>IF(INDEX(Feiertagsregeln!$G$7:$G$480,MATCH($K315,Feiertagsregeln!$A$7:$A$480,0))="","Noch zu erfassen",INDEX(Feiertagsregeln!$G$7:$G$480,MATCH($K315,Feiertagsregeln!$A$7:$A$480,0)))</f>
        <v>Di da Nadal</v>
      </c>
      <c r="I315" s="10" t="str">
        <f>INDEX(Feiertagsregeln!$H$7:$H$480,MATCH($K315,Feiertagsregeln!$A$7:$A$480,0))</f>
        <v>proceduralEquivalentDay</v>
      </c>
      <c r="J315" s="10" t="s">
        <v>69</v>
      </c>
      <c r="K315" s="10" t="s">
        <v>406</v>
      </c>
      <c r="L315" s="10" t="str">
        <f>INDEX(Feiertagsregeln!$Y$7:$Y$480,MATCH($K315,Feiertagsregeln!$A$7:$A$480,0))</f>
        <v>SRC-LU-JUSG-260-20260101</v>
      </c>
      <c r="M315" s="10" t="str">
        <f>INDEX(Feiertagsregeln!$Z$7:$Z$480,MATCH($K315,Feiertagsregeln!$A$7:$A$480,0))</f>
        <v>§ 76</v>
      </c>
      <c r="N315" s="10" t="s">
        <v>193</v>
      </c>
      <c r="O315" s="10" t="str">
        <f>INDEX(Feiertagsregeln!$AA$7:$AA$480,MATCH($K315,Feiertagsregeln!$A$7:$A$480,0))</f>
        <v>Ganztägig</v>
      </c>
    </row>
    <row r="316" spans="1:15" ht="44" customHeight="1">
      <c r="A316" s="15">
        <f>INDEX(Feiertagsregeln!$X$7:$X$480,MATCH($K316,Feiertagsregeln!$A$7:$A$480,0))</f>
        <v>47113</v>
      </c>
      <c r="B316" s="11" t="str">
        <f t="shared" si="4"/>
        <v>Dienstag</v>
      </c>
      <c r="C316" s="11" t="s">
        <v>379</v>
      </c>
      <c r="D316" s="11" t="s">
        <v>394</v>
      </c>
      <c r="E316" s="11" t="str">
        <f>INDEX(Feiertagsregeln!$D$7:$D$480,MATCH($K316,Feiertagsregeln!$A$7:$A$480,0))</f>
        <v>Stephanstag</v>
      </c>
      <c r="F316" s="11" t="str">
        <f>INDEX(Feiertagsregeln!$E$7:$E$480,MATCH($K316,Feiertagsregeln!$A$7:$A$480,0))</f>
        <v>Saint-Étienne</v>
      </c>
      <c r="G316" s="22" t="str">
        <f>IF(INDEX(Feiertagsregeln!$F$7:$F$480,MATCH($K316,Feiertagsregeln!$A$7:$A$480,0))="","Noch zu erfassen",INDEX(Feiertagsregeln!$F$7:$F$480,MATCH($K316,Feiertagsregeln!$A$7:$A$480,0)))</f>
        <v>Santo Stefano</v>
      </c>
      <c r="H316" s="22" t="str">
        <f>IF(INDEX(Feiertagsregeln!$G$7:$G$480,MATCH($K316,Feiertagsregeln!$A$7:$A$480,0))="","Noch zu erfassen",INDEX(Feiertagsregeln!$G$7:$G$480,MATCH($K316,Feiertagsregeln!$A$7:$A$480,0)))</f>
        <v>Son Steffan</v>
      </c>
      <c r="I316" s="11" t="str">
        <f>INDEX(Feiertagsregeln!$H$7:$H$480,MATCH($K316,Feiertagsregeln!$A$7:$A$480,0))</f>
        <v>proceduralEquivalentDay</v>
      </c>
      <c r="J316" s="11" t="s">
        <v>69</v>
      </c>
      <c r="K316" s="11" t="s">
        <v>407</v>
      </c>
      <c r="L316" s="11" t="str">
        <f>INDEX(Feiertagsregeln!$Y$7:$Y$480,MATCH($K316,Feiertagsregeln!$A$7:$A$480,0))</f>
        <v>SRC-LU-JUSG-260-20260101</v>
      </c>
      <c r="M316" s="11" t="str">
        <f>INDEX(Feiertagsregeln!$Z$7:$Z$480,MATCH($K316,Feiertagsregeln!$A$7:$A$480,0))</f>
        <v>§ 76</v>
      </c>
      <c r="N316" s="11" t="s">
        <v>193</v>
      </c>
      <c r="O316" s="11" t="str">
        <f>INDEX(Feiertagsregeln!$AA$7:$AA$480,MATCH($K316,Feiertagsregeln!$A$7:$A$480,0))</f>
        <v>Ganztägig</v>
      </c>
    </row>
    <row r="317" spans="1:15" ht="44" customHeight="1">
      <c r="A317" s="14">
        <f>INDEX(Feiertagsregeln!$X$7:$X$480,MATCH($K317,Feiertagsregeln!$A$7:$A$480,0))</f>
        <v>46754</v>
      </c>
      <c r="B317" s="10" t="str">
        <f t="shared" si="4"/>
        <v>Sonntag</v>
      </c>
      <c r="C317" s="10" t="s">
        <v>379</v>
      </c>
      <c r="D317" s="10" t="s">
        <v>408</v>
      </c>
      <c r="E317" s="10" t="str">
        <f>INDEX(Feiertagsregeln!$D$7:$D$480,MATCH($K317,Feiertagsregeln!$A$7:$A$480,0))</f>
        <v>Berchtoldstag</v>
      </c>
      <c r="F317" s="10" t="str">
        <f>INDEX(Feiertagsregeln!$E$7:$E$480,MATCH($K317,Feiertagsregeln!$A$7:$A$480,0))</f>
        <v>Saint-Berchtold</v>
      </c>
      <c r="G317" s="21" t="str">
        <f>IF(INDEX(Feiertagsregeln!$F$7:$F$480,MATCH($K317,Feiertagsregeln!$A$7:$A$480,0))="","Noch zu erfassen",INDEX(Feiertagsregeln!$F$7:$F$480,MATCH($K317,Feiertagsregeln!$A$7:$A$480,0)))</f>
        <v>Giorno di Berchtold</v>
      </c>
      <c r="H317" s="21" t="str">
        <f>IF(INDEX(Feiertagsregeln!$G$7:$G$480,MATCH($K317,Feiertagsregeln!$A$7:$A$480,0))="","Noch zu erfassen",INDEX(Feiertagsregeln!$G$7:$G$480,MATCH($K317,Feiertagsregeln!$A$7:$A$480,0)))</f>
        <v>Di da Berchtold</v>
      </c>
      <c r="I317" s="10" t="str">
        <f>INDEX(Feiertagsregeln!$H$7:$H$480,MATCH($K317,Feiertagsregeln!$A$7:$A$480,0))</f>
        <v>proceduralEquivalentDay</v>
      </c>
      <c r="J317" s="10" t="s">
        <v>69</v>
      </c>
      <c r="K317" s="10" t="s">
        <v>409</v>
      </c>
      <c r="L317" s="10" t="str">
        <f>INDEX(Feiertagsregeln!$Y$7:$Y$480,MATCH($K317,Feiertagsregeln!$A$7:$A$480,0))</f>
        <v>SRC-LU-VRG-40-20210901</v>
      </c>
      <c r="M317" s="10" t="str">
        <f>INDEX(Feiertagsregeln!$Z$7:$Z$480,MATCH($K317,Feiertagsregeln!$A$7:$A$480,0))</f>
        <v>§ 34 Abs. 1 Satz 2</v>
      </c>
      <c r="N317" s="10" t="s">
        <v>193</v>
      </c>
      <c r="O317" s="10" t="str">
        <f>INDEX(Feiertagsregeln!$AA$7:$AA$480,MATCH($K317,Feiertagsregeln!$A$7:$A$480,0))</f>
        <v>Ganztägig</v>
      </c>
    </row>
    <row r="318" spans="1:15" ht="44" customHeight="1">
      <c r="A318" s="15">
        <f>INDEX(Feiertagsregeln!$X$7:$X$480,MATCH($K318,Feiertagsregeln!$A$7:$A$480,0))</f>
        <v>46860</v>
      </c>
      <c r="B318" s="11" t="str">
        <f t="shared" si="4"/>
        <v>Montag</v>
      </c>
      <c r="C318" s="11" t="s">
        <v>379</v>
      </c>
      <c r="D318" s="11" t="s">
        <v>408</v>
      </c>
      <c r="E318" s="11" t="str">
        <f>INDEX(Feiertagsregeln!$D$7:$D$480,MATCH($K318,Feiertagsregeln!$A$7:$A$480,0))</f>
        <v>Ostermontag</v>
      </c>
      <c r="F318" s="11" t="str">
        <f>INDEX(Feiertagsregeln!$E$7:$E$480,MATCH($K318,Feiertagsregeln!$A$7:$A$480,0))</f>
        <v>Lundi de Pâques</v>
      </c>
      <c r="G318" s="22" t="str">
        <f>IF(INDEX(Feiertagsregeln!$F$7:$F$480,MATCH($K318,Feiertagsregeln!$A$7:$A$480,0))="","Noch zu erfassen",INDEX(Feiertagsregeln!$F$7:$F$480,MATCH($K318,Feiertagsregeln!$A$7:$A$480,0)))</f>
        <v>Lunedì di Pasqua</v>
      </c>
      <c r="H318" s="22" t="str">
        <f>IF(INDEX(Feiertagsregeln!$G$7:$G$480,MATCH($K318,Feiertagsregeln!$A$7:$A$480,0))="","Noch zu erfassen",INDEX(Feiertagsregeln!$G$7:$G$480,MATCH($K318,Feiertagsregeln!$A$7:$A$480,0)))</f>
        <v>Glindesdi da Pasca</v>
      </c>
      <c r="I318" s="11" t="str">
        <f>INDEX(Feiertagsregeln!$H$7:$H$480,MATCH($K318,Feiertagsregeln!$A$7:$A$480,0))</f>
        <v>proceduralEquivalentDay</v>
      </c>
      <c r="J318" s="11" t="s">
        <v>69</v>
      </c>
      <c r="K318" s="11" t="s">
        <v>410</v>
      </c>
      <c r="L318" s="11" t="str">
        <f>INDEX(Feiertagsregeln!$Y$7:$Y$480,MATCH($K318,Feiertagsregeln!$A$7:$A$480,0))</f>
        <v>SRC-LU-VRG-40-20210901</v>
      </c>
      <c r="M318" s="11" t="str">
        <f>INDEX(Feiertagsregeln!$Z$7:$Z$480,MATCH($K318,Feiertagsregeln!$A$7:$A$480,0))</f>
        <v>§ 34 Abs. 1 Satz 2</v>
      </c>
      <c r="N318" s="11" t="s">
        <v>193</v>
      </c>
      <c r="O318" s="11" t="str">
        <f>INDEX(Feiertagsregeln!$AA$7:$AA$480,MATCH($K318,Feiertagsregeln!$A$7:$A$480,0))</f>
        <v>Ganztägig</v>
      </c>
    </row>
    <row r="319" spans="1:15" ht="44" customHeight="1">
      <c r="A319" s="14">
        <f>INDEX(Feiertagsregeln!$X$7:$X$480,MATCH($K319,Feiertagsregeln!$A$7:$A$480,0))</f>
        <v>46909</v>
      </c>
      <c r="B319" s="10" t="str">
        <f t="shared" si="4"/>
        <v>Montag</v>
      </c>
      <c r="C319" s="10" t="s">
        <v>379</v>
      </c>
      <c r="D319" s="10" t="s">
        <v>408</v>
      </c>
      <c r="E319" s="10" t="str">
        <f>INDEX(Feiertagsregeln!$D$7:$D$480,MATCH($K319,Feiertagsregeln!$A$7:$A$480,0))</f>
        <v>Pfingstmontag</v>
      </c>
      <c r="F319" s="10" t="str">
        <f>INDEX(Feiertagsregeln!$E$7:$E$480,MATCH($K319,Feiertagsregeln!$A$7:$A$480,0))</f>
        <v>Lundi de Pentecôte</v>
      </c>
      <c r="G319" s="21" t="str">
        <f>IF(INDEX(Feiertagsregeln!$F$7:$F$480,MATCH($K319,Feiertagsregeln!$A$7:$A$480,0))="","Noch zu erfassen",INDEX(Feiertagsregeln!$F$7:$F$480,MATCH($K319,Feiertagsregeln!$A$7:$A$480,0)))</f>
        <v>Lunedì di Pentecoste</v>
      </c>
      <c r="H319" s="21" t="str">
        <f>IF(INDEX(Feiertagsregeln!$G$7:$G$480,MATCH($K319,Feiertagsregeln!$A$7:$A$480,0))="","Noch zu erfassen",INDEX(Feiertagsregeln!$G$7:$G$480,MATCH($K319,Feiertagsregeln!$A$7:$A$480,0)))</f>
        <v>Glindesdi da Tschuncaisma</v>
      </c>
      <c r="I319" s="10" t="str">
        <f>INDEX(Feiertagsregeln!$H$7:$H$480,MATCH($K319,Feiertagsregeln!$A$7:$A$480,0))</f>
        <v>proceduralEquivalentDay</v>
      </c>
      <c r="J319" s="10" t="s">
        <v>69</v>
      </c>
      <c r="K319" s="10" t="s">
        <v>411</v>
      </c>
      <c r="L319" s="10" t="str">
        <f>INDEX(Feiertagsregeln!$Y$7:$Y$480,MATCH($K319,Feiertagsregeln!$A$7:$A$480,0))</f>
        <v>SRC-LU-VRG-40-20210901</v>
      </c>
      <c r="M319" s="10" t="str">
        <f>INDEX(Feiertagsregeln!$Z$7:$Z$480,MATCH($K319,Feiertagsregeln!$A$7:$A$480,0))</f>
        <v>§ 34 Abs. 1 Satz 2</v>
      </c>
      <c r="N319" s="10" t="s">
        <v>193</v>
      </c>
      <c r="O319" s="10" t="str">
        <f>INDEX(Feiertagsregeln!$AA$7:$AA$480,MATCH($K319,Feiertagsregeln!$A$7:$A$480,0))</f>
        <v>Ganztägig</v>
      </c>
    </row>
    <row r="320" spans="1:15" ht="44" customHeight="1">
      <c r="A320" s="15">
        <f>INDEX(Feiertagsregeln!$X$7:$X$480,MATCH($K320,Feiertagsregeln!$A$7:$A$480,0))</f>
        <v>46753</v>
      </c>
      <c r="B320" s="11" t="str">
        <f t="shared" si="4"/>
        <v>Samstag</v>
      </c>
      <c r="C320" s="11" t="s">
        <v>412</v>
      </c>
      <c r="D320" s="11" t="s">
        <v>413</v>
      </c>
      <c r="E320" s="11" t="str">
        <f>INDEX(Feiertagsregeln!$D$7:$D$480,MATCH($K320,Feiertagsregeln!$A$7:$A$480,0))</f>
        <v>Neujahr</v>
      </c>
      <c r="F320" s="11" t="str">
        <f>INDEX(Feiertagsregeln!$E$7:$E$480,MATCH($K320,Feiertagsregeln!$A$7:$A$480,0))</f>
        <v>Nouvel An</v>
      </c>
      <c r="G320" s="22" t="str">
        <f>IF(INDEX(Feiertagsregeln!$F$7:$F$480,MATCH($K320,Feiertagsregeln!$A$7:$A$480,0))="","Noch zu erfassen",INDEX(Feiertagsregeln!$F$7:$F$480,MATCH($K320,Feiertagsregeln!$A$7:$A$480,0)))</f>
        <v>Capo d’anno</v>
      </c>
      <c r="H320" s="22" t="str">
        <f>IF(INDEX(Feiertagsregeln!$G$7:$G$480,MATCH($K320,Feiertagsregeln!$A$7:$A$480,0))="","Noch zu erfassen",INDEX(Feiertagsregeln!$G$7:$G$480,MATCH($K320,Feiertagsregeln!$A$7:$A$480,0)))</f>
        <v>Bumaun</v>
      </c>
      <c r="I320" s="11" t="str">
        <f>INDEX(Feiertagsregeln!$H$7:$H$480,MATCH($K320,Feiertagsregeln!$A$7:$A$480,0))</f>
        <v>publicHoliday</v>
      </c>
      <c r="J320" s="11" t="s">
        <v>69</v>
      </c>
      <c r="K320" s="11" t="s">
        <v>414</v>
      </c>
      <c r="L320" s="11" t="str">
        <f>INDEX(Feiertagsregeln!$Y$7:$Y$480,MATCH($K320,Feiertagsregeln!$A$7:$A$480,0))</f>
        <v>SRC-UR-LSG-701421-20030101</v>
      </c>
      <c r="M320" s="11" t="str">
        <f>INDEX(Feiertagsregeln!$Z$7:$Z$480,MATCH($K320,Feiertagsregeln!$A$7:$A$480,0))</f>
        <v>Art. 9 Abs. 1 Bst. b</v>
      </c>
      <c r="N320" s="11" t="s">
        <v>193</v>
      </c>
      <c r="O320" s="11" t="str">
        <f>INDEX(Feiertagsregeln!$AA$7:$AA$480,MATCH($K320,Feiertagsregeln!$A$7:$A$480,0))</f>
        <v>Ganztägig</v>
      </c>
    </row>
    <row r="321" spans="1:15" ht="44" customHeight="1">
      <c r="A321" s="14">
        <f>INDEX(Feiertagsregeln!$X$7:$X$480,MATCH($K321,Feiertagsregeln!$A$7:$A$480,0))</f>
        <v>46758</v>
      </c>
      <c r="B321" s="10" t="str">
        <f t="shared" si="4"/>
        <v>Donnerstag</v>
      </c>
      <c r="C321" s="10" t="s">
        <v>412</v>
      </c>
      <c r="D321" s="10" t="s">
        <v>413</v>
      </c>
      <c r="E321" s="10" t="str">
        <f>INDEX(Feiertagsregeln!$D$7:$D$480,MATCH($K321,Feiertagsregeln!$A$7:$A$480,0))</f>
        <v>Heilige Drei Könige</v>
      </c>
      <c r="F321" s="10" t="str">
        <f>INDEX(Feiertagsregeln!$E$7:$E$480,MATCH($K321,Feiertagsregeln!$A$7:$A$480,0))</f>
        <v>Épiphanie</v>
      </c>
      <c r="G321" s="21" t="str">
        <f>IF(INDEX(Feiertagsregeln!$F$7:$F$480,MATCH($K321,Feiertagsregeln!$A$7:$A$480,0))="","Noch zu erfassen",INDEX(Feiertagsregeln!$F$7:$F$480,MATCH($K321,Feiertagsregeln!$A$7:$A$480,0)))</f>
        <v>Epifania</v>
      </c>
      <c r="H321" s="21" t="str">
        <f>IF(INDEX(Feiertagsregeln!$G$7:$G$480,MATCH($K321,Feiertagsregeln!$A$7:$A$480,0))="","Noch zu erfassen",INDEX(Feiertagsregeln!$G$7:$G$480,MATCH($K321,Feiertagsregeln!$A$7:$A$480,0)))</f>
        <v>Bavania</v>
      </c>
      <c r="I321" s="10" t="str">
        <f>INDEX(Feiertagsregeln!$H$7:$H$480,MATCH($K321,Feiertagsregeln!$A$7:$A$480,0))</f>
        <v>publicHoliday</v>
      </c>
      <c r="J321" s="10" t="s">
        <v>69</v>
      </c>
      <c r="K321" s="10" t="s">
        <v>415</v>
      </c>
      <c r="L321" s="10" t="str">
        <f>INDEX(Feiertagsregeln!$Y$7:$Y$480,MATCH($K321,Feiertagsregeln!$A$7:$A$480,0))</f>
        <v>SRC-UR-LSG-701421-20030101</v>
      </c>
      <c r="M321" s="10" t="str">
        <f>INDEX(Feiertagsregeln!$Z$7:$Z$480,MATCH($K321,Feiertagsregeln!$A$7:$A$480,0))</f>
        <v>Art. 9 Abs. 1 Bst. b</v>
      </c>
      <c r="N321" s="10" t="s">
        <v>193</v>
      </c>
      <c r="O321" s="10" t="str">
        <f>INDEX(Feiertagsregeln!$AA$7:$AA$480,MATCH($K321,Feiertagsregeln!$A$7:$A$480,0))</f>
        <v>Ganztägig</v>
      </c>
    </row>
    <row r="322" spans="1:15" ht="44" customHeight="1">
      <c r="A322" s="15">
        <f>INDEX(Feiertagsregeln!$X$7:$X$480,MATCH($K322,Feiertagsregeln!$A$7:$A$480,0))</f>
        <v>46831</v>
      </c>
      <c r="B322" s="11" t="str">
        <f t="shared" si="4"/>
        <v>Sonntag</v>
      </c>
      <c r="C322" s="11" t="s">
        <v>412</v>
      </c>
      <c r="D322" s="11" t="s">
        <v>413</v>
      </c>
      <c r="E322" s="11" t="str">
        <f>INDEX(Feiertagsregeln!$D$7:$D$480,MATCH($K322,Feiertagsregeln!$A$7:$A$480,0))</f>
        <v>Josefstag</v>
      </c>
      <c r="F322" s="11" t="str">
        <f>INDEX(Feiertagsregeln!$E$7:$E$480,MATCH($K322,Feiertagsregeln!$A$7:$A$480,0))</f>
        <v>Saint-Joseph</v>
      </c>
      <c r="G322" s="22" t="str">
        <f>IF(INDEX(Feiertagsregeln!$F$7:$F$480,MATCH($K322,Feiertagsregeln!$A$7:$A$480,0))="","Noch zu erfassen",INDEX(Feiertagsregeln!$F$7:$F$480,MATCH($K322,Feiertagsregeln!$A$7:$A$480,0)))</f>
        <v>San Giuseppe</v>
      </c>
      <c r="H322" s="22" t="str">
        <f>IF(INDEX(Feiertagsregeln!$G$7:$G$480,MATCH($K322,Feiertagsregeln!$A$7:$A$480,0))="","Noch zu erfassen",INDEX(Feiertagsregeln!$G$7:$G$480,MATCH($K322,Feiertagsregeln!$A$7:$A$480,0)))</f>
        <v>Son Giusep</v>
      </c>
      <c r="I322" s="11" t="str">
        <f>INDEX(Feiertagsregeln!$H$7:$H$480,MATCH($K322,Feiertagsregeln!$A$7:$A$480,0))</f>
        <v>publicHoliday</v>
      </c>
      <c r="J322" s="11" t="s">
        <v>69</v>
      </c>
      <c r="K322" s="11" t="s">
        <v>416</v>
      </c>
      <c r="L322" s="11" t="str">
        <f>INDEX(Feiertagsregeln!$Y$7:$Y$480,MATCH($K322,Feiertagsregeln!$A$7:$A$480,0))</f>
        <v>SRC-UR-LSG-701421-20030101</v>
      </c>
      <c r="M322" s="11" t="str">
        <f>INDEX(Feiertagsregeln!$Z$7:$Z$480,MATCH($K322,Feiertagsregeln!$A$7:$A$480,0))</f>
        <v>Art. 9 Abs. 1 Bst. b</v>
      </c>
      <c r="N322" s="11" t="s">
        <v>193</v>
      </c>
      <c r="O322" s="11" t="str">
        <f>INDEX(Feiertagsregeln!$AA$7:$AA$480,MATCH($K322,Feiertagsregeln!$A$7:$A$480,0))</f>
        <v>Ganztägig</v>
      </c>
    </row>
    <row r="323" spans="1:15" ht="44" customHeight="1">
      <c r="A323" s="14">
        <f>INDEX(Feiertagsregeln!$X$7:$X$480,MATCH($K323,Feiertagsregeln!$A$7:$A$480,0))</f>
        <v>46857</v>
      </c>
      <c r="B323" s="10" t="str">
        <f t="shared" si="4"/>
        <v>Freitag</v>
      </c>
      <c r="C323" s="10" t="s">
        <v>412</v>
      </c>
      <c r="D323" s="10" t="s">
        <v>413</v>
      </c>
      <c r="E323" s="10" t="str">
        <f>INDEX(Feiertagsregeln!$D$7:$D$480,MATCH($K323,Feiertagsregeln!$A$7:$A$480,0))</f>
        <v>Karfreitag</v>
      </c>
      <c r="F323" s="10" t="str">
        <f>INDEX(Feiertagsregeln!$E$7:$E$480,MATCH($K323,Feiertagsregeln!$A$7:$A$480,0))</f>
        <v>Vendredi saint</v>
      </c>
      <c r="G323" s="21" t="str">
        <f>IF(INDEX(Feiertagsregeln!$F$7:$F$480,MATCH($K323,Feiertagsregeln!$A$7:$A$480,0))="","Noch zu erfassen",INDEX(Feiertagsregeln!$F$7:$F$480,MATCH($K323,Feiertagsregeln!$A$7:$A$480,0)))</f>
        <v>Venerdì Santo</v>
      </c>
      <c r="H323" s="21" t="str">
        <f>IF(INDEX(Feiertagsregeln!$G$7:$G$480,MATCH($K323,Feiertagsregeln!$A$7:$A$480,0))="","Noch zu erfassen",INDEX(Feiertagsregeln!$G$7:$G$480,MATCH($K323,Feiertagsregeln!$A$7:$A$480,0)))</f>
        <v>Venderdi sontg</v>
      </c>
      <c r="I323" s="10" t="str">
        <f>INDEX(Feiertagsregeln!$H$7:$H$480,MATCH($K323,Feiertagsregeln!$A$7:$A$480,0))</f>
        <v>publicHoliday</v>
      </c>
      <c r="J323" s="10" t="s">
        <v>69</v>
      </c>
      <c r="K323" s="10" t="s">
        <v>417</v>
      </c>
      <c r="L323" s="10" t="str">
        <f>INDEX(Feiertagsregeln!$Y$7:$Y$480,MATCH($K323,Feiertagsregeln!$A$7:$A$480,0))</f>
        <v>SRC-UR-LSG-701421-20030101</v>
      </c>
      <c r="M323" s="10" t="str">
        <f>INDEX(Feiertagsregeln!$Z$7:$Z$480,MATCH($K323,Feiertagsregeln!$A$7:$A$480,0))</f>
        <v>Art. 9 Abs. 1 Bst. b</v>
      </c>
      <c r="N323" s="10" t="s">
        <v>193</v>
      </c>
      <c r="O323" s="10" t="str">
        <f>INDEX(Feiertagsregeln!$AA$7:$AA$480,MATCH($K323,Feiertagsregeln!$A$7:$A$480,0))</f>
        <v>Ganztägig</v>
      </c>
    </row>
    <row r="324" spans="1:15" ht="44" customHeight="1">
      <c r="A324" s="15">
        <f>INDEX(Feiertagsregeln!$X$7:$X$480,MATCH($K324,Feiertagsregeln!$A$7:$A$480,0))</f>
        <v>46860</v>
      </c>
      <c r="B324" s="11" t="str">
        <f t="shared" si="4"/>
        <v>Montag</v>
      </c>
      <c r="C324" s="11" t="s">
        <v>412</v>
      </c>
      <c r="D324" s="11" t="s">
        <v>413</v>
      </c>
      <c r="E324" s="11" t="str">
        <f>INDEX(Feiertagsregeln!$D$7:$D$480,MATCH($K324,Feiertagsregeln!$A$7:$A$480,0))</f>
        <v>Ostermontag</v>
      </c>
      <c r="F324" s="11" t="str">
        <f>INDEX(Feiertagsregeln!$E$7:$E$480,MATCH($K324,Feiertagsregeln!$A$7:$A$480,0))</f>
        <v>Lundi de Pâques</v>
      </c>
      <c r="G324" s="22" t="str">
        <f>IF(INDEX(Feiertagsregeln!$F$7:$F$480,MATCH($K324,Feiertagsregeln!$A$7:$A$480,0))="","Noch zu erfassen",INDEX(Feiertagsregeln!$F$7:$F$480,MATCH($K324,Feiertagsregeln!$A$7:$A$480,0)))</f>
        <v>Lunedì di Pasqua</v>
      </c>
      <c r="H324" s="22" t="str">
        <f>IF(INDEX(Feiertagsregeln!$G$7:$G$480,MATCH($K324,Feiertagsregeln!$A$7:$A$480,0))="","Noch zu erfassen",INDEX(Feiertagsregeln!$G$7:$G$480,MATCH($K324,Feiertagsregeln!$A$7:$A$480,0)))</f>
        <v>Glindesdi da Pasca</v>
      </c>
      <c r="I324" s="11" t="str">
        <f>INDEX(Feiertagsregeln!$H$7:$H$480,MATCH($K324,Feiertagsregeln!$A$7:$A$480,0))</f>
        <v>publicHoliday</v>
      </c>
      <c r="J324" s="11" t="s">
        <v>69</v>
      </c>
      <c r="K324" s="11" t="s">
        <v>418</v>
      </c>
      <c r="L324" s="11" t="str">
        <f>INDEX(Feiertagsregeln!$Y$7:$Y$480,MATCH($K324,Feiertagsregeln!$A$7:$A$480,0))</f>
        <v>SRC-UR-LSG-701421-20030101</v>
      </c>
      <c r="M324" s="11" t="str">
        <f>INDEX(Feiertagsregeln!$Z$7:$Z$480,MATCH($K324,Feiertagsregeln!$A$7:$A$480,0))</f>
        <v>Art. 9 Abs. 1 Bst. b</v>
      </c>
      <c r="N324" s="11" t="s">
        <v>193</v>
      </c>
      <c r="O324" s="11" t="str">
        <f>INDEX(Feiertagsregeln!$AA$7:$AA$480,MATCH($K324,Feiertagsregeln!$A$7:$A$480,0))</f>
        <v>Ganztägig</v>
      </c>
    </row>
    <row r="325" spans="1:15" ht="44" customHeight="1">
      <c r="A325" s="14">
        <f>INDEX(Feiertagsregeln!$X$7:$X$480,MATCH($K325,Feiertagsregeln!$A$7:$A$480,0))</f>
        <v>46898</v>
      </c>
      <c r="B325" s="10" t="str">
        <f t="shared" si="4"/>
        <v>Donnerstag</v>
      </c>
      <c r="C325" s="10" t="s">
        <v>412</v>
      </c>
      <c r="D325" s="10" t="s">
        <v>413</v>
      </c>
      <c r="E325" s="10" t="str">
        <f>INDEX(Feiertagsregeln!$D$7:$D$480,MATCH($K325,Feiertagsregeln!$A$7:$A$480,0))</f>
        <v>Auffahrt</v>
      </c>
      <c r="F325" s="10" t="str">
        <f>INDEX(Feiertagsregeln!$E$7:$E$480,MATCH($K325,Feiertagsregeln!$A$7:$A$480,0))</f>
        <v>Ascension</v>
      </c>
      <c r="G325" s="21" t="str">
        <f>IF(INDEX(Feiertagsregeln!$F$7:$F$480,MATCH($K325,Feiertagsregeln!$A$7:$A$480,0))="","Noch zu erfassen",INDEX(Feiertagsregeln!$F$7:$F$480,MATCH($K325,Feiertagsregeln!$A$7:$A$480,0)))</f>
        <v>Ascensione</v>
      </c>
      <c r="H325" s="21" t="str">
        <f>IF(INDEX(Feiertagsregeln!$G$7:$G$480,MATCH($K325,Feiertagsregeln!$A$7:$A$480,0))="","Noch zu erfassen",INDEX(Feiertagsregeln!$G$7:$G$480,MATCH($K325,Feiertagsregeln!$A$7:$A$480,0)))</f>
        <v>Ascensiun</v>
      </c>
      <c r="I325" s="10" t="str">
        <f>INDEX(Feiertagsregeln!$H$7:$H$480,MATCH($K325,Feiertagsregeln!$A$7:$A$480,0))</f>
        <v>publicHoliday</v>
      </c>
      <c r="J325" s="10" t="s">
        <v>69</v>
      </c>
      <c r="K325" s="10" t="s">
        <v>419</v>
      </c>
      <c r="L325" s="10" t="str">
        <f>INDEX(Feiertagsregeln!$Y$7:$Y$480,MATCH($K325,Feiertagsregeln!$A$7:$A$480,0))</f>
        <v>SRC-UR-LSG-701421-20030101</v>
      </c>
      <c r="M325" s="10" t="str">
        <f>INDEX(Feiertagsregeln!$Z$7:$Z$480,MATCH($K325,Feiertagsregeln!$A$7:$A$480,0))</f>
        <v>Art. 9 Abs. 1 Bst. b</v>
      </c>
      <c r="N325" s="10" t="s">
        <v>193</v>
      </c>
      <c r="O325" s="10" t="str">
        <f>INDEX(Feiertagsregeln!$AA$7:$AA$480,MATCH($K325,Feiertagsregeln!$A$7:$A$480,0))</f>
        <v>Ganztägig</v>
      </c>
    </row>
    <row r="326" spans="1:15" ht="44" customHeight="1">
      <c r="A326" s="15">
        <f>INDEX(Feiertagsregeln!$X$7:$X$480,MATCH($K326,Feiertagsregeln!$A$7:$A$480,0))</f>
        <v>46909</v>
      </c>
      <c r="B326" s="11" t="str">
        <f t="shared" si="4"/>
        <v>Montag</v>
      </c>
      <c r="C326" s="11" t="s">
        <v>412</v>
      </c>
      <c r="D326" s="11" t="s">
        <v>413</v>
      </c>
      <c r="E326" s="11" t="str">
        <f>INDEX(Feiertagsregeln!$D$7:$D$480,MATCH($K326,Feiertagsregeln!$A$7:$A$480,0))</f>
        <v>Pfingstmontag</v>
      </c>
      <c r="F326" s="11" t="str">
        <f>INDEX(Feiertagsregeln!$E$7:$E$480,MATCH($K326,Feiertagsregeln!$A$7:$A$480,0))</f>
        <v>Lundi de Pentecôte</v>
      </c>
      <c r="G326" s="22" t="str">
        <f>IF(INDEX(Feiertagsregeln!$F$7:$F$480,MATCH($K326,Feiertagsregeln!$A$7:$A$480,0))="","Noch zu erfassen",INDEX(Feiertagsregeln!$F$7:$F$480,MATCH($K326,Feiertagsregeln!$A$7:$A$480,0)))</f>
        <v>Lunedì di Pentecoste</v>
      </c>
      <c r="H326" s="22" t="str">
        <f>IF(INDEX(Feiertagsregeln!$G$7:$G$480,MATCH($K326,Feiertagsregeln!$A$7:$A$480,0))="","Noch zu erfassen",INDEX(Feiertagsregeln!$G$7:$G$480,MATCH($K326,Feiertagsregeln!$A$7:$A$480,0)))</f>
        <v>Glindesdi da Tschuncaisma</v>
      </c>
      <c r="I326" s="11" t="str">
        <f>INDEX(Feiertagsregeln!$H$7:$H$480,MATCH($K326,Feiertagsregeln!$A$7:$A$480,0))</f>
        <v>publicHoliday</v>
      </c>
      <c r="J326" s="11" t="s">
        <v>69</v>
      </c>
      <c r="K326" s="11" t="s">
        <v>420</v>
      </c>
      <c r="L326" s="11" t="str">
        <f>INDEX(Feiertagsregeln!$Y$7:$Y$480,MATCH($K326,Feiertagsregeln!$A$7:$A$480,0))</f>
        <v>SRC-UR-LSG-701421-20030101</v>
      </c>
      <c r="M326" s="11" t="str">
        <f>INDEX(Feiertagsregeln!$Z$7:$Z$480,MATCH($K326,Feiertagsregeln!$A$7:$A$480,0))</f>
        <v>Art. 9 Abs. 1 Bst. b</v>
      </c>
      <c r="N326" s="11" t="s">
        <v>193</v>
      </c>
      <c r="O326" s="11" t="str">
        <f>INDEX(Feiertagsregeln!$AA$7:$AA$480,MATCH($K326,Feiertagsregeln!$A$7:$A$480,0))</f>
        <v>Ganztägig</v>
      </c>
    </row>
    <row r="327" spans="1:15" ht="44" customHeight="1">
      <c r="A327" s="14">
        <f>INDEX(Feiertagsregeln!$X$7:$X$480,MATCH($K327,Feiertagsregeln!$A$7:$A$480,0))</f>
        <v>46919</v>
      </c>
      <c r="B327" s="10" t="str">
        <f t="shared" ref="B327:B390" si="5">IF(ISNUMBER(A327),CHOOSE(WEEKDAY(A327,2),"Montag","Dienstag","Mittwoch","Donnerstag","Freitag","Samstag","Sonntag")&amp;IF(O327="Ab 12.00 Uhr",", ab 12.00 Uhr",""),"n.a.")</f>
        <v>Donnerstag</v>
      </c>
      <c r="C327" s="10" t="s">
        <v>412</v>
      </c>
      <c r="D327" s="10" t="s">
        <v>413</v>
      </c>
      <c r="E327" s="10" t="str">
        <f>INDEX(Feiertagsregeln!$D$7:$D$480,MATCH($K327,Feiertagsregeln!$A$7:$A$480,0))</f>
        <v>Fronleichnam</v>
      </c>
      <c r="F327" s="10" t="str">
        <f>INDEX(Feiertagsregeln!$E$7:$E$480,MATCH($K327,Feiertagsregeln!$A$7:$A$480,0))</f>
        <v>Fête-Dieu</v>
      </c>
      <c r="G327" s="21" t="str">
        <f>IF(INDEX(Feiertagsregeln!$F$7:$F$480,MATCH($K327,Feiertagsregeln!$A$7:$A$480,0))="","Noch zu erfassen",INDEX(Feiertagsregeln!$F$7:$F$480,MATCH($K327,Feiertagsregeln!$A$7:$A$480,0)))</f>
        <v>Corpus Domini</v>
      </c>
      <c r="H327" s="21" t="str">
        <f>IF(INDEX(Feiertagsregeln!$G$7:$G$480,MATCH($K327,Feiertagsregeln!$A$7:$A$480,0))="","Noch zu erfassen",INDEX(Feiertagsregeln!$G$7:$G$480,MATCH($K327,Feiertagsregeln!$A$7:$A$480,0)))</f>
        <v>Sontgilcrest</v>
      </c>
      <c r="I327" s="10" t="str">
        <f>INDEX(Feiertagsregeln!$H$7:$H$480,MATCH($K327,Feiertagsregeln!$A$7:$A$480,0))</f>
        <v>publicHoliday</v>
      </c>
      <c r="J327" s="10" t="s">
        <v>69</v>
      </c>
      <c r="K327" s="10" t="s">
        <v>421</v>
      </c>
      <c r="L327" s="10" t="str">
        <f>INDEX(Feiertagsregeln!$Y$7:$Y$480,MATCH($K327,Feiertagsregeln!$A$7:$A$480,0))</f>
        <v>SRC-UR-LSG-701421-20030101</v>
      </c>
      <c r="M327" s="10" t="str">
        <f>INDEX(Feiertagsregeln!$Z$7:$Z$480,MATCH($K327,Feiertagsregeln!$A$7:$A$480,0))</f>
        <v>Art. 9 Abs. 1 Bst. b</v>
      </c>
      <c r="N327" s="10" t="s">
        <v>193</v>
      </c>
      <c r="O327" s="10" t="str">
        <f>INDEX(Feiertagsregeln!$AA$7:$AA$480,MATCH($K327,Feiertagsregeln!$A$7:$A$480,0))</f>
        <v>Ganztägig</v>
      </c>
    </row>
    <row r="328" spans="1:15" ht="44" customHeight="1">
      <c r="A328" s="15">
        <f>INDEX(Feiertagsregeln!$X$7:$X$480,MATCH($K328,Feiertagsregeln!$A$7:$A$480,0))</f>
        <v>46966</v>
      </c>
      <c r="B328" s="11" t="str">
        <f t="shared" si="5"/>
        <v>Dienstag</v>
      </c>
      <c r="C328" s="11" t="s">
        <v>412</v>
      </c>
      <c r="D328" s="11" t="s">
        <v>413</v>
      </c>
      <c r="E328" s="11" t="str">
        <f>INDEX(Feiertagsregeln!$D$7:$D$480,MATCH($K328,Feiertagsregeln!$A$7:$A$480,0))</f>
        <v>Bundesfeiertag</v>
      </c>
      <c r="F328" s="11" t="str">
        <f>INDEX(Feiertagsregeln!$E$7:$E$480,MATCH($K328,Feiertagsregeln!$A$7:$A$480,0))</f>
        <v>Fête nationale</v>
      </c>
      <c r="G328" s="22" t="str">
        <f>IF(INDEX(Feiertagsregeln!$F$7:$F$480,MATCH($K328,Feiertagsregeln!$A$7:$A$480,0))="","Noch zu erfassen",INDEX(Feiertagsregeln!$F$7:$F$480,MATCH($K328,Feiertagsregeln!$A$7:$A$480,0)))</f>
        <v>Primo agosto</v>
      </c>
      <c r="H328" s="22" t="str">
        <f>IF(INDEX(Feiertagsregeln!$G$7:$G$480,MATCH($K328,Feiertagsregeln!$A$7:$A$480,0))="","Noch zu erfassen",INDEX(Feiertagsregeln!$G$7:$G$480,MATCH($K328,Feiertagsregeln!$A$7:$A$480,0)))</f>
        <v>Festa naziunala svizra</v>
      </c>
      <c r="I328" s="11" t="str">
        <f>INDEX(Feiertagsregeln!$H$7:$H$480,MATCH($K328,Feiertagsregeln!$A$7:$A$480,0))</f>
        <v>publicHoliday</v>
      </c>
      <c r="J328" s="11" t="s">
        <v>69</v>
      </c>
      <c r="K328" s="11" t="s">
        <v>422</v>
      </c>
      <c r="L328" s="11" t="str">
        <f>INDEX(Feiertagsregeln!$Y$7:$Y$480,MATCH($K328,Feiertagsregeln!$A$7:$A$480,0))</f>
        <v>SRC-BUNDESFEIERTAG-19940701</v>
      </c>
      <c r="M328" s="11" t="str">
        <f>INDEX(Feiertagsregeln!$Z$7:$Z$480,MATCH($K328,Feiertagsregeln!$A$7:$A$480,0))</f>
        <v>SR 116 Art. 1, neue offene Anwendung auf dieses Geltungsprofil</v>
      </c>
      <c r="N328" s="11" t="s">
        <v>193</v>
      </c>
      <c r="O328" s="11" t="str">
        <f>INDEX(Feiertagsregeln!$AA$7:$AA$480,MATCH($K328,Feiertagsregeln!$A$7:$A$480,0))</f>
        <v>Ganztägig</v>
      </c>
    </row>
    <row r="329" spans="1:15" ht="44" customHeight="1">
      <c r="A329" s="14">
        <f>INDEX(Feiertagsregeln!$X$7:$X$480,MATCH($K329,Feiertagsregeln!$A$7:$A$480,0))</f>
        <v>46980</v>
      </c>
      <c r="B329" s="10" t="str">
        <f t="shared" si="5"/>
        <v>Dienstag</v>
      </c>
      <c r="C329" s="10" t="s">
        <v>412</v>
      </c>
      <c r="D329" s="10" t="s">
        <v>413</v>
      </c>
      <c r="E329" s="10" t="str">
        <f>INDEX(Feiertagsregeln!$D$7:$D$480,MATCH($K329,Feiertagsregeln!$A$7:$A$480,0))</f>
        <v>Mariä Himmelfahrt</v>
      </c>
      <c r="F329" s="10" t="str">
        <f>INDEX(Feiertagsregeln!$E$7:$E$480,MATCH($K329,Feiertagsregeln!$A$7:$A$480,0))</f>
        <v>Assomption</v>
      </c>
      <c r="G329" s="21" t="str">
        <f>IF(INDEX(Feiertagsregeln!$F$7:$F$480,MATCH($K329,Feiertagsregeln!$A$7:$A$480,0))="","Noch zu erfassen",INDEX(Feiertagsregeln!$F$7:$F$480,MATCH($K329,Feiertagsregeln!$A$7:$A$480,0)))</f>
        <v>Assunzione</v>
      </c>
      <c r="H329" s="21" t="str">
        <f>IF(INDEX(Feiertagsregeln!$G$7:$G$480,MATCH($K329,Feiertagsregeln!$A$7:$A$480,0))="","Noch zu erfassen",INDEX(Feiertagsregeln!$G$7:$G$480,MATCH($K329,Feiertagsregeln!$A$7:$A$480,0)))</f>
        <v>Nossadunna d’avust</v>
      </c>
      <c r="I329" s="10" t="str">
        <f>INDEX(Feiertagsregeln!$H$7:$H$480,MATCH($K329,Feiertagsregeln!$A$7:$A$480,0))</f>
        <v>publicHoliday</v>
      </c>
      <c r="J329" s="10" t="s">
        <v>69</v>
      </c>
      <c r="K329" s="10" t="s">
        <v>423</v>
      </c>
      <c r="L329" s="10" t="str">
        <f>INDEX(Feiertagsregeln!$Y$7:$Y$480,MATCH($K329,Feiertagsregeln!$A$7:$A$480,0))</f>
        <v>SRC-UR-LSG-701421-20030101</v>
      </c>
      <c r="M329" s="10" t="str">
        <f>INDEX(Feiertagsregeln!$Z$7:$Z$480,MATCH($K329,Feiertagsregeln!$A$7:$A$480,0))</f>
        <v>Art. 9 Abs. 1 Bst. b</v>
      </c>
      <c r="N329" s="10" t="s">
        <v>193</v>
      </c>
      <c r="O329" s="10" t="str">
        <f>INDEX(Feiertagsregeln!$AA$7:$AA$480,MATCH($K329,Feiertagsregeln!$A$7:$A$480,0))</f>
        <v>Ganztägig</v>
      </c>
    </row>
    <row r="330" spans="1:15" ht="44" customHeight="1">
      <c r="A330" s="15">
        <f>INDEX(Feiertagsregeln!$X$7:$X$480,MATCH($K330,Feiertagsregeln!$A$7:$A$480,0))</f>
        <v>47058</v>
      </c>
      <c r="B330" s="11" t="str">
        <f t="shared" si="5"/>
        <v>Mittwoch</v>
      </c>
      <c r="C330" s="11" t="s">
        <v>412</v>
      </c>
      <c r="D330" s="11" t="s">
        <v>413</v>
      </c>
      <c r="E330" s="11" t="str">
        <f>INDEX(Feiertagsregeln!$D$7:$D$480,MATCH($K330,Feiertagsregeln!$A$7:$A$480,0))</f>
        <v>Allerheiligen</v>
      </c>
      <c r="F330" s="11" t="str">
        <f>INDEX(Feiertagsregeln!$E$7:$E$480,MATCH($K330,Feiertagsregeln!$A$7:$A$480,0))</f>
        <v>Toussaint</v>
      </c>
      <c r="G330" s="22" t="str">
        <f>IF(INDEX(Feiertagsregeln!$F$7:$F$480,MATCH($K330,Feiertagsregeln!$A$7:$A$480,0))="","Noch zu erfassen",INDEX(Feiertagsregeln!$F$7:$F$480,MATCH($K330,Feiertagsregeln!$A$7:$A$480,0)))</f>
        <v>Ognissanti</v>
      </c>
      <c r="H330" s="22" t="str">
        <f>IF(INDEX(Feiertagsregeln!$G$7:$G$480,MATCH($K330,Feiertagsregeln!$A$7:$A$480,0))="","Noch zu erfassen",INDEX(Feiertagsregeln!$G$7:$G$480,MATCH($K330,Feiertagsregeln!$A$7:$A$480,0)))</f>
        <v>Numnasontga</v>
      </c>
      <c r="I330" s="11" t="str">
        <f>INDEX(Feiertagsregeln!$H$7:$H$480,MATCH($K330,Feiertagsregeln!$A$7:$A$480,0))</f>
        <v>publicHoliday</v>
      </c>
      <c r="J330" s="11" t="s">
        <v>69</v>
      </c>
      <c r="K330" s="11" t="s">
        <v>424</v>
      </c>
      <c r="L330" s="11" t="str">
        <f>INDEX(Feiertagsregeln!$Y$7:$Y$480,MATCH($K330,Feiertagsregeln!$A$7:$A$480,0))</f>
        <v>SRC-UR-LSG-701421-20030101</v>
      </c>
      <c r="M330" s="11" t="str">
        <f>INDEX(Feiertagsregeln!$Z$7:$Z$480,MATCH($K330,Feiertagsregeln!$A$7:$A$480,0))</f>
        <v>Art. 9 Abs. 1 Bst. b</v>
      </c>
      <c r="N330" s="11" t="s">
        <v>193</v>
      </c>
      <c r="O330" s="11" t="str">
        <f>INDEX(Feiertagsregeln!$AA$7:$AA$480,MATCH($K330,Feiertagsregeln!$A$7:$A$480,0))</f>
        <v>Ganztägig</v>
      </c>
    </row>
    <row r="331" spans="1:15" ht="44" customHeight="1">
      <c r="A331" s="14">
        <f>INDEX(Feiertagsregeln!$X$7:$X$480,MATCH($K331,Feiertagsregeln!$A$7:$A$480,0))</f>
        <v>47095</v>
      </c>
      <c r="B331" s="10" t="str">
        <f t="shared" si="5"/>
        <v>Freitag</v>
      </c>
      <c r="C331" s="10" t="s">
        <v>412</v>
      </c>
      <c r="D331" s="10" t="s">
        <v>413</v>
      </c>
      <c r="E331" s="10" t="str">
        <f>INDEX(Feiertagsregeln!$D$7:$D$480,MATCH($K331,Feiertagsregeln!$A$7:$A$480,0))</f>
        <v>Mariä Empfängnis</v>
      </c>
      <c r="F331" s="10" t="str">
        <f>INDEX(Feiertagsregeln!$E$7:$E$480,MATCH($K331,Feiertagsregeln!$A$7:$A$480,0))</f>
        <v>Immaculée Conception</v>
      </c>
      <c r="G331" s="21" t="str">
        <f>IF(INDEX(Feiertagsregeln!$F$7:$F$480,MATCH($K331,Feiertagsregeln!$A$7:$A$480,0))="","Noch zu erfassen",INDEX(Feiertagsregeln!$F$7:$F$480,MATCH($K331,Feiertagsregeln!$A$7:$A$480,0)))</f>
        <v>Immacolata</v>
      </c>
      <c r="H331" s="21" t="str">
        <f>IF(INDEX(Feiertagsregeln!$G$7:$G$480,MATCH($K331,Feiertagsregeln!$A$7:$A$480,0))="","Noch zu erfassen",INDEX(Feiertagsregeln!$G$7:$G$480,MATCH($K331,Feiertagsregeln!$A$7:$A$480,0)))</f>
        <v>Immaculada concepziun da Maria</v>
      </c>
      <c r="I331" s="10" t="str">
        <f>INDEX(Feiertagsregeln!$H$7:$H$480,MATCH($K331,Feiertagsregeln!$A$7:$A$480,0))</f>
        <v>publicHoliday</v>
      </c>
      <c r="J331" s="10" t="s">
        <v>69</v>
      </c>
      <c r="K331" s="10" t="s">
        <v>425</v>
      </c>
      <c r="L331" s="10" t="str">
        <f>INDEX(Feiertagsregeln!$Y$7:$Y$480,MATCH($K331,Feiertagsregeln!$A$7:$A$480,0))</f>
        <v>SRC-UR-LSG-701421-20030101</v>
      </c>
      <c r="M331" s="10" t="str">
        <f>INDEX(Feiertagsregeln!$Z$7:$Z$480,MATCH($K331,Feiertagsregeln!$A$7:$A$480,0))</f>
        <v>Art. 9 Abs. 1 Bst. b</v>
      </c>
      <c r="N331" s="10" t="s">
        <v>193</v>
      </c>
      <c r="O331" s="10" t="str">
        <f>INDEX(Feiertagsregeln!$AA$7:$AA$480,MATCH($K331,Feiertagsregeln!$A$7:$A$480,0))</f>
        <v>Ganztägig</v>
      </c>
    </row>
    <row r="332" spans="1:15" ht="44" customHeight="1">
      <c r="A332" s="15">
        <f>INDEX(Feiertagsregeln!$X$7:$X$480,MATCH($K332,Feiertagsregeln!$A$7:$A$480,0))</f>
        <v>47112</v>
      </c>
      <c r="B332" s="11" t="str">
        <f t="shared" si="5"/>
        <v>Montag</v>
      </c>
      <c r="C332" s="11" t="s">
        <v>412</v>
      </c>
      <c r="D332" s="11" t="s">
        <v>413</v>
      </c>
      <c r="E332" s="11" t="str">
        <f>INDEX(Feiertagsregeln!$D$7:$D$480,MATCH($K332,Feiertagsregeln!$A$7:$A$480,0))</f>
        <v>Weihnachten</v>
      </c>
      <c r="F332" s="11" t="str">
        <f>INDEX(Feiertagsregeln!$E$7:$E$480,MATCH($K332,Feiertagsregeln!$A$7:$A$480,0))</f>
        <v>Noël</v>
      </c>
      <c r="G332" s="22" t="str">
        <f>IF(INDEX(Feiertagsregeln!$F$7:$F$480,MATCH($K332,Feiertagsregeln!$A$7:$A$480,0))="","Noch zu erfassen",INDEX(Feiertagsregeln!$F$7:$F$480,MATCH($K332,Feiertagsregeln!$A$7:$A$480,0)))</f>
        <v>Natale</v>
      </c>
      <c r="H332" s="22" t="str">
        <f>IF(INDEX(Feiertagsregeln!$G$7:$G$480,MATCH($K332,Feiertagsregeln!$A$7:$A$480,0))="","Noch zu erfassen",INDEX(Feiertagsregeln!$G$7:$G$480,MATCH($K332,Feiertagsregeln!$A$7:$A$480,0)))</f>
        <v>Di da Nadal</v>
      </c>
      <c r="I332" s="11" t="str">
        <f>INDEX(Feiertagsregeln!$H$7:$H$480,MATCH($K332,Feiertagsregeln!$A$7:$A$480,0))</f>
        <v>publicHoliday</v>
      </c>
      <c r="J332" s="11" t="s">
        <v>69</v>
      </c>
      <c r="K332" s="11" t="s">
        <v>426</v>
      </c>
      <c r="L332" s="11" t="str">
        <f>INDEX(Feiertagsregeln!$Y$7:$Y$480,MATCH($K332,Feiertagsregeln!$A$7:$A$480,0))</f>
        <v>SRC-UR-LSG-701421-20030101</v>
      </c>
      <c r="M332" s="11" t="str">
        <f>INDEX(Feiertagsregeln!$Z$7:$Z$480,MATCH($K332,Feiertagsregeln!$A$7:$A$480,0))</f>
        <v>Art. 9 Abs. 1 Bst. b</v>
      </c>
      <c r="N332" s="11" t="s">
        <v>193</v>
      </c>
      <c r="O332" s="11" t="str">
        <f>INDEX(Feiertagsregeln!$AA$7:$AA$480,MATCH($K332,Feiertagsregeln!$A$7:$A$480,0))</f>
        <v>Ganztägig</v>
      </c>
    </row>
    <row r="333" spans="1:15" ht="44" customHeight="1">
      <c r="A333" s="14">
        <f>INDEX(Feiertagsregeln!$X$7:$X$480,MATCH($K333,Feiertagsregeln!$A$7:$A$480,0))</f>
        <v>47113</v>
      </c>
      <c r="B333" s="10" t="str">
        <f t="shared" si="5"/>
        <v>Dienstag</v>
      </c>
      <c r="C333" s="10" t="s">
        <v>412</v>
      </c>
      <c r="D333" s="10" t="s">
        <v>413</v>
      </c>
      <c r="E333" s="10" t="str">
        <f>INDEX(Feiertagsregeln!$D$7:$D$480,MATCH($K333,Feiertagsregeln!$A$7:$A$480,0))</f>
        <v>Stephanstag</v>
      </c>
      <c r="F333" s="10" t="str">
        <f>INDEX(Feiertagsregeln!$E$7:$E$480,MATCH($K333,Feiertagsregeln!$A$7:$A$480,0))</f>
        <v>Saint-Étienne</v>
      </c>
      <c r="G333" s="21" t="str">
        <f>IF(INDEX(Feiertagsregeln!$F$7:$F$480,MATCH($K333,Feiertagsregeln!$A$7:$A$480,0))="","Noch zu erfassen",INDEX(Feiertagsregeln!$F$7:$F$480,MATCH($K333,Feiertagsregeln!$A$7:$A$480,0)))</f>
        <v>Santo Stefano</v>
      </c>
      <c r="H333" s="21" t="str">
        <f>IF(INDEX(Feiertagsregeln!$G$7:$G$480,MATCH($K333,Feiertagsregeln!$A$7:$A$480,0))="","Noch zu erfassen",INDEX(Feiertagsregeln!$G$7:$G$480,MATCH($K333,Feiertagsregeln!$A$7:$A$480,0)))</f>
        <v>Son Steffan</v>
      </c>
      <c r="I333" s="10" t="str">
        <f>INDEX(Feiertagsregeln!$H$7:$H$480,MATCH($K333,Feiertagsregeln!$A$7:$A$480,0))</f>
        <v>publicHoliday</v>
      </c>
      <c r="J333" s="10" t="s">
        <v>69</v>
      </c>
      <c r="K333" s="10" t="s">
        <v>427</v>
      </c>
      <c r="L333" s="10" t="str">
        <f>INDEX(Feiertagsregeln!$Y$7:$Y$480,MATCH($K333,Feiertagsregeln!$A$7:$A$480,0))</f>
        <v>SRC-UR-LSG-701421-20030101</v>
      </c>
      <c r="M333" s="10" t="str">
        <f>INDEX(Feiertagsregeln!$Z$7:$Z$480,MATCH($K333,Feiertagsregeln!$A$7:$A$480,0))</f>
        <v>Art. 9 Abs. 1 Bst. b</v>
      </c>
      <c r="N333" s="10" t="s">
        <v>193</v>
      </c>
      <c r="O333" s="10" t="str">
        <f>INDEX(Feiertagsregeln!$AA$7:$AA$480,MATCH($K333,Feiertagsregeln!$A$7:$A$480,0))</f>
        <v>Ganztägig</v>
      </c>
    </row>
    <row r="334" spans="1:15" ht="44" customHeight="1">
      <c r="A334" s="15">
        <f>INDEX(Feiertagsregeln!$X$7:$X$480,MATCH($K334,Feiertagsregeln!$A$7:$A$480,0))</f>
        <v>46753</v>
      </c>
      <c r="B334" s="11" t="str">
        <f t="shared" si="5"/>
        <v>Samstag</v>
      </c>
      <c r="C334" s="11" t="s">
        <v>428</v>
      </c>
      <c r="D334" s="11" t="s">
        <v>429</v>
      </c>
      <c r="E334" s="11" t="str">
        <f>INDEX(Feiertagsregeln!$D$7:$D$480,MATCH($K334,Feiertagsregeln!$A$7:$A$480,0))</f>
        <v>Neujahr</v>
      </c>
      <c r="F334" s="11" t="str">
        <f>INDEX(Feiertagsregeln!$E$7:$E$480,MATCH($K334,Feiertagsregeln!$A$7:$A$480,0))</f>
        <v>Nouvel An</v>
      </c>
      <c r="G334" s="22" t="str">
        <f>IF(INDEX(Feiertagsregeln!$F$7:$F$480,MATCH($K334,Feiertagsregeln!$A$7:$A$480,0))="","Noch zu erfassen",INDEX(Feiertagsregeln!$F$7:$F$480,MATCH($K334,Feiertagsregeln!$A$7:$A$480,0)))</f>
        <v>Capo d’anno</v>
      </c>
      <c r="H334" s="22" t="str">
        <f>IF(INDEX(Feiertagsregeln!$G$7:$G$480,MATCH($K334,Feiertagsregeln!$A$7:$A$480,0))="","Noch zu erfassen",INDEX(Feiertagsregeln!$G$7:$G$480,MATCH($K334,Feiertagsregeln!$A$7:$A$480,0)))</f>
        <v>Bumaun</v>
      </c>
      <c r="I334" s="11" t="str">
        <f>INDEX(Feiertagsregeln!$H$7:$H$480,MATCH($K334,Feiertagsregeln!$A$7:$A$480,0))</f>
        <v>publicHoliday</v>
      </c>
      <c r="J334" s="11" t="s">
        <v>69</v>
      </c>
      <c r="K334" s="11" t="s">
        <v>430</v>
      </c>
      <c r="L334" s="11" t="str">
        <f>INDEX(Feiertagsregeln!$Y$7:$Y$480,MATCH($K334,Feiertagsregeln!$A$7:$A$480,0))</f>
        <v>SRC-SZ-RTG-545110-20180701</v>
      </c>
      <c r="M334" s="11" t="str">
        <f>INDEX(Feiertagsregeln!$Z$7:$Z$480,MATCH($K334,Feiertagsregeln!$A$7:$A$480,0))</f>
        <v>§ 2 Abs. 1 Ziff. 3</v>
      </c>
      <c r="N334" s="11" t="s">
        <v>193</v>
      </c>
      <c r="O334" s="11" t="str">
        <f>INDEX(Feiertagsregeln!$AA$7:$AA$480,MATCH($K334,Feiertagsregeln!$A$7:$A$480,0))</f>
        <v>Ganztägig</v>
      </c>
    </row>
    <row r="335" spans="1:15" ht="44" customHeight="1">
      <c r="A335" s="14">
        <f>INDEX(Feiertagsregeln!$X$7:$X$480,MATCH($K335,Feiertagsregeln!$A$7:$A$480,0))</f>
        <v>46758</v>
      </c>
      <c r="B335" s="10" t="str">
        <f t="shared" si="5"/>
        <v>Donnerstag</v>
      </c>
      <c r="C335" s="10" t="s">
        <v>428</v>
      </c>
      <c r="D335" s="10" t="s">
        <v>429</v>
      </c>
      <c r="E335" s="10" t="str">
        <f>INDEX(Feiertagsregeln!$D$7:$D$480,MATCH($K335,Feiertagsregeln!$A$7:$A$480,0))</f>
        <v>Heilige Drei Könige</v>
      </c>
      <c r="F335" s="10" t="str">
        <f>INDEX(Feiertagsregeln!$E$7:$E$480,MATCH($K335,Feiertagsregeln!$A$7:$A$480,0))</f>
        <v>Épiphanie</v>
      </c>
      <c r="G335" s="21" t="str">
        <f>IF(INDEX(Feiertagsregeln!$F$7:$F$480,MATCH($K335,Feiertagsregeln!$A$7:$A$480,0))="","Noch zu erfassen",INDEX(Feiertagsregeln!$F$7:$F$480,MATCH($K335,Feiertagsregeln!$A$7:$A$480,0)))</f>
        <v>Epifania</v>
      </c>
      <c r="H335" s="21" t="str">
        <f>IF(INDEX(Feiertagsregeln!$G$7:$G$480,MATCH($K335,Feiertagsregeln!$A$7:$A$480,0))="","Noch zu erfassen",INDEX(Feiertagsregeln!$G$7:$G$480,MATCH($K335,Feiertagsregeln!$A$7:$A$480,0)))</f>
        <v>Bavania</v>
      </c>
      <c r="I335" s="10" t="str">
        <f>INDEX(Feiertagsregeln!$H$7:$H$480,MATCH($K335,Feiertagsregeln!$A$7:$A$480,0))</f>
        <v>publicHoliday</v>
      </c>
      <c r="J335" s="10" t="s">
        <v>69</v>
      </c>
      <c r="K335" s="10" t="s">
        <v>431</v>
      </c>
      <c r="L335" s="10" t="str">
        <f>INDEX(Feiertagsregeln!$Y$7:$Y$480,MATCH($K335,Feiertagsregeln!$A$7:$A$480,0))</f>
        <v>SRC-SZ-RTG-545110-20180701</v>
      </c>
      <c r="M335" s="10" t="str">
        <f>INDEX(Feiertagsregeln!$Z$7:$Z$480,MATCH($K335,Feiertagsregeln!$A$7:$A$480,0))</f>
        <v>§ 2 Abs. 1 Ziff. 3</v>
      </c>
      <c r="N335" s="10" t="s">
        <v>193</v>
      </c>
      <c r="O335" s="10" t="str">
        <f>INDEX(Feiertagsregeln!$AA$7:$AA$480,MATCH($K335,Feiertagsregeln!$A$7:$A$480,0))</f>
        <v>Ganztägig</v>
      </c>
    </row>
    <row r="336" spans="1:15" ht="44" customHeight="1">
      <c r="A336" s="15">
        <f>INDEX(Feiertagsregeln!$X$7:$X$480,MATCH($K336,Feiertagsregeln!$A$7:$A$480,0))</f>
        <v>46831</v>
      </c>
      <c r="B336" s="11" t="str">
        <f t="shared" si="5"/>
        <v>Sonntag</v>
      </c>
      <c r="C336" s="11" t="s">
        <v>428</v>
      </c>
      <c r="D336" s="11" t="s">
        <v>429</v>
      </c>
      <c r="E336" s="11" t="str">
        <f>INDEX(Feiertagsregeln!$D$7:$D$480,MATCH($K336,Feiertagsregeln!$A$7:$A$480,0))</f>
        <v>Josefstag</v>
      </c>
      <c r="F336" s="11" t="str">
        <f>INDEX(Feiertagsregeln!$E$7:$E$480,MATCH($K336,Feiertagsregeln!$A$7:$A$480,0))</f>
        <v>Saint-Joseph</v>
      </c>
      <c r="G336" s="22" t="str">
        <f>IF(INDEX(Feiertagsregeln!$F$7:$F$480,MATCH($K336,Feiertagsregeln!$A$7:$A$480,0))="","Noch zu erfassen",INDEX(Feiertagsregeln!$F$7:$F$480,MATCH($K336,Feiertagsregeln!$A$7:$A$480,0)))</f>
        <v>San Giuseppe</v>
      </c>
      <c r="H336" s="22" t="str">
        <f>IF(INDEX(Feiertagsregeln!$G$7:$G$480,MATCH($K336,Feiertagsregeln!$A$7:$A$480,0))="","Noch zu erfassen",INDEX(Feiertagsregeln!$G$7:$G$480,MATCH($K336,Feiertagsregeln!$A$7:$A$480,0)))</f>
        <v>Son Giusep</v>
      </c>
      <c r="I336" s="11" t="str">
        <f>INDEX(Feiertagsregeln!$H$7:$H$480,MATCH($K336,Feiertagsregeln!$A$7:$A$480,0))</f>
        <v>publicHoliday</v>
      </c>
      <c r="J336" s="11" t="s">
        <v>69</v>
      </c>
      <c r="K336" s="11" t="s">
        <v>432</v>
      </c>
      <c r="L336" s="11" t="str">
        <f>INDEX(Feiertagsregeln!$Y$7:$Y$480,MATCH($K336,Feiertagsregeln!$A$7:$A$480,0))</f>
        <v>SRC-SZ-RTG-545110-20180701</v>
      </c>
      <c r="M336" s="11" t="str">
        <f>INDEX(Feiertagsregeln!$Z$7:$Z$480,MATCH($K336,Feiertagsregeln!$A$7:$A$480,0))</f>
        <v>§ 2 Abs. 1 Ziff. 3</v>
      </c>
      <c r="N336" s="11" t="s">
        <v>193</v>
      </c>
      <c r="O336" s="11" t="str">
        <f>INDEX(Feiertagsregeln!$AA$7:$AA$480,MATCH($K336,Feiertagsregeln!$A$7:$A$480,0))</f>
        <v>Ganztägig</v>
      </c>
    </row>
    <row r="337" spans="1:15" ht="44" customHeight="1">
      <c r="A337" s="14">
        <f>INDEX(Feiertagsregeln!$X$7:$X$480,MATCH($K337,Feiertagsregeln!$A$7:$A$480,0))</f>
        <v>46857</v>
      </c>
      <c r="B337" s="10" t="str">
        <f t="shared" si="5"/>
        <v>Freitag</v>
      </c>
      <c r="C337" s="10" t="s">
        <v>428</v>
      </c>
      <c r="D337" s="10" t="s">
        <v>429</v>
      </c>
      <c r="E337" s="10" t="str">
        <f>INDEX(Feiertagsregeln!$D$7:$D$480,MATCH($K337,Feiertagsregeln!$A$7:$A$480,0))</f>
        <v>Karfreitag</v>
      </c>
      <c r="F337" s="10" t="str">
        <f>INDEX(Feiertagsregeln!$E$7:$E$480,MATCH($K337,Feiertagsregeln!$A$7:$A$480,0))</f>
        <v>Vendredi saint</v>
      </c>
      <c r="G337" s="21" t="str">
        <f>IF(INDEX(Feiertagsregeln!$F$7:$F$480,MATCH($K337,Feiertagsregeln!$A$7:$A$480,0))="","Noch zu erfassen",INDEX(Feiertagsregeln!$F$7:$F$480,MATCH($K337,Feiertagsregeln!$A$7:$A$480,0)))</f>
        <v>Venerdì Santo</v>
      </c>
      <c r="H337" s="21" t="str">
        <f>IF(INDEX(Feiertagsregeln!$G$7:$G$480,MATCH($K337,Feiertagsregeln!$A$7:$A$480,0))="","Noch zu erfassen",INDEX(Feiertagsregeln!$G$7:$G$480,MATCH($K337,Feiertagsregeln!$A$7:$A$480,0)))</f>
        <v>Venderdi sontg</v>
      </c>
      <c r="I337" s="10" t="str">
        <f>INDEX(Feiertagsregeln!$H$7:$H$480,MATCH($K337,Feiertagsregeln!$A$7:$A$480,0))</f>
        <v>publicHoliday</v>
      </c>
      <c r="J337" s="10" t="s">
        <v>69</v>
      </c>
      <c r="K337" s="10" t="s">
        <v>433</v>
      </c>
      <c r="L337" s="10" t="str">
        <f>INDEX(Feiertagsregeln!$Y$7:$Y$480,MATCH($K337,Feiertagsregeln!$A$7:$A$480,0))</f>
        <v>SRC-SZ-RTG-545110-20180701</v>
      </c>
      <c r="M337" s="10" t="str">
        <f>INDEX(Feiertagsregeln!$Z$7:$Z$480,MATCH($K337,Feiertagsregeln!$A$7:$A$480,0))</f>
        <v>§ 2 Abs. 1 Ziff. 2</v>
      </c>
      <c r="N337" s="10" t="s">
        <v>193</v>
      </c>
      <c r="O337" s="10" t="str">
        <f>INDEX(Feiertagsregeln!$AA$7:$AA$480,MATCH($K337,Feiertagsregeln!$A$7:$A$480,0))</f>
        <v>Ganztägig</v>
      </c>
    </row>
    <row r="338" spans="1:15" ht="44" customHeight="1">
      <c r="A338" s="15">
        <f>INDEX(Feiertagsregeln!$X$7:$X$480,MATCH($K338,Feiertagsregeln!$A$7:$A$480,0))</f>
        <v>46860</v>
      </c>
      <c r="B338" s="11" t="str">
        <f t="shared" si="5"/>
        <v>Montag</v>
      </c>
      <c r="C338" s="11" t="s">
        <v>428</v>
      </c>
      <c r="D338" s="11" t="s">
        <v>429</v>
      </c>
      <c r="E338" s="11" t="str">
        <f>INDEX(Feiertagsregeln!$D$7:$D$480,MATCH($K338,Feiertagsregeln!$A$7:$A$480,0))</f>
        <v>Ostermontag</v>
      </c>
      <c r="F338" s="11" t="str">
        <f>INDEX(Feiertagsregeln!$E$7:$E$480,MATCH($K338,Feiertagsregeln!$A$7:$A$480,0))</f>
        <v>Lundi de Pâques</v>
      </c>
      <c r="G338" s="22" t="str">
        <f>IF(INDEX(Feiertagsregeln!$F$7:$F$480,MATCH($K338,Feiertagsregeln!$A$7:$A$480,0))="","Noch zu erfassen",INDEX(Feiertagsregeln!$F$7:$F$480,MATCH($K338,Feiertagsregeln!$A$7:$A$480,0)))</f>
        <v>Lunedì di Pasqua</v>
      </c>
      <c r="H338" s="22" t="str">
        <f>IF(INDEX(Feiertagsregeln!$G$7:$G$480,MATCH($K338,Feiertagsregeln!$A$7:$A$480,0))="","Noch zu erfassen",INDEX(Feiertagsregeln!$G$7:$G$480,MATCH($K338,Feiertagsregeln!$A$7:$A$480,0)))</f>
        <v>Glindesdi da Pasca</v>
      </c>
      <c r="I338" s="11" t="str">
        <f>INDEX(Feiertagsregeln!$H$7:$H$480,MATCH($K338,Feiertagsregeln!$A$7:$A$480,0))</f>
        <v>publicHoliday</v>
      </c>
      <c r="J338" s="11" t="s">
        <v>69</v>
      </c>
      <c r="K338" s="11" t="s">
        <v>434</v>
      </c>
      <c r="L338" s="11" t="str">
        <f>INDEX(Feiertagsregeln!$Y$7:$Y$480,MATCH($K338,Feiertagsregeln!$A$7:$A$480,0))</f>
        <v>SRC-SZ-RTG-545110-20180701</v>
      </c>
      <c r="M338" s="11" t="str">
        <f>INDEX(Feiertagsregeln!$Z$7:$Z$480,MATCH($K338,Feiertagsregeln!$A$7:$A$480,0))</f>
        <v>§ 2 Abs. 1 Ziff. 3</v>
      </c>
      <c r="N338" s="11" t="s">
        <v>193</v>
      </c>
      <c r="O338" s="11" t="str">
        <f>INDEX(Feiertagsregeln!$AA$7:$AA$480,MATCH($K338,Feiertagsregeln!$A$7:$A$480,0))</f>
        <v>Ganztägig</v>
      </c>
    </row>
    <row r="339" spans="1:15" ht="44" customHeight="1">
      <c r="A339" s="14">
        <f>INDEX(Feiertagsregeln!$X$7:$X$480,MATCH($K339,Feiertagsregeln!$A$7:$A$480,0))</f>
        <v>46898</v>
      </c>
      <c r="B339" s="10" t="str">
        <f t="shared" si="5"/>
        <v>Donnerstag</v>
      </c>
      <c r="C339" s="10" t="s">
        <v>428</v>
      </c>
      <c r="D339" s="10" t="s">
        <v>429</v>
      </c>
      <c r="E339" s="10" t="str">
        <f>INDEX(Feiertagsregeln!$D$7:$D$480,MATCH($K339,Feiertagsregeln!$A$7:$A$480,0))</f>
        <v>Auffahrt</v>
      </c>
      <c r="F339" s="10" t="str">
        <f>INDEX(Feiertagsregeln!$E$7:$E$480,MATCH($K339,Feiertagsregeln!$A$7:$A$480,0))</f>
        <v>Ascension</v>
      </c>
      <c r="G339" s="21" t="str">
        <f>IF(INDEX(Feiertagsregeln!$F$7:$F$480,MATCH($K339,Feiertagsregeln!$A$7:$A$480,0))="","Noch zu erfassen",INDEX(Feiertagsregeln!$F$7:$F$480,MATCH($K339,Feiertagsregeln!$A$7:$A$480,0)))</f>
        <v>Ascensione</v>
      </c>
      <c r="H339" s="21" t="str">
        <f>IF(INDEX(Feiertagsregeln!$G$7:$G$480,MATCH($K339,Feiertagsregeln!$A$7:$A$480,0))="","Noch zu erfassen",INDEX(Feiertagsregeln!$G$7:$G$480,MATCH($K339,Feiertagsregeln!$A$7:$A$480,0)))</f>
        <v>Ascensiun</v>
      </c>
      <c r="I339" s="10" t="str">
        <f>INDEX(Feiertagsregeln!$H$7:$H$480,MATCH($K339,Feiertagsregeln!$A$7:$A$480,0))</f>
        <v>publicHoliday</v>
      </c>
      <c r="J339" s="10" t="s">
        <v>69</v>
      </c>
      <c r="K339" s="10" t="s">
        <v>435</v>
      </c>
      <c r="L339" s="10" t="str">
        <f>INDEX(Feiertagsregeln!$Y$7:$Y$480,MATCH($K339,Feiertagsregeln!$A$7:$A$480,0))</f>
        <v>SRC-SZ-RTG-545110-20180701</v>
      </c>
      <c r="M339" s="10" t="str">
        <f>INDEX(Feiertagsregeln!$Z$7:$Z$480,MATCH($K339,Feiertagsregeln!$A$7:$A$480,0))</f>
        <v>§ 2 Abs. 1 Ziff. 3</v>
      </c>
      <c r="N339" s="10" t="s">
        <v>193</v>
      </c>
      <c r="O339" s="10" t="str">
        <f>INDEX(Feiertagsregeln!$AA$7:$AA$480,MATCH($K339,Feiertagsregeln!$A$7:$A$480,0))</f>
        <v>Ganztägig</v>
      </c>
    </row>
    <row r="340" spans="1:15" ht="44" customHeight="1">
      <c r="A340" s="15">
        <f>INDEX(Feiertagsregeln!$X$7:$X$480,MATCH($K340,Feiertagsregeln!$A$7:$A$480,0))</f>
        <v>46909</v>
      </c>
      <c r="B340" s="11" t="str">
        <f t="shared" si="5"/>
        <v>Montag</v>
      </c>
      <c r="C340" s="11" t="s">
        <v>428</v>
      </c>
      <c r="D340" s="11" t="s">
        <v>429</v>
      </c>
      <c r="E340" s="11" t="str">
        <f>INDEX(Feiertagsregeln!$D$7:$D$480,MATCH($K340,Feiertagsregeln!$A$7:$A$480,0))</f>
        <v>Pfingstmontag</v>
      </c>
      <c r="F340" s="11" t="str">
        <f>INDEX(Feiertagsregeln!$E$7:$E$480,MATCH($K340,Feiertagsregeln!$A$7:$A$480,0))</f>
        <v>Lundi de Pentecôte</v>
      </c>
      <c r="G340" s="22" t="str">
        <f>IF(INDEX(Feiertagsregeln!$F$7:$F$480,MATCH($K340,Feiertagsregeln!$A$7:$A$480,0))="","Noch zu erfassen",INDEX(Feiertagsregeln!$F$7:$F$480,MATCH($K340,Feiertagsregeln!$A$7:$A$480,0)))</f>
        <v>Lunedì di Pentecoste</v>
      </c>
      <c r="H340" s="22" t="str">
        <f>IF(INDEX(Feiertagsregeln!$G$7:$G$480,MATCH($K340,Feiertagsregeln!$A$7:$A$480,0))="","Noch zu erfassen",INDEX(Feiertagsregeln!$G$7:$G$480,MATCH($K340,Feiertagsregeln!$A$7:$A$480,0)))</f>
        <v>Glindesdi da Tschuncaisma</v>
      </c>
      <c r="I340" s="11" t="str">
        <f>INDEX(Feiertagsregeln!$H$7:$H$480,MATCH($K340,Feiertagsregeln!$A$7:$A$480,0))</f>
        <v>publicHoliday</v>
      </c>
      <c r="J340" s="11" t="s">
        <v>69</v>
      </c>
      <c r="K340" s="11" t="s">
        <v>436</v>
      </c>
      <c r="L340" s="11" t="str">
        <f>INDEX(Feiertagsregeln!$Y$7:$Y$480,MATCH($K340,Feiertagsregeln!$A$7:$A$480,0))</f>
        <v>SRC-SZ-RTG-545110-20180701</v>
      </c>
      <c r="M340" s="11" t="str">
        <f>INDEX(Feiertagsregeln!$Z$7:$Z$480,MATCH($K340,Feiertagsregeln!$A$7:$A$480,0))</f>
        <v>§ 2 Abs. 1 Ziff. 3</v>
      </c>
      <c r="N340" s="11" t="s">
        <v>193</v>
      </c>
      <c r="O340" s="11" t="str">
        <f>INDEX(Feiertagsregeln!$AA$7:$AA$480,MATCH($K340,Feiertagsregeln!$A$7:$A$480,0))</f>
        <v>Ganztägig</v>
      </c>
    </row>
    <row r="341" spans="1:15" ht="44" customHeight="1">
      <c r="A341" s="14">
        <f>INDEX(Feiertagsregeln!$X$7:$X$480,MATCH($K341,Feiertagsregeln!$A$7:$A$480,0))</f>
        <v>46919</v>
      </c>
      <c r="B341" s="10" t="str">
        <f t="shared" si="5"/>
        <v>Donnerstag</v>
      </c>
      <c r="C341" s="10" t="s">
        <v>428</v>
      </c>
      <c r="D341" s="10" t="s">
        <v>429</v>
      </c>
      <c r="E341" s="10" t="str">
        <f>INDEX(Feiertagsregeln!$D$7:$D$480,MATCH($K341,Feiertagsregeln!$A$7:$A$480,0))</f>
        <v>Fronleichnam</v>
      </c>
      <c r="F341" s="10" t="str">
        <f>INDEX(Feiertagsregeln!$E$7:$E$480,MATCH($K341,Feiertagsregeln!$A$7:$A$480,0))</f>
        <v>Fête-Dieu</v>
      </c>
      <c r="G341" s="21" t="str">
        <f>IF(INDEX(Feiertagsregeln!$F$7:$F$480,MATCH($K341,Feiertagsregeln!$A$7:$A$480,0))="","Noch zu erfassen",INDEX(Feiertagsregeln!$F$7:$F$480,MATCH($K341,Feiertagsregeln!$A$7:$A$480,0)))</f>
        <v>Corpus Domini</v>
      </c>
      <c r="H341" s="21" t="str">
        <f>IF(INDEX(Feiertagsregeln!$G$7:$G$480,MATCH($K341,Feiertagsregeln!$A$7:$A$480,0))="","Noch zu erfassen",INDEX(Feiertagsregeln!$G$7:$G$480,MATCH($K341,Feiertagsregeln!$A$7:$A$480,0)))</f>
        <v>Sontgilcrest</v>
      </c>
      <c r="I341" s="10" t="str">
        <f>INDEX(Feiertagsregeln!$H$7:$H$480,MATCH($K341,Feiertagsregeln!$A$7:$A$480,0))</f>
        <v>publicHoliday</v>
      </c>
      <c r="J341" s="10" t="s">
        <v>69</v>
      </c>
      <c r="K341" s="10" t="s">
        <v>437</v>
      </c>
      <c r="L341" s="10" t="str">
        <f>INDEX(Feiertagsregeln!$Y$7:$Y$480,MATCH($K341,Feiertagsregeln!$A$7:$A$480,0))</f>
        <v>SRC-SZ-RTG-545110-20180701</v>
      </c>
      <c r="M341" s="10" t="str">
        <f>INDEX(Feiertagsregeln!$Z$7:$Z$480,MATCH($K341,Feiertagsregeln!$A$7:$A$480,0))</f>
        <v>§ 2 Abs. 1 Ziff. 3</v>
      </c>
      <c r="N341" s="10" t="s">
        <v>193</v>
      </c>
      <c r="O341" s="10" t="str">
        <f>INDEX(Feiertagsregeln!$AA$7:$AA$480,MATCH($K341,Feiertagsregeln!$A$7:$A$480,0))</f>
        <v>Ganztägig</v>
      </c>
    </row>
    <row r="342" spans="1:15" ht="44" customHeight="1">
      <c r="A342" s="15">
        <f>INDEX(Feiertagsregeln!$X$7:$X$480,MATCH($K342,Feiertagsregeln!$A$7:$A$480,0))</f>
        <v>46966</v>
      </c>
      <c r="B342" s="11" t="str">
        <f t="shared" si="5"/>
        <v>Dienstag</v>
      </c>
      <c r="C342" s="11" t="s">
        <v>428</v>
      </c>
      <c r="D342" s="11" t="s">
        <v>429</v>
      </c>
      <c r="E342" s="11" t="str">
        <f>INDEX(Feiertagsregeln!$D$7:$D$480,MATCH($K342,Feiertagsregeln!$A$7:$A$480,0))</f>
        <v>Bundesfeiertag</v>
      </c>
      <c r="F342" s="11" t="str">
        <f>INDEX(Feiertagsregeln!$E$7:$E$480,MATCH($K342,Feiertagsregeln!$A$7:$A$480,0))</f>
        <v>Fête nationale</v>
      </c>
      <c r="G342" s="22" t="str">
        <f>IF(INDEX(Feiertagsregeln!$F$7:$F$480,MATCH($K342,Feiertagsregeln!$A$7:$A$480,0))="","Noch zu erfassen",INDEX(Feiertagsregeln!$F$7:$F$480,MATCH($K342,Feiertagsregeln!$A$7:$A$480,0)))</f>
        <v>Primo agosto</v>
      </c>
      <c r="H342" s="22" t="str">
        <f>IF(INDEX(Feiertagsregeln!$G$7:$G$480,MATCH($K342,Feiertagsregeln!$A$7:$A$480,0))="","Noch zu erfassen",INDEX(Feiertagsregeln!$G$7:$G$480,MATCH($K342,Feiertagsregeln!$A$7:$A$480,0)))</f>
        <v>Festa naziunala svizra</v>
      </c>
      <c r="I342" s="11" t="str">
        <f>INDEX(Feiertagsregeln!$H$7:$H$480,MATCH($K342,Feiertagsregeln!$A$7:$A$480,0))</f>
        <v>publicHoliday</v>
      </c>
      <c r="J342" s="11" t="s">
        <v>69</v>
      </c>
      <c r="K342" s="11" t="s">
        <v>438</v>
      </c>
      <c r="L342" s="11" t="str">
        <f>INDEX(Feiertagsregeln!$Y$7:$Y$480,MATCH($K342,Feiertagsregeln!$A$7:$A$480,0))</f>
        <v>SRC-BUNDESFEIERTAG-19940701</v>
      </c>
      <c r="M342" s="11" t="str">
        <f>INDEX(Feiertagsregeln!$Z$7:$Z$480,MATCH($K342,Feiertagsregeln!$A$7:$A$480,0))</f>
        <v>SR 116 Art. 1, neue offene Anwendung auf dieses Geltungsprofil</v>
      </c>
      <c r="N342" s="11" t="s">
        <v>193</v>
      </c>
      <c r="O342" s="11" t="str">
        <f>INDEX(Feiertagsregeln!$AA$7:$AA$480,MATCH($K342,Feiertagsregeln!$A$7:$A$480,0))</f>
        <v>Ganztägig</v>
      </c>
    </row>
    <row r="343" spans="1:15" ht="44" customHeight="1">
      <c r="A343" s="14">
        <f>INDEX(Feiertagsregeln!$X$7:$X$480,MATCH($K343,Feiertagsregeln!$A$7:$A$480,0))</f>
        <v>46980</v>
      </c>
      <c r="B343" s="10" t="str">
        <f t="shared" si="5"/>
        <v>Dienstag</v>
      </c>
      <c r="C343" s="10" t="s">
        <v>428</v>
      </c>
      <c r="D343" s="10" t="s">
        <v>429</v>
      </c>
      <c r="E343" s="10" t="str">
        <f>INDEX(Feiertagsregeln!$D$7:$D$480,MATCH($K343,Feiertagsregeln!$A$7:$A$480,0))</f>
        <v>Mariä Himmelfahrt</v>
      </c>
      <c r="F343" s="10" t="str">
        <f>INDEX(Feiertagsregeln!$E$7:$E$480,MATCH($K343,Feiertagsregeln!$A$7:$A$480,0))</f>
        <v>Assomption</v>
      </c>
      <c r="G343" s="21" t="str">
        <f>IF(INDEX(Feiertagsregeln!$F$7:$F$480,MATCH($K343,Feiertagsregeln!$A$7:$A$480,0))="","Noch zu erfassen",INDEX(Feiertagsregeln!$F$7:$F$480,MATCH($K343,Feiertagsregeln!$A$7:$A$480,0)))</f>
        <v>Assunzione</v>
      </c>
      <c r="H343" s="21" t="str">
        <f>IF(INDEX(Feiertagsregeln!$G$7:$G$480,MATCH($K343,Feiertagsregeln!$A$7:$A$480,0))="","Noch zu erfassen",INDEX(Feiertagsregeln!$G$7:$G$480,MATCH($K343,Feiertagsregeln!$A$7:$A$480,0)))</f>
        <v>Nossadunna d’avust</v>
      </c>
      <c r="I343" s="10" t="str">
        <f>INDEX(Feiertagsregeln!$H$7:$H$480,MATCH($K343,Feiertagsregeln!$A$7:$A$480,0))</f>
        <v>publicHoliday</v>
      </c>
      <c r="J343" s="10" t="s">
        <v>69</v>
      </c>
      <c r="K343" s="10" t="s">
        <v>439</v>
      </c>
      <c r="L343" s="10" t="str">
        <f>INDEX(Feiertagsregeln!$Y$7:$Y$480,MATCH($K343,Feiertagsregeln!$A$7:$A$480,0))</f>
        <v>SRC-SZ-RTG-545110-20180701</v>
      </c>
      <c r="M343" s="10" t="str">
        <f>INDEX(Feiertagsregeln!$Z$7:$Z$480,MATCH($K343,Feiertagsregeln!$A$7:$A$480,0))</f>
        <v>§ 2 Abs. 1 Ziff. 3</v>
      </c>
      <c r="N343" s="10" t="s">
        <v>193</v>
      </c>
      <c r="O343" s="10" t="str">
        <f>INDEX(Feiertagsregeln!$AA$7:$AA$480,MATCH($K343,Feiertagsregeln!$A$7:$A$480,0))</f>
        <v>Ganztägig</v>
      </c>
    </row>
    <row r="344" spans="1:15" ht="44" customHeight="1">
      <c r="A344" s="15">
        <f>INDEX(Feiertagsregeln!$X$7:$X$480,MATCH($K344,Feiertagsregeln!$A$7:$A$480,0))</f>
        <v>47058</v>
      </c>
      <c r="B344" s="11" t="str">
        <f t="shared" si="5"/>
        <v>Mittwoch</v>
      </c>
      <c r="C344" s="11" t="s">
        <v>428</v>
      </c>
      <c r="D344" s="11" t="s">
        <v>429</v>
      </c>
      <c r="E344" s="11" t="str">
        <f>INDEX(Feiertagsregeln!$D$7:$D$480,MATCH($K344,Feiertagsregeln!$A$7:$A$480,0))</f>
        <v>Allerheiligen</v>
      </c>
      <c r="F344" s="11" t="str">
        <f>INDEX(Feiertagsregeln!$E$7:$E$480,MATCH($K344,Feiertagsregeln!$A$7:$A$480,0))</f>
        <v>Toussaint</v>
      </c>
      <c r="G344" s="22" t="str">
        <f>IF(INDEX(Feiertagsregeln!$F$7:$F$480,MATCH($K344,Feiertagsregeln!$A$7:$A$480,0))="","Noch zu erfassen",INDEX(Feiertagsregeln!$F$7:$F$480,MATCH($K344,Feiertagsregeln!$A$7:$A$480,0)))</f>
        <v>Ognissanti</v>
      </c>
      <c r="H344" s="22" t="str">
        <f>IF(INDEX(Feiertagsregeln!$G$7:$G$480,MATCH($K344,Feiertagsregeln!$A$7:$A$480,0))="","Noch zu erfassen",INDEX(Feiertagsregeln!$G$7:$G$480,MATCH($K344,Feiertagsregeln!$A$7:$A$480,0)))</f>
        <v>Numnasontga</v>
      </c>
      <c r="I344" s="11" t="str">
        <f>INDEX(Feiertagsregeln!$H$7:$H$480,MATCH($K344,Feiertagsregeln!$A$7:$A$480,0))</f>
        <v>publicHoliday</v>
      </c>
      <c r="J344" s="11" t="s">
        <v>69</v>
      </c>
      <c r="K344" s="11" t="s">
        <v>440</v>
      </c>
      <c r="L344" s="11" t="str">
        <f>INDEX(Feiertagsregeln!$Y$7:$Y$480,MATCH($K344,Feiertagsregeln!$A$7:$A$480,0))</f>
        <v>SRC-SZ-RTG-545110-20180701</v>
      </c>
      <c r="M344" s="11" t="str">
        <f>INDEX(Feiertagsregeln!$Z$7:$Z$480,MATCH($K344,Feiertagsregeln!$A$7:$A$480,0))</f>
        <v>§ 2 Abs. 1 Ziff. 2</v>
      </c>
      <c r="N344" s="11" t="s">
        <v>193</v>
      </c>
      <c r="O344" s="11" t="str">
        <f>INDEX(Feiertagsregeln!$AA$7:$AA$480,MATCH($K344,Feiertagsregeln!$A$7:$A$480,0))</f>
        <v>Ganztägig</v>
      </c>
    </row>
    <row r="345" spans="1:15" ht="44" customHeight="1">
      <c r="A345" s="14">
        <f>INDEX(Feiertagsregeln!$X$7:$X$480,MATCH($K345,Feiertagsregeln!$A$7:$A$480,0))</f>
        <v>47095</v>
      </c>
      <c r="B345" s="10" t="str">
        <f t="shared" si="5"/>
        <v>Freitag</v>
      </c>
      <c r="C345" s="10" t="s">
        <v>428</v>
      </c>
      <c r="D345" s="10" t="s">
        <v>429</v>
      </c>
      <c r="E345" s="10" t="str">
        <f>INDEX(Feiertagsregeln!$D$7:$D$480,MATCH($K345,Feiertagsregeln!$A$7:$A$480,0))</f>
        <v>Mariä Empfängnis</v>
      </c>
      <c r="F345" s="10" t="str">
        <f>INDEX(Feiertagsregeln!$E$7:$E$480,MATCH($K345,Feiertagsregeln!$A$7:$A$480,0))</f>
        <v>Immaculée Conception</v>
      </c>
      <c r="G345" s="21" t="str">
        <f>IF(INDEX(Feiertagsregeln!$F$7:$F$480,MATCH($K345,Feiertagsregeln!$A$7:$A$480,0))="","Noch zu erfassen",INDEX(Feiertagsregeln!$F$7:$F$480,MATCH($K345,Feiertagsregeln!$A$7:$A$480,0)))</f>
        <v>Immacolata</v>
      </c>
      <c r="H345" s="21" t="str">
        <f>IF(INDEX(Feiertagsregeln!$G$7:$G$480,MATCH($K345,Feiertagsregeln!$A$7:$A$480,0))="","Noch zu erfassen",INDEX(Feiertagsregeln!$G$7:$G$480,MATCH($K345,Feiertagsregeln!$A$7:$A$480,0)))</f>
        <v>Immaculada concepziun da Maria</v>
      </c>
      <c r="I345" s="10" t="str">
        <f>INDEX(Feiertagsregeln!$H$7:$H$480,MATCH($K345,Feiertagsregeln!$A$7:$A$480,0))</f>
        <v>publicHoliday</v>
      </c>
      <c r="J345" s="10" t="s">
        <v>69</v>
      </c>
      <c r="K345" s="10" t="s">
        <v>441</v>
      </c>
      <c r="L345" s="10" t="str">
        <f>INDEX(Feiertagsregeln!$Y$7:$Y$480,MATCH($K345,Feiertagsregeln!$A$7:$A$480,0))</f>
        <v>SRC-SZ-RTG-545110-20180701</v>
      </c>
      <c r="M345" s="10" t="str">
        <f>INDEX(Feiertagsregeln!$Z$7:$Z$480,MATCH($K345,Feiertagsregeln!$A$7:$A$480,0))</f>
        <v>§ 2 Abs. 1 Ziff. 3</v>
      </c>
      <c r="N345" s="10" t="s">
        <v>193</v>
      </c>
      <c r="O345" s="10" t="str">
        <f>INDEX(Feiertagsregeln!$AA$7:$AA$480,MATCH($K345,Feiertagsregeln!$A$7:$A$480,0))</f>
        <v>Ganztägig</v>
      </c>
    </row>
    <row r="346" spans="1:15" ht="44" customHeight="1">
      <c r="A346" s="15">
        <f>INDEX(Feiertagsregeln!$X$7:$X$480,MATCH($K346,Feiertagsregeln!$A$7:$A$480,0))</f>
        <v>47112</v>
      </c>
      <c r="B346" s="11" t="str">
        <f t="shared" si="5"/>
        <v>Montag</v>
      </c>
      <c r="C346" s="11" t="s">
        <v>428</v>
      </c>
      <c r="D346" s="11" t="s">
        <v>429</v>
      </c>
      <c r="E346" s="11" t="str">
        <f>INDEX(Feiertagsregeln!$D$7:$D$480,MATCH($K346,Feiertagsregeln!$A$7:$A$480,0))</f>
        <v>Weihnachten</v>
      </c>
      <c r="F346" s="11" t="str">
        <f>INDEX(Feiertagsregeln!$E$7:$E$480,MATCH($K346,Feiertagsregeln!$A$7:$A$480,0))</f>
        <v>Noël</v>
      </c>
      <c r="G346" s="22" t="str">
        <f>IF(INDEX(Feiertagsregeln!$F$7:$F$480,MATCH($K346,Feiertagsregeln!$A$7:$A$480,0))="","Noch zu erfassen",INDEX(Feiertagsregeln!$F$7:$F$480,MATCH($K346,Feiertagsregeln!$A$7:$A$480,0)))</f>
        <v>Natale</v>
      </c>
      <c r="H346" s="22" t="str">
        <f>IF(INDEX(Feiertagsregeln!$G$7:$G$480,MATCH($K346,Feiertagsregeln!$A$7:$A$480,0))="","Noch zu erfassen",INDEX(Feiertagsregeln!$G$7:$G$480,MATCH($K346,Feiertagsregeln!$A$7:$A$480,0)))</f>
        <v>Di da Nadal</v>
      </c>
      <c r="I346" s="11" t="str">
        <f>INDEX(Feiertagsregeln!$H$7:$H$480,MATCH($K346,Feiertagsregeln!$A$7:$A$480,0))</f>
        <v>publicHoliday</v>
      </c>
      <c r="J346" s="11" t="s">
        <v>69</v>
      </c>
      <c r="K346" s="11" t="s">
        <v>442</v>
      </c>
      <c r="L346" s="11" t="str">
        <f>INDEX(Feiertagsregeln!$Y$7:$Y$480,MATCH($K346,Feiertagsregeln!$A$7:$A$480,0))</f>
        <v>SRC-SZ-RTG-545110-20180701</v>
      </c>
      <c r="M346" s="11" t="str">
        <f>INDEX(Feiertagsregeln!$Z$7:$Z$480,MATCH($K346,Feiertagsregeln!$A$7:$A$480,0))</f>
        <v>§ 2 Abs. 1 Ziff. 2</v>
      </c>
      <c r="N346" s="11" t="s">
        <v>193</v>
      </c>
      <c r="O346" s="11" t="str">
        <f>INDEX(Feiertagsregeln!$AA$7:$AA$480,MATCH($K346,Feiertagsregeln!$A$7:$A$480,0))</f>
        <v>Ganztägig</v>
      </c>
    </row>
    <row r="347" spans="1:15" ht="44" customHeight="1">
      <c r="A347" s="14">
        <f>INDEX(Feiertagsregeln!$X$7:$X$480,MATCH($K347,Feiertagsregeln!$A$7:$A$480,0))</f>
        <v>47113</v>
      </c>
      <c r="B347" s="10" t="str">
        <f t="shared" si="5"/>
        <v>Dienstag</v>
      </c>
      <c r="C347" s="10" t="s">
        <v>428</v>
      </c>
      <c r="D347" s="10" t="s">
        <v>429</v>
      </c>
      <c r="E347" s="10" t="str">
        <f>INDEX(Feiertagsregeln!$D$7:$D$480,MATCH($K347,Feiertagsregeln!$A$7:$A$480,0))</f>
        <v>Stephanstag</v>
      </c>
      <c r="F347" s="10" t="str">
        <f>INDEX(Feiertagsregeln!$E$7:$E$480,MATCH($K347,Feiertagsregeln!$A$7:$A$480,0))</f>
        <v>Saint-Étienne</v>
      </c>
      <c r="G347" s="21" t="str">
        <f>IF(INDEX(Feiertagsregeln!$F$7:$F$480,MATCH($K347,Feiertagsregeln!$A$7:$A$480,0))="","Noch zu erfassen",INDEX(Feiertagsregeln!$F$7:$F$480,MATCH($K347,Feiertagsregeln!$A$7:$A$480,0)))</f>
        <v>Santo Stefano</v>
      </c>
      <c r="H347" s="21" t="str">
        <f>IF(INDEX(Feiertagsregeln!$G$7:$G$480,MATCH($K347,Feiertagsregeln!$A$7:$A$480,0))="","Noch zu erfassen",INDEX(Feiertagsregeln!$G$7:$G$480,MATCH($K347,Feiertagsregeln!$A$7:$A$480,0)))</f>
        <v>Son Steffan</v>
      </c>
      <c r="I347" s="10" t="str">
        <f>INDEX(Feiertagsregeln!$H$7:$H$480,MATCH($K347,Feiertagsregeln!$A$7:$A$480,0))</f>
        <v>publicHoliday</v>
      </c>
      <c r="J347" s="10" t="s">
        <v>69</v>
      </c>
      <c r="K347" s="10" t="s">
        <v>443</v>
      </c>
      <c r="L347" s="10" t="str">
        <f>INDEX(Feiertagsregeln!$Y$7:$Y$480,MATCH($K347,Feiertagsregeln!$A$7:$A$480,0))</f>
        <v>SRC-SZ-RTG-545110-20180701</v>
      </c>
      <c r="M347" s="10" t="str">
        <f>INDEX(Feiertagsregeln!$Z$7:$Z$480,MATCH($K347,Feiertagsregeln!$A$7:$A$480,0))</f>
        <v>§ 2 Abs. 1 Ziff. 3</v>
      </c>
      <c r="N347" s="10" t="s">
        <v>193</v>
      </c>
      <c r="O347" s="10" t="str">
        <f>INDEX(Feiertagsregeln!$AA$7:$AA$480,MATCH($K347,Feiertagsregeln!$A$7:$A$480,0))</f>
        <v>Ganztägig</v>
      </c>
    </row>
    <row r="348" spans="1:15" ht="44" customHeight="1">
      <c r="A348" s="15">
        <f>INDEX(Feiertagsregeln!$X$7:$X$480,MATCH($K348,Feiertagsregeln!$A$7:$A$480,0))</f>
        <v>46859</v>
      </c>
      <c r="B348" s="11" t="str">
        <f t="shared" si="5"/>
        <v>Sonntag</v>
      </c>
      <c r="C348" s="11" t="s">
        <v>428</v>
      </c>
      <c r="D348" s="11" t="s">
        <v>429</v>
      </c>
      <c r="E348" s="11" t="str">
        <f>INDEX(Feiertagsregeln!$D$7:$D$480,MATCH($K348,Feiertagsregeln!$A$7:$A$480,0))</f>
        <v>Ostern</v>
      </c>
      <c r="F348" s="11" t="str">
        <f>INDEX(Feiertagsregeln!$E$7:$E$480,MATCH($K348,Feiertagsregeln!$A$7:$A$480,0))</f>
        <v>Pâques</v>
      </c>
      <c r="G348" s="22" t="str">
        <f>IF(INDEX(Feiertagsregeln!$F$7:$F$480,MATCH($K348,Feiertagsregeln!$A$7:$A$480,0))="","Noch zu erfassen",INDEX(Feiertagsregeln!$F$7:$F$480,MATCH($K348,Feiertagsregeln!$A$7:$A$480,0)))</f>
        <v>Domenica di Pasqua</v>
      </c>
      <c r="H348" s="22" t="str">
        <f>IF(INDEX(Feiertagsregeln!$G$7:$G$480,MATCH($K348,Feiertagsregeln!$A$7:$A$480,0))="","Noch zu erfassen",INDEX(Feiertagsregeln!$G$7:$G$480,MATCH($K348,Feiertagsregeln!$A$7:$A$480,0)))</f>
        <v>Dumengia da Pasca</v>
      </c>
      <c r="I348" s="11" t="str">
        <f>INDEX(Feiertagsregeln!$H$7:$H$480,MATCH($K348,Feiertagsregeln!$A$7:$A$480,0))</f>
        <v>publicHoliday</v>
      </c>
      <c r="J348" s="11" t="s">
        <v>69</v>
      </c>
      <c r="K348" s="11" t="s">
        <v>444</v>
      </c>
      <c r="L348" s="11" t="str">
        <f>INDEX(Feiertagsregeln!$Y$7:$Y$480,MATCH($K348,Feiertagsregeln!$A$7:$A$480,0))</f>
        <v>SRC-SZ-RTG-545110-20180701</v>
      </c>
      <c r="M348" s="11" t="str">
        <f>INDEX(Feiertagsregeln!$Z$7:$Z$480,MATCH($K348,Feiertagsregeln!$A$7:$A$480,0))</f>
        <v>§ 2 Abs. 1 Ziff. 2</v>
      </c>
      <c r="N348" s="11" t="s">
        <v>193</v>
      </c>
      <c r="O348" s="11" t="str">
        <f>INDEX(Feiertagsregeln!$AA$7:$AA$480,MATCH($K348,Feiertagsregeln!$A$7:$A$480,0))</f>
        <v>Ganztägig</v>
      </c>
    </row>
    <row r="349" spans="1:15" ht="44" customHeight="1">
      <c r="A349" s="14">
        <f>INDEX(Feiertagsregeln!$X$7:$X$480,MATCH($K349,Feiertagsregeln!$A$7:$A$480,0))</f>
        <v>46908</v>
      </c>
      <c r="B349" s="10" t="str">
        <f t="shared" si="5"/>
        <v>Sonntag</v>
      </c>
      <c r="C349" s="10" t="s">
        <v>428</v>
      </c>
      <c r="D349" s="10" t="s">
        <v>429</v>
      </c>
      <c r="E349" s="10" t="str">
        <f>INDEX(Feiertagsregeln!$D$7:$D$480,MATCH($K349,Feiertagsregeln!$A$7:$A$480,0))</f>
        <v>Pfingsten</v>
      </c>
      <c r="F349" s="10" t="str">
        <f>INDEX(Feiertagsregeln!$E$7:$E$480,MATCH($K349,Feiertagsregeln!$A$7:$A$480,0))</f>
        <v>Pentecôte</v>
      </c>
      <c r="G349" s="21" t="str">
        <f>IF(INDEX(Feiertagsregeln!$F$7:$F$480,MATCH($K349,Feiertagsregeln!$A$7:$A$480,0))="","Noch zu erfassen",INDEX(Feiertagsregeln!$F$7:$F$480,MATCH($K349,Feiertagsregeln!$A$7:$A$480,0)))</f>
        <v>Domenica di Pentecoste</v>
      </c>
      <c r="H349" s="21" t="str">
        <f>IF(INDEX(Feiertagsregeln!$G$7:$G$480,MATCH($K349,Feiertagsregeln!$A$7:$A$480,0))="","Noch zu erfassen",INDEX(Feiertagsregeln!$G$7:$G$480,MATCH($K349,Feiertagsregeln!$A$7:$A$480,0)))</f>
        <v>Dumengia da Tschuncaisma</v>
      </c>
      <c r="I349" s="10" t="str">
        <f>INDEX(Feiertagsregeln!$H$7:$H$480,MATCH($K349,Feiertagsregeln!$A$7:$A$480,0))</f>
        <v>publicHoliday</v>
      </c>
      <c r="J349" s="10" t="s">
        <v>69</v>
      </c>
      <c r="K349" s="10" t="s">
        <v>445</v>
      </c>
      <c r="L349" s="10" t="str">
        <f>INDEX(Feiertagsregeln!$Y$7:$Y$480,MATCH($K349,Feiertagsregeln!$A$7:$A$480,0))</f>
        <v>SRC-SZ-RTG-545110-20180701</v>
      </c>
      <c r="M349" s="10" t="str">
        <f>INDEX(Feiertagsregeln!$Z$7:$Z$480,MATCH($K349,Feiertagsregeln!$A$7:$A$480,0))</f>
        <v>§ 2 Abs. 1 Ziff. 2</v>
      </c>
      <c r="N349" s="10" t="s">
        <v>193</v>
      </c>
      <c r="O349" s="10" t="str">
        <f>INDEX(Feiertagsregeln!$AA$7:$AA$480,MATCH($K349,Feiertagsregeln!$A$7:$A$480,0))</f>
        <v>Ganztägig</v>
      </c>
    </row>
    <row r="350" spans="1:15" ht="44" customHeight="1">
      <c r="A350" s="15">
        <f>INDEX(Feiertagsregeln!$X$7:$X$480,MATCH($K350,Feiertagsregeln!$A$7:$A$480,0))</f>
        <v>47013</v>
      </c>
      <c r="B350" s="11" t="str">
        <f t="shared" si="5"/>
        <v>Sonntag</v>
      </c>
      <c r="C350" s="11" t="s">
        <v>428</v>
      </c>
      <c r="D350" s="11" t="s">
        <v>429</v>
      </c>
      <c r="E350" s="11" t="str">
        <f>INDEX(Feiertagsregeln!$D$7:$D$480,MATCH($K350,Feiertagsregeln!$A$7:$A$480,0))</f>
        <v>Eidgenössischer Dank-, Buss- und Bettag</v>
      </c>
      <c r="F350" s="11" t="str">
        <f>INDEX(Feiertagsregeln!$E$7:$E$480,MATCH($K350,Feiertagsregeln!$A$7:$A$480,0))</f>
        <v>Jeûne fédéral</v>
      </c>
      <c r="G350" s="22" t="str">
        <f>IF(INDEX(Feiertagsregeln!$F$7:$F$480,MATCH($K350,Feiertagsregeln!$A$7:$A$480,0))="","Noch zu erfassen",INDEX(Feiertagsregeln!$F$7:$F$480,MATCH($K350,Feiertagsregeln!$A$7:$A$480,0)))</f>
        <v>Festa federale di preghiera</v>
      </c>
      <c r="H350" s="22" t="str">
        <f>IF(INDEX(Feiertagsregeln!$G$7:$G$480,MATCH($K350,Feiertagsregeln!$A$7:$A$480,0))="","Noch zu erfassen",INDEX(Feiertagsregeln!$G$7:$G$480,MATCH($K350,Feiertagsregeln!$A$7:$A$480,0)))</f>
        <v>Di da la rogaziun federala</v>
      </c>
      <c r="I350" s="11" t="str">
        <f>INDEX(Feiertagsregeln!$H$7:$H$480,MATCH($K350,Feiertagsregeln!$A$7:$A$480,0))</f>
        <v>publicHoliday</v>
      </c>
      <c r="J350" s="11" t="s">
        <v>69</v>
      </c>
      <c r="K350" s="11" t="s">
        <v>446</v>
      </c>
      <c r="L350" s="11" t="str">
        <f>INDEX(Feiertagsregeln!$Y$7:$Y$480,MATCH($K350,Feiertagsregeln!$A$7:$A$480,0))</f>
        <v>SRC-SZ-RTG-545110-20180701</v>
      </c>
      <c r="M350" s="11" t="str">
        <f>INDEX(Feiertagsregeln!$Z$7:$Z$480,MATCH($K350,Feiertagsregeln!$A$7:$A$480,0))</f>
        <v>§ 2 Abs. 1 Ziff. 2</v>
      </c>
      <c r="N350" s="11" t="s">
        <v>193</v>
      </c>
      <c r="O350" s="11" t="str">
        <f>INDEX(Feiertagsregeln!$AA$7:$AA$480,MATCH($K350,Feiertagsregeln!$A$7:$A$480,0))</f>
        <v>Ganztägig</v>
      </c>
    </row>
    <row r="351" spans="1:15" ht="44" customHeight="1">
      <c r="A351" s="14">
        <f>INDEX(Feiertagsregeln!$X$7:$X$480,MATCH($K351,Feiertagsregeln!$A$7:$A$480,0))</f>
        <v>46753</v>
      </c>
      <c r="B351" s="10" t="str">
        <f t="shared" si="5"/>
        <v>Samstag</v>
      </c>
      <c r="C351" s="10" t="s">
        <v>447</v>
      </c>
      <c r="D351" s="10" t="s">
        <v>448</v>
      </c>
      <c r="E351" s="10" t="str">
        <f>INDEX(Feiertagsregeln!$D$7:$D$480,MATCH($K351,Feiertagsregeln!$A$7:$A$480,0))</f>
        <v>Neujahr</v>
      </c>
      <c r="F351" s="10" t="str">
        <f>INDEX(Feiertagsregeln!$E$7:$E$480,MATCH($K351,Feiertagsregeln!$A$7:$A$480,0))</f>
        <v>Nouvel An</v>
      </c>
      <c r="G351" s="21" t="str">
        <f>IF(INDEX(Feiertagsregeln!$F$7:$F$480,MATCH($K351,Feiertagsregeln!$A$7:$A$480,0))="","Noch zu erfassen",INDEX(Feiertagsregeln!$F$7:$F$480,MATCH($K351,Feiertagsregeln!$A$7:$A$480,0)))</f>
        <v>Capo d’anno</v>
      </c>
      <c r="H351" s="21" t="str">
        <f>IF(INDEX(Feiertagsregeln!$G$7:$G$480,MATCH($K351,Feiertagsregeln!$A$7:$A$480,0))="","Noch zu erfassen",INDEX(Feiertagsregeln!$G$7:$G$480,MATCH($K351,Feiertagsregeln!$A$7:$A$480,0)))</f>
        <v>Bumaun</v>
      </c>
      <c r="I351" s="10" t="str">
        <f>INDEX(Feiertagsregeln!$H$7:$H$480,MATCH($K351,Feiertagsregeln!$A$7:$A$480,0))</f>
        <v>publicHoliday</v>
      </c>
      <c r="J351" s="10" t="s">
        <v>69</v>
      </c>
      <c r="K351" s="10" t="s">
        <v>449</v>
      </c>
      <c r="L351" s="10" t="str">
        <f>INDEX(Feiertagsregeln!$Y$7:$Y$480,MATCH($K351,Feiertagsregeln!$A$7:$A$480,0))</f>
        <v>SRC-OW-RTG-9752-20090801</v>
      </c>
      <c r="M351" s="10" t="str">
        <f>INDEX(Feiertagsregeln!$Z$7:$Z$480,MATCH($K351,Feiertagsregeln!$A$7:$A$480,0))</f>
        <v>Art. 2 Abs. 1 Bst. b</v>
      </c>
      <c r="N351" s="10" t="s">
        <v>193</v>
      </c>
      <c r="O351" s="10" t="str">
        <f>INDEX(Feiertagsregeln!$AA$7:$AA$480,MATCH($K351,Feiertagsregeln!$A$7:$A$480,0))</f>
        <v>Ganztägig</v>
      </c>
    </row>
    <row r="352" spans="1:15" ht="44" customHeight="1">
      <c r="A352" s="15">
        <f>INDEX(Feiertagsregeln!$X$7:$X$480,MATCH($K352,Feiertagsregeln!$A$7:$A$480,0))</f>
        <v>46857</v>
      </c>
      <c r="B352" s="11" t="str">
        <f t="shared" si="5"/>
        <v>Freitag</v>
      </c>
      <c r="C352" s="11" t="s">
        <v>447</v>
      </c>
      <c r="D352" s="11" t="s">
        <v>448</v>
      </c>
      <c r="E352" s="11" t="str">
        <f>INDEX(Feiertagsregeln!$D$7:$D$480,MATCH($K352,Feiertagsregeln!$A$7:$A$480,0))</f>
        <v>Karfreitag</v>
      </c>
      <c r="F352" s="11" t="str">
        <f>INDEX(Feiertagsregeln!$E$7:$E$480,MATCH($K352,Feiertagsregeln!$A$7:$A$480,0))</f>
        <v>Vendredi saint</v>
      </c>
      <c r="G352" s="22" t="str">
        <f>IF(INDEX(Feiertagsregeln!$F$7:$F$480,MATCH($K352,Feiertagsregeln!$A$7:$A$480,0))="","Noch zu erfassen",INDEX(Feiertagsregeln!$F$7:$F$480,MATCH($K352,Feiertagsregeln!$A$7:$A$480,0)))</f>
        <v>Venerdì Santo</v>
      </c>
      <c r="H352" s="22" t="str">
        <f>IF(INDEX(Feiertagsregeln!$G$7:$G$480,MATCH($K352,Feiertagsregeln!$A$7:$A$480,0))="","Noch zu erfassen",INDEX(Feiertagsregeln!$G$7:$G$480,MATCH($K352,Feiertagsregeln!$A$7:$A$480,0)))</f>
        <v>Venderdi sontg</v>
      </c>
      <c r="I352" s="11" t="str">
        <f>INDEX(Feiertagsregeln!$H$7:$H$480,MATCH($K352,Feiertagsregeln!$A$7:$A$480,0))</f>
        <v>publicHoliday</v>
      </c>
      <c r="J352" s="11" t="s">
        <v>69</v>
      </c>
      <c r="K352" s="11" t="s">
        <v>450</v>
      </c>
      <c r="L352" s="11" t="str">
        <f>INDEX(Feiertagsregeln!$Y$7:$Y$480,MATCH($K352,Feiertagsregeln!$A$7:$A$480,0))</f>
        <v>SRC-OW-RTG-9752-20090801</v>
      </c>
      <c r="M352" s="11" t="str">
        <f>INDEX(Feiertagsregeln!$Z$7:$Z$480,MATCH($K352,Feiertagsregeln!$A$7:$A$480,0))</f>
        <v>Art. 2 Abs. 1 Bst. c</v>
      </c>
      <c r="N352" s="11" t="s">
        <v>193</v>
      </c>
      <c r="O352" s="11" t="str">
        <f>INDEX(Feiertagsregeln!$AA$7:$AA$480,MATCH($K352,Feiertagsregeln!$A$7:$A$480,0))</f>
        <v>Ganztägig</v>
      </c>
    </row>
    <row r="353" spans="1:15" ht="44" customHeight="1">
      <c r="A353" s="14">
        <f>INDEX(Feiertagsregeln!$X$7:$X$480,MATCH($K353,Feiertagsregeln!$A$7:$A$480,0))</f>
        <v>46859</v>
      </c>
      <c r="B353" s="10" t="str">
        <f t="shared" si="5"/>
        <v>Sonntag</v>
      </c>
      <c r="C353" s="10" t="s">
        <v>447</v>
      </c>
      <c r="D353" s="10" t="s">
        <v>448</v>
      </c>
      <c r="E353" s="10" t="str">
        <f>INDEX(Feiertagsregeln!$D$7:$D$480,MATCH($K353,Feiertagsregeln!$A$7:$A$480,0))</f>
        <v>Ostern</v>
      </c>
      <c r="F353" s="10" t="str">
        <f>INDEX(Feiertagsregeln!$E$7:$E$480,MATCH($K353,Feiertagsregeln!$A$7:$A$480,0))</f>
        <v>Pâques</v>
      </c>
      <c r="G353" s="21" t="str">
        <f>IF(INDEX(Feiertagsregeln!$F$7:$F$480,MATCH($K353,Feiertagsregeln!$A$7:$A$480,0))="","Noch zu erfassen",INDEX(Feiertagsregeln!$F$7:$F$480,MATCH($K353,Feiertagsregeln!$A$7:$A$480,0)))</f>
        <v>Domenica di Pasqua</v>
      </c>
      <c r="H353" s="21" t="str">
        <f>IF(INDEX(Feiertagsregeln!$G$7:$G$480,MATCH($K353,Feiertagsregeln!$A$7:$A$480,0))="","Noch zu erfassen",INDEX(Feiertagsregeln!$G$7:$G$480,MATCH($K353,Feiertagsregeln!$A$7:$A$480,0)))</f>
        <v>Dumengia da Pasca</v>
      </c>
      <c r="I353" s="10" t="str">
        <f>INDEX(Feiertagsregeln!$H$7:$H$480,MATCH($K353,Feiertagsregeln!$A$7:$A$480,0))</f>
        <v>publicHoliday</v>
      </c>
      <c r="J353" s="10" t="s">
        <v>69</v>
      </c>
      <c r="K353" s="10" t="s">
        <v>451</v>
      </c>
      <c r="L353" s="10" t="str">
        <f>INDEX(Feiertagsregeln!$Y$7:$Y$480,MATCH($K353,Feiertagsregeln!$A$7:$A$480,0))</f>
        <v>SRC-OW-RTG-9752-20090801</v>
      </c>
      <c r="M353" s="10" t="str">
        <f>INDEX(Feiertagsregeln!$Z$7:$Z$480,MATCH($K353,Feiertagsregeln!$A$7:$A$480,0))</f>
        <v>Art. 2 Abs. 1 Bst. c</v>
      </c>
      <c r="N353" s="10" t="s">
        <v>193</v>
      </c>
      <c r="O353" s="10" t="str">
        <f>INDEX(Feiertagsregeln!$AA$7:$AA$480,MATCH($K353,Feiertagsregeln!$A$7:$A$480,0))</f>
        <v>Ganztägig</v>
      </c>
    </row>
    <row r="354" spans="1:15" ht="44" customHeight="1">
      <c r="A354" s="15">
        <f>INDEX(Feiertagsregeln!$X$7:$X$480,MATCH($K354,Feiertagsregeln!$A$7:$A$480,0))</f>
        <v>46898</v>
      </c>
      <c r="B354" s="11" t="str">
        <f t="shared" si="5"/>
        <v>Donnerstag</v>
      </c>
      <c r="C354" s="11" t="s">
        <v>447</v>
      </c>
      <c r="D354" s="11" t="s">
        <v>448</v>
      </c>
      <c r="E354" s="11" t="str">
        <f>INDEX(Feiertagsregeln!$D$7:$D$480,MATCH($K354,Feiertagsregeln!$A$7:$A$480,0))</f>
        <v>Auffahrt</v>
      </c>
      <c r="F354" s="11" t="str">
        <f>INDEX(Feiertagsregeln!$E$7:$E$480,MATCH($K354,Feiertagsregeln!$A$7:$A$480,0))</f>
        <v>Ascension</v>
      </c>
      <c r="G354" s="22" t="str">
        <f>IF(INDEX(Feiertagsregeln!$F$7:$F$480,MATCH($K354,Feiertagsregeln!$A$7:$A$480,0))="","Noch zu erfassen",INDEX(Feiertagsregeln!$F$7:$F$480,MATCH($K354,Feiertagsregeln!$A$7:$A$480,0)))</f>
        <v>Ascensione</v>
      </c>
      <c r="H354" s="22" t="str">
        <f>IF(INDEX(Feiertagsregeln!$G$7:$G$480,MATCH($K354,Feiertagsregeln!$A$7:$A$480,0))="","Noch zu erfassen",INDEX(Feiertagsregeln!$G$7:$G$480,MATCH($K354,Feiertagsregeln!$A$7:$A$480,0)))</f>
        <v>Ascensiun</v>
      </c>
      <c r="I354" s="11" t="str">
        <f>INDEX(Feiertagsregeln!$H$7:$H$480,MATCH($K354,Feiertagsregeln!$A$7:$A$480,0))</f>
        <v>publicHoliday</v>
      </c>
      <c r="J354" s="11" t="s">
        <v>69</v>
      </c>
      <c r="K354" s="11" t="s">
        <v>452</v>
      </c>
      <c r="L354" s="11" t="str">
        <f>INDEX(Feiertagsregeln!$Y$7:$Y$480,MATCH($K354,Feiertagsregeln!$A$7:$A$480,0))</f>
        <v>SRC-OW-RTG-9752-20090801</v>
      </c>
      <c r="M354" s="11" t="str">
        <f>INDEX(Feiertagsregeln!$Z$7:$Z$480,MATCH($K354,Feiertagsregeln!$A$7:$A$480,0))</f>
        <v>Art. 2 Abs. 1 Bst. b</v>
      </c>
      <c r="N354" s="11" t="s">
        <v>193</v>
      </c>
      <c r="O354" s="11" t="str">
        <f>INDEX(Feiertagsregeln!$AA$7:$AA$480,MATCH($K354,Feiertagsregeln!$A$7:$A$480,0))</f>
        <v>Ganztägig</v>
      </c>
    </row>
    <row r="355" spans="1:15" ht="44" customHeight="1">
      <c r="A355" s="14">
        <f>INDEX(Feiertagsregeln!$X$7:$X$480,MATCH($K355,Feiertagsregeln!$A$7:$A$480,0))</f>
        <v>46908</v>
      </c>
      <c r="B355" s="10" t="str">
        <f t="shared" si="5"/>
        <v>Sonntag</v>
      </c>
      <c r="C355" s="10" t="s">
        <v>447</v>
      </c>
      <c r="D355" s="10" t="s">
        <v>448</v>
      </c>
      <c r="E355" s="10" t="str">
        <f>INDEX(Feiertagsregeln!$D$7:$D$480,MATCH($K355,Feiertagsregeln!$A$7:$A$480,0))</f>
        <v>Pfingsten</v>
      </c>
      <c r="F355" s="10" t="str">
        <f>INDEX(Feiertagsregeln!$E$7:$E$480,MATCH($K355,Feiertagsregeln!$A$7:$A$480,0))</f>
        <v>Pentecôte</v>
      </c>
      <c r="G355" s="21" t="str">
        <f>IF(INDEX(Feiertagsregeln!$F$7:$F$480,MATCH($K355,Feiertagsregeln!$A$7:$A$480,0))="","Noch zu erfassen",INDEX(Feiertagsregeln!$F$7:$F$480,MATCH($K355,Feiertagsregeln!$A$7:$A$480,0)))</f>
        <v>Domenica di Pentecoste</v>
      </c>
      <c r="H355" s="21" t="str">
        <f>IF(INDEX(Feiertagsregeln!$G$7:$G$480,MATCH($K355,Feiertagsregeln!$A$7:$A$480,0))="","Noch zu erfassen",INDEX(Feiertagsregeln!$G$7:$G$480,MATCH($K355,Feiertagsregeln!$A$7:$A$480,0)))</f>
        <v>Dumengia da Tschuncaisma</v>
      </c>
      <c r="I355" s="10" t="str">
        <f>INDEX(Feiertagsregeln!$H$7:$H$480,MATCH($K355,Feiertagsregeln!$A$7:$A$480,0))</f>
        <v>publicHoliday</v>
      </c>
      <c r="J355" s="10" t="s">
        <v>69</v>
      </c>
      <c r="K355" s="10" t="s">
        <v>453</v>
      </c>
      <c r="L355" s="10" t="str">
        <f>INDEX(Feiertagsregeln!$Y$7:$Y$480,MATCH($K355,Feiertagsregeln!$A$7:$A$480,0))</f>
        <v>SRC-OW-RTG-9752-20090801</v>
      </c>
      <c r="M355" s="10" t="str">
        <f>INDEX(Feiertagsregeln!$Z$7:$Z$480,MATCH($K355,Feiertagsregeln!$A$7:$A$480,0))</f>
        <v>Art. 2 Abs. 1 Bst. c</v>
      </c>
      <c r="N355" s="10" t="s">
        <v>193</v>
      </c>
      <c r="O355" s="10" t="str">
        <f>INDEX(Feiertagsregeln!$AA$7:$AA$480,MATCH($K355,Feiertagsregeln!$A$7:$A$480,0))</f>
        <v>Ganztägig</v>
      </c>
    </row>
    <row r="356" spans="1:15" ht="44" customHeight="1">
      <c r="A356" s="15">
        <f>INDEX(Feiertagsregeln!$X$7:$X$480,MATCH($K356,Feiertagsregeln!$A$7:$A$480,0))</f>
        <v>46919</v>
      </c>
      <c r="B356" s="11" t="str">
        <f t="shared" si="5"/>
        <v>Donnerstag</v>
      </c>
      <c r="C356" s="11" t="s">
        <v>447</v>
      </c>
      <c r="D356" s="11" t="s">
        <v>448</v>
      </c>
      <c r="E356" s="11" t="str">
        <f>INDEX(Feiertagsregeln!$D$7:$D$480,MATCH($K356,Feiertagsregeln!$A$7:$A$480,0))</f>
        <v>Fronleichnam</v>
      </c>
      <c r="F356" s="11" t="str">
        <f>INDEX(Feiertagsregeln!$E$7:$E$480,MATCH($K356,Feiertagsregeln!$A$7:$A$480,0))</f>
        <v>Fête-Dieu</v>
      </c>
      <c r="G356" s="22" t="str">
        <f>IF(INDEX(Feiertagsregeln!$F$7:$F$480,MATCH($K356,Feiertagsregeln!$A$7:$A$480,0))="","Noch zu erfassen",INDEX(Feiertagsregeln!$F$7:$F$480,MATCH($K356,Feiertagsregeln!$A$7:$A$480,0)))</f>
        <v>Corpus Domini</v>
      </c>
      <c r="H356" s="22" t="str">
        <f>IF(INDEX(Feiertagsregeln!$G$7:$G$480,MATCH($K356,Feiertagsregeln!$A$7:$A$480,0))="","Noch zu erfassen",INDEX(Feiertagsregeln!$G$7:$G$480,MATCH($K356,Feiertagsregeln!$A$7:$A$480,0)))</f>
        <v>Sontgilcrest</v>
      </c>
      <c r="I356" s="11" t="str">
        <f>INDEX(Feiertagsregeln!$H$7:$H$480,MATCH($K356,Feiertagsregeln!$A$7:$A$480,0))</f>
        <v>publicHoliday</v>
      </c>
      <c r="J356" s="11" t="s">
        <v>69</v>
      </c>
      <c r="K356" s="11" t="s">
        <v>454</v>
      </c>
      <c r="L356" s="11" t="str">
        <f>INDEX(Feiertagsregeln!$Y$7:$Y$480,MATCH($K356,Feiertagsregeln!$A$7:$A$480,0))</f>
        <v>SRC-OW-RTG-9752-20090801</v>
      </c>
      <c r="M356" s="11" t="str">
        <f>INDEX(Feiertagsregeln!$Z$7:$Z$480,MATCH($K356,Feiertagsregeln!$A$7:$A$480,0))</f>
        <v>Art. 2 Abs. 1 Bst. b</v>
      </c>
      <c r="N356" s="11" t="s">
        <v>193</v>
      </c>
      <c r="O356" s="11" t="str">
        <f>INDEX(Feiertagsregeln!$AA$7:$AA$480,MATCH($K356,Feiertagsregeln!$A$7:$A$480,0))</f>
        <v>Ganztägig</v>
      </c>
    </row>
    <row r="357" spans="1:15" ht="44" customHeight="1">
      <c r="A357" s="14">
        <f>INDEX(Feiertagsregeln!$X$7:$X$480,MATCH($K357,Feiertagsregeln!$A$7:$A$480,0))</f>
        <v>46966</v>
      </c>
      <c r="B357" s="10" t="str">
        <f t="shared" si="5"/>
        <v>Dienstag</v>
      </c>
      <c r="C357" s="10" t="s">
        <v>447</v>
      </c>
      <c r="D357" s="10" t="s">
        <v>448</v>
      </c>
      <c r="E357" s="10" t="str">
        <f>INDEX(Feiertagsregeln!$D$7:$D$480,MATCH($K357,Feiertagsregeln!$A$7:$A$480,0))</f>
        <v>Bundesfeiertag</v>
      </c>
      <c r="F357" s="10" t="str">
        <f>INDEX(Feiertagsregeln!$E$7:$E$480,MATCH($K357,Feiertagsregeln!$A$7:$A$480,0))</f>
        <v>Fête nationale</v>
      </c>
      <c r="G357" s="21" t="str">
        <f>IF(INDEX(Feiertagsregeln!$F$7:$F$480,MATCH($K357,Feiertagsregeln!$A$7:$A$480,0))="","Noch zu erfassen",INDEX(Feiertagsregeln!$F$7:$F$480,MATCH($K357,Feiertagsregeln!$A$7:$A$480,0)))</f>
        <v>Primo agosto</v>
      </c>
      <c r="H357" s="21" t="str">
        <f>IF(INDEX(Feiertagsregeln!$G$7:$G$480,MATCH($K357,Feiertagsregeln!$A$7:$A$480,0))="","Noch zu erfassen",INDEX(Feiertagsregeln!$G$7:$G$480,MATCH($K357,Feiertagsregeln!$A$7:$A$480,0)))</f>
        <v>Festa naziunala svizra</v>
      </c>
      <c r="I357" s="10" t="str">
        <f>INDEX(Feiertagsregeln!$H$7:$H$480,MATCH($K357,Feiertagsregeln!$A$7:$A$480,0))</f>
        <v>publicHoliday</v>
      </c>
      <c r="J357" s="10" t="s">
        <v>69</v>
      </c>
      <c r="K357" s="10" t="s">
        <v>455</v>
      </c>
      <c r="L357" s="10" t="str">
        <f>INDEX(Feiertagsregeln!$Y$7:$Y$480,MATCH($K357,Feiertagsregeln!$A$7:$A$480,0))</f>
        <v>SRC-BUNDESFEIERTAG-19940701</v>
      </c>
      <c r="M357" s="10" t="str">
        <f>INDEX(Feiertagsregeln!$Z$7:$Z$480,MATCH($K357,Feiertagsregeln!$A$7:$A$480,0))</f>
        <v>SR 116 Art. 1, neue offene Anwendung auf dieses Geltungsprofil</v>
      </c>
      <c r="N357" s="10" t="s">
        <v>193</v>
      </c>
      <c r="O357" s="10" t="str">
        <f>INDEX(Feiertagsregeln!$AA$7:$AA$480,MATCH($K357,Feiertagsregeln!$A$7:$A$480,0))</f>
        <v>Ganztägig</v>
      </c>
    </row>
    <row r="358" spans="1:15" ht="44" customHeight="1">
      <c r="A358" s="15">
        <f>INDEX(Feiertagsregeln!$X$7:$X$480,MATCH($K358,Feiertagsregeln!$A$7:$A$480,0))</f>
        <v>46980</v>
      </c>
      <c r="B358" s="11" t="str">
        <f t="shared" si="5"/>
        <v>Dienstag</v>
      </c>
      <c r="C358" s="11" t="s">
        <v>447</v>
      </c>
      <c r="D358" s="11" t="s">
        <v>448</v>
      </c>
      <c r="E358" s="11" t="str">
        <f>INDEX(Feiertagsregeln!$D$7:$D$480,MATCH($K358,Feiertagsregeln!$A$7:$A$480,0))</f>
        <v>Mariä Himmelfahrt</v>
      </c>
      <c r="F358" s="11" t="str">
        <f>INDEX(Feiertagsregeln!$E$7:$E$480,MATCH($K358,Feiertagsregeln!$A$7:$A$480,0))</f>
        <v>Assomption</v>
      </c>
      <c r="G358" s="22" t="str">
        <f>IF(INDEX(Feiertagsregeln!$F$7:$F$480,MATCH($K358,Feiertagsregeln!$A$7:$A$480,0))="","Noch zu erfassen",INDEX(Feiertagsregeln!$F$7:$F$480,MATCH($K358,Feiertagsregeln!$A$7:$A$480,0)))</f>
        <v>Assunzione</v>
      </c>
      <c r="H358" s="22" t="str">
        <f>IF(INDEX(Feiertagsregeln!$G$7:$G$480,MATCH($K358,Feiertagsregeln!$A$7:$A$480,0))="","Noch zu erfassen",INDEX(Feiertagsregeln!$G$7:$G$480,MATCH($K358,Feiertagsregeln!$A$7:$A$480,0)))</f>
        <v>Nossadunna d’avust</v>
      </c>
      <c r="I358" s="11" t="str">
        <f>INDEX(Feiertagsregeln!$H$7:$H$480,MATCH($K358,Feiertagsregeln!$A$7:$A$480,0))</f>
        <v>publicHoliday</v>
      </c>
      <c r="J358" s="11" t="s">
        <v>69</v>
      </c>
      <c r="K358" s="11" t="s">
        <v>456</v>
      </c>
      <c r="L358" s="11" t="str">
        <f>INDEX(Feiertagsregeln!$Y$7:$Y$480,MATCH($K358,Feiertagsregeln!$A$7:$A$480,0))</f>
        <v>SRC-OW-RTG-9752-20090801</v>
      </c>
      <c r="M358" s="11" t="str">
        <f>INDEX(Feiertagsregeln!$Z$7:$Z$480,MATCH($K358,Feiertagsregeln!$A$7:$A$480,0))</f>
        <v>Art. 2 Abs. 1 Bst. b</v>
      </c>
      <c r="N358" s="11" t="s">
        <v>193</v>
      </c>
      <c r="O358" s="11" t="str">
        <f>INDEX(Feiertagsregeln!$AA$7:$AA$480,MATCH($K358,Feiertagsregeln!$A$7:$A$480,0))</f>
        <v>Ganztägig</v>
      </c>
    </row>
    <row r="359" spans="1:15" ht="44" customHeight="1">
      <c r="A359" s="14">
        <f>INDEX(Feiertagsregeln!$X$7:$X$480,MATCH($K359,Feiertagsregeln!$A$7:$A$480,0))</f>
        <v>47013</v>
      </c>
      <c r="B359" s="10" t="str">
        <f t="shared" si="5"/>
        <v>Sonntag</v>
      </c>
      <c r="C359" s="10" t="s">
        <v>447</v>
      </c>
      <c r="D359" s="10" t="s">
        <v>448</v>
      </c>
      <c r="E359" s="10" t="str">
        <f>INDEX(Feiertagsregeln!$D$7:$D$480,MATCH($K359,Feiertagsregeln!$A$7:$A$480,0))</f>
        <v>Eidgenössischer Dank-, Buss- und Bettag</v>
      </c>
      <c r="F359" s="10" t="str">
        <f>INDEX(Feiertagsregeln!$E$7:$E$480,MATCH($K359,Feiertagsregeln!$A$7:$A$480,0))</f>
        <v>Jeûne fédéral</v>
      </c>
      <c r="G359" s="21" t="str">
        <f>IF(INDEX(Feiertagsregeln!$F$7:$F$480,MATCH($K359,Feiertagsregeln!$A$7:$A$480,0))="","Noch zu erfassen",INDEX(Feiertagsregeln!$F$7:$F$480,MATCH($K359,Feiertagsregeln!$A$7:$A$480,0)))</f>
        <v>Festa federale di preghiera</v>
      </c>
      <c r="H359" s="21" t="str">
        <f>IF(INDEX(Feiertagsregeln!$G$7:$G$480,MATCH($K359,Feiertagsregeln!$A$7:$A$480,0))="","Noch zu erfassen",INDEX(Feiertagsregeln!$G$7:$G$480,MATCH($K359,Feiertagsregeln!$A$7:$A$480,0)))</f>
        <v>Di da la rogaziun federala</v>
      </c>
      <c r="I359" s="10" t="str">
        <f>INDEX(Feiertagsregeln!$H$7:$H$480,MATCH($K359,Feiertagsregeln!$A$7:$A$480,0))</f>
        <v>publicHoliday</v>
      </c>
      <c r="J359" s="10" t="s">
        <v>69</v>
      </c>
      <c r="K359" s="10" t="s">
        <v>457</v>
      </c>
      <c r="L359" s="10" t="str">
        <f>INDEX(Feiertagsregeln!$Y$7:$Y$480,MATCH($K359,Feiertagsregeln!$A$7:$A$480,0))</f>
        <v>SRC-OW-RTG-9752-20090801</v>
      </c>
      <c r="M359" s="10" t="str">
        <f>INDEX(Feiertagsregeln!$Z$7:$Z$480,MATCH($K359,Feiertagsregeln!$A$7:$A$480,0))</f>
        <v>Art. 2 Abs. 1 Bst. c</v>
      </c>
      <c r="N359" s="10" t="s">
        <v>193</v>
      </c>
      <c r="O359" s="10" t="str">
        <f>INDEX(Feiertagsregeln!$AA$7:$AA$480,MATCH($K359,Feiertagsregeln!$A$7:$A$480,0))</f>
        <v>Ganztägig</v>
      </c>
    </row>
    <row r="360" spans="1:15" ht="44" customHeight="1">
      <c r="A360" s="15">
        <f>INDEX(Feiertagsregeln!$X$7:$X$480,MATCH($K360,Feiertagsregeln!$A$7:$A$480,0))</f>
        <v>47021</v>
      </c>
      <c r="B360" s="11" t="str">
        <f t="shared" si="5"/>
        <v>Montag</v>
      </c>
      <c r="C360" s="11" t="s">
        <v>447</v>
      </c>
      <c r="D360" s="11" t="s">
        <v>448</v>
      </c>
      <c r="E360" s="11" t="str">
        <f>INDEX(Feiertagsregeln!$D$7:$D$480,MATCH($K360,Feiertagsregeln!$A$7:$A$480,0))</f>
        <v>Bruderklausenfest</v>
      </c>
      <c r="F360" s="11" t="str">
        <f>INDEX(Feiertagsregeln!$E$7:$E$480,MATCH($K360,Feiertagsregeln!$A$7:$A$480,0))</f>
        <v>Fête de saint Nicolas de Flue</v>
      </c>
      <c r="G360" s="22" t="str">
        <f>IF(INDEX(Feiertagsregeln!$F$7:$F$480,MATCH($K360,Feiertagsregeln!$A$7:$A$480,0))="","Noch zu erfassen",INDEX(Feiertagsregeln!$F$7:$F$480,MATCH($K360,Feiertagsregeln!$A$7:$A$480,0)))</f>
        <v>San Nicolao della Flüe</v>
      </c>
      <c r="H360" s="22" t="str">
        <f>IF(INDEX(Feiertagsregeln!$G$7:$G$480,MATCH($K360,Feiertagsregeln!$A$7:$A$480,0))="","Noch zu erfassen",INDEX(Feiertagsregeln!$G$7:$G$480,MATCH($K360,Feiertagsregeln!$A$7:$A$480,0)))</f>
        <v>Sontg Clau da Flia</v>
      </c>
      <c r="I360" s="11" t="str">
        <f>INDEX(Feiertagsregeln!$H$7:$H$480,MATCH($K360,Feiertagsregeln!$A$7:$A$480,0))</f>
        <v>publicHoliday</v>
      </c>
      <c r="J360" s="11" t="s">
        <v>69</v>
      </c>
      <c r="K360" s="11" t="s">
        <v>458</v>
      </c>
      <c r="L360" s="11" t="str">
        <f>INDEX(Feiertagsregeln!$Y$7:$Y$480,MATCH($K360,Feiertagsregeln!$A$7:$A$480,0))</f>
        <v>SRC-OW-RTG-9752-20090801</v>
      </c>
      <c r="M360" s="11" t="str">
        <f>INDEX(Feiertagsregeln!$Z$7:$Z$480,MATCH($K360,Feiertagsregeln!$A$7:$A$480,0))</f>
        <v>Art. 2 Abs. 1 Bst. b</v>
      </c>
      <c r="N360" s="11" t="s">
        <v>193</v>
      </c>
      <c r="O360" s="11" t="str">
        <f>INDEX(Feiertagsregeln!$AA$7:$AA$480,MATCH($K360,Feiertagsregeln!$A$7:$A$480,0))</f>
        <v>Ganztägig</v>
      </c>
    </row>
    <row r="361" spans="1:15" ht="44" customHeight="1">
      <c r="A361" s="14">
        <f>INDEX(Feiertagsregeln!$X$7:$X$480,MATCH($K361,Feiertagsregeln!$A$7:$A$480,0))</f>
        <v>47058</v>
      </c>
      <c r="B361" s="10" t="str">
        <f t="shared" si="5"/>
        <v>Mittwoch</v>
      </c>
      <c r="C361" s="10" t="s">
        <v>447</v>
      </c>
      <c r="D361" s="10" t="s">
        <v>448</v>
      </c>
      <c r="E361" s="10" t="str">
        <f>INDEX(Feiertagsregeln!$D$7:$D$480,MATCH($K361,Feiertagsregeln!$A$7:$A$480,0))</f>
        <v>Allerheiligen</v>
      </c>
      <c r="F361" s="10" t="str">
        <f>INDEX(Feiertagsregeln!$E$7:$E$480,MATCH($K361,Feiertagsregeln!$A$7:$A$480,0))</f>
        <v>Toussaint</v>
      </c>
      <c r="G361" s="21" t="str">
        <f>IF(INDEX(Feiertagsregeln!$F$7:$F$480,MATCH($K361,Feiertagsregeln!$A$7:$A$480,0))="","Noch zu erfassen",INDEX(Feiertagsregeln!$F$7:$F$480,MATCH($K361,Feiertagsregeln!$A$7:$A$480,0)))</f>
        <v>Ognissanti</v>
      </c>
      <c r="H361" s="21" t="str">
        <f>IF(INDEX(Feiertagsregeln!$G$7:$G$480,MATCH($K361,Feiertagsregeln!$A$7:$A$480,0))="","Noch zu erfassen",INDEX(Feiertagsregeln!$G$7:$G$480,MATCH($K361,Feiertagsregeln!$A$7:$A$480,0)))</f>
        <v>Numnasontga</v>
      </c>
      <c r="I361" s="10" t="str">
        <f>INDEX(Feiertagsregeln!$H$7:$H$480,MATCH($K361,Feiertagsregeln!$A$7:$A$480,0))</f>
        <v>publicHoliday</v>
      </c>
      <c r="J361" s="10" t="s">
        <v>69</v>
      </c>
      <c r="K361" s="10" t="s">
        <v>459</v>
      </c>
      <c r="L361" s="10" t="str">
        <f>INDEX(Feiertagsregeln!$Y$7:$Y$480,MATCH($K361,Feiertagsregeln!$A$7:$A$480,0))</f>
        <v>SRC-OW-RTG-9752-20090801</v>
      </c>
      <c r="M361" s="10" t="str">
        <f>INDEX(Feiertagsregeln!$Z$7:$Z$480,MATCH($K361,Feiertagsregeln!$A$7:$A$480,0))</f>
        <v>Art. 2 Abs. 1 Bst. b</v>
      </c>
      <c r="N361" s="10" t="s">
        <v>193</v>
      </c>
      <c r="O361" s="10" t="str">
        <f>INDEX(Feiertagsregeln!$AA$7:$AA$480,MATCH($K361,Feiertagsregeln!$A$7:$A$480,0))</f>
        <v>Ganztägig</v>
      </c>
    </row>
    <row r="362" spans="1:15" ht="44" customHeight="1">
      <c r="A362" s="15">
        <f>INDEX(Feiertagsregeln!$X$7:$X$480,MATCH($K362,Feiertagsregeln!$A$7:$A$480,0))</f>
        <v>47095</v>
      </c>
      <c r="B362" s="11" t="str">
        <f t="shared" si="5"/>
        <v>Freitag</v>
      </c>
      <c r="C362" s="11" t="s">
        <v>447</v>
      </c>
      <c r="D362" s="11" t="s">
        <v>448</v>
      </c>
      <c r="E362" s="11" t="str">
        <f>INDEX(Feiertagsregeln!$D$7:$D$480,MATCH($K362,Feiertagsregeln!$A$7:$A$480,0))</f>
        <v>Mariä Empfängnis</v>
      </c>
      <c r="F362" s="11" t="str">
        <f>INDEX(Feiertagsregeln!$E$7:$E$480,MATCH($K362,Feiertagsregeln!$A$7:$A$480,0))</f>
        <v>Immaculée Conception</v>
      </c>
      <c r="G362" s="22" t="str">
        <f>IF(INDEX(Feiertagsregeln!$F$7:$F$480,MATCH($K362,Feiertagsregeln!$A$7:$A$480,0))="","Noch zu erfassen",INDEX(Feiertagsregeln!$F$7:$F$480,MATCH($K362,Feiertagsregeln!$A$7:$A$480,0)))</f>
        <v>Immacolata</v>
      </c>
      <c r="H362" s="22" t="str">
        <f>IF(INDEX(Feiertagsregeln!$G$7:$G$480,MATCH($K362,Feiertagsregeln!$A$7:$A$480,0))="","Noch zu erfassen",INDEX(Feiertagsregeln!$G$7:$G$480,MATCH($K362,Feiertagsregeln!$A$7:$A$480,0)))</f>
        <v>Immaculada concepziun da Maria</v>
      </c>
      <c r="I362" s="11" t="str">
        <f>INDEX(Feiertagsregeln!$H$7:$H$480,MATCH($K362,Feiertagsregeln!$A$7:$A$480,0))</f>
        <v>publicHoliday</v>
      </c>
      <c r="J362" s="11" t="s">
        <v>69</v>
      </c>
      <c r="K362" s="11" t="s">
        <v>460</v>
      </c>
      <c r="L362" s="11" t="str">
        <f>INDEX(Feiertagsregeln!$Y$7:$Y$480,MATCH($K362,Feiertagsregeln!$A$7:$A$480,0))</f>
        <v>SRC-OW-RTG-9752-20090801</v>
      </c>
      <c r="M362" s="11" t="str">
        <f>INDEX(Feiertagsregeln!$Z$7:$Z$480,MATCH($K362,Feiertagsregeln!$A$7:$A$480,0))</f>
        <v>Art. 2 Abs. 1 Bst. b</v>
      </c>
      <c r="N362" s="11" t="s">
        <v>193</v>
      </c>
      <c r="O362" s="11" t="str">
        <f>INDEX(Feiertagsregeln!$AA$7:$AA$480,MATCH($K362,Feiertagsregeln!$A$7:$A$480,0))</f>
        <v>Ganztägig</v>
      </c>
    </row>
    <row r="363" spans="1:15" ht="44" customHeight="1">
      <c r="A363" s="14">
        <f>INDEX(Feiertagsregeln!$X$7:$X$480,MATCH($K363,Feiertagsregeln!$A$7:$A$480,0))</f>
        <v>47112</v>
      </c>
      <c r="B363" s="10" t="str">
        <f t="shared" si="5"/>
        <v>Montag</v>
      </c>
      <c r="C363" s="10" t="s">
        <v>447</v>
      </c>
      <c r="D363" s="10" t="s">
        <v>448</v>
      </c>
      <c r="E363" s="10" t="str">
        <f>INDEX(Feiertagsregeln!$D$7:$D$480,MATCH($K363,Feiertagsregeln!$A$7:$A$480,0))</f>
        <v>Weihnachten</v>
      </c>
      <c r="F363" s="10" t="str">
        <f>INDEX(Feiertagsregeln!$E$7:$E$480,MATCH($K363,Feiertagsregeln!$A$7:$A$480,0))</f>
        <v>Noël</v>
      </c>
      <c r="G363" s="21" t="str">
        <f>IF(INDEX(Feiertagsregeln!$F$7:$F$480,MATCH($K363,Feiertagsregeln!$A$7:$A$480,0))="","Noch zu erfassen",INDEX(Feiertagsregeln!$F$7:$F$480,MATCH($K363,Feiertagsregeln!$A$7:$A$480,0)))</f>
        <v>Natale</v>
      </c>
      <c r="H363" s="21" t="str">
        <f>IF(INDEX(Feiertagsregeln!$G$7:$G$480,MATCH($K363,Feiertagsregeln!$A$7:$A$480,0))="","Noch zu erfassen",INDEX(Feiertagsregeln!$G$7:$G$480,MATCH($K363,Feiertagsregeln!$A$7:$A$480,0)))</f>
        <v>Di da Nadal</v>
      </c>
      <c r="I363" s="10" t="str">
        <f>INDEX(Feiertagsregeln!$H$7:$H$480,MATCH($K363,Feiertagsregeln!$A$7:$A$480,0))</f>
        <v>publicHoliday</v>
      </c>
      <c r="J363" s="10" t="s">
        <v>69</v>
      </c>
      <c r="K363" s="10" t="s">
        <v>461</v>
      </c>
      <c r="L363" s="10" t="str">
        <f>INDEX(Feiertagsregeln!$Y$7:$Y$480,MATCH($K363,Feiertagsregeln!$A$7:$A$480,0))</f>
        <v>SRC-OW-RTG-9752-20090801</v>
      </c>
      <c r="M363" s="10" t="str">
        <f>INDEX(Feiertagsregeln!$Z$7:$Z$480,MATCH($K363,Feiertagsregeln!$A$7:$A$480,0))</f>
        <v>Art. 2 Abs. 1 Bst. c</v>
      </c>
      <c r="N363" s="10" t="s">
        <v>193</v>
      </c>
      <c r="O363" s="10" t="str">
        <f>INDEX(Feiertagsregeln!$AA$7:$AA$480,MATCH($K363,Feiertagsregeln!$A$7:$A$480,0))</f>
        <v>Ganztägig</v>
      </c>
    </row>
    <row r="364" spans="1:15" ht="44" customHeight="1">
      <c r="A364" s="15">
        <f>INDEX(Feiertagsregeln!$X$7:$X$480,MATCH($K364,Feiertagsregeln!$A$7:$A$480,0))</f>
        <v>46753</v>
      </c>
      <c r="B364" s="11" t="str">
        <f t="shared" si="5"/>
        <v>Samstag</v>
      </c>
      <c r="C364" s="11" t="s">
        <v>462</v>
      </c>
      <c r="D364" s="11" t="s">
        <v>463</v>
      </c>
      <c r="E364" s="11" t="str">
        <f>INDEX(Feiertagsregeln!$D$7:$D$480,MATCH($K364,Feiertagsregeln!$A$7:$A$480,0))</f>
        <v>Neujahr</v>
      </c>
      <c r="F364" s="11" t="str">
        <f>INDEX(Feiertagsregeln!$E$7:$E$480,MATCH($K364,Feiertagsregeln!$A$7:$A$480,0))</f>
        <v>Nouvel An</v>
      </c>
      <c r="G364" s="22" t="str">
        <f>IF(INDEX(Feiertagsregeln!$F$7:$F$480,MATCH($K364,Feiertagsregeln!$A$7:$A$480,0))="","Noch zu erfassen",INDEX(Feiertagsregeln!$F$7:$F$480,MATCH($K364,Feiertagsregeln!$A$7:$A$480,0)))</f>
        <v>Capo d’anno</v>
      </c>
      <c r="H364" s="22" t="str">
        <f>IF(INDEX(Feiertagsregeln!$G$7:$G$480,MATCH($K364,Feiertagsregeln!$A$7:$A$480,0))="","Noch zu erfassen",INDEX(Feiertagsregeln!$G$7:$G$480,MATCH($K364,Feiertagsregeln!$A$7:$A$480,0)))</f>
        <v>Bumaun</v>
      </c>
      <c r="I364" s="11" t="str">
        <f>INDEX(Feiertagsregeln!$H$7:$H$480,MATCH($K364,Feiertagsregeln!$A$7:$A$480,0))</f>
        <v>publicHoliday</v>
      </c>
      <c r="J364" s="11" t="s">
        <v>69</v>
      </c>
      <c r="K364" s="11" t="s">
        <v>464</v>
      </c>
      <c r="L364" s="11" t="str">
        <f>INDEX(Feiertagsregeln!$Y$7:$Y$480,MATCH($K364,Feiertagsregeln!$A$7:$A$480,0))</f>
        <v>SRC-NW-RTG-9211-20160101</v>
      </c>
      <c r="M364" s="11" t="str">
        <f>INDEX(Feiertagsregeln!$Z$7:$Z$480,MATCH($K364,Feiertagsregeln!$A$7:$A$480,0))</f>
        <v>Art. 2 Abs. 1 Ziff. 3</v>
      </c>
      <c r="N364" s="11" t="s">
        <v>193</v>
      </c>
      <c r="O364" s="11" t="str">
        <f>INDEX(Feiertagsregeln!$AA$7:$AA$480,MATCH($K364,Feiertagsregeln!$A$7:$A$480,0))</f>
        <v>Ganztägig</v>
      </c>
    </row>
    <row r="365" spans="1:15" ht="44" customHeight="1">
      <c r="A365" s="14">
        <f>INDEX(Feiertagsregeln!$X$7:$X$480,MATCH($K365,Feiertagsregeln!$A$7:$A$480,0))</f>
        <v>46831</v>
      </c>
      <c r="B365" s="10" t="str">
        <f t="shared" si="5"/>
        <v>Sonntag</v>
      </c>
      <c r="C365" s="10" t="s">
        <v>462</v>
      </c>
      <c r="D365" s="10" t="s">
        <v>463</v>
      </c>
      <c r="E365" s="10" t="str">
        <f>INDEX(Feiertagsregeln!$D$7:$D$480,MATCH($K365,Feiertagsregeln!$A$7:$A$480,0))</f>
        <v>Josefstag</v>
      </c>
      <c r="F365" s="10" t="str">
        <f>INDEX(Feiertagsregeln!$E$7:$E$480,MATCH($K365,Feiertagsregeln!$A$7:$A$480,0))</f>
        <v>Saint-Joseph</v>
      </c>
      <c r="G365" s="21" t="str">
        <f>IF(INDEX(Feiertagsregeln!$F$7:$F$480,MATCH($K365,Feiertagsregeln!$A$7:$A$480,0))="","Noch zu erfassen",INDEX(Feiertagsregeln!$F$7:$F$480,MATCH($K365,Feiertagsregeln!$A$7:$A$480,0)))</f>
        <v>San Giuseppe</v>
      </c>
      <c r="H365" s="21" t="str">
        <f>IF(INDEX(Feiertagsregeln!$G$7:$G$480,MATCH($K365,Feiertagsregeln!$A$7:$A$480,0))="","Noch zu erfassen",INDEX(Feiertagsregeln!$G$7:$G$480,MATCH($K365,Feiertagsregeln!$A$7:$A$480,0)))</f>
        <v>Son Giusep</v>
      </c>
      <c r="I365" s="10" t="str">
        <f>INDEX(Feiertagsregeln!$H$7:$H$480,MATCH($K365,Feiertagsregeln!$A$7:$A$480,0))</f>
        <v>publicHoliday</v>
      </c>
      <c r="J365" s="10" t="s">
        <v>69</v>
      </c>
      <c r="K365" s="10" t="s">
        <v>465</v>
      </c>
      <c r="L365" s="10" t="str">
        <f>INDEX(Feiertagsregeln!$Y$7:$Y$480,MATCH($K365,Feiertagsregeln!$A$7:$A$480,0))</f>
        <v>SRC-NW-RTG-9211-20160101</v>
      </c>
      <c r="M365" s="10" t="str">
        <f>INDEX(Feiertagsregeln!$Z$7:$Z$480,MATCH($K365,Feiertagsregeln!$A$7:$A$480,0))</f>
        <v>Art. 2 Abs. 1 Ziff. 3</v>
      </c>
      <c r="N365" s="10" t="s">
        <v>193</v>
      </c>
      <c r="O365" s="10" t="str">
        <f>INDEX(Feiertagsregeln!$AA$7:$AA$480,MATCH($K365,Feiertagsregeln!$A$7:$A$480,0))</f>
        <v>Ganztägig</v>
      </c>
    </row>
    <row r="366" spans="1:15" ht="44" customHeight="1">
      <c r="A366" s="15">
        <f>INDEX(Feiertagsregeln!$X$7:$X$480,MATCH($K366,Feiertagsregeln!$A$7:$A$480,0))</f>
        <v>46857</v>
      </c>
      <c r="B366" s="11" t="str">
        <f t="shared" si="5"/>
        <v>Freitag</v>
      </c>
      <c r="C366" s="11" t="s">
        <v>462</v>
      </c>
      <c r="D366" s="11" t="s">
        <v>463</v>
      </c>
      <c r="E366" s="11" t="str">
        <f>INDEX(Feiertagsregeln!$D$7:$D$480,MATCH($K366,Feiertagsregeln!$A$7:$A$480,0))</f>
        <v>Karfreitag</v>
      </c>
      <c r="F366" s="11" t="str">
        <f>INDEX(Feiertagsregeln!$E$7:$E$480,MATCH($K366,Feiertagsregeln!$A$7:$A$480,0))</f>
        <v>Vendredi saint</v>
      </c>
      <c r="G366" s="22" t="str">
        <f>IF(INDEX(Feiertagsregeln!$F$7:$F$480,MATCH($K366,Feiertagsregeln!$A$7:$A$480,0))="","Noch zu erfassen",INDEX(Feiertagsregeln!$F$7:$F$480,MATCH($K366,Feiertagsregeln!$A$7:$A$480,0)))</f>
        <v>Venerdì Santo</v>
      </c>
      <c r="H366" s="22" t="str">
        <f>IF(INDEX(Feiertagsregeln!$G$7:$G$480,MATCH($K366,Feiertagsregeln!$A$7:$A$480,0))="","Noch zu erfassen",INDEX(Feiertagsregeln!$G$7:$G$480,MATCH($K366,Feiertagsregeln!$A$7:$A$480,0)))</f>
        <v>Venderdi sontg</v>
      </c>
      <c r="I366" s="11" t="str">
        <f>INDEX(Feiertagsregeln!$H$7:$H$480,MATCH($K366,Feiertagsregeln!$A$7:$A$480,0))</f>
        <v>publicHoliday</v>
      </c>
      <c r="J366" s="11" t="s">
        <v>69</v>
      </c>
      <c r="K366" s="11" t="s">
        <v>466</v>
      </c>
      <c r="L366" s="11" t="str">
        <f>INDEX(Feiertagsregeln!$Y$7:$Y$480,MATCH($K366,Feiertagsregeln!$A$7:$A$480,0))</f>
        <v>SRC-NW-RTG-9211-20160101</v>
      </c>
      <c r="M366" s="11" t="str">
        <f>INDEX(Feiertagsregeln!$Z$7:$Z$480,MATCH($K366,Feiertagsregeln!$A$7:$A$480,0))</f>
        <v>Art. 2 Abs. 1 Ziff. 2</v>
      </c>
      <c r="N366" s="11" t="s">
        <v>193</v>
      </c>
      <c r="O366" s="11" t="str">
        <f>INDEX(Feiertagsregeln!$AA$7:$AA$480,MATCH($K366,Feiertagsregeln!$A$7:$A$480,0))</f>
        <v>Ganztägig</v>
      </c>
    </row>
    <row r="367" spans="1:15" ht="44" customHeight="1">
      <c r="A367" s="14">
        <f>INDEX(Feiertagsregeln!$X$7:$X$480,MATCH($K367,Feiertagsregeln!$A$7:$A$480,0))</f>
        <v>46859</v>
      </c>
      <c r="B367" s="10" t="str">
        <f t="shared" si="5"/>
        <v>Sonntag</v>
      </c>
      <c r="C367" s="10" t="s">
        <v>462</v>
      </c>
      <c r="D367" s="10" t="s">
        <v>463</v>
      </c>
      <c r="E367" s="10" t="str">
        <f>INDEX(Feiertagsregeln!$D$7:$D$480,MATCH($K367,Feiertagsregeln!$A$7:$A$480,0))</f>
        <v>Ostern</v>
      </c>
      <c r="F367" s="10" t="str">
        <f>INDEX(Feiertagsregeln!$E$7:$E$480,MATCH($K367,Feiertagsregeln!$A$7:$A$480,0))</f>
        <v>Pâques</v>
      </c>
      <c r="G367" s="21" t="str">
        <f>IF(INDEX(Feiertagsregeln!$F$7:$F$480,MATCH($K367,Feiertagsregeln!$A$7:$A$480,0))="","Noch zu erfassen",INDEX(Feiertagsregeln!$F$7:$F$480,MATCH($K367,Feiertagsregeln!$A$7:$A$480,0)))</f>
        <v>Domenica di Pasqua</v>
      </c>
      <c r="H367" s="21" t="str">
        <f>IF(INDEX(Feiertagsregeln!$G$7:$G$480,MATCH($K367,Feiertagsregeln!$A$7:$A$480,0))="","Noch zu erfassen",INDEX(Feiertagsregeln!$G$7:$G$480,MATCH($K367,Feiertagsregeln!$A$7:$A$480,0)))</f>
        <v>Dumengia da Pasca</v>
      </c>
      <c r="I367" s="10" t="str">
        <f>INDEX(Feiertagsregeln!$H$7:$H$480,MATCH($K367,Feiertagsregeln!$A$7:$A$480,0))</f>
        <v>publicHoliday</v>
      </c>
      <c r="J367" s="10" t="s">
        <v>69</v>
      </c>
      <c r="K367" s="10" t="s">
        <v>467</v>
      </c>
      <c r="L367" s="10" t="str">
        <f>INDEX(Feiertagsregeln!$Y$7:$Y$480,MATCH($K367,Feiertagsregeln!$A$7:$A$480,0))</f>
        <v>SRC-NW-RTG-9211-20160101</v>
      </c>
      <c r="M367" s="10" t="str">
        <f>INDEX(Feiertagsregeln!$Z$7:$Z$480,MATCH($K367,Feiertagsregeln!$A$7:$A$480,0))</f>
        <v>Art. 2 Abs. 1 Ziff. 2</v>
      </c>
      <c r="N367" s="10" t="s">
        <v>193</v>
      </c>
      <c r="O367" s="10" t="str">
        <f>INDEX(Feiertagsregeln!$AA$7:$AA$480,MATCH($K367,Feiertagsregeln!$A$7:$A$480,0))</f>
        <v>Ganztägig</v>
      </c>
    </row>
    <row r="368" spans="1:15" ht="44" customHeight="1">
      <c r="A368" s="15">
        <f>INDEX(Feiertagsregeln!$X$7:$X$480,MATCH($K368,Feiertagsregeln!$A$7:$A$480,0))</f>
        <v>46898</v>
      </c>
      <c r="B368" s="11" t="str">
        <f t="shared" si="5"/>
        <v>Donnerstag</v>
      </c>
      <c r="C368" s="11" t="s">
        <v>462</v>
      </c>
      <c r="D368" s="11" t="s">
        <v>463</v>
      </c>
      <c r="E368" s="11" t="str">
        <f>INDEX(Feiertagsregeln!$D$7:$D$480,MATCH($K368,Feiertagsregeln!$A$7:$A$480,0))</f>
        <v>Auffahrt</v>
      </c>
      <c r="F368" s="11" t="str">
        <f>INDEX(Feiertagsregeln!$E$7:$E$480,MATCH($K368,Feiertagsregeln!$A$7:$A$480,0))</f>
        <v>Ascension</v>
      </c>
      <c r="G368" s="22" t="str">
        <f>IF(INDEX(Feiertagsregeln!$F$7:$F$480,MATCH($K368,Feiertagsregeln!$A$7:$A$480,0))="","Noch zu erfassen",INDEX(Feiertagsregeln!$F$7:$F$480,MATCH($K368,Feiertagsregeln!$A$7:$A$480,0)))</f>
        <v>Ascensione</v>
      </c>
      <c r="H368" s="22" t="str">
        <f>IF(INDEX(Feiertagsregeln!$G$7:$G$480,MATCH($K368,Feiertagsregeln!$A$7:$A$480,0))="","Noch zu erfassen",INDEX(Feiertagsregeln!$G$7:$G$480,MATCH($K368,Feiertagsregeln!$A$7:$A$480,0)))</f>
        <v>Ascensiun</v>
      </c>
      <c r="I368" s="11" t="str">
        <f>INDEX(Feiertagsregeln!$H$7:$H$480,MATCH($K368,Feiertagsregeln!$A$7:$A$480,0))</f>
        <v>publicHoliday</v>
      </c>
      <c r="J368" s="11" t="s">
        <v>69</v>
      </c>
      <c r="K368" s="11" t="s">
        <v>468</v>
      </c>
      <c r="L368" s="11" t="str">
        <f>INDEX(Feiertagsregeln!$Y$7:$Y$480,MATCH($K368,Feiertagsregeln!$A$7:$A$480,0))</f>
        <v>SRC-NW-RTG-9211-20160101</v>
      </c>
      <c r="M368" s="11" t="str">
        <f>INDEX(Feiertagsregeln!$Z$7:$Z$480,MATCH($K368,Feiertagsregeln!$A$7:$A$480,0))</f>
        <v>Art. 2 Abs. 1 Ziff. 3</v>
      </c>
      <c r="N368" s="11" t="s">
        <v>193</v>
      </c>
      <c r="O368" s="11" t="str">
        <f>INDEX(Feiertagsregeln!$AA$7:$AA$480,MATCH($K368,Feiertagsregeln!$A$7:$A$480,0))</f>
        <v>Ganztägig</v>
      </c>
    </row>
    <row r="369" spans="1:15" ht="44" customHeight="1">
      <c r="A369" s="14">
        <f>INDEX(Feiertagsregeln!$X$7:$X$480,MATCH($K369,Feiertagsregeln!$A$7:$A$480,0))</f>
        <v>46908</v>
      </c>
      <c r="B369" s="10" t="str">
        <f t="shared" si="5"/>
        <v>Sonntag</v>
      </c>
      <c r="C369" s="10" t="s">
        <v>462</v>
      </c>
      <c r="D369" s="10" t="s">
        <v>463</v>
      </c>
      <c r="E369" s="10" t="str">
        <f>INDEX(Feiertagsregeln!$D$7:$D$480,MATCH($K369,Feiertagsregeln!$A$7:$A$480,0))</f>
        <v>Pfingsten</v>
      </c>
      <c r="F369" s="10" t="str">
        <f>INDEX(Feiertagsregeln!$E$7:$E$480,MATCH($K369,Feiertagsregeln!$A$7:$A$480,0))</f>
        <v>Pentecôte</v>
      </c>
      <c r="G369" s="21" t="str">
        <f>IF(INDEX(Feiertagsregeln!$F$7:$F$480,MATCH($K369,Feiertagsregeln!$A$7:$A$480,0))="","Noch zu erfassen",INDEX(Feiertagsregeln!$F$7:$F$480,MATCH($K369,Feiertagsregeln!$A$7:$A$480,0)))</f>
        <v>Domenica di Pentecoste</v>
      </c>
      <c r="H369" s="21" t="str">
        <f>IF(INDEX(Feiertagsregeln!$G$7:$G$480,MATCH($K369,Feiertagsregeln!$A$7:$A$480,0))="","Noch zu erfassen",INDEX(Feiertagsregeln!$G$7:$G$480,MATCH($K369,Feiertagsregeln!$A$7:$A$480,0)))</f>
        <v>Dumengia da Tschuncaisma</v>
      </c>
      <c r="I369" s="10" t="str">
        <f>INDEX(Feiertagsregeln!$H$7:$H$480,MATCH($K369,Feiertagsregeln!$A$7:$A$480,0))</f>
        <v>publicHoliday</v>
      </c>
      <c r="J369" s="10" t="s">
        <v>69</v>
      </c>
      <c r="K369" s="10" t="s">
        <v>469</v>
      </c>
      <c r="L369" s="10" t="str">
        <f>INDEX(Feiertagsregeln!$Y$7:$Y$480,MATCH($K369,Feiertagsregeln!$A$7:$A$480,0))</f>
        <v>SRC-NW-RTG-9211-20160101</v>
      </c>
      <c r="M369" s="10" t="str">
        <f>INDEX(Feiertagsregeln!$Z$7:$Z$480,MATCH($K369,Feiertagsregeln!$A$7:$A$480,0))</f>
        <v>Art. 2 Abs. 1 Ziff. 2</v>
      </c>
      <c r="N369" s="10" t="s">
        <v>193</v>
      </c>
      <c r="O369" s="10" t="str">
        <f>INDEX(Feiertagsregeln!$AA$7:$AA$480,MATCH($K369,Feiertagsregeln!$A$7:$A$480,0))</f>
        <v>Ganztägig</v>
      </c>
    </row>
    <row r="370" spans="1:15" ht="44" customHeight="1">
      <c r="A370" s="15">
        <f>INDEX(Feiertagsregeln!$X$7:$X$480,MATCH($K370,Feiertagsregeln!$A$7:$A$480,0))</f>
        <v>46919</v>
      </c>
      <c r="B370" s="11" t="str">
        <f t="shared" si="5"/>
        <v>Donnerstag</v>
      </c>
      <c r="C370" s="11" t="s">
        <v>462</v>
      </c>
      <c r="D370" s="11" t="s">
        <v>463</v>
      </c>
      <c r="E370" s="11" t="str">
        <f>INDEX(Feiertagsregeln!$D$7:$D$480,MATCH($K370,Feiertagsregeln!$A$7:$A$480,0))</f>
        <v>Fronleichnam</v>
      </c>
      <c r="F370" s="11" t="str">
        <f>INDEX(Feiertagsregeln!$E$7:$E$480,MATCH($K370,Feiertagsregeln!$A$7:$A$480,0))</f>
        <v>Fête-Dieu</v>
      </c>
      <c r="G370" s="22" t="str">
        <f>IF(INDEX(Feiertagsregeln!$F$7:$F$480,MATCH($K370,Feiertagsregeln!$A$7:$A$480,0))="","Noch zu erfassen",INDEX(Feiertagsregeln!$F$7:$F$480,MATCH($K370,Feiertagsregeln!$A$7:$A$480,0)))</f>
        <v>Corpus Domini</v>
      </c>
      <c r="H370" s="22" t="str">
        <f>IF(INDEX(Feiertagsregeln!$G$7:$G$480,MATCH($K370,Feiertagsregeln!$A$7:$A$480,0))="","Noch zu erfassen",INDEX(Feiertagsregeln!$G$7:$G$480,MATCH($K370,Feiertagsregeln!$A$7:$A$480,0)))</f>
        <v>Sontgilcrest</v>
      </c>
      <c r="I370" s="11" t="str">
        <f>INDEX(Feiertagsregeln!$H$7:$H$480,MATCH($K370,Feiertagsregeln!$A$7:$A$480,0))</f>
        <v>publicHoliday</v>
      </c>
      <c r="J370" s="11" t="s">
        <v>69</v>
      </c>
      <c r="K370" s="11" t="s">
        <v>470</v>
      </c>
      <c r="L370" s="11" t="str">
        <f>INDEX(Feiertagsregeln!$Y$7:$Y$480,MATCH($K370,Feiertagsregeln!$A$7:$A$480,0))</f>
        <v>SRC-NW-RTG-9211-20160101</v>
      </c>
      <c r="M370" s="11" t="str">
        <f>INDEX(Feiertagsregeln!$Z$7:$Z$480,MATCH($K370,Feiertagsregeln!$A$7:$A$480,0))</f>
        <v>Art. 2 Abs. 1 Ziff. 3</v>
      </c>
      <c r="N370" s="11" t="s">
        <v>193</v>
      </c>
      <c r="O370" s="11" t="str">
        <f>INDEX(Feiertagsregeln!$AA$7:$AA$480,MATCH($K370,Feiertagsregeln!$A$7:$A$480,0))</f>
        <v>Ganztägig</v>
      </c>
    </row>
    <row r="371" spans="1:15" ht="44" customHeight="1">
      <c r="A371" s="14">
        <f>INDEX(Feiertagsregeln!$X$7:$X$480,MATCH($K371,Feiertagsregeln!$A$7:$A$480,0))</f>
        <v>46966</v>
      </c>
      <c r="B371" s="10" t="str">
        <f t="shared" si="5"/>
        <v>Dienstag</v>
      </c>
      <c r="C371" s="10" t="s">
        <v>462</v>
      </c>
      <c r="D371" s="10" t="s">
        <v>463</v>
      </c>
      <c r="E371" s="10" t="str">
        <f>INDEX(Feiertagsregeln!$D$7:$D$480,MATCH($K371,Feiertagsregeln!$A$7:$A$480,0))</f>
        <v>Bundesfeiertag</v>
      </c>
      <c r="F371" s="10" t="str">
        <f>INDEX(Feiertagsregeln!$E$7:$E$480,MATCH($K371,Feiertagsregeln!$A$7:$A$480,0))</f>
        <v>Fête nationale</v>
      </c>
      <c r="G371" s="21" t="str">
        <f>IF(INDEX(Feiertagsregeln!$F$7:$F$480,MATCH($K371,Feiertagsregeln!$A$7:$A$480,0))="","Noch zu erfassen",INDEX(Feiertagsregeln!$F$7:$F$480,MATCH($K371,Feiertagsregeln!$A$7:$A$480,0)))</f>
        <v>Primo agosto</v>
      </c>
      <c r="H371" s="21" t="str">
        <f>IF(INDEX(Feiertagsregeln!$G$7:$G$480,MATCH($K371,Feiertagsregeln!$A$7:$A$480,0))="","Noch zu erfassen",INDEX(Feiertagsregeln!$G$7:$G$480,MATCH($K371,Feiertagsregeln!$A$7:$A$480,0)))</f>
        <v>Festa naziunala svizra</v>
      </c>
      <c r="I371" s="10" t="str">
        <f>INDEX(Feiertagsregeln!$H$7:$H$480,MATCH($K371,Feiertagsregeln!$A$7:$A$480,0))</f>
        <v>publicHoliday</v>
      </c>
      <c r="J371" s="10" t="s">
        <v>69</v>
      </c>
      <c r="K371" s="10" t="s">
        <v>471</v>
      </c>
      <c r="L371" s="10" t="str">
        <f>INDEX(Feiertagsregeln!$Y$7:$Y$480,MATCH($K371,Feiertagsregeln!$A$7:$A$480,0))</f>
        <v>SRC-BUNDESFEIERTAG-19940701</v>
      </c>
      <c r="M371" s="10" t="str">
        <f>INDEX(Feiertagsregeln!$Z$7:$Z$480,MATCH($K371,Feiertagsregeln!$A$7:$A$480,0))</f>
        <v>SR 116 Art. 1, neue offene Anwendung auf dieses Geltungsprofil</v>
      </c>
      <c r="N371" s="10" t="s">
        <v>193</v>
      </c>
      <c r="O371" s="10" t="str">
        <f>INDEX(Feiertagsregeln!$AA$7:$AA$480,MATCH($K371,Feiertagsregeln!$A$7:$A$480,0))</f>
        <v>Ganztägig</v>
      </c>
    </row>
    <row r="372" spans="1:15" ht="44" customHeight="1">
      <c r="A372" s="15">
        <f>INDEX(Feiertagsregeln!$X$7:$X$480,MATCH($K372,Feiertagsregeln!$A$7:$A$480,0))</f>
        <v>46980</v>
      </c>
      <c r="B372" s="11" t="str">
        <f t="shared" si="5"/>
        <v>Dienstag</v>
      </c>
      <c r="C372" s="11" t="s">
        <v>462</v>
      </c>
      <c r="D372" s="11" t="s">
        <v>463</v>
      </c>
      <c r="E372" s="11" t="str">
        <f>INDEX(Feiertagsregeln!$D$7:$D$480,MATCH($K372,Feiertagsregeln!$A$7:$A$480,0))</f>
        <v>Mariä Himmelfahrt</v>
      </c>
      <c r="F372" s="11" t="str">
        <f>INDEX(Feiertagsregeln!$E$7:$E$480,MATCH($K372,Feiertagsregeln!$A$7:$A$480,0))</f>
        <v>Assomption</v>
      </c>
      <c r="G372" s="22" t="str">
        <f>IF(INDEX(Feiertagsregeln!$F$7:$F$480,MATCH($K372,Feiertagsregeln!$A$7:$A$480,0))="","Noch zu erfassen",INDEX(Feiertagsregeln!$F$7:$F$480,MATCH($K372,Feiertagsregeln!$A$7:$A$480,0)))</f>
        <v>Assunzione</v>
      </c>
      <c r="H372" s="22" t="str">
        <f>IF(INDEX(Feiertagsregeln!$G$7:$G$480,MATCH($K372,Feiertagsregeln!$A$7:$A$480,0))="","Noch zu erfassen",INDEX(Feiertagsregeln!$G$7:$G$480,MATCH($K372,Feiertagsregeln!$A$7:$A$480,0)))</f>
        <v>Nossadunna d’avust</v>
      </c>
      <c r="I372" s="11" t="str">
        <f>INDEX(Feiertagsregeln!$H$7:$H$480,MATCH($K372,Feiertagsregeln!$A$7:$A$480,0))</f>
        <v>publicHoliday</v>
      </c>
      <c r="J372" s="11" t="s">
        <v>69</v>
      </c>
      <c r="K372" s="11" t="s">
        <v>472</v>
      </c>
      <c r="L372" s="11" t="str">
        <f>INDEX(Feiertagsregeln!$Y$7:$Y$480,MATCH($K372,Feiertagsregeln!$A$7:$A$480,0))</f>
        <v>SRC-NW-RTG-9211-20160101</v>
      </c>
      <c r="M372" s="11" t="str">
        <f>INDEX(Feiertagsregeln!$Z$7:$Z$480,MATCH($K372,Feiertagsregeln!$A$7:$A$480,0))</f>
        <v>Art. 2 Abs. 1 Ziff. 3</v>
      </c>
      <c r="N372" s="11" t="s">
        <v>193</v>
      </c>
      <c r="O372" s="11" t="str">
        <f>INDEX(Feiertagsregeln!$AA$7:$AA$480,MATCH($K372,Feiertagsregeln!$A$7:$A$480,0))</f>
        <v>Ganztägig</v>
      </c>
    </row>
    <row r="373" spans="1:15" ht="44" customHeight="1">
      <c r="A373" s="14">
        <f>INDEX(Feiertagsregeln!$X$7:$X$480,MATCH($K373,Feiertagsregeln!$A$7:$A$480,0))</f>
        <v>47013</v>
      </c>
      <c r="B373" s="10" t="str">
        <f t="shared" si="5"/>
        <v>Sonntag</v>
      </c>
      <c r="C373" s="10" t="s">
        <v>462</v>
      </c>
      <c r="D373" s="10" t="s">
        <v>463</v>
      </c>
      <c r="E373" s="10" t="str">
        <f>INDEX(Feiertagsregeln!$D$7:$D$480,MATCH($K373,Feiertagsregeln!$A$7:$A$480,0))</f>
        <v>Eidgenössischer Dank-, Buss- und Bettag</v>
      </c>
      <c r="F373" s="10" t="str">
        <f>INDEX(Feiertagsregeln!$E$7:$E$480,MATCH($K373,Feiertagsregeln!$A$7:$A$480,0))</f>
        <v>Jeûne fédéral</v>
      </c>
      <c r="G373" s="21" t="str">
        <f>IF(INDEX(Feiertagsregeln!$F$7:$F$480,MATCH($K373,Feiertagsregeln!$A$7:$A$480,0))="","Noch zu erfassen",INDEX(Feiertagsregeln!$F$7:$F$480,MATCH($K373,Feiertagsregeln!$A$7:$A$480,0)))</f>
        <v>Festa federale di preghiera</v>
      </c>
      <c r="H373" s="21" t="str">
        <f>IF(INDEX(Feiertagsregeln!$G$7:$G$480,MATCH($K373,Feiertagsregeln!$A$7:$A$480,0))="","Noch zu erfassen",INDEX(Feiertagsregeln!$G$7:$G$480,MATCH($K373,Feiertagsregeln!$A$7:$A$480,0)))</f>
        <v>Di da la rogaziun federala</v>
      </c>
      <c r="I373" s="10" t="str">
        <f>INDEX(Feiertagsregeln!$H$7:$H$480,MATCH($K373,Feiertagsregeln!$A$7:$A$480,0))</f>
        <v>publicHoliday</v>
      </c>
      <c r="J373" s="10" t="s">
        <v>69</v>
      </c>
      <c r="K373" s="10" t="s">
        <v>473</v>
      </c>
      <c r="L373" s="10" t="str">
        <f>INDEX(Feiertagsregeln!$Y$7:$Y$480,MATCH($K373,Feiertagsregeln!$A$7:$A$480,0))</f>
        <v>SRC-NW-RTG-9211-20160101</v>
      </c>
      <c r="M373" s="10" t="str">
        <f>INDEX(Feiertagsregeln!$Z$7:$Z$480,MATCH($K373,Feiertagsregeln!$A$7:$A$480,0))</f>
        <v>Art. 2 Abs. 1 Ziff. 2</v>
      </c>
      <c r="N373" s="10" t="s">
        <v>193</v>
      </c>
      <c r="O373" s="10" t="str">
        <f>INDEX(Feiertagsregeln!$AA$7:$AA$480,MATCH($K373,Feiertagsregeln!$A$7:$A$480,0))</f>
        <v>Ganztägig</v>
      </c>
    </row>
    <row r="374" spans="1:15" ht="44" customHeight="1">
      <c r="A374" s="15">
        <f>INDEX(Feiertagsregeln!$X$7:$X$480,MATCH($K374,Feiertagsregeln!$A$7:$A$480,0))</f>
        <v>47058</v>
      </c>
      <c r="B374" s="11" t="str">
        <f t="shared" si="5"/>
        <v>Mittwoch</v>
      </c>
      <c r="C374" s="11" t="s">
        <v>462</v>
      </c>
      <c r="D374" s="11" t="s">
        <v>463</v>
      </c>
      <c r="E374" s="11" t="str">
        <f>INDEX(Feiertagsregeln!$D$7:$D$480,MATCH($K374,Feiertagsregeln!$A$7:$A$480,0))</f>
        <v>Allerheiligen</v>
      </c>
      <c r="F374" s="11" t="str">
        <f>INDEX(Feiertagsregeln!$E$7:$E$480,MATCH($K374,Feiertagsregeln!$A$7:$A$480,0))</f>
        <v>Toussaint</v>
      </c>
      <c r="G374" s="22" t="str">
        <f>IF(INDEX(Feiertagsregeln!$F$7:$F$480,MATCH($K374,Feiertagsregeln!$A$7:$A$480,0))="","Noch zu erfassen",INDEX(Feiertagsregeln!$F$7:$F$480,MATCH($K374,Feiertagsregeln!$A$7:$A$480,0)))</f>
        <v>Ognissanti</v>
      </c>
      <c r="H374" s="22" t="str">
        <f>IF(INDEX(Feiertagsregeln!$G$7:$G$480,MATCH($K374,Feiertagsregeln!$A$7:$A$480,0))="","Noch zu erfassen",INDEX(Feiertagsregeln!$G$7:$G$480,MATCH($K374,Feiertagsregeln!$A$7:$A$480,0)))</f>
        <v>Numnasontga</v>
      </c>
      <c r="I374" s="11" t="str">
        <f>INDEX(Feiertagsregeln!$H$7:$H$480,MATCH($K374,Feiertagsregeln!$A$7:$A$480,0))</f>
        <v>publicHoliday</v>
      </c>
      <c r="J374" s="11" t="s">
        <v>69</v>
      </c>
      <c r="K374" s="11" t="s">
        <v>474</v>
      </c>
      <c r="L374" s="11" t="str">
        <f>INDEX(Feiertagsregeln!$Y$7:$Y$480,MATCH($K374,Feiertagsregeln!$A$7:$A$480,0))</f>
        <v>SRC-NW-RTG-9211-20160101</v>
      </c>
      <c r="M374" s="11" t="str">
        <f>INDEX(Feiertagsregeln!$Z$7:$Z$480,MATCH($K374,Feiertagsregeln!$A$7:$A$480,0))</f>
        <v>Art. 2 Abs. 1 Ziff. 3</v>
      </c>
      <c r="N374" s="11" t="s">
        <v>193</v>
      </c>
      <c r="O374" s="11" t="str">
        <f>INDEX(Feiertagsregeln!$AA$7:$AA$480,MATCH($K374,Feiertagsregeln!$A$7:$A$480,0))</f>
        <v>Ganztägig</v>
      </c>
    </row>
    <row r="375" spans="1:15" ht="44" customHeight="1">
      <c r="A375" s="14">
        <f>INDEX(Feiertagsregeln!$X$7:$X$480,MATCH($K375,Feiertagsregeln!$A$7:$A$480,0))</f>
        <v>47095</v>
      </c>
      <c r="B375" s="10" t="str">
        <f t="shared" si="5"/>
        <v>Freitag</v>
      </c>
      <c r="C375" s="10" t="s">
        <v>462</v>
      </c>
      <c r="D375" s="10" t="s">
        <v>463</v>
      </c>
      <c r="E375" s="10" t="str">
        <f>INDEX(Feiertagsregeln!$D$7:$D$480,MATCH($K375,Feiertagsregeln!$A$7:$A$480,0))</f>
        <v>Mariä Empfängnis</v>
      </c>
      <c r="F375" s="10" t="str">
        <f>INDEX(Feiertagsregeln!$E$7:$E$480,MATCH($K375,Feiertagsregeln!$A$7:$A$480,0))</f>
        <v>Immaculée Conception</v>
      </c>
      <c r="G375" s="21" t="str">
        <f>IF(INDEX(Feiertagsregeln!$F$7:$F$480,MATCH($K375,Feiertagsregeln!$A$7:$A$480,0))="","Noch zu erfassen",INDEX(Feiertagsregeln!$F$7:$F$480,MATCH($K375,Feiertagsregeln!$A$7:$A$480,0)))</f>
        <v>Immacolata</v>
      </c>
      <c r="H375" s="21" t="str">
        <f>IF(INDEX(Feiertagsregeln!$G$7:$G$480,MATCH($K375,Feiertagsregeln!$A$7:$A$480,0))="","Noch zu erfassen",INDEX(Feiertagsregeln!$G$7:$G$480,MATCH($K375,Feiertagsregeln!$A$7:$A$480,0)))</f>
        <v>Immaculada concepziun da Maria</v>
      </c>
      <c r="I375" s="10" t="str">
        <f>INDEX(Feiertagsregeln!$H$7:$H$480,MATCH($K375,Feiertagsregeln!$A$7:$A$480,0))</f>
        <v>publicHoliday</v>
      </c>
      <c r="J375" s="10" t="s">
        <v>69</v>
      </c>
      <c r="K375" s="10" t="s">
        <v>475</v>
      </c>
      <c r="L375" s="10" t="str">
        <f>INDEX(Feiertagsregeln!$Y$7:$Y$480,MATCH($K375,Feiertagsregeln!$A$7:$A$480,0))</f>
        <v>SRC-NW-RTG-9211-20160101</v>
      </c>
      <c r="M375" s="10" t="str">
        <f>INDEX(Feiertagsregeln!$Z$7:$Z$480,MATCH($K375,Feiertagsregeln!$A$7:$A$480,0))</f>
        <v>Art. 2 Abs. 1 Ziff. 3</v>
      </c>
      <c r="N375" s="10" t="s">
        <v>193</v>
      </c>
      <c r="O375" s="10" t="str">
        <f>INDEX(Feiertagsregeln!$AA$7:$AA$480,MATCH($K375,Feiertagsregeln!$A$7:$A$480,0))</f>
        <v>Ganztägig</v>
      </c>
    </row>
    <row r="376" spans="1:15" ht="44" customHeight="1">
      <c r="A376" s="15">
        <f>INDEX(Feiertagsregeln!$X$7:$X$480,MATCH($K376,Feiertagsregeln!$A$7:$A$480,0))</f>
        <v>47112</v>
      </c>
      <c r="B376" s="11" t="str">
        <f t="shared" si="5"/>
        <v>Montag</v>
      </c>
      <c r="C376" s="11" t="s">
        <v>462</v>
      </c>
      <c r="D376" s="11" t="s">
        <v>463</v>
      </c>
      <c r="E376" s="11" t="str">
        <f>INDEX(Feiertagsregeln!$D$7:$D$480,MATCH($K376,Feiertagsregeln!$A$7:$A$480,0))</f>
        <v>Weihnachten</v>
      </c>
      <c r="F376" s="11" t="str">
        <f>INDEX(Feiertagsregeln!$E$7:$E$480,MATCH($K376,Feiertagsregeln!$A$7:$A$480,0))</f>
        <v>Noël</v>
      </c>
      <c r="G376" s="22" t="str">
        <f>IF(INDEX(Feiertagsregeln!$F$7:$F$480,MATCH($K376,Feiertagsregeln!$A$7:$A$480,0))="","Noch zu erfassen",INDEX(Feiertagsregeln!$F$7:$F$480,MATCH($K376,Feiertagsregeln!$A$7:$A$480,0)))</f>
        <v>Natale</v>
      </c>
      <c r="H376" s="22" t="str">
        <f>IF(INDEX(Feiertagsregeln!$G$7:$G$480,MATCH($K376,Feiertagsregeln!$A$7:$A$480,0))="","Noch zu erfassen",INDEX(Feiertagsregeln!$G$7:$G$480,MATCH($K376,Feiertagsregeln!$A$7:$A$480,0)))</f>
        <v>Di da Nadal</v>
      </c>
      <c r="I376" s="11" t="str">
        <f>INDEX(Feiertagsregeln!$H$7:$H$480,MATCH($K376,Feiertagsregeln!$A$7:$A$480,0))</f>
        <v>publicHoliday</v>
      </c>
      <c r="J376" s="11" t="s">
        <v>69</v>
      </c>
      <c r="K376" s="11" t="s">
        <v>476</v>
      </c>
      <c r="L376" s="11" t="str">
        <f>INDEX(Feiertagsregeln!$Y$7:$Y$480,MATCH($K376,Feiertagsregeln!$A$7:$A$480,0))</f>
        <v>SRC-NW-RTG-9211-20160101</v>
      </c>
      <c r="M376" s="11" t="str">
        <f>INDEX(Feiertagsregeln!$Z$7:$Z$480,MATCH($K376,Feiertagsregeln!$A$7:$A$480,0))</f>
        <v>Art. 2 Abs. 1 Ziff. 2</v>
      </c>
      <c r="N376" s="11" t="s">
        <v>193</v>
      </c>
      <c r="O376" s="11" t="str">
        <f>INDEX(Feiertagsregeln!$AA$7:$AA$480,MATCH($K376,Feiertagsregeln!$A$7:$A$480,0))</f>
        <v>Ganztägig</v>
      </c>
    </row>
    <row r="377" spans="1:15" ht="44" customHeight="1">
      <c r="A377" s="14">
        <f>INDEX(Feiertagsregeln!$X$7:$X$480,MATCH($K377,Feiertagsregeln!$A$7:$A$480,0))</f>
        <v>46753</v>
      </c>
      <c r="B377" s="10" t="str">
        <f t="shared" si="5"/>
        <v>Samstag</v>
      </c>
      <c r="C377" s="10" t="s">
        <v>477</v>
      </c>
      <c r="D377" s="10" t="s">
        <v>478</v>
      </c>
      <c r="E377" s="10" t="str">
        <f>INDEX(Feiertagsregeln!$D$7:$D$480,MATCH($K377,Feiertagsregeln!$A$7:$A$480,0))</f>
        <v>Neujahr</v>
      </c>
      <c r="F377" s="10" t="str">
        <f>INDEX(Feiertagsregeln!$E$7:$E$480,MATCH($K377,Feiertagsregeln!$A$7:$A$480,0))</f>
        <v>Nouvel An</v>
      </c>
      <c r="G377" s="21" t="str">
        <f>IF(INDEX(Feiertagsregeln!$F$7:$F$480,MATCH($K377,Feiertagsregeln!$A$7:$A$480,0))="","Noch zu erfassen",INDEX(Feiertagsregeln!$F$7:$F$480,MATCH($K377,Feiertagsregeln!$A$7:$A$480,0)))</f>
        <v>Capo d’anno</v>
      </c>
      <c r="H377" s="21" t="str">
        <f>IF(INDEX(Feiertagsregeln!$G$7:$G$480,MATCH($K377,Feiertagsregeln!$A$7:$A$480,0))="","Noch zu erfassen",INDEX(Feiertagsregeln!$G$7:$G$480,MATCH($K377,Feiertagsregeln!$A$7:$A$480,0)))</f>
        <v>Bumaun</v>
      </c>
      <c r="I377" s="10" t="str">
        <f>INDEX(Feiertagsregeln!$H$7:$H$480,MATCH($K377,Feiertagsregeln!$A$7:$A$480,0))</f>
        <v>publicHoliday</v>
      </c>
      <c r="J377" s="10" t="s">
        <v>69</v>
      </c>
      <c r="K377" s="10" t="s">
        <v>479</v>
      </c>
      <c r="L377" s="10" t="str">
        <f>INDEX(Feiertagsregeln!$Y$7:$Y$480,MATCH($K377,Feiertagsregeln!$A$7:$A$480,0))</f>
        <v>SRC-ZG-RLG-94231-20250822</v>
      </c>
      <c r="M377" s="10" t="str">
        <f>INDEX(Feiertagsregeln!$Z$7:$Z$480,MATCH($K377,Feiertagsregeln!$A$7:$A$480,0))</f>
        <v>§ 1 Abs. 1 Bst. b</v>
      </c>
      <c r="N377" s="10" t="s">
        <v>193</v>
      </c>
      <c r="O377" s="10" t="str">
        <f>INDEX(Feiertagsregeln!$AA$7:$AA$480,MATCH($K377,Feiertagsregeln!$A$7:$A$480,0))</f>
        <v>Ganztägig</v>
      </c>
    </row>
    <row r="378" spans="1:15" ht="44" customHeight="1">
      <c r="A378" s="15">
        <f>INDEX(Feiertagsregeln!$X$7:$X$480,MATCH($K378,Feiertagsregeln!$A$7:$A$480,0))</f>
        <v>46857</v>
      </c>
      <c r="B378" s="11" t="str">
        <f t="shared" si="5"/>
        <v>Freitag</v>
      </c>
      <c r="C378" s="11" t="s">
        <v>477</v>
      </c>
      <c r="D378" s="11" t="s">
        <v>478</v>
      </c>
      <c r="E378" s="11" t="str">
        <f>INDEX(Feiertagsregeln!$D$7:$D$480,MATCH($K378,Feiertagsregeln!$A$7:$A$480,0))</f>
        <v>Karfreitag</v>
      </c>
      <c r="F378" s="11" t="str">
        <f>INDEX(Feiertagsregeln!$E$7:$E$480,MATCH($K378,Feiertagsregeln!$A$7:$A$480,0))</f>
        <v>Vendredi saint</v>
      </c>
      <c r="G378" s="22" t="str">
        <f>IF(INDEX(Feiertagsregeln!$F$7:$F$480,MATCH($K378,Feiertagsregeln!$A$7:$A$480,0))="","Noch zu erfassen",INDEX(Feiertagsregeln!$F$7:$F$480,MATCH($K378,Feiertagsregeln!$A$7:$A$480,0)))</f>
        <v>Venerdì Santo</v>
      </c>
      <c r="H378" s="22" t="str">
        <f>IF(INDEX(Feiertagsregeln!$G$7:$G$480,MATCH($K378,Feiertagsregeln!$A$7:$A$480,0))="","Noch zu erfassen",INDEX(Feiertagsregeln!$G$7:$G$480,MATCH($K378,Feiertagsregeln!$A$7:$A$480,0)))</f>
        <v>Venderdi sontg</v>
      </c>
      <c r="I378" s="11" t="str">
        <f>INDEX(Feiertagsregeln!$H$7:$H$480,MATCH($K378,Feiertagsregeln!$A$7:$A$480,0))</f>
        <v>publicHoliday</v>
      </c>
      <c r="J378" s="11" t="s">
        <v>69</v>
      </c>
      <c r="K378" s="11" t="s">
        <v>480</v>
      </c>
      <c r="L378" s="11" t="str">
        <f>INDEX(Feiertagsregeln!$Y$7:$Y$480,MATCH($K378,Feiertagsregeln!$A$7:$A$480,0))</f>
        <v>SRC-ZG-RLG-94231-20250822</v>
      </c>
      <c r="M378" s="11" t="str">
        <f>INDEX(Feiertagsregeln!$Z$7:$Z$480,MATCH($K378,Feiertagsregeln!$A$7:$A$480,0))</f>
        <v>§ 1 Abs. 1 Bst. b</v>
      </c>
      <c r="N378" s="11" t="s">
        <v>193</v>
      </c>
      <c r="O378" s="11" t="str">
        <f>INDEX(Feiertagsregeln!$AA$7:$AA$480,MATCH($K378,Feiertagsregeln!$A$7:$A$480,0))</f>
        <v>Ganztägig</v>
      </c>
    </row>
    <row r="379" spans="1:15" ht="44" customHeight="1">
      <c r="A379" s="14">
        <f>INDEX(Feiertagsregeln!$X$7:$X$480,MATCH($K379,Feiertagsregeln!$A$7:$A$480,0))</f>
        <v>46898</v>
      </c>
      <c r="B379" s="10" t="str">
        <f t="shared" si="5"/>
        <v>Donnerstag</v>
      </c>
      <c r="C379" s="10" t="s">
        <v>477</v>
      </c>
      <c r="D379" s="10" t="s">
        <v>478</v>
      </c>
      <c r="E379" s="10" t="str">
        <f>INDEX(Feiertagsregeln!$D$7:$D$480,MATCH($K379,Feiertagsregeln!$A$7:$A$480,0))</f>
        <v>Auffahrt</v>
      </c>
      <c r="F379" s="10" t="str">
        <f>INDEX(Feiertagsregeln!$E$7:$E$480,MATCH($K379,Feiertagsregeln!$A$7:$A$480,0))</f>
        <v>Ascension</v>
      </c>
      <c r="G379" s="21" t="str">
        <f>IF(INDEX(Feiertagsregeln!$F$7:$F$480,MATCH($K379,Feiertagsregeln!$A$7:$A$480,0))="","Noch zu erfassen",INDEX(Feiertagsregeln!$F$7:$F$480,MATCH($K379,Feiertagsregeln!$A$7:$A$480,0)))</f>
        <v>Ascensione</v>
      </c>
      <c r="H379" s="21" t="str">
        <f>IF(INDEX(Feiertagsregeln!$G$7:$G$480,MATCH($K379,Feiertagsregeln!$A$7:$A$480,0))="","Noch zu erfassen",INDEX(Feiertagsregeln!$G$7:$G$480,MATCH($K379,Feiertagsregeln!$A$7:$A$480,0)))</f>
        <v>Ascensiun</v>
      </c>
      <c r="I379" s="10" t="str">
        <f>INDEX(Feiertagsregeln!$H$7:$H$480,MATCH($K379,Feiertagsregeln!$A$7:$A$480,0))</f>
        <v>publicHoliday</v>
      </c>
      <c r="J379" s="10" t="s">
        <v>69</v>
      </c>
      <c r="K379" s="10" t="s">
        <v>481</v>
      </c>
      <c r="L379" s="10" t="str">
        <f>INDEX(Feiertagsregeln!$Y$7:$Y$480,MATCH($K379,Feiertagsregeln!$A$7:$A$480,0))</f>
        <v>SRC-ZG-RLG-94231-20250822</v>
      </c>
      <c r="M379" s="10" t="str">
        <f>INDEX(Feiertagsregeln!$Z$7:$Z$480,MATCH($K379,Feiertagsregeln!$A$7:$A$480,0))</f>
        <v>§ 1 Abs. 1 Bst. b</v>
      </c>
      <c r="N379" s="10" t="s">
        <v>193</v>
      </c>
      <c r="O379" s="10" t="str">
        <f>INDEX(Feiertagsregeln!$AA$7:$AA$480,MATCH($K379,Feiertagsregeln!$A$7:$A$480,0))</f>
        <v>Ganztägig</v>
      </c>
    </row>
    <row r="380" spans="1:15" ht="44" customHeight="1">
      <c r="A380" s="15">
        <f>INDEX(Feiertagsregeln!$X$7:$X$480,MATCH($K380,Feiertagsregeln!$A$7:$A$480,0))</f>
        <v>46919</v>
      </c>
      <c r="B380" s="11" t="str">
        <f t="shared" si="5"/>
        <v>Donnerstag</v>
      </c>
      <c r="C380" s="11" t="s">
        <v>477</v>
      </c>
      <c r="D380" s="11" t="s">
        <v>478</v>
      </c>
      <c r="E380" s="11" t="str">
        <f>INDEX(Feiertagsregeln!$D$7:$D$480,MATCH($K380,Feiertagsregeln!$A$7:$A$480,0))</f>
        <v>Fronleichnam</v>
      </c>
      <c r="F380" s="11" t="str">
        <f>INDEX(Feiertagsregeln!$E$7:$E$480,MATCH($K380,Feiertagsregeln!$A$7:$A$480,0))</f>
        <v>Fête-Dieu</v>
      </c>
      <c r="G380" s="22" t="str">
        <f>IF(INDEX(Feiertagsregeln!$F$7:$F$480,MATCH($K380,Feiertagsregeln!$A$7:$A$480,0))="","Noch zu erfassen",INDEX(Feiertagsregeln!$F$7:$F$480,MATCH($K380,Feiertagsregeln!$A$7:$A$480,0)))</f>
        <v>Corpus Domini</v>
      </c>
      <c r="H380" s="22" t="str">
        <f>IF(INDEX(Feiertagsregeln!$G$7:$G$480,MATCH($K380,Feiertagsregeln!$A$7:$A$480,0))="","Noch zu erfassen",INDEX(Feiertagsregeln!$G$7:$G$480,MATCH($K380,Feiertagsregeln!$A$7:$A$480,0)))</f>
        <v>Sontgilcrest</v>
      </c>
      <c r="I380" s="11" t="str">
        <f>INDEX(Feiertagsregeln!$H$7:$H$480,MATCH($K380,Feiertagsregeln!$A$7:$A$480,0))</f>
        <v>publicHoliday</v>
      </c>
      <c r="J380" s="11" t="s">
        <v>69</v>
      </c>
      <c r="K380" s="11" t="s">
        <v>482</v>
      </c>
      <c r="L380" s="11" t="str">
        <f>INDEX(Feiertagsregeln!$Y$7:$Y$480,MATCH($K380,Feiertagsregeln!$A$7:$A$480,0))</f>
        <v>SRC-ZG-RLG-94231-20250822</v>
      </c>
      <c r="M380" s="11" t="str">
        <f>INDEX(Feiertagsregeln!$Z$7:$Z$480,MATCH($K380,Feiertagsregeln!$A$7:$A$480,0))</f>
        <v>§ 1 Abs. 1 Bst. b</v>
      </c>
      <c r="N380" s="11" t="s">
        <v>193</v>
      </c>
      <c r="O380" s="11" t="str">
        <f>INDEX(Feiertagsregeln!$AA$7:$AA$480,MATCH($K380,Feiertagsregeln!$A$7:$A$480,0))</f>
        <v>Ganztägig</v>
      </c>
    </row>
    <row r="381" spans="1:15" ht="44" customHeight="1">
      <c r="A381" s="14">
        <f>INDEX(Feiertagsregeln!$X$7:$X$480,MATCH($K381,Feiertagsregeln!$A$7:$A$480,0))</f>
        <v>46980</v>
      </c>
      <c r="B381" s="10" t="str">
        <f t="shared" si="5"/>
        <v>Dienstag</v>
      </c>
      <c r="C381" s="10" t="s">
        <v>477</v>
      </c>
      <c r="D381" s="10" t="s">
        <v>478</v>
      </c>
      <c r="E381" s="10" t="str">
        <f>INDEX(Feiertagsregeln!$D$7:$D$480,MATCH($K381,Feiertagsregeln!$A$7:$A$480,0))</f>
        <v>Mariä Himmelfahrt</v>
      </c>
      <c r="F381" s="10" t="str">
        <f>INDEX(Feiertagsregeln!$E$7:$E$480,MATCH($K381,Feiertagsregeln!$A$7:$A$480,0))</f>
        <v>Assomption</v>
      </c>
      <c r="G381" s="21" t="str">
        <f>IF(INDEX(Feiertagsregeln!$F$7:$F$480,MATCH($K381,Feiertagsregeln!$A$7:$A$480,0))="","Noch zu erfassen",INDEX(Feiertagsregeln!$F$7:$F$480,MATCH($K381,Feiertagsregeln!$A$7:$A$480,0)))</f>
        <v>Assunzione</v>
      </c>
      <c r="H381" s="21" t="str">
        <f>IF(INDEX(Feiertagsregeln!$G$7:$G$480,MATCH($K381,Feiertagsregeln!$A$7:$A$480,0))="","Noch zu erfassen",INDEX(Feiertagsregeln!$G$7:$G$480,MATCH($K381,Feiertagsregeln!$A$7:$A$480,0)))</f>
        <v>Nossadunna d’avust</v>
      </c>
      <c r="I381" s="10" t="str">
        <f>INDEX(Feiertagsregeln!$H$7:$H$480,MATCH($K381,Feiertagsregeln!$A$7:$A$480,0))</f>
        <v>publicHoliday</v>
      </c>
      <c r="J381" s="10" t="s">
        <v>69</v>
      </c>
      <c r="K381" s="10" t="s">
        <v>483</v>
      </c>
      <c r="L381" s="10" t="str">
        <f>INDEX(Feiertagsregeln!$Y$7:$Y$480,MATCH($K381,Feiertagsregeln!$A$7:$A$480,0))</f>
        <v>SRC-ZG-RLG-94231-20250822</v>
      </c>
      <c r="M381" s="10" t="str">
        <f>INDEX(Feiertagsregeln!$Z$7:$Z$480,MATCH($K381,Feiertagsregeln!$A$7:$A$480,0))</f>
        <v>§ 1 Abs. 1 Bst. b</v>
      </c>
      <c r="N381" s="10" t="s">
        <v>193</v>
      </c>
      <c r="O381" s="10" t="str">
        <f>INDEX(Feiertagsregeln!$AA$7:$AA$480,MATCH($K381,Feiertagsregeln!$A$7:$A$480,0))</f>
        <v>Ganztägig</v>
      </c>
    </row>
    <row r="382" spans="1:15" ht="44" customHeight="1">
      <c r="A382" s="15">
        <f>INDEX(Feiertagsregeln!$X$7:$X$480,MATCH($K382,Feiertagsregeln!$A$7:$A$480,0))</f>
        <v>47058</v>
      </c>
      <c r="B382" s="11" t="str">
        <f t="shared" si="5"/>
        <v>Mittwoch</v>
      </c>
      <c r="C382" s="11" t="s">
        <v>477</v>
      </c>
      <c r="D382" s="11" t="s">
        <v>478</v>
      </c>
      <c r="E382" s="11" t="str">
        <f>INDEX(Feiertagsregeln!$D$7:$D$480,MATCH($K382,Feiertagsregeln!$A$7:$A$480,0))</f>
        <v>Allerheiligen</v>
      </c>
      <c r="F382" s="11" t="str">
        <f>INDEX(Feiertagsregeln!$E$7:$E$480,MATCH($K382,Feiertagsregeln!$A$7:$A$480,0))</f>
        <v>Toussaint</v>
      </c>
      <c r="G382" s="22" t="str">
        <f>IF(INDEX(Feiertagsregeln!$F$7:$F$480,MATCH($K382,Feiertagsregeln!$A$7:$A$480,0))="","Noch zu erfassen",INDEX(Feiertagsregeln!$F$7:$F$480,MATCH($K382,Feiertagsregeln!$A$7:$A$480,0)))</f>
        <v>Ognissanti</v>
      </c>
      <c r="H382" s="22" t="str">
        <f>IF(INDEX(Feiertagsregeln!$G$7:$G$480,MATCH($K382,Feiertagsregeln!$A$7:$A$480,0))="","Noch zu erfassen",INDEX(Feiertagsregeln!$G$7:$G$480,MATCH($K382,Feiertagsregeln!$A$7:$A$480,0)))</f>
        <v>Numnasontga</v>
      </c>
      <c r="I382" s="11" t="str">
        <f>INDEX(Feiertagsregeln!$H$7:$H$480,MATCH($K382,Feiertagsregeln!$A$7:$A$480,0))</f>
        <v>publicHoliday</v>
      </c>
      <c r="J382" s="11" t="s">
        <v>69</v>
      </c>
      <c r="K382" s="11" t="s">
        <v>484</v>
      </c>
      <c r="L382" s="11" t="str">
        <f>INDEX(Feiertagsregeln!$Y$7:$Y$480,MATCH($K382,Feiertagsregeln!$A$7:$A$480,0))</f>
        <v>SRC-ZG-RLG-94231-20250822</v>
      </c>
      <c r="M382" s="11" t="str">
        <f>INDEX(Feiertagsregeln!$Z$7:$Z$480,MATCH($K382,Feiertagsregeln!$A$7:$A$480,0))</f>
        <v>§ 1 Abs. 1 Bst. b</v>
      </c>
      <c r="N382" s="11" t="s">
        <v>193</v>
      </c>
      <c r="O382" s="11" t="str">
        <f>INDEX(Feiertagsregeln!$AA$7:$AA$480,MATCH($K382,Feiertagsregeln!$A$7:$A$480,0))</f>
        <v>Ganztägig</v>
      </c>
    </row>
    <row r="383" spans="1:15" ht="44" customHeight="1">
      <c r="A383" s="14">
        <f>INDEX(Feiertagsregeln!$X$7:$X$480,MATCH($K383,Feiertagsregeln!$A$7:$A$480,0))</f>
        <v>47095</v>
      </c>
      <c r="B383" s="10" t="str">
        <f t="shared" si="5"/>
        <v>Freitag</v>
      </c>
      <c r="C383" s="10" t="s">
        <v>477</v>
      </c>
      <c r="D383" s="10" t="s">
        <v>478</v>
      </c>
      <c r="E383" s="10" t="str">
        <f>INDEX(Feiertagsregeln!$D$7:$D$480,MATCH($K383,Feiertagsregeln!$A$7:$A$480,0))</f>
        <v>Mariä Empfängnis</v>
      </c>
      <c r="F383" s="10" t="str">
        <f>INDEX(Feiertagsregeln!$E$7:$E$480,MATCH($K383,Feiertagsregeln!$A$7:$A$480,0))</f>
        <v>Immaculée Conception</v>
      </c>
      <c r="G383" s="21" t="str">
        <f>IF(INDEX(Feiertagsregeln!$F$7:$F$480,MATCH($K383,Feiertagsregeln!$A$7:$A$480,0))="","Noch zu erfassen",INDEX(Feiertagsregeln!$F$7:$F$480,MATCH($K383,Feiertagsregeln!$A$7:$A$480,0)))</f>
        <v>Immacolata</v>
      </c>
      <c r="H383" s="21" t="str">
        <f>IF(INDEX(Feiertagsregeln!$G$7:$G$480,MATCH($K383,Feiertagsregeln!$A$7:$A$480,0))="","Noch zu erfassen",INDEX(Feiertagsregeln!$G$7:$G$480,MATCH($K383,Feiertagsregeln!$A$7:$A$480,0)))</f>
        <v>Immaculada concepziun da Maria</v>
      </c>
      <c r="I383" s="10" t="str">
        <f>INDEX(Feiertagsregeln!$H$7:$H$480,MATCH($K383,Feiertagsregeln!$A$7:$A$480,0))</f>
        <v>publicHoliday</v>
      </c>
      <c r="J383" s="10" t="s">
        <v>69</v>
      </c>
      <c r="K383" s="10" t="s">
        <v>485</v>
      </c>
      <c r="L383" s="10" t="str">
        <f>INDEX(Feiertagsregeln!$Y$7:$Y$480,MATCH($K383,Feiertagsregeln!$A$7:$A$480,0))</f>
        <v>SRC-ZG-RLG-94231-20250822</v>
      </c>
      <c r="M383" s="10" t="str">
        <f>INDEX(Feiertagsregeln!$Z$7:$Z$480,MATCH($K383,Feiertagsregeln!$A$7:$A$480,0))</f>
        <v>§ 1 Abs. 1 Bst. b</v>
      </c>
      <c r="N383" s="10" t="s">
        <v>193</v>
      </c>
      <c r="O383" s="10" t="str">
        <f>INDEX(Feiertagsregeln!$AA$7:$AA$480,MATCH($K383,Feiertagsregeln!$A$7:$A$480,0))</f>
        <v>Ganztägig</v>
      </c>
    </row>
    <row r="384" spans="1:15" ht="44" customHeight="1">
      <c r="A384" s="15">
        <f>INDEX(Feiertagsregeln!$X$7:$X$480,MATCH($K384,Feiertagsregeln!$A$7:$A$480,0))</f>
        <v>47112</v>
      </c>
      <c r="B384" s="11" t="str">
        <f t="shared" si="5"/>
        <v>Montag</v>
      </c>
      <c r="C384" s="11" t="s">
        <v>477</v>
      </c>
      <c r="D384" s="11" t="s">
        <v>478</v>
      </c>
      <c r="E384" s="11" t="str">
        <f>INDEX(Feiertagsregeln!$D$7:$D$480,MATCH($K384,Feiertagsregeln!$A$7:$A$480,0))</f>
        <v>Weihnachten</v>
      </c>
      <c r="F384" s="11" t="str">
        <f>INDEX(Feiertagsregeln!$E$7:$E$480,MATCH($K384,Feiertagsregeln!$A$7:$A$480,0))</f>
        <v>Noël</v>
      </c>
      <c r="G384" s="22" t="str">
        <f>IF(INDEX(Feiertagsregeln!$F$7:$F$480,MATCH($K384,Feiertagsregeln!$A$7:$A$480,0))="","Noch zu erfassen",INDEX(Feiertagsregeln!$F$7:$F$480,MATCH($K384,Feiertagsregeln!$A$7:$A$480,0)))</f>
        <v>Natale</v>
      </c>
      <c r="H384" s="22" t="str">
        <f>IF(INDEX(Feiertagsregeln!$G$7:$G$480,MATCH($K384,Feiertagsregeln!$A$7:$A$480,0))="","Noch zu erfassen",INDEX(Feiertagsregeln!$G$7:$G$480,MATCH($K384,Feiertagsregeln!$A$7:$A$480,0)))</f>
        <v>Di da Nadal</v>
      </c>
      <c r="I384" s="11" t="str">
        <f>INDEX(Feiertagsregeln!$H$7:$H$480,MATCH($K384,Feiertagsregeln!$A$7:$A$480,0))</f>
        <v>publicHoliday</v>
      </c>
      <c r="J384" s="11" t="s">
        <v>69</v>
      </c>
      <c r="K384" s="11" t="s">
        <v>486</v>
      </c>
      <c r="L384" s="11" t="str">
        <f>INDEX(Feiertagsregeln!$Y$7:$Y$480,MATCH($K384,Feiertagsregeln!$A$7:$A$480,0))</f>
        <v>SRC-ZG-RLG-94231-20250822</v>
      </c>
      <c r="M384" s="11" t="str">
        <f>INDEX(Feiertagsregeln!$Z$7:$Z$480,MATCH($K384,Feiertagsregeln!$A$7:$A$480,0))</f>
        <v>§ 1 Abs. 1 Bst. b</v>
      </c>
      <c r="N384" s="11" t="s">
        <v>193</v>
      </c>
      <c r="O384" s="11" t="str">
        <f>INDEX(Feiertagsregeln!$AA$7:$AA$480,MATCH($K384,Feiertagsregeln!$A$7:$A$480,0))</f>
        <v>Ganztägig</v>
      </c>
    </row>
    <row r="385" spans="1:15" ht="44" customHeight="1">
      <c r="A385" s="14">
        <f>INDEX(Feiertagsregeln!$X$7:$X$480,MATCH($K385,Feiertagsregeln!$A$7:$A$480,0))</f>
        <v>46966</v>
      </c>
      <c r="B385" s="10" t="str">
        <f t="shared" si="5"/>
        <v>Dienstag</v>
      </c>
      <c r="C385" s="10" t="s">
        <v>477</v>
      </c>
      <c r="D385" s="10" t="s">
        <v>478</v>
      </c>
      <c r="E385" s="10" t="str">
        <f>INDEX(Feiertagsregeln!$D$7:$D$480,MATCH($K385,Feiertagsregeln!$A$7:$A$480,0))</f>
        <v>Bundesfeiertag</v>
      </c>
      <c r="F385" s="10" t="str">
        <f>INDEX(Feiertagsregeln!$E$7:$E$480,MATCH($K385,Feiertagsregeln!$A$7:$A$480,0))</f>
        <v>Fête nationale</v>
      </c>
      <c r="G385" s="21" t="str">
        <f>IF(INDEX(Feiertagsregeln!$F$7:$F$480,MATCH($K385,Feiertagsregeln!$A$7:$A$480,0))="","Noch zu erfassen",INDEX(Feiertagsregeln!$F$7:$F$480,MATCH($K385,Feiertagsregeln!$A$7:$A$480,0)))</f>
        <v>Primo agosto</v>
      </c>
      <c r="H385" s="21" t="str">
        <f>IF(INDEX(Feiertagsregeln!$G$7:$G$480,MATCH($K385,Feiertagsregeln!$A$7:$A$480,0))="","Noch zu erfassen",INDEX(Feiertagsregeln!$G$7:$G$480,MATCH($K385,Feiertagsregeln!$A$7:$A$480,0)))</f>
        <v>Festa naziunala svizra</v>
      </c>
      <c r="I385" s="10" t="str">
        <f>INDEX(Feiertagsregeln!$H$7:$H$480,MATCH($K385,Feiertagsregeln!$A$7:$A$480,0))</f>
        <v>publicHoliday</v>
      </c>
      <c r="J385" s="10" t="s">
        <v>69</v>
      </c>
      <c r="K385" s="10" t="s">
        <v>487</v>
      </c>
      <c r="L385" s="10" t="str">
        <f>INDEX(Feiertagsregeln!$Y$7:$Y$480,MATCH($K385,Feiertagsregeln!$A$7:$A$480,0))</f>
        <v>SRC-BUNDESFEIERTAG-19940701</v>
      </c>
      <c r="M385" s="10" t="str">
        <f>INDEX(Feiertagsregeln!$Z$7:$Z$480,MATCH($K385,Feiertagsregeln!$A$7:$A$480,0))</f>
        <v>SR 116 Art. 1, neue offene Anwendung auf dieses Geltungsprofil</v>
      </c>
      <c r="N385" s="10" t="s">
        <v>193</v>
      </c>
      <c r="O385" s="10" t="str">
        <f>INDEX(Feiertagsregeln!$AA$7:$AA$480,MATCH($K385,Feiertagsregeln!$A$7:$A$480,0))</f>
        <v>Ganztägig</v>
      </c>
    </row>
    <row r="386" spans="1:15" ht="44" customHeight="1">
      <c r="A386" s="15">
        <f>INDEX(Feiertagsregeln!$X$7:$X$480,MATCH($K386,Feiertagsregeln!$A$7:$A$480,0))</f>
        <v>46859</v>
      </c>
      <c r="B386" s="11" t="str">
        <f t="shared" si="5"/>
        <v>Sonntag</v>
      </c>
      <c r="C386" s="11" t="s">
        <v>477</v>
      </c>
      <c r="D386" s="11" t="s">
        <v>478</v>
      </c>
      <c r="E386" s="11" t="str">
        <f>INDEX(Feiertagsregeln!$D$7:$D$480,MATCH($K386,Feiertagsregeln!$A$7:$A$480,0))</f>
        <v>Ostern</v>
      </c>
      <c r="F386" s="11" t="str">
        <f>INDEX(Feiertagsregeln!$E$7:$E$480,MATCH($K386,Feiertagsregeln!$A$7:$A$480,0))</f>
        <v>Pâques</v>
      </c>
      <c r="G386" s="22" t="str">
        <f>IF(INDEX(Feiertagsregeln!$F$7:$F$480,MATCH($K386,Feiertagsregeln!$A$7:$A$480,0))="","Noch zu erfassen",INDEX(Feiertagsregeln!$F$7:$F$480,MATCH($K386,Feiertagsregeln!$A$7:$A$480,0)))</f>
        <v>Domenica di Pasqua</v>
      </c>
      <c r="H386" s="22" t="str">
        <f>IF(INDEX(Feiertagsregeln!$G$7:$G$480,MATCH($K386,Feiertagsregeln!$A$7:$A$480,0))="","Noch zu erfassen",INDEX(Feiertagsregeln!$G$7:$G$480,MATCH($K386,Feiertagsregeln!$A$7:$A$480,0)))</f>
        <v>Dumengia da Pasca</v>
      </c>
      <c r="I386" s="11" t="str">
        <f>INDEX(Feiertagsregeln!$H$7:$H$480,MATCH($K386,Feiertagsregeln!$A$7:$A$480,0))</f>
        <v>publicHoliday</v>
      </c>
      <c r="J386" s="11" t="s">
        <v>69</v>
      </c>
      <c r="K386" s="11" t="s">
        <v>488</v>
      </c>
      <c r="L386" s="11" t="str">
        <f>INDEX(Feiertagsregeln!$Y$7:$Y$480,MATCH($K386,Feiertagsregeln!$A$7:$A$480,0))</f>
        <v>SRC-ZG-RLG-94231-20250822</v>
      </c>
      <c r="M386" s="11" t="str">
        <f>INDEX(Feiertagsregeln!$Z$7:$Z$480,MATCH($K386,Feiertagsregeln!$A$7:$A$480,0))</f>
        <v>§ 5 Abs. 2, benannter Sonntag / § 1 Abs. 1 Bst. a</v>
      </c>
      <c r="N386" s="11" t="s">
        <v>193</v>
      </c>
      <c r="O386" s="11" t="str">
        <f>INDEX(Feiertagsregeln!$AA$7:$AA$480,MATCH($K386,Feiertagsregeln!$A$7:$A$480,0))</f>
        <v>Ganztägig</v>
      </c>
    </row>
    <row r="387" spans="1:15" ht="44" customHeight="1">
      <c r="A387" s="14">
        <f>INDEX(Feiertagsregeln!$X$7:$X$480,MATCH($K387,Feiertagsregeln!$A$7:$A$480,0))</f>
        <v>46908</v>
      </c>
      <c r="B387" s="10" t="str">
        <f t="shared" si="5"/>
        <v>Sonntag</v>
      </c>
      <c r="C387" s="10" t="s">
        <v>477</v>
      </c>
      <c r="D387" s="10" t="s">
        <v>478</v>
      </c>
      <c r="E387" s="10" t="str">
        <f>INDEX(Feiertagsregeln!$D$7:$D$480,MATCH($K387,Feiertagsregeln!$A$7:$A$480,0))</f>
        <v>Pfingsten</v>
      </c>
      <c r="F387" s="10" t="str">
        <f>INDEX(Feiertagsregeln!$E$7:$E$480,MATCH($K387,Feiertagsregeln!$A$7:$A$480,0))</f>
        <v>Pentecôte</v>
      </c>
      <c r="G387" s="21" t="str">
        <f>IF(INDEX(Feiertagsregeln!$F$7:$F$480,MATCH($K387,Feiertagsregeln!$A$7:$A$480,0))="","Noch zu erfassen",INDEX(Feiertagsregeln!$F$7:$F$480,MATCH($K387,Feiertagsregeln!$A$7:$A$480,0)))</f>
        <v>Domenica di Pentecoste</v>
      </c>
      <c r="H387" s="21" t="str">
        <f>IF(INDEX(Feiertagsregeln!$G$7:$G$480,MATCH($K387,Feiertagsregeln!$A$7:$A$480,0))="","Noch zu erfassen",INDEX(Feiertagsregeln!$G$7:$G$480,MATCH($K387,Feiertagsregeln!$A$7:$A$480,0)))</f>
        <v>Dumengia da Tschuncaisma</v>
      </c>
      <c r="I387" s="10" t="str">
        <f>INDEX(Feiertagsregeln!$H$7:$H$480,MATCH($K387,Feiertagsregeln!$A$7:$A$480,0))</f>
        <v>publicHoliday</v>
      </c>
      <c r="J387" s="10" t="s">
        <v>69</v>
      </c>
      <c r="K387" s="10" t="s">
        <v>489</v>
      </c>
      <c r="L387" s="10" t="str">
        <f>INDEX(Feiertagsregeln!$Y$7:$Y$480,MATCH($K387,Feiertagsregeln!$A$7:$A$480,0))</f>
        <v>SRC-ZG-RLG-94231-20250822</v>
      </c>
      <c r="M387" s="10" t="str">
        <f>INDEX(Feiertagsregeln!$Z$7:$Z$480,MATCH($K387,Feiertagsregeln!$A$7:$A$480,0))</f>
        <v>§ 5 Abs. 2, benannter Sonntag / § 1 Abs. 1 Bst. a</v>
      </c>
      <c r="N387" s="10" t="s">
        <v>193</v>
      </c>
      <c r="O387" s="10" t="str">
        <f>INDEX(Feiertagsregeln!$AA$7:$AA$480,MATCH($K387,Feiertagsregeln!$A$7:$A$480,0))</f>
        <v>Ganztägig</v>
      </c>
    </row>
    <row r="388" spans="1:15" ht="44" customHeight="1">
      <c r="A388" s="15">
        <f>INDEX(Feiertagsregeln!$X$7:$X$480,MATCH($K388,Feiertagsregeln!$A$7:$A$480,0))</f>
        <v>47013</v>
      </c>
      <c r="B388" s="11" t="str">
        <f t="shared" si="5"/>
        <v>Sonntag</v>
      </c>
      <c r="C388" s="11" t="s">
        <v>477</v>
      </c>
      <c r="D388" s="11" t="s">
        <v>478</v>
      </c>
      <c r="E388" s="11" t="str">
        <f>INDEX(Feiertagsregeln!$D$7:$D$480,MATCH($K388,Feiertagsregeln!$A$7:$A$480,0))</f>
        <v>Eidgenössischer Dank-, Buss- und Bettag</v>
      </c>
      <c r="F388" s="11" t="str">
        <f>INDEX(Feiertagsregeln!$E$7:$E$480,MATCH($K388,Feiertagsregeln!$A$7:$A$480,0))</f>
        <v>Jeûne fédéral</v>
      </c>
      <c r="G388" s="22" t="str">
        <f>IF(INDEX(Feiertagsregeln!$F$7:$F$480,MATCH($K388,Feiertagsregeln!$A$7:$A$480,0))="","Noch zu erfassen",INDEX(Feiertagsregeln!$F$7:$F$480,MATCH($K388,Feiertagsregeln!$A$7:$A$480,0)))</f>
        <v>Festa federale di preghiera</v>
      </c>
      <c r="H388" s="22" t="str">
        <f>IF(INDEX(Feiertagsregeln!$G$7:$G$480,MATCH($K388,Feiertagsregeln!$A$7:$A$480,0))="","Noch zu erfassen",INDEX(Feiertagsregeln!$G$7:$G$480,MATCH($K388,Feiertagsregeln!$A$7:$A$480,0)))</f>
        <v>Di da la rogaziun federala</v>
      </c>
      <c r="I388" s="11" t="str">
        <f>INDEX(Feiertagsregeln!$H$7:$H$480,MATCH($K388,Feiertagsregeln!$A$7:$A$480,0))</f>
        <v>publicHoliday</v>
      </c>
      <c r="J388" s="11" t="s">
        <v>69</v>
      </c>
      <c r="K388" s="11" t="s">
        <v>490</v>
      </c>
      <c r="L388" s="11" t="str">
        <f>INDEX(Feiertagsregeln!$Y$7:$Y$480,MATCH($K388,Feiertagsregeln!$A$7:$A$480,0))</f>
        <v>SRC-ZG-RLG-94231-20250822</v>
      </c>
      <c r="M388" s="11" t="str">
        <f>INDEX(Feiertagsregeln!$Z$7:$Z$480,MATCH($K388,Feiertagsregeln!$A$7:$A$480,0))</f>
        <v>§ 5 Abs. 2, benannter Sonntag / § 1 Abs. 1 Bst. a</v>
      </c>
      <c r="N388" s="11" t="s">
        <v>193</v>
      </c>
      <c r="O388" s="11" t="str">
        <f>INDEX(Feiertagsregeln!$AA$7:$AA$480,MATCH($K388,Feiertagsregeln!$A$7:$A$480,0))</f>
        <v>Ganztägig</v>
      </c>
    </row>
    <row r="389" spans="1:15" ht="44" customHeight="1">
      <c r="A389" s="14">
        <f>INDEX(Feiertagsregeln!$X$7:$X$480,MATCH($K389,Feiertagsregeln!$A$7:$A$480,0))</f>
        <v>46753</v>
      </c>
      <c r="B389" s="10" t="str">
        <f t="shared" si="5"/>
        <v>Samstag</v>
      </c>
      <c r="C389" s="10" t="s">
        <v>477</v>
      </c>
      <c r="D389" s="10" t="s">
        <v>491</v>
      </c>
      <c r="E389" s="10" t="str">
        <f>INDEX(Feiertagsregeln!$D$7:$D$480,MATCH($K389,Feiertagsregeln!$A$7:$A$480,0))</f>
        <v>Neujahr</v>
      </c>
      <c r="F389" s="10" t="str">
        <f>INDEX(Feiertagsregeln!$E$7:$E$480,MATCH($K389,Feiertagsregeln!$A$7:$A$480,0))</f>
        <v>Nouvel An</v>
      </c>
      <c r="G389" s="21" t="str">
        <f>IF(INDEX(Feiertagsregeln!$F$7:$F$480,MATCH($K389,Feiertagsregeln!$A$7:$A$480,0))="","Noch zu erfassen",INDEX(Feiertagsregeln!$F$7:$F$480,MATCH($K389,Feiertagsregeln!$A$7:$A$480,0)))</f>
        <v>Capo d’anno</v>
      </c>
      <c r="H389" s="21" t="str">
        <f>IF(INDEX(Feiertagsregeln!$G$7:$G$480,MATCH($K389,Feiertagsregeln!$A$7:$A$480,0))="","Noch zu erfassen",INDEX(Feiertagsregeln!$G$7:$G$480,MATCH($K389,Feiertagsregeln!$A$7:$A$480,0)))</f>
        <v>Bumaun</v>
      </c>
      <c r="I389" s="10" t="str">
        <f>INDEX(Feiertagsregeln!$H$7:$H$480,MATCH($K389,Feiertagsregeln!$A$7:$A$480,0))</f>
        <v>proceduralEquivalentDay</v>
      </c>
      <c r="J389" s="10" t="s">
        <v>69</v>
      </c>
      <c r="K389" s="10" t="s">
        <v>492</v>
      </c>
      <c r="L389" s="10" t="str">
        <f>INDEX(Feiertagsregeln!$Y$7:$Y$480,MATCH($K389,Feiertagsregeln!$A$7:$A$480,0))</f>
        <v>SRC-ZG-VRG-1621-20251017</v>
      </c>
      <c r="M389" s="10" t="str">
        <f>INDEX(Feiertagsregeln!$Z$7:$Z$480,MATCH($K389,Feiertagsregeln!$A$7:$A$480,0))</f>
        <v>§ 10 Abs. 3 und 4</v>
      </c>
      <c r="N389" s="10" t="s">
        <v>193</v>
      </c>
      <c r="O389" s="10" t="str">
        <f>INDEX(Feiertagsregeln!$AA$7:$AA$480,MATCH($K389,Feiertagsregeln!$A$7:$A$480,0))</f>
        <v>Ganztägig</v>
      </c>
    </row>
    <row r="390" spans="1:15" ht="44" customHeight="1">
      <c r="A390" s="15">
        <f>INDEX(Feiertagsregeln!$X$7:$X$480,MATCH($K390,Feiertagsregeln!$A$7:$A$480,0))</f>
        <v>46754</v>
      </c>
      <c r="B390" s="11" t="str">
        <f t="shared" si="5"/>
        <v>Sonntag</v>
      </c>
      <c r="C390" s="11" t="s">
        <v>477</v>
      </c>
      <c r="D390" s="11" t="s">
        <v>491</v>
      </c>
      <c r="E390" s="11" t="str">
        <f>INDEX(Feiertagsregeln!$D$7:$D$480,MATCH($K390,Feiertagsregeln!$A$7:$A$480,0))</f>
        <v>Berchtoldstag</v>
      </c>
      <c r="F390" s="11" t="str">
        <f>INDEX(Feiertagsregeln!$E$7:$E$480,MATCH($K390,Feiertagsregeln!$A$7:$A$480,0))</f>
        <v>Saint-Berchtold</v>
      </c>
      <c r="G390" s="22" t="str">
        <f>IF(INDEX(Feiertagsregeln!$F$7:$F$480,MATCH($K390,Feiertagsregeln!$A$7:$A$480,0))="","Noch zu erfassen",INDEX(Feiertagsregeln!$F$7:$F$480,MATCH($K390,Feiertagsregeln!$A$7:$A$480,0)))</f>
        <v>Giorno di Berchtold</v>
      </c>
      <c r="H390" s="22" t="str">
        <f>IF(INDEX(Feiertagsregeln!$G$7:$G$480,MATCH($K390,Feiertagsregeln!$A$7:$A$480,0))="","Noch zu erfassen",INDEX(Feiertagsregeln!$G$7:$G$480,MATCH($K390,Feiertagsregeln!$A$7:$A$480,0)))</f>
        <v>Di da Berchtold</v>
      </c>
      <c r="I390" s="11" t="str">
        <f>INDEX(Feiertagsregeln!$H$7:$H$480,MATCH($K390,Feiertagsregeln!$A$7:$A$480,0))</f>
        <v>proceduralEquivalentDay</v>
      </c>
      <c r="J390" s="11" t="s">
        <v>69</v>
      </c>
      <c r="K390" s="11" t="s">
        <v>493</v>
      </c>
      <c r="L390" s="11" t="str">
        <f>INDEX(Feiertagsregeln!$Y$7:$Y$480,MATCH($K390,Feiertagsregeln!$A$7:$A$480,0))</f>
        <v>SRC-ZG-VRG-1621-20251017</v>
      </c>
      <c r="M390" s="11" t="str">
        <f>INDEX(Feiertagsregeln!$Z$7:$Z$480,MATCH($K390,Feiertagsregeln!$A$7:$A$480,0))</f>
        <v>§ 10 Abs. 3 und 4</v>
      </c>
      <c r="N390" s="11" t="s">
        <v>193</v>
      </c>
      <c r="O390" s="11" t="str">
        <f>INDEX(Feiertagsregeln!$AA$7:$AA$480,MATCH($K390,Feiertagsregeln!$A$7:$A$480,0))</f>
        <v>Ganztägig</v>
      </c>
    </row>
    <row r="391" spans="1:15" ht="44" customHeight="1">
      <c r="A391" s="14">
        <f>INDEX(Feiertagsregeln!$X$7:$X$480,MATCH($K391,Feiertagsregeln!$A$7:$A$480,0))</f>
        <v>46857</v>
      </c>
      <c r="B391" s="10" t="str">
        <f t="shared" ref="B391:B454" si="6">IF(ISNUMBER(A391),CHOOSE(WEEKDAY(A391,2),"Montag","Dienstag","Mittwoch","Donnerstag","Freitag","Samstag","Sonntag")&amp;IF(O391="Ab 12.00 Uhr",", ab 12.00 Uhr",""),"n.a.")</f>
        <v>Freitag</v>
      </c>
      <c r="C391" s="10" t="s">
        <v>477</v>
      </c>
      <c r="D391" s="10" t="s">
        <v>491</v>
      </c>
      <c r="E391" s="10" t="str">
        <f>INDEX(Feiertagsregeln!$D$7:$D$480,MATCH($K391,Feiertagsregeln!$A$7:$A$480,0))</f>
        <v>Karfreitag</v>
      </c>
      <c r="F391" s="10" t="str">
        <f>INDEX(Feiertagsregeln!$E$7:$E$480,MATCH($K391,Feiertagsregeln!$A$7:$A$480,0))</f>
        <v>Vendredi saint</v>
      </c>
      <c r="G391" s="21" t="str">
        <f>IF(INDEX(Feiertagsregeln!$F$7:$F$480,MATCH($K391,Feiertagsregeln!$A$7:$A$480,0))="","Noch zu erfassen",INDEX(Feiertagsregeln!$F$7:$F$480,MATCH($K391,Feiertagsregeln!$A$7:$A$480,0)))</f>
        <v>Venerdì Santo</v>
      </c>
      <c r="H391" s="21" t="str">
        <f>IF(INDEX(Feiertagsregeln!$G$7:$G$480,MATCH($K391,Feiertagsregeln!$A$7:$A$480,0))="","Noch zu erfassen",INDEX(Feiertagsregeln!$G$7:$G$480,MATCH($K391,Feiertagsregeln!$A$7:$A$480,0)))</f>
        <v>Venderdi sontg</v>
      </c>
      <c r="I391" s="10" t="str">
        <f>INDEX(Feiertagsregeln!$H$7:$H$480,MATCH($K391,Feiertagsregeln!$A$7:$A$480,0))</f>
        <v>proceduralEquivalentDay</v>
      </c>
      <c r="J391" s="10" t="s">
        <v>69</v>
      </c>
      <c r="K391" s="10" t="s">
        <v>494</v>
      </c>
      <c r="L391" s="10" t="str">
        <f>INDEX(Feiertagsregeln!$Y$7:$Y$480,MATCH($K391,Feiertagsregeln!$A$7:$A$480,0))</f>
        <v>SRC-ZG-VRG-1621-20251017</v>
      </c>
      <c r="M391" s="10" t="str">
        <f>INDEX(Feiertagsregeln!$Z$7:$Z$480,MATCH($K391,Feiertagsregeln!$A$7:$A$480,0))</f>
        <v>§ 10 Abs. 3 und 4</v>
      </c>
      <c r="N391" s="10" t="s">
        <v>193</v>
      </c>
      <c r="O391" s="10" t="str">
        <f>INDEX(Feiertagsregeln!$AA$7:$AA$480,MATCH($K391,Feiertagsregeln!$A$7:$A$480,0))</f>
        <v>Ganztägig</v>
      </c>
    </row>
    <row r="392" spans="1:15" ht="44" customHeight="1">
      <c r="A392" s="15">
        <f>INDEX(Feiertagsregeln!$X$7:$X$480,MATCH($K392,Feiertagsregeln!$A$7:$A$480,0))</f>
        <v>46859</v>
      </c>
      <c r="B392" s="11" t="str">
        <f t="shared" si="6"/>
        <v>Sonntag</v>
      </c>
      <c r="C392" s="11" t="s">
        <v>477</v>
      </c>
      <c r="D392" s="11" t="s">
        <v>491</v>
      </c>
      <c r="E392" s="11" t="str">
        <f>INDEX(Feiertagsregeln!$D$7:$D$480,MATCH($K392,Feiertagsregeln!$A$7:$A$480,0))</f>
        <v>Ostern</v>
      </c>
      <c r="F392" s="11" t="str">
        <f>INDEX(Feiertagsregeln!$E$7:$E$480,MATCH($K392,Feiertagsregeln!$A$7:$A$480,0))</f>
        <v>Pâques</v>
      </c>
      <c r="G392" s="22" t="str">
        <f>IF(INDEX(Feiertagsregeln!$F$7:$F$480,MATCH($K392,Feiertagsregeln!$A$7:$A$480,0))="","Noch zu erfassen",INDEX(Feiertagsregeln!$F$7:$F$480,MATCH($K392,Feiertagsregeln!$A$7:$A$480,0)))</f>
        <v>Domenica di Pasqua</v>
      </c>
      <c r="H392" s="22" t="str">
        <f>IF(INDEX(Feiertagsregeln!$G$7:$G$480,MATCH($K392,Feiertagsregeln!$A$7:$A$480,0))="","Noch zu erfassen",INDEX(Feiertagsregeln!$G$7:$G$480,MATCH($K392,Feiertagsregeln!$A$7:$A$480,0)))</f>
        <v>Dumengia da Pasca</v>
      </c>
      <c r="I392" s="11" t="str">
        <f>INDEX(Feiertagsregeln!$H$7:$H$480,MATCH($K392,Feiertagsregeln!$A$7:$A$480,0))</f>
        <v>proceduralEquivalentDay</v>
      </c>
      <c r="J392" s="11" t="s">
        <v>69</v>
      </c>
      <c r="K392" s="11" t="s">
        <v>495</v>
      </c>
      <c r="L392" s="11" t="str">
        <f>INDEX(Feiertagsregeln!$Y$7:$Y$480,MATCH($K392,Feiertagsregeln!$A$7:$A$480,0))</f>
        <v>SRC-ZG-VRG-1621-20251017</v>
      </c>
      <c r="M392" s="11" t="str">
        <f>INDEX(Feiertagsregeln!$Z$7:$Z$480,MATCH($K392,Feiertagsregeln!$A$7:$A$480,0))</f>
        <v>§ 10 Abs. 3 und 4</v>
      </c>
      <c r="N392" s="11" t="s">
        <v>193</v>
      </c>
      <c r="O392" s="11" t="str">
        <f>INDEX(Feiertagsregeln!$AA$7:$AA$480,MATCH($K392,Feiertagsregeln!$A$7:$A$480,0))</f>
        <v>Ganztägig</v>
      </c>
    </row>
    <row r="393" spans="1:15" ht="44" customHeight="1">
      <c r="A393" s="14">
        <f>INDEX(Feiertagsregeln!$X$7:$X$480,MATCH($K393,Feiertagsregeln!$A$7:$A$480,0))</f>
        <v>46860</v>
      </c>
      <c r="B393" s="10" t="str">
        <f t="shared" si="6"/>
        <v>Montag</v>
      </c>
      <c r="C393" s="10" t="s">
        <v>477</v>
      </c>
      <c r="D393" s="10" t="s">
        <v>491</v>
      </c>
      <c r="E393" s="10" t="str">
        <f>INDEX(Feiertagsregeln!$D$7:$D$480,MATCH($K393,Feiertagsregeln!$A$7:$A$480,0))</f>
        <v>Ostermontag</v>
      </c>
      <c r="F393" s="10" t="str">
        <f>INDEX(Feiertagsregeln!$E$7:$E$480,MATCH($K393,Feiertagsregeln!$A$7:$A$480,0))</f>
        <v>Lundi de Pâques</v>
      </c>
      <c r="G393" s="21" t="str">
        <f>IF(INDEX(Feiertagsregeln!$F$7:$F$480,MATCH($K393,Feiertagsregeln!$A$7:$A$480,0))="","Noch zu erfassen",INDEX(Feiertagsregeln!$F$7:$F$480,MATCH($K393,Feiertagsregeln!$A$7:$A$480,0)))</f>
        <v>Lunedì di Pasqua</v>
      </c>
      <c r="H393" s="21" t="str">
        <f>IF(INDEX(Feiertagsregeln!$G$7:$G$480,MATCH($K393,Feiertagsregeln!$A$7:$A$480,0))="","Noch zu erfassen",INDEX(Feiertagsregeln!$G$7:$G$480,MATCH($K393,Feiertagsregeln!$A$7:$A$480,0)))</f>
        <v>Glindesdi da Pasca</v>
      </c>
      <c r="I393" s="10" t="str">
        <f>INDEX(Feiertagsregeln!$H$7:$H$480,MATCH($K393,Feiertagsregeln!$A$7:$A$480,0))</f>
        <v>proceduralEquivalentDay</v>
      </c>
      <c r="J393" s="10" t="s">
        <v>69</v>
      </c>
      <c r="K393" s="10" t="s">
        <v>496</v>
      </c>
      <c r="L393" s="10" t="str">
        <f>INDEX(Feiertagsregeln!$Y$7:$Y$480,MATCH($K393,Feiertagsregeln!$A$7:$A$480,0))</f>
        <v>SRC-ZG-VRG-1621-20251017</v>
      </c>
      <c r="M393" s="10" t="str">
        <f>INDEX(Feiertagsregeln!$Z$7:$Z$480,MATCH($K393,Feiertagsregeln!$A$7:$A$480,0))</f>
        <v>§ 10 Abs. 3 und 4</v>
      </c>
      <c r="N393" s="10" t="s">
        <v>193</v>
      </c>
      <c r="O393" s="10" t="str">
        <f>INDEX(Feiertagsregeln!$AA$7:$AA$480,MATCH($K393,Feiertagsregeln!$A$7:$A$480,0))</f>
        <v>Ganztägig</v>
      </c>
    </row>
    <row r="394" spans="1:15" ht="44" customHeight="1">
      <c r="A394" s="15">
        <f>INDEX(Feiertagsregeln!$X$7:$X$480,MATCH($K394,Feiertagsregeln!$A$7:$A$480,0))</f>
        <v>46898</v>
      </c>
      <c r="B394" s="11" t="str">
        <f t="shared" si="6"/>
        <v>Donnerstag</v>
      </c>
      <c r="C394" s="11" t="s">
        <v>477</v>
      </c>
      <c r="D394" s="11" t="s">
        <v>491</v>
      </c>
      <c r="E394" s="11" t="str">
        <f>INDEX(Feiertagsregeln!$D$7:$D$480,MATCH($K394,Feiertagsregeln!$A$7:$A$480,0))</f>
        <v>Auffahrt</v>
      </c>
      <c r="F394" s="11" t="str">
        <f>INDEX(Feiertagsregeln!$E$7:$E$480,MATCH($K394,Feiertagsregeln!$A$7:$A$480,0))</f>
        <v>Ascension</v>
      </c>
      <c r="G394" s="22" t="str">
        <f>IF(INDEX(Feiertagsregeln!$F$7:$F$480,MATCH($K394,Feiertagsregeln!$A$7:$A$480,0))="","Noch zu erfassen",INDEX(Feiertagsregeln!$F$7:$F$480,MATCH($K394,Feiertagsregeln!$A$7:$A$480,0)))</f>
        <v>Ascensione</v>
      </c>
      <c r="H394" s="22" t="str">
        <f>IF(INDEX(Feiertagsregeln!$G$7:$G$480,MATCH($K394,Feiertagsregeln!$A$7:$A$480,0))="","Noch zu erfassen",INDEX(Feiertagsregeln!$G$7:$G$480,MATCH($K394,Feiertagsregeln!$A$7:$A$480,0)))</f>
        <v>Ascensiun</v>
      </c>
      <c r="I394" s="11" t="str">
        <f>INDEX(Feiertagsregeln!$H$7:$H$480,MATCH($K394,Feiertagsregeln!$A$7:$A$480,0))</f>
        <v>proceduralEquivalentDay</v>
      </c>
      <c r="J394" s="11" t="s">
        <v>69</v>
      </c>
      <c r="K394" s="11" t="s">
        <v>497</v>
      </c>
      <c r="L394" s="11" t="str">
        <f>INDEX(Feiertagsregeln!$Y$7:$Y$480,MATCH($K394,Feiertagsregeln!$A$7:$A$480,0))</f>
        <v>SRC-ZG-VRG-1621-20251017</v>
      </c>
      <c r="M394" s="11" t="str">
        <f>INDEX(Feiertagsregeln!$Z$7:$Z$480,MATCH($K394,Feiertagsregeln!$A$7:$A$480,0))</f>
        <v>§ 10 Abs. 3 und 4</v>
      </c>
      <c r="N394" s="11" t="s">
        <v>193</v>
      </c>
      <c r="O394" s="11" t="str">
        <f>INDEX(Feiertagsregeln!$AA$7:$AA$480,MATCH($K394,Feiertagsregeln!$A$7:$A$480,0))</f>
        <v>Ganztägig</v>
      </c>
    </row>
    <row r="395" spans="1:15" ht="44" customHeight="1">
      <c r="A395" s="14">
        <f>INDEX(Feiertagsregeln!$X$7:$X$480,MATCH($K395,Feiertagsregeln!$A$7:$A$480,0))</f>
        <v>46908</v>
      </c>
      <c r="B395" s="10" t="str">
        <f t="shared" si="6"/>
        <v>Sonntag</v>
      </c>
      <c r="C395" s="10" t="s">
        <v>477</v>
      </c>
      <c r="D395" s="10" t="s">
        <v>491</v>
      </c>
      <c r="E395" s="10" t="str">
        <f>INDEX(Feiertagsregeln!$D$7:$D$480,MATCH($K395,Feiertagsregeln!$A$7:$A$480,0))</f>
        <v>Pfingsten</v>
      </c>
      <c r="F395" s="10" t="str">
        <f>INDEX(Feiertagsregeln!$E$7:$E$480,MATCH($K395,Feiertagsregeln!$A$7:$A$480,0))</f>
        <v>Pentecôte</v>
      </c>
      <c r="G395" s="21" t="str">
        <f>IF(INDEX(Feiertagsregeln!$F$7:$F$480,MATCH($K395,Feiertagsregeln!$A$7:$A$480,0))="","Noch zu erfassen",INDEX(Feiertagsregeln!$F$7:$F$480,MATCH($K395,Feiertagsregeln!$A$7:$A$480,0)))</f>
        <v>Domenica di Pentecoste</v>
      </c>
      <c r="H395" s="21" t="str">
        <f>IF(INDEX(Feiertagsregeln!$G$7:$G$480,MATCH($K395,Feiertagsregeln!$A$7:$A$480,0))="","Noch zu erfassen",INDEX(Feiertagsregeln!$G$7:$G$480,MATCH($K395,Feiertagsregeln!$A$7:$A$480,0)))</f>
        <v>Dumengia da Tschuncaisma</v>
      </c>
      <c r="I395" s="10" t="str">
        <f>INDEX(Feiertagsregeln!$H$7:$H$480,MATCH($K395,Feiertagsregeln!$A$7:$A$480,0))</f>
        <v>proceduralEquivalentDay</v>
      </c>
      <c r="J395" s="10" t="s">
        <v>69</v>
      </c>
      <c r="K395" s="10" t="s">
        <v>498</v>
      </c>
      <c r="L395" s="10" t="str">
        <f>INDEX(Feiertagsregeln!$Y$7:$Y$480,MATCH($K395,Feiertagsregeln!$A$7:$A$480,0))</f>
        <v>SRC-ZG-VRG-1621-20251017</v>
      </c>
      <c r="M395" s="10" t="str">
        <f>INDEX(Feiertagsregeln!$Z$7:$Z$480,MATCH($K395,Feiertagsregeln!$A$7:$A$480,0))</f>
        <v>§ 10 Abs. 3 und 4</v>
      </c>
      <c r="N395" s="10" t="s">
        <v>193</v>
      </c>
      <c r="O395" s="10" t="str">
        <f>INDEX(Feiertagsregeln!$AA$7:$AA$480,MATCH($K395,Feiertagsregeln!$A$7:$A$480,0))</f>
        <v>Ganztägig</v>
      </c>
    </row>
    <row r="396" spans="1:15" ht="44" customHeight="1">
      <c r="A396" s="15">
        <f>INDEX(Feiertagsregeln!$X$7:$X$480,MATCH($K396,Feiertagsregeln!$A$7:$A$480,0))</f>
        <v>46909</v>
      </c>
      <c r="B396" s="11" t="str">
        <f t="shared" si="6"/>
        <v>Montag</v>
      </c>
      <c r="C396" s="11" t="s">
        <v>477</v>
      </c>
      <c r="D396" s="11" t="s">
        <v>491</v>
      </c>
      <c r="E396" s="11" t="str">
        <f>INDEX(Feiertagsregeln!$D$7:$D$480,MATCH($K396,Feiertagsregeln!$A$7:$A$480,0))</f>
        <v>Pfingstmontag</v>
      </c>
      <c r="F396" s="11" t="str">
        <f>INDEX(Feiertagsregeln!$E$7:$E$480,MATCH($K396,Feiertagsregeln!$A$7:$A$480,0))</f>
        <v>Lundi de Pentecôte</v>
      </c>
      <c r="G396" s="22" t="str">
        <f>IF(INDEX(Feiertagsregeln!$F$7:$F$480,MATCH($K396,Feiertagsregeln!$A$7:$A$480,0))="","Noch zu erfassen",INDEX(Feiertagsregeln!$F$7:$F$480,MATCH($K396,Feiertagsregeln!$A$7:$A$480,0)))</f>
        <v>Lunedì di Pentecoste</v>
      </c>
      <c r="H396" s="22" t="str">
        <f>IF(INDEX(Feiertagsregeln!$G$7:$G$480,MATCH($K396,Feiertagsregeln!$A$7:$A$480,0))="","Noch zu erfassen",INDEX(Feiertagsregeln!$G$7:$G$480,MATCH($K396,Feiertagsregeln!$A$7:$A$480,0)))</f>
        <v>Glindesdi da Tschuncaisma</v>
      </c>
      <c r="I396" s="11" t="str">
        <f>INDEX(Feiertagsregeln!$H$7:$H$480,MATCH($K396,Feiertagsregeln!$A$7:$A$480,0))</f>
        <v>proceduralEquivalentDay</v>
      </c>
      <c r="J396" s="11" t="s">
        <v>69</v>
      </c>
      <c r="K396" s="11" t="s">
        <v>499</v>
      </c>
      <c r="L396" s="11" t="str">
        <f>INDEX(Feiertagsregeln!$Y$7:$Y$480,MATCH($K396,Feiertagsregeln!$A$7:$A$480,0))</f>
        <v>SRC-ZG-VRG-1621-20251017</v>
      </c>
      <c r="M396" s="11" t="str">
        <f>INDEX(Feiertagsregeln!$Z$7:$Z$480,MATCH($K396,Feiertagsregeln!$A$7:$A$480,0))</f>
        <v>§ 10 Abs. 3 und 4</v>
      </c>
      <c r="N396" s="11" t="s">
        <v>193</v>
      </c>
      <c r="O396" s="11" t="str">
        <f>INDEX(Feiertagsregeln!$AA$7:$AA$480,MATCH($K396,Feiertagsregeln!$A$7:$A$480,0))</f>
        <v>Ganztägig</v>
      </c>
    </row>
    <row r="397" spans="1:15" ht="44" customHeight="1">
      <c r="A397" s="14">
        <f>INDEX(Feiertagsregeln!$X$7:$X$480,MATCH($K397,Feiertagsregeln!$A$7:$A$480,0))</f>
        <v>46919</v>
      </c>
      <c r="B397" s="10" t="str">
        <f t="shared" si="6"/>
        <v>Donnerstag</v>
      </c>
      <c r="C397" s="10" t="s">
        <v>477</v>
      </c>
      <c r="D397" s="10" t="s">
        <v>491</v>
      </c>
      <c r="E397" s="10" t="str">
        <f>INDEX(Feiertagsregeln!$D$7:$D$480,MATCH($K397,Feiertagsregeln!$A$7:$A$480,0))</f>
        <v>Fronleichnam</v>
      </c>
      <c r="F397" s="10" t="str">
        <f>INDEX(Feiertagsregeln!$E$7:$E$480,MATCH($K397,Feiertagsregeln!$A$7:$A$480,0))</f>
        <v>Fête-Dieu</v>
      </c>
      <c r="G397" s="21" t="str">
        <f>IF(INDEX(Feiertagsregeln!$F$7:$F$480,MATCH($K397,Feiertagsregeln!$A$7:$A$480,0))="","Noch zu erfassen",INDEX(Feiertagsregeln!$F$7:$F$480,MATCH($K397,Feiertagsregeln!$A$7:$A$480,0)))</f>
        <v>Corpus Domini</v>
      </c>
      <c r="H397" s="21" t="str">
        <f>IF(INDEX(Feiertagsregeln!$G$7:$G$480,MATCH($K397,Feiertagsregeln!$A$7:$A$480,0))="","Noch zu erfassen",INDEX(Feiertagsregeln!$G$7:$G$480,MATCH($K397,Feiertagsregeln!$A$7:$A$480,0)))</f>
        <v>Sontgilcrest</v>
      </c>
      <c r="I397" s="10" t="str">
        <f>INDEX(Feiertagsregeln!$H$7:$H$480,MATCH($K397,Feiertagsregeln!$A$7:$A$480,0))</f>
        <v>proceduralEquivalentDay</v>
      </c>
      <c r="J397" s="10" t="s">
        <v>69</v>
      </c>
      <c r="K397" s="10" t="s">
        <v>500</v>
      </c>
      <c r="L397" s="10" t="str">
        <f>INDEX(Feiertagsregeln!$Y$7:$Y$480,MATCH($K397,Feiertagsregeln!$A$7:$A$480,0))</f>
        <v>SRC-ZG-VRG-1621-20251017</v>
      </c>
      <c r="M397" s="10" t="str">
        <f>INDEX(Feiertagsregeln!$Z$7:$Z$480,MATCH($K397,Feiertagsregeln!$A$7:$A$480,0))</f>
        <v>§ 10 Abs. 3 und 4</v>
      </c>
      <c r="N397" s="10" t="s">
        <v>193</v>
      </c>
      <c r="O397" s="10" t="str">
        <f>INDEX(Feiertagsregeln!$AA$7:$AA$480,MATCH($K397,Feiertagsregeln!$A$7:$A$480,0))</f>
        <v>Ganztägig</v>
      </c>
    </row>
    <row r="398" spans="1:15" ht="44" customHeight="1">
      <c r="A398" s="15">
        <f>INDEX(Feiertagsregeln!$X$7:$X$480,MATCH($K398,Feiertagsregeln!$A$7:$A$480,0))</f>
        <v>46966</v>
      </c>
      <c r="B398" s="11" t="str">
        <f t="shared" si="6"/>
        <v>Dienstag</v>
      </c>
      <c r="C398" s="11" t="s">
        <v>477</v>
      </c>
      <c r="D398" s="11" t="s">
        <v>491</v>
      </c>
      <c r="E398" s="11" t="str">
        <f>INDEX(Feiertagsregeln!$D$7:$D$480,MATCH($K398,Feiertagsregeln!$A$7:$A$480,0))</f>
        <v>Bundesfeiertag</v>
      </c>
      <c r="F398" s="11" t="str">
        <f>INDEX(Feiertagsregeln!$E$7:$E$480,MATCH($K398,Feiertagsregeln!$A$7:$A$480,0))</f>
        <v>Fête nationale</v>
      </c>
      <c r="G398" s="22" t="str">
        <f>IF(INDEX(Feiertagsregeln!$F$7:$F$480,MATCH($K398,Feiertagsregeln!$A$7:$A$480,0))="","Noch zu erfassen",INDEX(Feiertagsregeln!$F$7:$F$480,MATCH($K398,Feiertagsregeln!$A$7:$A$480,0)))</f>
        <v>Primo agosto</v>
      </c>
      <c r="H398" s="22" t="str">
        <f>IF(INDEX(Feiertagsregeln!$G$7:$G$480,MATCH($K398,Feiertagsregeln!$A$7:$A$480,0))="","Noch zu erfassen",INDEX(Feiertagsregeln!$G$7:$G$480,MATCH($K398,Feiertagsregeln!$A$7:$A$480,0)))</f>
        <v>Festa naziunala svizra</v>
      </c>
      <c r="I398" s="11" t="str">
        <f>INDEX(Feiertagsregeln!$H$7:$H$480,MATCH($K398,Feiertagsregeln!$A$7:$A$480,0))</f>
        <v>proceduralEquivalentDay</v>
      </c>
      <c r="J398" s="11" t="s">
        <v>69</v>
      </c>
      <c r="K398" s="11" t="s">
        <v>501</v>
      </c>
      <c r="L398" s="11" t="str">
        <f>INDEX(Feiertagsregeln!$Y$7:$Y$480,MATCH($K398,Feiertagsregeln!$A$7:$A$480,0))</f>
        <v>SRC-ZG-VRG-1621-20251017</v>
      </c>
      <c r="M398" s="11" t="str">
        <f>INDEX(Feiertagsregeln!$Z$7:$Z$480,MATCH($K398,Feiertagsregeln!$A$7:$A$480,0))</f>
        <v>§ 10 Abs. 3 und 4</v>
      </c>
      <c r="N398" s="11" t="s">
        <v>193</v>
      </c>
      <c r="O398" s="11" t="str">
        <f>INDEX(Feiertagsregeln!$AA$7:$AA$480,MATCH($K398,Feiertagsregeln!$A$7:$A$480,0))</f>
        <v>Ganztägig</v>
      </c>
    </row>
    <row r="399" spans="1:15" ht="44" customHeight="1">
      <c r="A399" s="14">
        <f>INDEX(Feiertagsregeln!$X$7:$X$480,MATCH($K399,Feiertagsregeln!$A$7:$A$480,0))</f>
        <v>46980</v>
      </c>
      <c r="B399" s="10" t="str">
        <f t="shared" si="6"/>
        <v>Dienstag</v>
      </c>
      <c r="C399" s="10" t="s">
        <v>477</v>
      </c>
      <c r="D399" s="10" t="s">
        <v>491</v>
      </c>
      <c r="E399" s="10" t="str">
        <f>INDEX(Feiertagsregeln!$D$7:$D$480,MATCH($K399,Feiertagsregeln!$A$7:$A$480,0))</f>
        <v>Mariä Himmelfahrt</v>
      </c>
      <c r="F399" s="10" t="str">
        <f>INDEX(Feiertagsregeln!$E$7:$E$480,MATCH($K399,Feiertagsregeln!$A$7:$A$480,0))</f>
        <v>Assomption</v>
      </c>
      <c r="G399" s="21" t="str">
        <f>IF(INDEX(Feiertagsregeln!$F$7:$F$480,MATCH($K399,Feiertagsregeln!$A$7:$A$480,0))="","Noch zu erfassen",INDEX(Feiertagsregeln!$F$7:$F$480,MATCH($K399,Feiertagsregeln!$A$7:$A$480,0)))</f>
        <v>Assunzione</v>
      </c>
      <c r="H399" s="21" t="str">
        <f>IF(INDEX(Feiertagsregeln!$G$7:$G$480,MATCH($K399,Feiertagsregeln!$A$7:$A$480,0))="","Noch zu erfassen",INDEX(Feiertagsregeln!$G$7:$G$480,MATCH($K399,Feiertagsregeln!$A$7:$A$480,0)))</f>
        <v>Nossadunna d’avust</v>
      </c>
      <c r="I399" s="10" t="str">
        <f>INDEX(Feiertagsregeln!$H$7:$H$480,MATCH($K399,Feiertagsregeln!$A$7:$A$480,0))</f>
        <v>proceduralEquivalentDay</v>
      </c>
      <c r="J399" s="10" t="s">
        <v>69</v>
      </c>
      <c r="K399" s="10" t="s">
        <v>502</v>
      </c>
      <c r="L399" s="10" t="str">
        <f>INDEX(Feiertagsregeln!$Y$7:$Y$480,MATCH($K399,Feiertagsregeln!$A$7:$A$480,0))</f>
        <v>SRC-ZG-VRG-1621-20251017</v>
      </c>
      <c r="M399" s="10" t="str">
        <f>INDEX(Feiertagsregeln!$Z$7:$Z$480,MATCH($K399,Feiertagsregeln!$A$7:$A$480,0))</f>
        <v>§ 10 Abs. 3 und 4</v>
      </c>
      <c r="N399" s="10" t="s">
        <v>193</v>
      </c>
      <c r="O399" s="10" t="str">
        <f>INDEX(Feiertagsregeln!$AA$7:$AA$480,MATCH($K399,Feiertagsregeln!$A$7:$A$480,0))</f>
        <v>Ganztägig</v>
      </c>
    </row>
    <row r="400" spans="1:15" ht="44" customHeight="1">
      <c r="A400" s="15">
        <f>INDEX(Feiertagsregeln!$X$7:$X$480,MATCH($K400,Feiertagsregeln!$A$7:$A$480,0))</f>
        <v>47013</v>
      </c>
      <c r="B400" s="11" t="str">
        <f t="shared" si="6"/>
        <v>Sonntag</v>
      </c>
      <c r="C400" s="11" t="s">
        <v>477</v>
      </c>
      <c r="D400" s="11" t="s">
        <v>491</v>
      </c>
      <c r="E400" s="11" t="str">
        <f>INDEX(Feiertagsregeln!$D$7:$D$480,MATCH($K400,Feiertagsregeln!$A$7:$A$480,0))</f>
        <v>Eidgenössischer Dank-, Buss- und Bettag</v>
      </c>
      <c r="F400" s="11" t="str">
        <f>INDEX(Feiertagsregeln!$E$7:$E$480,MATCH($K400,Feiertagsregeln!$A$7:$A$480,0))</f>
        <v>Jeûne fédéral</v>
      </c>
      <c r="G400" s="22" t="str">
        <f>IF(INDEX(Feiertagsregeln!$F$7:$F$480,MATCH($K400,Feiertagsregeln!$A$7:$A$480,0))="","Noch zu erfassen",INDEX(Feiertagsregeln!$F$7:$F$480,MATCH($K400,Feiertagsregeln!$A$7:$A$480,0)))</f>
        <v>Festa federale di preghiera</v>
      </c>
      <c r="H400" s="22" t="str">
        <f>IF(INDEX(Feiertagsregeln!$G$7:$G$480,MATCH($K400,Feiertagsregeln!$A$7:$A$480,0))="","Noch zu erfassen",INDEX(Feiertagsregeln!$G$7:$G$480,MATCH($K400,Feiertagsregeln!$A$7:$A$480,0)))</f>
        <v>Di da la rogaziun federala</v>
      </c>
      <c r="I400" s="11" t="str">
        <f>INDEX(Feiertagsregeln!$H$7:$H$480,MATCH($K400,Feiertagsregeln!$A$7:$A$480,0))</f>
        <v>proceduralEquivalentDay</v>
      </c>
      <c r="J400" s="11" t="s">
        <v>69</v>
      </c>
      <c r="K400" s="11" t="s">
        <v>503</v>
      </c>
      <c r="L400" s="11" t="str">
        <f>INDEX(Feiertagsregeln!$Y$7:$Y$480,MATCH($K400,Feiertagsregeln!$A$7:$A$480,0))</f>
        <v>SRC-ZG-VRG-1621-20251017</v>
      </c>
      <c r="M400" s="11" t="str">
        <f>INDEX(Feiertagsregeln!$Z$7:$Z$480,MATCH($K400,Feiertagsregeln!$A$7:$A$480,0))</f>
        <v>§ 10 Abs. 3 und 4</v>
      </c>
      <c r="N400" s="11" t="s">
        <v>193</v>
      </c>
      <c r="O400" s="11" t="str">
        <f>INDEX(Feiertagsregeln!$AA$7:$AA$480,MATCH($K400,Feiertagsregeln!$A$7:$A$480,0))</f>
        <v>Ganztägig</v>
      </c>
    </row>
    <row r="401" spans="1:15" ht="44" customHeight="1">
      <c r="A401" s="14">
        <f>INDEX(Feiertagsregeln!$X$7:$X$480,MATCH($K401,Feiertagsregeln!$A$7:$A$480,0))</f>
        <v>47058</v>
      </c>
      <c r="B401" s="10" t="str">
        <f t="shared" si="6"/>
        <v>Mittwoch</v>
      </c>
      <c r="C401" s="10" t="s">
        <v>477</v>
      </c>
      <c r="D401" s="10" t="s">
        <v>491</v>
      </c>
      <c r="E401" s="10" t="str">
        <f>INDEX(Feiertagsregeln!$D$7:$D$480,MATCH($K401,Feiertagsregeln!$A$7:$A$480,0))</f>
        <v>Allerheiligen</v>
      </c>
      <c r="F401" s="10" t="str">
        <f>INDEX(Feiertagsregeln!$E$7:$E$480,MATCH($K401,Feiertagsregeln!$A$7:$A$480,0))</f>
        <v>Toussaint</v>
      </c>
      <c r="G401" s="21" t="str">
        <f>IF(INDEX(Feiertagsregeln!$F$7:$F$480,MATCH($K401,Feiertagsregeln!$A$7:$A$480,0))="","Noch zu erfassen",INDEX(Feiertagsregeln!$F$7:$F$480,MATCH($K401,Feiertagsregeln!$A$7:$A$480,0)))</f>
        <v>Ognissanti</v>
      </c>
      <c r="H401" s="21" t="str">
        <f>IF(INDEX(Feiertagsregeln!$G$7:$G$480,MATCH($K401,Feiertagsregeln!$A$7:$A$480,0))="","Noch zu erfassen",INDEX(Feiertagsregeln!$G$7:$G$480,MATCH($K401,Feiertagsregeln!$A$7:$A$480,0)))</f>
        <v>Numnasontga</v>
      </c>
      <c r="I401" s="10" t="str">
        <f>INDEX(Feiertagsregeln!$H$7:$H$480,MATCH($K401,Feiertagsregeln!$A$7:$A$480,0))</f>
        <v>proceduralEquivalentDay</v>
      </c>
      <c r="J401" s="10" t="s">
        <v>69</v>
      </c>
      <c r="K401" s="10" t="s">
        <v>504</v>
      </c>
      <c r="L401" s="10" t="str">
        <f>INDEX(Feiertagsregeln!$Y$7:$Y$480,MATCH($K401,Feiertagsregeln!$A$7:$A$480,0))</f>
        <v>SRC-ZG-VRG-1621-20251017</v>
      </c>
      <c r="M401" s="10" t="str">
        <f>INDEX(Feiertagsregeln!$Z$7:$Z$480,MATCH($K401,Feiertagsregeln!$A$7:$A$480,0))</f>
        <v>§ 10 Abs. 3 und 4</v>
      </c>
      <c r="N401" s="10" t="s">
        <v>193</v>
      </c>
      <c r="O401" s="10" t="str">
        <f>INDEX(Feiertagsregeln!$AA$7:$AA$480,MATCH($K401,Feiertagsregeln!$A$7:$A$480,0))</f>
        <v>Ganztägig</v>
      </c>
    </row>
    <row r="402" spans="1:15" ht="44" customHeight="1">
      <c r="A402" s="15">
        <f>INDEX(Feiertagsregeln!$X$7:$X$480,MATCH($K402,Feiertagsregeln!$A$7:$A$480,0))</f>
        <v>47095</v>
      </c>
      <c r="B402" s="11" t="str">
        <f t="shared" si="6"/>
        <v>Freitag</v>
      </c>
      <c r="C402" s="11" t="s">
        <v>477</v>
      </c>
      <c r="D402" s="11" t="s">
        <v>491</v>
      </c>
      <c r="E402" s="11" t="str">
        <f>INDEX(Feiertagsregeln!$D$7:$D$480,MATCH($K402,Feiertagsregeln!$A$7:$A$480,0))</f>
        <v>Mariä Empfängnis</v>
      </c>
      <c r="F402" s="11" t="str">
        <f>INDEX(Feiertagsregeln!$E$7:$E$480,MATCH($K402,Feiertagsregeln!$A$7:$A$480,0))</f>
        <v>Immaculée Conception</v>
      </c>
      <c r="G402" s="22" t="str">
        <f>IF(INDEX(Feiertagsregeln!$F$7:$F$480,MATCH($K402,Feiertagsregeln!$A$7:$A$480,0))="","Noch zu erfassen",INDEX(Feiertagsregeln!$F$7:$F$480,MATCH($K402,Feiertagsregeln!$A$7:$A$480,0)))</f>
        <v>Immacolata</v>
      </c>
      <c r="H402" s="22" t="str">
        <f>IF(INDEX(Feiertagsregeln!$G$7:$G$480,MATCH($K402,Feiertagsregeln!$A$7:$A$480,0))="","Noch zu erfassen",INDEX(Feiertagsregeln!$G$7:$G$480,MATCH($K402,Feiertagsregeln!$A$7:$A$480,0)))</f>
        <v>Immaculada concepziun da Maria</v>
      </c>
      <c r="I402" s="11" t="str">
        <f>INDEX(Feiertagsregeln!$H$7:$H$480,MATCH($K402,Feiertagsregeln!$A$7:$A$480,0))</f>
        <v>proceduralEquivalentDay</v>
      </c>
      <c r="J402" s="11" t="s">
        <v>69</v>
      </c>
      <c r="K402" s="11" t="s">
        <v>505</v>
      </c>
      <c r="L402" s="11" t="str">
        <f>INDEX(Feiertagsregeln!$Y$7:$Y$480,MATCH($K402,Feiertagsregeln!$A$7:$A$480,0))</f>
        <v>SRC-ZG-VRG-1621-20251017</v>
      </c>
      <c r="M402" s="11" t="str">
        <f>INDEX(Feiertagsregeln!$Z$7:$Z$480,MATCH($K402,Feiertagsregeln!$A$7:$A$480,0))</f>
        <v>§ 10 Abs. 3 und 4</v>
      </c>
      <c r="N402" s="11" t="s">
        <v>193</v>
      </c>
      <c r="O402" s="11" t="str">
        <f>INDEX(Feiertagsregeln!$AA$7:$AA$480,MATCH($K402,Feiertagsregeln!$A$7:$A$480,0))</f>
        <v>Ganztägig</v>
      </c>
    </row>
    <row r="403" spans="1:15" ht="44" customHeight="1">
      <c r="A403" s="14">
        <f>INDEX(Feiertagsregeln!$X$7:$X$480,MATCH($K403,Feiertagsregeln!$A$7:$A$480,0))</f>
        <v>47112</v>
      </c>
      <c r="B403" s="10" t="str">
        <f t="shared" si="6"/>
        <v>Montag</v>
      </c>
      <c r="C403" s="10" t="s">
        <v>477</v>
      </c>
      <c r="D403" s="10" t="s">
        <v>491</v>
      </c>
      <c r="E403" s="10" t="str">
        <f>INDEX(Feiertagsregeln!$D$7:$D$480,MATCH($K403,Feiertagsregeln!$A$7:$A$480,0))</f>
        <v>Weihnachten</v>
      </c>
      <c r="F403" s="10" t="str">
        <f>INDEX(Feiertagsregeln!$E$7:$E$480,MATCH($K403,Feiertagsregeln!$A$7:$A$480,0))</f>
        <v>Noël</v>
      </c>
      <c r="G403" s="21" t="str">
        <f>IF(INDEX(Feiertagsregeln!$F$7:$F$480,MATCH($K403,Feiertagsregeln!$A$7:$A$480,0))="","Noch zu erfassen",INDEX(Feiertagsregeln!$F$7:$F$480,MATCH($K403,Feiertagsregeln!$A$7:$A$480,0)))</f>
        <v>Natale</v>
      </c>
      <c r="H403" s="21" t="str">
        <f>IF(INDEX(Feiertagsregeln!$G$7:$G$480,MATCH($K403,Feiertagsregeln!$A$7:$A$480,0))="","Noch zu erfassen",INDEX(Feiertagsregeln!$G$7:$G$480,MATCH($K403,Feiertagsregeln!$A$7:$A$480,0)))</f>
        <v>Di da Nadal</v>
      </c>
      <c r="I403" s="10" t="str">
        <f>INDEX(Feiertagsregeln!$H$7:$H$480,MATCH($K403,Feiertagsregeln!$A$7:$A$480,0))</f>
        <v>proceduralEquivalentDay</v>
      </c>
      <c r="J403" s="10" t="s">
        <v>69</v>
      </c>
      <c r="K403" s="10" t="s">
        <v>506</v>
      </c>
      <c r="L403" s="10" t="str">
        <f>INDEX(Feiertagsregeln!$Y$7:$Y$480,MATCH($K403,Feiertagsregeln!$A$7:$A$480,0))</f>
        <v>SRC-ZG-VRG-1621-20251017</v>
      </c>
      <c r="M403" s="10" t="str">
        <f>INDEX(Feiertagsregeln!$Z$7:$Z$480,MATCH($K403,Feiertagsregeln!$A$7:$A$480,0))</f>
        <v>§ 10 Abs. 3 und 4</v>
      </c>
      <c r="N403" s="10" t="s">
        <v>193</v>
      </c>
      <c r="O403" s="10" t="str">
        <f>INDEX(Feiertagsregeln!$AA$7:$AA$480,MATCH($K403,Feiertagsregeln!$A$7:$A$480,0))</f>
        <v>Ganztägig</v>
      </c>
    </row>
    <row r="404" spans="1:15" ht="44" customHeight="1">
      <c r="A404" s="15">
        <f>INDEX(Feiertagsregeln!$X$7:$X$480,MATCH($K404,Feiertagsregeln!$A$7:$A$480,0))</f>
        <v>47113</v>
      </c>
      <c r="B404" s="11" t="str">
        <f t="shared" si="6"/>
        <v>Dienstag</v>
      </c>
      <c r="C404" s="11" t="s">
        <v>477</v>
      </c>
      <c r="D404" s="11" t="s">
        <v>491</v>
      </c>
      <c r="E404" s="11" t="str">
        <f>INDEX(Feiertagsregeln!$D$7:$D$480,MATCH($K404,Feiertagsregeln!$A$7:$A$480,0))</f>
        <v>Stephanstag</v>
      </c>
      <c r="F404" s="11" t="str">
        <f>INDEX(Feiertagsregeln!$E$7:$E$480,MATCH($K404,Feiertagsregeln!$A$7:$A$480,0))</f>
        <v>Saint-Étienne</v>
      </c>
      <c r="G404" s="22" t="str">
        <f>IF(INDEX(Feiertagsregeln!$F$7:$F$480,MATCH($K404,Feiertagsregeln!$A$7:$A$480,0))="","Noch zu erfassen",INDEX(Feiertagsregeln!$F$7:$F$480,MATCH($K404,Feiertagsregeln!$A$7:$A$480,0)))</f>
        <v>Santo Stefano</v>
      </c>
      <c r="H404" s="22" t="str">
        <f>IF(INDEX(Feiertagsregeln!$G$7:$G$480,MATCH($K404,Feiertagsregeln!$A$7:$A$480,0))="","Noch zu erfassen",INDEX(Feiertagsregeln!$G$7:$G$480,MATCH($K404,Feiertagsregeln!$A$7:$A$480,0)))</f>
        <v>Son Steffan</v>
      </c>
      <c r="I404" s="11" t="str">
        <f>INDEX(Feiertagsregeln!$H$7:$H$480,MATCH($K404,Feiertagsregeln!$A$7:$A$480,0))</f>
        <v>proceduralEquivalentDay</v>
      </c>
      <c r="J404" s="11" t="s">
        <v>69</v>
      </c>
      <c r="K404" s="11" t="s">
        <v>507</v>
      </c>
      <c r="L404" s="11" t="str">
        <f>INDEX(Feiertagsregeln!$Y$7:$Y$480,MATCH($K404,Feiertagsregeln!$A$7:$A$480,0))</f>
        <v>SRC-ZG-VRG-1621-20251017</v>
      </c>
      <c r="M404" s="11" t="str">
        <f>INDEX(Feiertagsregeln!$Z$7:$Z$480,MATCH($K404,Feiertagsregeln!$A$7:$A$480,0))</f>
        <v>§ 10 Abs. 3 und 4</v>
      </c>
      <c r="N404" s="11" t="s">
        <v>193</v>
      </c>
      <c r="O404" s="11" t="str">
        <f>INDEX(Feiertagsregeln!$AA$7:$AA$480,MATCH($K404,Feiertagsregeln!$A$7:$A$480,0))</f>
        <v>Ganztägig</v>
      </c>
    </row>
    <row r="405" spans="1:15" ht="44" customHeight="1">
      <c r="A405" s="14">
        <f>INDEX(Feiertagsregeln!$X$7:$X$480,MATCH($K405,Feiertagsregeln!$A$7:$A$480,0))</f>
        <v>46753</v>
      </c>
      <c r="B405" s="10" t="str">
        <f t="shared" si="6"/>
        <v>Samstag</v>
      </c>
      <c r="C405" s="10" t="s">
        <v>508</v>
      </c>
      <c r="D405" s="10" t="s">
        <v>509</v>
      </c>
      <c r="E405" s="10" t="str">
        <f>INDEX(Feiertagsregeln!$D$7:$D$480,MATCH($K405,Feiertagsregeln!$A$7:$A$480,0))</f>
        <v>Neujahr</v>
      </c>
      <c r="F405" s="10" t="str">
        <f>INDEX(Feiertagsregeln!$E$7:$E$480,MATCH($K405,Feiertagsregeln!$A$7:$A$480,0))</f>
        <v>Nouvel An</v>
      </c>
      <c r="G405" s="21" t="str">
        <f>IF(INDEX(Feiertagsregeln!$F$7:$F$480,MATCH($K405,Feiertagsregeln!$A$7:$A$480,0))="","Noch zu erfassen",INDEX(Feiertagsregeln!$F$7:$F$480,MATCH($K405,Feiertagsregeln!$A$7:$A$480,0)))</f>
        <v>Capo d’anno</v>
      </c>
      <c r="H405" s="21" t="str">
        <f>IF(INDEX(Feiertagsregeln!$G$7:$G$480,MATCH($K405,Feiertagsregeln!$A$7:$A$480,0))="","Noch zu erfassen",INDEX(Feiertagsregeln!$G$7:$G$480,MATCH($K405,Feiertagsregeln!$A$7:$A$480,0)))</f>
        <v>Bumaun</v>
      </c>
      <c r="I405" s="10" t="str">
        <f>INDEX(Feiertagsregeln!$H$7:$H$480,MATCH($K405,Feiertagsregeln!$A$7:$A$480,0))</f>
        <v>publicHoliday</v>
      </c>
      <c r="J405" s="10" t="s">
        <v>69</v>
      </c>
      <c r="K405" s="10" t="s">
        <v>510</v>
      </c>
      <c r="L405" s="10" t="str">
        <f>INDEX(Feiertagsregeln!$Y$7:$Y$480,MATCH($K405,Feiertagsregeln!$A$7:$A$480,0))</f>
        <v>SRC-GL-RTG-IXB211-20190701</v>
      </c>
      <c r="M405" s="10" t="str">
        <f>INDEX(Feiertagsregeln!$Z$7:$Z$480,MATCH($K405,Feiertagsregeln!$A$7:$A$480,0))</f>
        <v>Art. 2 Abs. 1 Bst. b</v>
      </c>
      <c r="N405" s="10" t="s">
        <v>193</v>
      </c>
      <c r="O405" s="10" t="str">
        <f>INDEX(Feiertagsregeln!$AA$7:$AA$480,MATCH($K405,Feiertagsregeln!$A$7:$A$480,0))</f>
        <v>Ganztägig</v>
      </c>
    </row>
    <row r="406" spans="1:15" ht="44" customHeight="1">
      <c r="A406" s="15">
        <f>INDEX(Feiertagsregeln!$X$7:$X$480,MATCH($K406,Feiertagsregeln!$A$7:$A$480,0))</f>
        <v>46857</v>
      </c>
      <c r="B406" s="11" t="str">
        <f t="shared" si="6"/>
        <v>Freitag</v>
      </c>
      <c r="C406" s="11" t="s">
        <v>508</v>
      </c>
      <c r="D406" s="11" t="s">
        <v>509</v>
      </c>
      <c r="E406" s="11" t="str">
        <f>INDEX(Feiertagsregeln!$D$7:$D$480,MATCH($K406,Feiertagsregeln!$A$7:$A$480,0))</f>
        <v>Karfreitag</v>
      </c>
      <c r="F406" s="11" t="str">
        <f>INDEX(Feiertagsregeln!$E$7:$E$480,MATCH($K406,Feiertagsregeln!$A$7:$A$480,0))</f>
        <v>Vendredi saint</v>
      </c>
      <c r="G406" s="22" t="str">
        <f>IF(INDEX(Feiertagsregeln!$F$7:$F$480,MATCH($K406,Feiertagsregeln!$A$7:$A$480,0))="","Noch zu erfassen",INDEX(Feiertagsregeln!$F$7:$F$480,MATCH($K406,Feiertagsregeln!$A$7:$A$480,0)))</f>
        <v>Venerdì Santo</v>
      </c>
      <c r="H406" s="22" t="str">
        <f>IF(INDEX(Feiertagsregeln!$G$7:$G$480,MATCH($K406,Feiertagsregeln!$A$7:$A$480,0))="","Noch zu erfassen",INDEX(Feiertagsregeln!$G$7:$G$480,MATCH($K406,Feiertagsregeln!$A$7:$A$480,0)))</f>
        <v>Venderdi sontg</v>
      </c>
      <c r="I406" s="11" t="str">
        <f>INDEX(Feiertagsregeln!$H$7:$H$480,MATCH($K406,Feiertagsregeln!$A$7:$A$480,0))</f>
        <v>publicHoliday</v>
      </c>
      <c r="J406" s="11" t="s">
        <v>69</v>
      </c>
      <c r="K406" s="11" t="s">
        <v>511</v>
      </c>
      <c r="L406" s="11" t="str">
        <f>INDEX(Feiertagsregeln!$Y$7:$Y$480,MATCH($K406,Feiertagsregeln!$A$7:$A$480,0))</f>
        <v>SRC-GL-RTG-IXB211-20190701</v>
      </c>
      <c r="M406" s="11" t="str">
        <f>INDEX(Feiertagsregeln!$Z$7:$Z$480,MATCH($K406,Feiertagsregeln!$A$7:$A$480,0))</f>
        <v>Art. 2 Abs. 1 Bst. c</v>
      </c>
      <c r="N406" s="11" t="s">
        <v>193</v>
      </c>
      <c r="O406" s="11" t="str">
        <f>INDEX(Feiertagsregeln!$AA$7:$AA$480,MATCH($K406,Feiertagsregeln!$A$7:$A$480,0))</f>
        <v>Ganztägig</v>
      </c>
    </row>
    <row r="407" spans="1:15" ht="44" customHeight="1">
      <c r="A407" s="14">
        <f>INDEX(Feiertagsregeln!$X$7:$X$480,MATCH($K407,Feiertagsregeln!$A$7:$A$480,0))</f>
        <v>46859</v>
      </c>
      <c r="B407" s="10" t="str">
        <f t="shared" si="6"/>
        <v>Sonntag</v>
      </c>
      <c r="C407" s="10" t="s">
        <v>508</v>
      </c>
      <c r="D407" s="10" t="s">
        <v>509</v>
      </c>
      <c r="E407" s="10" t="str">
        <f>INDEX(Feiertagsregeln!$D$7:$D$480,MATCH($K407,Feiertagsregeln!$A$7:$A$480,0))</f>
        <v>Ostern</v>
      </c>
      <c r="F407" s="10" t="str">
        <f>INDEX(Feiertagsregeln!$E$7:$E$480,MATCH($K407,Feiertagsregeln!$A$7:$A$480,0))</f>
        <v>Pâques</v>
      </c>
      <c r="G407" s="21" t="str">
        <f>IF(INDEX(Feiertagsregeln!$F$7:$F$480,MATCH($K407,Feiertagsregeln!$A$7:$A$480,0))="","Noch zu erfassen",INDEX(Feiertagsregeln!$F$7:$F$480,MATCH($K407,Feiertagsregeln!$A$7:$A$480,0)))</f>
        <v>Domenica di Pasqua</v>
      </c>
      <c r="H407" s="21" t="str">
        <f>IF(INDEX(Feiertagsregeln!$G$7:$G$480,MATCH($K407,Feiertagsregeln!$A$7:$A$480,0))="","Noch zu erfassen",INDEX(Feiertagsregeln!$G$7:$G$480,MATCH($K407,Feiertagsregeln!$A$7:$A$480,0)))</f>
        <v>Dumengia da Pasca</v>
      </c>
      <c r="I407" s="10" t="str">
        <f>INDEX(Feiertagsregeln!$H$7:$H$480,MATCH($K407,Feiertagsregeln!$A$7:$A$480,0))</f>
        <v>publicHoliday</v>
      </c>
      <c r="J407" s="10" t="s">
        <v>69</v>
      </c>
      <c r="K407" s="10" t="s">
        <v>512</v>
      </c>
      <c r="L407" s="10" t="str">
        <f>INDEX(Feiertagsregeln!$Y$7:$Y$480,MATCH($K407,Feiertagsregeln!$A$7:$A$480,0))</f>
        <v>SRC-GL-RTG-IXB211-20190701</v>
      </c>
      <c r="M407" s="10" t="str">
        <f>INDEX(Feiertagsregeln!$Z$7:$Z$480,MATCH($K407,Feiertagsregeln!$A$7:$A$480,0))</f>
        <v>Art. 2 Abs. 1 Bst. c</v>
      </c>
      <c r="N407" s="10" t="s">
        <v>193</v>
      </c>
      <c r="O407" s="10" t="str">
        <f>INDEX(Feiertagsregeln!$AA$7:$AA$480,MATCH($K407,Feiertagsregeln!$A$7:$A$480,0))</f>
        <v>Ganztägig</v>
      </c>
    </row>
    <row r="408" spans="1:15" ht="44" customHeight="1">
      <c r="A408" s="15">
        <f>INDEX(Feiertagsregeln!$X$7:$X$480,MATCH($K408,Feiertagsregeln!$A$7:$A$480,0))</f>
        <v>46860</v>
      </c>
      <c r="B408" s="11" t="str">
        <f t="shared" si="6"/>
        <v>Montag</v>
      </c>
      <c r="C408" s="11" t="s">
        <v>508</v>
      </c>
      <c r="D408" s="11" t="s">
        <v>509</v>
      </c>
      <c r="E408" s="11" t="str">
        <f>INDEX(Feiertagsregeln!$D$7:$D$480,MATCH($K408,Feiertagsregeln!$A$7:$A$480,0))</f>
        <v>Ostermontag</v>
      </c>
      <c r="F408" s="11" t="str">
        <f>INDEX(Feiertagsregeln!$E$7:$E$480,MATCH($K408,Feiertagsregeln!$A$7:$A$480,0))</f>
        <v>Lundi de Pâques</v>
      </c>
      <c r="G408" s="22" t="str">
        <f>IF(INDEX(Feiertagsregeln!$F$7:$F$480,MATCH($K408,Feiertagsregeln!$A$7:$A$480,0))="","Noch zu erfassen",INDEX(Feiertagsregeln!$F$7:$F$480,MATCH($K408,Feiertagsregeln!$A$7:$A$480,0)))</f>
        <v>Lunedì di Pasqua</v>
      </c>
      <c r="H408" s="22" t="str">
        <f>IF(INDEX(Feiertagsregeln!$G$7:$G$480,MATCH($K408,Feiertagsregeln!$A$7:$A$480,0))="","Noch zu erfassen",INDEX(Feiertagsregeln!$G$7:$G$480,MATCH($K408,Feiertagsregeln!$A$7:$A$480,0)))</f>
        <v>Glindesdi da Pasca</v>
      </c>
      <c r="I408" s="11" t="str">
        <f>INDEX(Feiertagsregeln!$H$7:$H$480,MATCH($K408,Feiertagsregeln!$A$7:$A$480,0))</f>
        <v>publicHoliday</v>
      </c>
      <c r="J408" s="11" t="s">
        <v>69</v>
      </c>
      <c r="K408" s="11" t="s">
        <v>513</v>
      </c>
      <c r="L408" s="11" t="str">
        <f>INDEX(Feiertagsregeln!$Y$7:$Y$480,MATCH($K408,Feiertagsregeln!$A$7:$A$480,0))</f>
        <v>SRC-GL-RTG-IXB211-20190701</v>
      </c>
      <c r="M408" s="11" t="str">
        <f>INDEX(Feiertagsregeln!$Z$7:$Z$480,MATCH($K408,Feiertagsregeln!$A$7:$A$480,0))</f>
        <v>Art. 2 Abs. 1 Bst. b</v>
      </c>
      <c r="N408" s="11" t="s">
        <v>193</v>
      </c>
      <c r="O408" s="11" t="str">
        <f>INDEX(Feiertagsregeln!$AA$7:$AA$480,MATCH($K408,Feiertagsregeln!$A$7:$A$480,0))</f>
        <v>Ganztägig</v>
      </c>
    </row>
    <row r="409" spans="1:15" ht="44" customHeight="1">
      <c r="A409" s="14">
        <f>INDEX(Feiertagsregeln!$X$7:$X$480,MATCH($K409,Feiertagsregeln!$A$7:$A$480,0))</f>
        <v>46898</v>
      </c>
      <c r="B409" s="10" t="str">
        <f t="shared" si="6"/>
        <v>Donnerstag</v>
      </c>
      <c r="C409" s="10" t="s">
        <v>508</v>
      </c>
      <c r="D409" s="10" t="s">
        <v>509</v>
      </c>
      <c r="E409" s="10" t="str">
        <f>INDEX(Feiertagsregeln!$D$7:$D$480,MATCH($K409,Feiertagsregeln!$A$7:$A$480,0))</f>
        <v>Auffahrt</v>
      </c>
      <c r="F409" s="10" t="str">
        <f>INDEX(Feiertagsregeln!$E$7:$E$480,MATCH($K409,Feiertagsregeln!$A$7:$A$480,0))</f>
        <v>Ascension</v>
      </c>
      <c r="G409" s="21" t="str">
        <f>IF(INDEX(Feiertagsregeln!$F$7:$F$480,MATCH($K409,Feiertagsregeln!$A$7:$A$480,0))="","Noch zu erfassen",INDEX(Feiertagsregeln!$F$7:$F$480,MATCH($K409,Feiertagsregeln!$A$7:$A$480,0)))</f>
        <v>Ascensione</v>
      </c>
      <c r="H409" s="21" t="str">
        <f>IF(INDEX(Feiertagsregeln!$G$7:$G$480,MATCH($K409,Feiertagsregeln!$A$7:$A$480,0))="","Noch zu erfassen",INDEX(Feiertagsregeln!$G$7:$G$480,MATCH($K409,Feiertagsregeln!$A$7:$A$480,0)))</f>
        <v>Ascensiun</v>
      </c>
      <c r="I409" s="10" t="str">
        <f>INDEX(Feiertagsregeln!$H$7:$H$480,MATCH($K409,Feiertagsregeln!$A$7:$A$480,0))</f>
        <v>publicHoliday</v>
      </c>
      <c r="J409" s="10" t="s">
        <v>69</v>
      </c>
      <c r="K409" s="10" t="s">
        <v>514</v>
      </c>
      <c r="L409" s="10" t="str">
        <f>INDEX(Feiertagsregeln!$Y$7:$Y$480,MATCH($K409,Feiertagsregeln!$A$7:$A$480,0))</f>
        <v>SRC-GL-RTG-IXB211-20190701</v>
      </c>
      <c r="M409" s="10" t="str">
        <f>INDEX(Feiertagsregeln!$Z$7:$Z$480,MATCH($K409,Feiertagsregeln!$A$7:$A$480,0))</f>
        <v>Art. 2 Abs. 1 Bst. b</v>
      </c>
      <c r="N409" s="10" t="s">
        <v>193</v>
      </c>
      <c r="O409" s="10" t="str">
        <f>INDEX(Feiertagsregeln!$AA$7:$AA$480,MATCH($K409,Feiertagsregeln!$A$7:$A$480,0))</f>
        <v>Ganztägig</v>
      </c>
    </row>
    <row r="410" spans="1:15" ht="44" customHeight="1">
      <c r="A410" s="15">
        <f>INDEX(Feiertagsregeln!$X$7:$X$480,MATCH($K410,Feiertagsregeln!$A$7:$A$480,0))</f>
        <v>46908</v>
      </c>
      <c r="B410" s="11" t="str">
        <f t="shared" si="6"/>
        <v>Sonntag</v>
      </c>
      <c r="C410" s="11" t="s">
        <v>508</v>
      </c>
      <c r="D410" s="11" t="s">
        <v>509</v>
      </c>
      <c r="E410" s="11" t="str">
        <f>INDEX(Feiertagsregeln!$D$7:$D$480,MATCH($K410,Feiertagsregeln!$A$7:$A$480,0))</f>
        <v>Pfingsten</v>
      </c>
      <c r="F410" s="11" t="str">
        <f>INDEX(Feiertagsregeln!$E$7:$E$480,MATCH($K410,Feiertagsregeln!$A$7:$A$480,0))</f>
        <v>Pentecôte</v>
      </c>
      <c r="G410" s="22" t="str">
        <f>IF(INDEX(Feiertagsregeln!$F$7:$F$480,MATCH($K410,Feiertagsregeln!$A$7:$A$480,0))="","Noch zu erfassen",INDEX(Feiertagsregeln!$F$7:$F$480,MATCH($K410,Feiertagsregeln!$A$7:$A$480,0)))</f>
        <v>Domenica di Pentecoste</v>
      </c>
      <c r="H410" s="22" t="str">
        <f>IF(INDEX(Feiertagsregeln!$G$7:$G$480,MATCH($K410,Feiertagsregeln!$A$7:$A$480,0))="","Noch zu erfassen",INDEX(Feiertagsregeln!$G$7:$G$480,MATCH($K410,Feiertagsregeln!$A$7:$A$480,0)))</f>
        <v>Dumengia da Tschuncaisma</v>
      </c>
      <c r="I410" s="11" t="str">
        <f>INDEX(Feiertagsregeln!$H$7:$H$480,MATCH($K410,Feiertagsregeln!$A$7:$A$480,0))</f>
        <v>publicHoliday</v>
      </c>
      <c r="J410" s="11" t="s">
        <v>69</v>
      </c>
      <c r="K410" s="11" t="s">
        <v>515</v>
      </c>
      <c r="L410" s="11" t="str">
        <f>INDEX(Feiertagsregeln!$Y$7:$Y$480,MATCH($K410,Feiertagsregeln!$A$7:$A$480,0))</f>
        <v>SRC-GL-RTG-IXB211-20190701</v>
      </c>
      <c r="M410" s="11" t="str">
        <f>INDEX(Feiertagsregeln!$Z$7:$Z$480,MATCH($K410,Feiertagsregeln!$A$7:$A$480,0))</f>
        <v>Art. 2 Abs. 1 Bst. c</v>
      </c>
      <c r="N410" s="11" t="s">
        <v>193</v>
      </c>
      <c r="O410" s="11" t="str">
        <f>INDEX(Feiertagsregeln!$AA$7:$AA$480,MATCH($K410,Feiertagsregeln!$A$7:$A$480,0))</f>
        <v>Ganztägig</v>
      </c>
    </row>
    <row r="411" spans="1:15" ht="44" customHeight="1">
      <c r="A411" s="14">
        <f>INDEX(Feiertagsregeln!$X$7:$X$480,MATCH($K411,Feiertagsregeln!$A$7:$A$480,0))</f>
        <v>46909</v>
      </c>
      <c r="B411" s="10" t="str">
        <f t="shared" si="6"/>
        <v>Montag</v>
      </c>
      <c r="C411" s="10" t="s">
        <v>508</v>
      </c>
      <c r="D411" s="10" t="s">
        <v>509</v>
      </c>
      <c r="E411" s="10" t="str">
        <f>INDEX(Feiertagsregeln!$D$7:$D$480,MATCH($K411,Feiertagsregeln!$A$7:$A$480,0))</f>
        <v>Pfingstmontag</v>
      </c>
      <c r="F411" s="10" t="str">
        <f>INDEX(Feiertagsregeln!$E$7:$E$480,MATCH($K411,Feiertagsregeln!$A$7:$A$480,0))</f>
        <v>Lundi de Pentecôte</v>
      </c>
      <c r="G411" s="21" t="str">
        <f>IF(INDEX(Feiertagsregeln!$F$7:$F$480,MATCH($K411,Feiertagsregeln!$A$7:$A$480,0))="","Noch zu erfassen",INDEX(Feiertagsregeln!$F$7:$F$480,MATCH($K411,Feiertagsregeln!$A$7:$A$480,0)))</f>
        <v>Lunedì di Pentecoste</v>
      </c>
      <c r="H411" s="21" t="str">
        <f>IF(INDEX(Feiertagsregeln!$G$7:$G$480,MATCH($K411,Feiertagsregeln!$A$7:$A$480,0))="","Noch zu erfassen",INDEX(Feiertagsregeln!$G$7:$G$480,MATCH($K411,Feiertagsregeln!$A$7:$A$480,0)))</f>
        <v>Glindesdi da Tschuncaisma</v>
      </c>
      <c r="I411" s="10" t="str">
        <f>INDEX(Feiertagsregeln!$H$7:$H$480,MATCH($K411,Feiertagsregeln!$A$7:$A$480,0))</f>
        <v>publicHoliday</v>
      </c>
      <c r="J411" s="10" t="s">
        <v>69</v>
      </c>
      <c r="K411" s="10" t="s">
        <v>516</v>
      </c>
      <c r="L411" s="10" t="str">
        <f>INDEX(Feiertagsregeln!$Y$7:$Y$480,MATCH($K411,Feiertagsregeln!$A$7:$A$480,0))</f>
        <v>SRC-GL-RTG-IXB211-20190701</v>
      </c>
      <c r="M411" s="10" t="str">
        <f>INDEX(Feiertagsregeln!$Z$7:$Z$480,MATCH($K411,Feiertagsregeln!$A$7:$A$480,0))</f>
        <v>Art. 2 Abs. 1 Bst. b</v>
      </c>
      <c r="N411" s="10" t="s">
        <v>193</v>
      </c>
      <c r="O411" s="10" t="str">
        <f>INDEX(Feiertagsregeln!$AA$7:$AA$480,MATCH($K411,Feiertagsregeln!$A$7:$A$480,0))</f>
        <v>Ganztägig</v>
      </c>
    </row>
    <row r="412" spans="1:15" ht="44" customHeight="1">
      <c r="A412" s="15">
        <f>INDEX(Feiertagsregeln!$X$7:$X$480,MATCH($K412,Feiertagsregeln!$A$7:$A$480,0))</f>
        <v>46966</v>
      </c>
      <c r="B412" s="11" t="str">
        <f t="shared" si="6"/>
        <v>Dienstag</v>
      </c>
      <c r="C412" s="11" t="s">
        <v>508</v>
      </c>
      <c r="D412" s="11" t="s">
        <v>509</v>
      </c>
      <c r="E412" s="11" t="str">
        <f>INDEX(Feiertagsregeln!$D$7:$D$480,MATCH($K412,Feiertagsregeln!$A$7:$A$480,0))</f>
        <v>Bundesfeiertag</v>
      </c>
      <c r="F412" s="11" t="str">
        <f>INDEX(Feiertagsregeln!$E$7:$E$480,MATCH($K412,Feiertagsregeln!$A$7:$A$480,0))</f>
        <v>Fête nationale</v>
      </c>
      <c r="G412" s="22" t="str">
        <f>IF(INDEX(Feiertagsregeln!$F$7:$F$480,MATCH($K412,Feiertagsregeln!$A$7:$A$480,0))="","Noch zu erfassen",INDEX(Feiertagsregeln!$F$7:$F$480,MATCH($K412,Feiertagsregeln!$A$7:$A$480,0)))</f>
        <v>Primo agosto</v>
      </c>
      <c r="H412" s="22" t="str">
        <f>IF(INDEX(Feiertagsregeln!$G$7:$G$480,MATCH($K412,Feiertagsregeln!$A$7:$A$480,0))="","Noch zu erfassen",INDEX(Feiertagsregeln!$G$7:$G$480,MATCH($K412,Feiertagsregeln!$A$7:$A$480,0)))</f>
        <v>Festa naziunala svizra</v>
      </c>
      <c r="I412" s="11" t="str">
        <f>INDEX(Feiertagsregeln!$H$7:$H$480,MATCH($K412,Feiertagsregeln!$A$7:$A$480,0))</f>
        <v>publicHoliday</v>
      </c>
      <c r="J412" s="11" t="s">
        <v>69</v>
      </c>
      <c r="K412" s="11" t="s">
        <v>517</v>
      </c>
      <c r="L412" s="11" t="str">
        <f>INDEX(Feiertagsregeln!$Y$7:$Y$480,MATCH($K412,Feiertagsregeln!$A$7:$A$480,0))</f>
        <v>SRC-BUNDESFEIERTAG-19940701</v>
      </c>
      <c r="M412" s="11" t="str">
        <f>INDEX(Feiertagsregeln!$Z$7:$Z$480,MATCH($K412,Feiertagsregeln!$A$7:$A$480,0))</f>
        <v>SR 116 Art. 1, neue offene Anwendung auf dieses Geltungsprofil</v>
      </c>
      <c r="N412" s="11" t="s">
        <v>193</v>
      </c>
      <c r="O412" s="11" t="str">
        <f>INDEX(Feiertagsregeln!$AA$7:$AA$480,MATCH($K412,Feiertagsregeln!$A$7:$A$480,0))</f>
        <v>Ganztägig</v>
      </c>
    </row>
    <row r="413" spans="1:15" ht="44" customHeight="1">
      <c r="A413" s="14">
        <f>INDEX(Feiertagsregeln!$X$7:$X$480,MATCH($K413,Feiertagsregeln!$A$7:$A$480,0))</f>
        <v>47013</v>
      </c>
      <c r="B413" s="10" t="str">
        <f t="shared" si="6"/>
        <v>Sonntag</v>
      </c>
      <c r="C413" s="10" t="s">
        <v>508</v>
      </c>
      <c r="D413" s="10" t="s">
        <v>509</v>
      </c>
      <c r="E413" s="10" t="str">
        <f>INDEX(Feiertagsregeln!$D$7:$D$480,MATCH($K413,Feiertagsregeln!$A$7:$A$480,0))</f>
        <v>Eidgenössischer Dank-, Buss- und Bettag</v>
      </c>
      <c r="F413" s="10" t="str">
        <f>INDEX(Feiertagsregeln!$E$7:$E$480,MATCH($K413,Feiertagsregeln!$A$7:$A$480,0))</f>
        <v>Jeûne fédéral</v>
      </c>
      <c r="G413" s="21" t="str">
        <f>IF(INDEX(Feiertagsregeln!$F$7:$F$480,MATCH($K413,Feiertagsregeln!$A$7:$A$480,0))="","Noch zu erfassen",INDEX(Feiertagsregeln!$F$7:$F$480,MATCH($K413,Feiertagsregeln!$A$7:$A$480,0)))</f>
        <v>Festa federale di preghiera</v>
      </c>
      <c r="H413" s="21" t="str">
        <f>IF(INDEX(Feiertagsregeln!$G$7:$G$480,MATCH($K413,Feiertagsregeln!$A$7:$A$480,0))="","Noch zu erfassen",INDEX(Feiertagsregeln!$G$7:$G$480,MATCH($K413,Feiertagsregeln!$A$7:$A$480,0)))</f>
        <v>Di da la rogaziun federala</v>
      </c>
      <c r="I413" s="10" t="str">
        <f>INDEX(Feiertagsregeln!$H$7:$H$480,MATCH($K413,Feiertagsregeln!$A$7:$A$480,0))</f>
        <v>publicHoliday</v>
      </c>
      <c r="J413" s="10" t="s">
        <v>69</v>
      </c>
      <c r="K413" s="10" t="s">
        <v>518</v>
      </c>
      <c r="L413" s="10" t="str">
        <f>INDEX(Feiertagsregeln!$Y$7:$Y$480,MATCH($K413,Feiertagsregeln!$A$7:$A$480,0))</f>
        <v>SRC-GL-RTG-IXB211-20190701</v>
      </c>
      <c r="M413" s="10" t="str">
        <f>INDEX(Feiertagsregeln!$Z$7:$Z$480,MATCH($K413,Feiertagsregeln!$A$7:$A$480,0))</f>
        <v>Art. 2 Abs. 1 Bst. c</v>
      </c>
      <c r="N413" s="10" t="s">
        <v>193</v>
      </c>
      <c r="O413" s="10" t="str">
        <f>INDEX(Feiertagsregeln!$AA$7:$AA$480,MATCH($K413,Feiertagsregeln!$A$7:$A$480,0))</f>
        <v>Ganztägig</v>
      </c>
    </row>
    <row r="414" spans="1:15" ht="44" customHeight="1">
      <c r="A414" s="15">
        <f>INDEX(Feiertagsregeln!$X$7:$X$480,MATCH($K414,Feiertagsregeln!$A$7:$A$480,0))</f>
        <v>47058</v>
      </c>
      <c r="B414" s="11" t="str">
        <f t="shared" si="6"/>
        <v>Mittwoch</v>
      </c>
      <c r="C414" s="11" t="s">
        <v>508</v>
      </c>
      <c r="D414" s="11" t="s">
        <v>509</v>
      </c>
      <c r="E414" s="11" t="str">
        <f>INDEX(Feiertagsregeln!$D$7:$D$480,MATCH($K414,Feiertagsregeln!$A$7:$A$480,0))</f>
        <v>Allerheiligen</v>
      </c>
      <c r="F414" s="11" t="str">
        <f>INDEX(Feiertagsregeln!$E$7:$E$480,MATCH($K414,Feiertagsregeln!$A$7:$A$480,0))</f>
        <v>Toussaint</v>
      </c>
      <c r="G414" s="22" t="str">
        <f>IF(INDEX(Feiertagsregeln!$F$7:$F$480,MATCH($K414,Feiertagsregeln!$A$7:$A$480,0))="","Noch zu erfassen",INDEX(Feiertagsregeln!$F$7:$F$480,MATCH($K414,Feiertagsregeln!$A$7:$A$480,0)))</f>
        <v>Ognissanti</v>
      </c>
      <c r="H414" s="22" t="str">
        <f>IF(INDEX(Feiertagsregeln!$G$7:$G$480,MATCH($K414,Feiertagsregeln!$A$7:$A$480,0))="","Noch zu erfassen",INDEX(Feiertagsregeln!$G$7:$G$480,MATCH($K414,Feiertagsregeln!$A$7:$A$480,0)))</f>
        <v>Numnasontga</v>
      </c>
      <c r="I414" s="11" t="str">
        <f>INDEX(Feiertagsregeln!$H$7:$H$480,MATCH($K414,Feiertagsregeln!$A$7:$A$480,0))</f>
        <v>publicHoliday</v>
      </c>
      <c r="J414" s="11" t="s">
        <v>69</v>
      </c>
      <c r="K414" s="11" t="s">
        <v>519</v>
      </c>
      <c r="L414" s="11" t="str">
        <f>INDEX(Feiertagsregeln!$Y$7:$Y$480,MATCH($K414,Feiertagsregeln!$A$7:$A$480,0))</f>
        <v>SRC-GL-RTG-IXB211-20190701</v>
      </c>
      <c r="M414" s="11" t="str">
        <f>INDEX(Feiertagsregeln!$Z$7:$Z$480,MATCH($K414,Feiertagsregeln!$A$7:$A$480,0))</f>
        <v>Art. 2 Abs. 1 Bst. b</v>
      </c>
      <c r="N414" s="11" t="s">
        <v>193</v>
      </c>
      <c r="O414" s="11" t="str">
        <f>INDEX(Feiertagsregeln!$AA$7:$AA$480,MATCH($K414,Feiertagsregeln!$A$7:$A$480,0))</f>
        <v>Ganztägig</v>
      </c>
    </row>
    <row r="415" spans="1:15" ht="44" customHeight="1">
      <c r="A415" s="14">
        <f>INDEX(Feiertagsregeln!$X$7:$X$480,MATCH($K415,Feiertagsregeln!$A$7:$A$480,0))</f>
        <v>47112</v>
      </c>
      <c r="B415" s="10" t="str">
        <f t="shared" si="6"/>
        <v>Montag</v>
      </c>
      <c r="C415" s="10" t="s">
        <v>508</v>
      </c>
      <c r="D415" s="10" t="s">
        <v>509</v>
      </c>
      <c r="E415" s="10" t="str">
        <f>INDEX(Feiertagsregeln!$D$7:$D$480,MATCH($K415,Feiertagsregeln!$A$7:$A$480,0))</f>
        <v>Weihnachten</v>
      </c>
      <c r="F415" s="10" t="str">
        <f>INDEX(Feiertagsregeln!$E$7:$E$480,MATCH($K415,Feiertagsregeln!$A$7:$A$480,0))</f>
        <v>Noël</v>
      </c>
      <c r="G415" s="21" t="str">
        <f>IF(INDEX(Feiertagsregeln!$F$7:$F$480,MATCH($K415,Feiertagsregeln!$A$7:$A$480,0))="","Noch zu erfassen",INDEX(Feiertagsregeln!$F$7:$F$480,MATCH($K415,Feiertagsregeln!$A$7:$A$480,0)))</f>
        <v>Natale</v>
      </c>
      <c r="H415" s="21" t="str">
        <f>IF(INDEX(Feiertagsregeln!$G$7:$G$480,MATCH($K415,Feiertagsregeln!$A$7:$A$480,0))="","Noch zu erfassen",INDEX(Feiertagsregeln!$G$7:$G$480,MATCH($K415,Feiertagsregeln!$A$7:$A$480,0)))</f>
        <v>Di da Nadal</v>
      </c>
      <c r="I415" s="10" t="str">
        <f>INDEX(Feiertagsregeln!$H$7:$H$480,MATCH($K415,Feiertagsregeln!$A$7:$A$480,0))</f>
        <v>publicHoliday</v>
      </c>
      <c r="J415" s="10" t="s">
        <v>69</v>
      </c>
      <c r="K415" s="10" t="s">
        <v>520</v>
      </c>
      <c r="L415" s="10" t="str">
        <f>INDEX(Feiertagsregeln!$Y$7:$Y$480,MATCH($K415,Feiertagsregeln!$A$7:$A$480,0))</f>
        <v>SRC-GL-RTG-IXB211-20190701</v>
      </c>
      <c r="M415" s="10" t="str">
        <f>INDEX(Feiertagsregeln!$Z$7:$Z$480,MATCH($K415,Feiertagsregeln!$A$7:$A$480,0))</f>
        <v>Art. 2 Abs. 1 Bst. c</v>
      </c>
      <c r="N415" s="10" t="s">
        <v>193</v>
      </c>
      <c r="O415" s="10" t="str">
        <f>INDEX(Feiertagsregeln!$AA$7:$AA$480,MATCH($K415,Feiertagsregeln!$A$7:$A$480,0))</f>
        <v>Ganztägig</v>
      </c>
    </row>
    <row r="416" spans="1:15" ht="44" customHeight="1">
      <c r="A416" s="15">
        <f>INDEX(Feiertagsregeln!$X$7:$X$480,MATCH($K416,Feiertagsregeln!$A$7:$A$480,0))</f>
        <v>47113</v>
      </c>
      <c r="B416" s="11" t="str">
        <f t="shared" si="6"/>
        <v>Dienstag</v>
      </c>
      <c r="C416" s="11" t="s">
        <v>508</v>
      </c>
      <c r="D416" s="11" t="s">
        <v>509</v>
      </c>
      <c r="E416" s="11" t="str">
        <f>INDEX(Feiertagsregeln!$D$7:$D$480,MATCH($K416,Feiertagsregeln!$A$7:$A$480,0))</f>
        <v>Stephanstag</v>
      </c>
      <c r="F416" s="11" t="str">
        <f>INDEX(Feiertagsregeln!$E$7:$E$480,MATCH($K416,Feiertagsregeln!$A$7:$A$480,0))</f>
        <v>Saint-Étienne</v>
      </c>
      <c r="G416" s="22" t="str">
        <f>IF(INDEX(Feiertagsregeln!$F$7:$F$480,MATCH($K416,Feiertagsregeln!$A$7:$A$480,0))="","Noch zu erfassen",INDEX(Feiertagsregeln!$F$7:$F$480,MATCH($K416,Feiertagsregeln!$A$7:$A$480,0)))</f>
        <v>Santo Stefano</v>
      </c>
      <c r="H416" s="22" t="str">
        <f>IF(INDEX(Feiertagsregeln!$G$7:$G$480,MATCH($K416,Feiertagsregeln!$A$7:$A$480,0))="","Noch zu erfassen",INDEX(Feiertagsregeln!$G$7:$G$480,MATCH($K416,Feiertagsregeln!$A$7:$A$480,0)))</f>
        <v>Son Steffan</v>
      </c>
      <c r="I416" s="11" t="str">
        <f>INDEX(Feiertagsregeln!$H$7:$H$480,MATCH($K416,Feiertagsregeln!$A$7:$A$480,0))</f>
        <v>publicHoliday</v>
      </c>
      <c r="J416" s="11" t="s">
        <v>69</v>
      </c>
      <c r="K416" s="11" t="s">
        <v>521</v>
      </c>
      <c r="L416" s="11" t="str">
        <f>INDEX(Feiertagsregeln!$Y$7:$Y$480,MATCH($K416,Feiertagsregeln!$A$7:$A$480,0))</f>
        <v>SRC-GL-RTG-IXB211-20190701</v>
      </c>
      <c r="M416" s="11" t="str">
        <f>INDEX(Feiertagsregeln!$Z$7:$Z$480,MATCH($K416,Feiertagsregeln!$A$7:$A$480,0))</f>
        <v>Art. 2 Abs. 1 Bst. b</v>
      </c>
      <c r="N416" s="11" t="s">
        <v>193</v>
      </c>
      <c r="O416" s="11" t="str">
        <f>INDEX(Feiertagsregeln!$AA$7:$AA$480,MATCH($K416,Feiertagsregeln!$A$7:$A$480,0))</f>
        <v>Ganztägig</v>
      </c>
    </row>
    <row r="417" spans="1:15" ht="44" customHeight="1">
      <c r="A417" s="14">
        <f>INDEX(Feiertagsregeln!$X$7:$X$480,MATCH($K417,Feiertagsregeln!$A$7:$A$480,0))</f>
        <v>46753</v>
      </c>
      <c r="B417" s="10" t="str">
        <f t="shared" si="6"/>
        <v>Samstag</v>
      </c>
      <c r="C417" s="10" t="s">
        <v>522</v>
      </c>
      <c r="D417" s="10" t="s">
        <v>523</v>
      </c>
      <c r="E417" s="10" t="str">
        <f>INDEX(Feiertagsregeln!$D$7:$D$480,MATCH($K417,Feiertagsregeln!$A$7:$A$480,0))</f>
        <v>Neujahr</v>
      </c>
      <c r="F417" s="10" t="str">
        <f>INDEX(Feiertagsregeln!$E$7:$E$480,MATCH($K417,Feiertagsregeln!$A$7:$A$480,0))</f>
        <v>Nouvel An</v>
      </c>
      <c r="G417" s="21" t="str">
        <f>IF(INDEX(Feiertagsregeln!$F$7:$F$480,MATCH($K417,Feiertagsregeln!$A$7:$A$480,0))="","Noch zu erfassen",INDEX(Feiertagsregeln!$F$7:$F$480,MATCH($K417,Feiertagsregeln!$A$7:$A$480,0)))</f>
        <v>Capo d’anno</v>
      </c>
      <c r="H417" s="21" t="str">
        <f>IF(INDEX(Feiertagsregeln!$G$7:$G$480,MATCH($K417,Feiertagsregeln!$A$7:$A$480,0))="","Noch zu erfassen",INDEX(Feiertagsregeln!$G$7:$G$480,MATCH($K417,Feiertagsregeln!$A$7:$A$480,0)))</f>
        <v>Bumaun</v>
      </c>
      <c r="I417" s="10" t="str">
        <f>INDEX(Feiertagsregeln!$H$7:$H$480,MATCH($K417,Feiertagsregeln!$A$7:$A$480,0))</f>
        <v>publicHoliday</v>
      </c>
      <c r="J417" s="10" t="s">
        <v>69</v>
      </c>
      <c r="K417" s="10" t="s">
        <v>524</v>
      </c>
      <c r="L417" s="10" t="str">
        <f>INDEX(Feiertagsregeln!$Y$7:$Y$480,MATCH($K417,Feiertagsregeln!$A$7:$A$480,0))</f>
        <v>SRC-BS-RLG-811100-20200701</v>
      </c>
      <c r="M417" s="10" t="str">
        <f>INDEX(Feiertagsregeln!$Z$7:$Z$480,MATCH($K417,Feiertagsregeln!$A$7:$A$480,0))</f>
        <v>§ 2 Abs. 1 Bst. a und b</v>
      </c>
      <c r="N417" s="10" t="s">
        <v>193</v>
      </c>
      <c r="O417" s="10" t="str">
        <f>INDEX(Feiertagsregeln!$AA$7:$AA$480,MATCH($K417,Feiertagsregeln!$A$7:$A$480,0))</f>
        <v>Ganztägig</v>
      </c>
    </row>
    <row r="418" spans="1:15" ht="44" customHeight="1">
      <c r="A418" s="15">
        <f>INDEX(Feiertagsregeln!$X$7:$X$480,MATCH($K418,Feiertagsregeln!$A$7:$A$480,0))</f>
        <v>46857</v>
      </c>
      <c r="B418" s="11" t="str">
        <f t="shared" si="6"/>
        <v>Freitag</v>
      </c>
      <c r="C418" s="11" t="s">
        <v>522</v>
      </c>
      <c r="D418" s="11" t="s">
        <v>523</v>
      </c>
      <c r="E418" s="11" t="str">
        <f>INDEX(Feiertagsregeln!$D$7:$D$480,MATCH($K418,Feiertagsregeln!$A$7:$A$480,0))</f>
        <v>Karfreitag</v>
      </c>
      <c r="F418" s="11" t="str">
        <f>INDEX(Feiertagsregeln!$E$7:$E$480,MATCH($K418,Feiertagsregeln!$A$7:$A$480,0))</f>
        <v>Vendredi saint</v>
      </c>
      <c r="G418" s="22" t="str">
        <f>IF(INDEX(Feiertagsregeln!$F$7:$F$480,MATCH($K418,Feiertagsregeln!$A$7:$A$480,0))="","Noch zu erfassen",INDEX(Feiertagsregeln!$F$7:$F$480,MATCH($K418,Feiertagsregeln!$A$7:$A$480,0)))</f>
        <v>Venerdì Santo</v>
      </c>
      <c r="H418" s="22" t="str">
        <f>IF(INDEX(Feiertagsregeln!$G$7:$G$480,MATCH($K418,Feiertagsregeln!$A$7:$A$480,0))="","Noch zu erfassen",INDEX(Feiertagsregeln!$G$7:$G$480,MATCH($K418,Feiertagsregeln!$A$7:$A$480,0)))</f>
        <v>Venderdi sontg</v>
      </c>
      <c r="I418" s="11" t="str">
        <f>INDEX(Feiertagsregeln!$H$7:$H$480,MATCH($K418,Feiertagsregeln!$A$7:$A$480,0))</f>
        <v>publicHoliday</v>
      </c>
      <c r="J418" s="11" t="s">
        <v>69</v>
      </c>
      <c r="K418" s="11" t="s">
        <v>525</v>
      </c>
      <c r="L418" s="11" t="str">
        <f>INDEX(Feiertagsregeln!$Y$7:$Y$480,MATCH($K418,Feiertagsregeln!$A$7:$A$480,0))</f>
        <v>SRC-BS-RLG-811100-20200701</v>
      </c>
      <c r="M418" s="11" t="str">
        <f>INDEX(Feiertagsregeln!$Z$7:$Z$480,MATCH($K418,Feiertagsregeln!$A$7:$A$480,0))</f>
        <v>§ 2 Abs. 1 Bst. a und b</v>
      </c>
      <c r="N418" s="11" t="s">
        <v>193</v>
      </c>
      <c r="O418" s="11" t="str">
        <f>INDEX(Feiertagsregeln!$AA$7:$AA$480,MATCH($K418,Feiertagsregeln!$A$7:$A$480,0))</f>
        <v>Ganztägig</v>
      </c>
    </row>
    <row r="419" spans="1:15" ht="44" customHeight="1">
      <c r="A419" s="14">
        <f>INDEX(Feiertagsregeln!$X$7:$X$480,MATCH($K419,Feiertagsregeln!$A$7:$A$480,0))</f>
        <v>46859</v>
      </c>
      <c r="B419" s="10" t="str">
        <f t="shared" si="6"/>
        <v>Sonntag</v>
      </c>
      <c r="C419" s="10" t="s">
        <v>522</v>
      </c>
      <c r="D419" s="10" t="s">
        <v>523</v>
      </c>
      <c r="E419" s="10" t="str">
        <f>INDEX(Feiertagsregeln!$D$7:$D$480,MATCH($K419,Feiertagsregeln!$A$7:$A$480,0))</f>
        <v>Ostern</v>
      </c>
      <c r="F419" s="10" t="str">
        <f>INDEX(Feiertagsregeln!$E$7:$E$480,MATCH($K419,Feiertagsregeln!$A$7:$A$480,0))</f>
        <v>Pâques</v>
      </c>
      <c r="G419" s="21" t="str">
        <f>IF(INDEX(Feiertagsregeln!$F$7:$F$480,MATCH($K419,Feiertagsregeln!$A$7:$A$480,0))="","Noch zu erfassen",INDEX(Feiertagsregeln!$F$7:$F$480,MATCH($K419,Feiertagsregeln!$A$7:$A$480,0)))</f>
        <v>Domenica di Pasqua</v>
      </c>
      <c r="H419" s="21" t="str">
        <f>IF(INDEX(Feiertagsregeln!$G$7:$G$480,MATCH($K419,Feiertagsregeln!$A$7:$A$480,0))="","Noch zu erfassen",INDEX(Feiertagsregeln!$G$7:$G$480,MATCH($K419,Feiertagsregeln!$A$7:$A$480,0)))</f>
        <v>Dumengia da Pasca</v>
      </c>
      <c r="I419" s="10" t="str">
        <f>INDEX(Feiertagsregeln!$H$7:$H$480,MATCH($K419,Feiertagsregeln!$A$7:$A$480,0))</f>
        <v>publicHoliday</v>
      </c>
      <c r="J419" s="10" t="s">
        <v>69</v>
      </c>
      <c r="K419" s="10" t="s">
        <v>526</v>
      </c>
      <c r="L419" s="10" t="str">
        <f>INDEX(Feiertagsregeln!$Y$7:$Y$480,MATCH($K419,Feiertagsregeln!$A$7:$A$480,0))</f>
        <v>SRC-BS-RLG-811100-20200701</v>
      </c>
      <c r="M419" s="10" t="str">
        <f>INDEX(Feiertagsregeln!$Z$7:$Z$480,MATCH($K419,Feiertagsregeln!$A$7:$A$480,0))</f>
        <v>§ 2 Abs. 1 Bst. a und b</v>
      </c>
      <c r="N419" s="10" t="s">
        <v>193</v>
      </c>
      <c r="O419" s="10" t="str">
        <f>INDEX(Feiertagsregeln!$AA$7:$AA$480,MATCH($K419,Feiertagsregeln!$A$7:$A$480,0))</f>
        <v>Ganztägig</v>
      </c>
    </row>
    <row r="420" spans="1:15" ht="44" customHeight="1">
      <c r="A420" s="15">
        <f>INDEX(Feiertagsregeln!$X$7:$X$480,MATCH($K420,Feiertagsregeln!$A$7:$A$480,0))</f>
        <v>46860</v>
      </c>
      <c r="B420" s="11" t="str">
        <f t="shared" si="6"/>
        <v>Montag</v>
      </c>
      <c r="C420" s="11" t="s">
        <v>522</v>
      </c>
      <c r="D420" s="11" t="s">
        <v>523</v>
      </c>
      <c r="E420" s="11" t="str">
        <f>INDEX(Feiertagsregeln!$D$7:$D$480,MATCH($K420,Feiertagsregeln!$A$7:$A$480,0))</f>
        <v>Ostermontag</v>
      </c>
      <c r="F420" s="11" t="str">
        <f>INDEX(Feiertagsregeln!$E$7:$E$480,MATCH($K420,Feiertagsregeln!$A$7:$A$480,0))</f>
        <v>Lundi de Pâques</v>
      </c>
      <c r="G420" s="22" t="str">
        <f>IF(INDEX(Feiertagsregeln!$F$7:$F$480,MATCH($K420,Feiertagsregeln!$A$7:$A$480,0))="","Noch zu erfassen",INDEX(Feiertagsregeln!$F$7:$F$480,MATCH($K420,Feiertagsregeln!$A$7:$A$480,0)))</f>
        <v>Lunedì di Pasqua</v>
      </c>
      <c r="H420" s="22" t="str">
        <f>IF(INDEX(Feiertagsregeln!$G$7:$G$480,MATCH($K420,Feiertagsregeln!$A$7:$A$480,0))="","Noch zu erfassen",INDEX(Feiertagsregeln!$G$7:$G$480,MATCH($K420,Feiertagsregeln!$A$7:$A$480,0)))</f>
        <v>Glindesdi da Pasca</v>
      </c>
      <c r="I420" s="11" t="str">
        <f>INDEX(Feiertagsregeln!$H$7:$H$480,MATCH($K420,Feiertagsregeln!$A$7:$A$480,0))</f>
        <v>publicHoliday</v>
      </c>
      <c r="J420" s="11" t="s">
        <v>69</v>
      </c>
      <c r="K420" s="11" t="s">
        <v>527</v>
      </c>
      <c r="L420" s="11" t="str">
        <f>INDEX(Feiertagsregeln!$Y$7:$Y$480,MATCH($K420,Feiertagsregeln!$A$7:$A$480,0))</f>
        <v>SRC-BS-RLG-811100-20200701</v>
      </c>
      <c r="M420" s="11" t="str">
        <f>INDEX(Feiertagsregeln!$Z$7:$Z$480,MATCH($K420,Feiertagsregeln!$A$7:$A$480,0))</f>
        <v>§ 2 Abs. 1 Bst. a und b</v>
      </c>
      <c r="N420" s="11" t="s">
        <v>193</v>
      </c>
      <c r="O420" s="11" t="str">
        <f>INDEX(Feiertagsregeln!$AA$7:$AA$480,MATCH($K420,Feiertagsregeln!$A$7:$A$480,0))</f>
        <v>Ganztägig</v>
      </c>
    </row>
    <row r="421" spans="1:15" ht="44" customHeight="1">
      <c r="A421" s="14">
        <f>INDEX(Feiertagsregeln!$X$7:$X$480,MATCH($K421,Feiertagsregeln!$A$7:$A$480,0))</f>
        <v>46874</v>
      </c>
      <c r="B421" s="10" t="str">
        <f t="shared" si="6"/>
        <v>Montag</v>
      </c>
      <c r="C421" s="10" t="s">
        <v>522</v>
      </c>
      <c r="D421" s="10" t="s">
        <v>523</v>
      </c>
      <c r="E421" s="10" t="str">
        <f>INDEX(Feiertagsregeln!$D$7:$D$480,MATCH($K421,Feiertagsregeln!$A$7:$A$480,0))</f>
        <v>Tag der Arbeit (1. Mai)</v>
      </c>
      <c r="F421" s="10" t="str">
        <f>INDEX(Feiertagsregeln!$E$7:$E$480,MATCH($K421,Feiertagsregeln!$A$7:$A$480,0))</f>
        <v>Fête du travail (1er mai)</v>
      </c>
      <c r="G421" s="21" t="str">
        <f>IF(INDEX(Feiertagsregeln!$F$7:$F$480,MATCH($K421,Feiertagsregeln!$A$7:$A$480,0))="","Noch zu erfassen",INDEX(Feiertagsregeln!$F$7:$F$480,MATCH($K421,Feiertagsregeln!$A$7:$A$480,0)))</f>
        <v>Primo maggio</v>
      </c>
      <c r="H421" s="21" t="str">
        <f>IF(INDEX(Feiertagsregeln!$G$7:$G$480,MATCH($K421,Feiertagsregeln!$A$7:$A$480,0))="","Noch zu erfassen",INDEX(Feiertagsregeln!$G$7:$G$480,MATCH($K421,Feiertagsregeln!$A$7:$A$480,0)))</f>
        <v>Di da la lavur (1. da matg)</v>
      </c>
      <c r="I421" s="10" t="str">
        <f>INDEX(Feiertagsregeln!$H$7:$H$480,MATCH($K421,Feiertagsregeln!$A$7:$A$480,0))</f>
        <v>publicHoliday</v>
      </c>
      <c r="J421" s="10" t="s">
        <v>69</v>
      </c>
      <c r="K421" s="10" t="s">
        <v>528</v>
      </c>
      <c r="L421" s="10" t="str">
        <f>INDEX(Feiertagsregeln!$Y$7:$Y$480,MATCH($K421,Feiertagsregeln!$A$7:$A$480,0))</f>
        <v>SRC-BS-RLG-811100-20200701</v>
      </c>
      <c r="M421" s="10" t="str">
        <f>INDEX(Feiertagsregeln!$Z$7:$Z$480,MATCH($K421,Feiertagsregeln!$A$7:$A$480,0))</f>
        <v>§ 2 Abs. 1 Bst. a und b</v>
      </c>
      <c r="N421" s="10" t="s">
        <v>193</v>
      </c>
      <c r="O421" s="10" t="str">
        <f>INDEX(Feiertagsregeln!$AA$7:$AA$480,MATCH($K421,Feiertagsregeln!$A$7:$A$480,0))</f>
        <v>Ganztägig</v>
      </c>
    </row>
    <row r="422" spans="1:15" ht="44" customHeight="1">
      <c r="A422" s="15">
        <f>INDEX(Feiertagsregeln!$X$7:$X$480,MATCH($K422,Feiertagsregeln!$A$7:$A$480,0))</f>
        <v>46898</v>
      </c>
      <c r="B422" s="11" t="str">
        <f t="shared" si="6"/>
        <v>Donnerstag</v>
      </c>
      <c r="C422" s="11" t="s">
        <v>522</v>
      </c>
      <c r="D422" s="11" t="s">
        <v>523</v>
      </c>
      <c r="E422" s="11" t="str">
        <f>INDEX(Feiertagsregeln!$D$7:$D$480,MATCH($K422,Feiertagsregeln!$A$7:$A$480,0))</f>
        <v>Auffahrt</v>
      </c>
      <c r="F422" s="11" t="str">
        <f>INDEX(Feiertagsregeln!$E$7:$E$480,MATCH($K422,Feiertagsregeln!$A$7:$A$480,0))</f>
        <v>Ascension</v>
      </c>
      <c r="G422" s="22" t="str">
        <f>IF(INDEX(Feiertagsregeln!$F$7:$F$480,MATCH($K422,Feiertagsregeln!$A$7:$A$480,0))="","Noch zu erfassen",INDEX(Feiertagsregeln!$F$7:$F$480,MATCH($K422,Feiertagsregeln!$A$7:$A$480,0)))</f>
        <v>Ascensione</v>
      </c>
      <c r="H422" s="22" t="str">
        <f>IF(INDEX(Feiertagsregeln!$G$7:$G$480,MATCH($K422,Feiertagsregeln!$A$7:$A$480,0))="","Noch zu erfassen",INDEX(Feiertagsregeln!$G$7:$G$480,MATCH($K422,Feiertagsregeln!$A$7:$A$480,0)))</f>
        <v>Ascensiun</v>
      </c>
      <c r="I422" s="11" t="str">
        <f>INDEX(Feiertagsregeln!$H$7:$H$480,MATCH($K422,Feiertagsregeln!$A$7:$A$480,0))</f>
        <v>publicHoliday</v>
      </c>
      <c r="J422" s="11" t="s">
        <v>69</v>
      </c>
      <c r="K422" s="11" t="s">
        <v>529</v>
      </c>
      <c r="L422" s="11" t="str">
        <f>INDEX(Feiertagsregeln!$Y$7:$Y$480,MATCH($K422,Feiertagsregeln!$A$7:$A$480,0))</f>
        <v>SRC-BS-RLG-811100-20200701</v>
      </c>
      <c r="M422" s="11" t="str">
        <f>INDEX(Feiertagsregeln!$Z$7:$Z$480,MATCH($K422,Feiertagsregeln!$A$7:$A$480,0))</f>
        <v>§ 2 Abs. 1 Bst. a und b</v>
      </c>
      <c r="N422" s="11" t="s">
        <v>193</v>
      </c>
      <c r="O422" s="11" t="str">
        <f>INDEX(Feiertagsregeln!$AA$7:$AA$480,MATCH($K422,Feiertagsregeln!$A$7:$A$480,0))</f>
        <v>Ganztägig</v>
      </c>
    </row>
    <row r="423" spans="1:15" ht="44" customHeight="1">
      <c r="A423" s="14">
        <f>INDEX(Feiertagsregeln!$X$7:$X$480,MATCH($K423,Feiertagsregeln!$A$7:$A$480,0))</f>
        <v>46908</v>
      </c>
      <c r="B423" s="10" t="str">
        <f t="shared" si="6"/>
        <v>Sonntag</v>
      </c>
      <c r="C423" s="10" t="s">
        <v>522</v>
      </c>
      <c r="D423" s="10" t="s">
        <v>523</v>
      </c>
      <c r="E423" s="10" t="str">
        <f>INDEX(Feiertagsregeln!$D$7:$D$480,MATCH($K423,Feiertagsregeln!$A$7:$A$480,0))</f>
        <v>Pfingsten</v>
      </c>
      <c r="F423" s="10" t="str">
        <f>INDEX(Feiertagsregeln!$E$7:$E$480,MATCH($K423,Feiertagsregeln!$A$7:$A$480,0))</f>
        <v>Pentecôte</v>
      </c>
      <c r="G423" s="21" t="str">
        <f>IF(INDEX(Feiertagsregeln!$F$7:$F$480,MATCH($K423,Feiertagsregeln!$A$7:$A$480,0))="","Noch zu erfassen",INDEX(Feiertagsregeln!$F$7:$F$480,MATCH($K423,Feiertagsregeln!$A$7:$A$480,0)))</f>
        <v>Domenica di Pentecoste</v>
      </c>
      <c r="H423" s="21" t="str">
        <f>IF(INDEX(Feiertagsregeln!$G$7:$G$480,MATCH($K423,Feiertagsregeln!$A$7:$A$480,0))="","Noch zu erfassen",INDEX(Feiertagsregeln!$G$7:$G$480,MATCH($K423,Feiertagsregeln!$A$7:$A$480,0)))</f>
        <v>Dumengia da Tschuncaisma</v>
      </c>
      <c r="I423" s="10" t="str">
        <f>INDEX(Feiertagsregeln!$H$7:$H$480,MATCH($K423,Feiertagsregeln!$A$7:$A$480,0))</f>
        <v>publicHoliday</v>
      </c>
      <c r="J423" s="10" t="s">
        <v>69</v>
      </c>
      <c r="K423" s="10" t="s">
        <v>530</v>
      </c>
      <c r="L423" s="10" t="str">
        <f>INDEX(Feiertagsregeln!$Y$7:$Y$480,MATCH($K423,Feiertagsregeln!$A$7:$A$480,0))</f>
        <v>SRC-BS-RLG-811100-20200701</v>
      </c>
      <c r="M423" s="10" t="str">
        <f>INDEX(Feiertagsregeln!$Z$7:$Z$480,MATCH($K423,Feiertagsregeln!$A$7:$A$480,0))</f>
        <v>§ 2 Abs. 1 Bst. a und b</v>
      </c>
      <c r="N423" s="10" t="s">
        <v>193</v>
      </c>
      <c r="O423" s="10" t="str">
        <f>INDEX(Feiertagsregeln!$AA$7:$AA$480,MATCH($K423,Feiertagsregeln!$A$7:$A$480,0))</f>
        <v>Ganztägig</v>
      </c>
    </row>
    <row r="424" spans="1:15" ht="44" customHeight="1">
      <c r="A424" s="15">
        <f>INDEX(Feiertagsregeln!$X$7:$X$480,MATCH($K424,Feiertagsregeln!$A$7:$A$480,0))</f>
        <v>46909</v>
      </c>
      <c r="B424" s="11" t="str">
        <f t="shared" si="6"/>
        <v>Montag</v>
      </c>
      <c r="C424" s="11" t="s">
        <v>522</v>
      </c>
      <c r="D424" s="11" t="s">
        <v>523</v>
      </c>
      <c r="E424" s="11" t="str">
        <f>INDEX(Feiertagsregeln!$D$7:$D$480,MATCH($K424,Feiertagsregeln!$A$7:$A$480,0))</f>
        <v>Pfingstmontag</v>
      </c>
      <c r="F424" s="11" t="str">
        <f>INDEX(Feiertagsregeln!$E$7:$E$480,MATCH($K424,Feiertagsregeln!$A$7:$A$480,0))</f>
        <v>Lundi de Pentecôte</v>
      </c>
      <c r="G424" s="22" t="str">
        <f>IF(INDEX(Feiertagsregeln!$F$7:$F$480,MATCH($K424,Feiertagsregeln!$A$7:$A$480,0))="","Noch zu erfassen",INDEX(Feiertagsregeln!$F$7:$F$480,MATCH($K424,Feiertagsregeln!$A$7:$A$480,0)))</f>
        <v>Lunedì di Pentecoste</v>
      </c>
      <c r="H424" s="22" t="str">
        <f>IF(INDEX(Feiertagsregeln!$G$7:$G$480,MATCH($K424,Feiertagsregeln!$A$7:$A$480,0))="","Noch zu erfassen",INDEX(Feiertagsregeln!$G$7:$G$480,MATCH($K424,Feiertagsregeln!$A$7:$A$480,0)))</f>
        <v>Glindesdi da Tschuncaisma</v>
      </c>
      <c r="I424" s="11" t="str">
        <f>INDEX(Feiertagsregeln!$H$7:$H$480,MATCH($K424,Feiertagsregeln!$A$7:$A$480,0))</f>
        <v>publicHoliday</v>
      </c>
      <c r="J424" s="11" t="s">
        <v>69</v>
      </c>
      <c r="K424" s="11" t="s">
        <v>531</v>
      </c>
      <c r="L424" s="11" t="str">
        <f>INDEX(Feiertagsregeln!$Y$7:$Y$480,MATCH($K424,Feiertagsregeln!$A$7:$A$480,0))</f>
        <v>SRC-BS-RLG-811100-20200701</v>
      </c>
      <c r="M424" s="11" t="str">
        <f>INDEX(Feiertagsregeln!$Z$7:$Z$480,MATCH($K424,Feiertagsregeln!$A$7:$A$480,0))</f>
        <v>§ 2 Abs. 1 Bst. a und b</v>
      </c>
      <c r="N424" s="11" t="s">
        <v>193</v>
      </c>
      <c r="O424" s="11" t="str">
        <f>INDEX(Feiertagsregeln!$AA$7:$AA$480,MATCH($K424,Feiertagsregeln!$A$7:$A$480,0))</f>
        <v>Ganztägig</v>
      </c>
    </row>
    <row r="425" spans="1:15" ht="44" customHeight="1">
      <c r="A425" s="14">
        <f>INDEX(Feiertagsregeln!$X$7:$X$480,MATCH($K425,Feiertagsregeln!$A$7:$A$480,0))</f>
        <v>46966</v>
      </c>
      <c r="B425" s="10" t="str">
        <f t="shared" si="6"/>
        <v>Dienstag</v>
      </c>
      <c r="C425" s="10" t="s">
        <v>522</v>
      </c>
      <c r="D425" s="10" t="s">
        <v>523</v>
      </c>
      <c r="E425" s="10" t="str">
        <f>INDEX(Feiertagsregeln!$D$7:$D$480,MATCH($K425,Feiertagsregeln!$A$7:$A$480,0))</f>
        <v>Bundesfeiertag</v>
      </c>
      <c r="F425" s="10" t="str">
        <f>INDEX(Feiertagsregeln!$E$7:$E$480,MATCH($K425,Feiertagsregeln!$A$7:$A$480,0))</f>
        <v>Fête nationale</v>
      </c>
      <c r="G425" s="21" t="str">
        <f>IF(INDEX(Feiertagsregeln!$F$7:$F$480,MATCH($K425,Feiertagsregeln!$A$7:$A$480,0))="","Noch zu erfassen",INDEX(Feiertagsregeln!$F$7:$F$480,MATCH($K425,Feiertagsregeln!$A$7:$A$480,0)))</f>
        <v>Primo agosto</v>
      </c>
      <c r="H425" s="21" t="str">
        <f>IF(INDEX(Feiertagsregeln!$G$7:$G$480,MATCH($K425,Feiertagsregeln!$A$7:$A$480,0))="","Noch zu erfassen",INDEX(Feiertagsregeln!$G$7:$G$480,MATCH($K425,Feiertagsregeln!$A$7:$A$480,0)))</f>
        <v>Festa naziunala svizra</v>
      </c>
      <c r="I425" s="10" t="str">
        <f>INDEX(Feiertagsregeln!$H$7:$H$480,MATCH($K425,Feiertagsregeln!$A$7:$A$480,0))</f>
        <v>publicHoliday</v>
      </c>
      <c r="J425" s="10" t="s">
        <v>69</v>
      </c>
      <c r="K425" s="10" t="s">
        <v>532</v>
      </c>
      <c r="L425" s="10" t="str">
        <f>INDEX(Feiertagsregeln!$Y$7:$Y$480,MATCH($K425,Feiertagsregeln!$A$7:$A$480,0))</f>
        <v>SRC-BUNDESFEIERTAG-19940701</v>
      </c>
      <c r="M425" s="10" t="str">
        <f>INDEX(Feiertagsregeln!$Z$7:$Z$480,MATCH($K425,Feiertagsregeln!$A$7:$A$480,0))</f>
        <v>SR 116 Art. 1, neue Anwendung auf BS-RLG-ALL. Kantonaler Bezug § 2 Abs. 1 Bst. a und b</v>
      </c>
      <c r="N425" s="10" t="s">
        <v>193</v>
      </c>
      <c r="O425" s="10" t="str">
        <f>INDEX(Feiertagsregeln!$AA$7:$AA$480,MATCH($K425,Feiertagsregeln!$A$7:$A$480,0))</f>
        <v>Ganztägig</v>
      </c>
    </row>
    <row r="426" spans="1:15" ht="44" customHeight="1">
      <c r="A426" s="15">
        <f>INDEX(Feiertagsregeln!$X$7:$X$480,MATCH($K426,Feiertagsregeln!$A$7:$A$480,0))</f>
        <v>47013</v>
      </c>
      <c r="B426" s="11" t="str">
        <f t="shared" si="6"/>
        <v>Sonntag</v>
      </c>
      <c r="C426" s="11" t="s">
        <v>522</v>
      </c>
      <c r="D426" s="11" t="s">
        <v>523</v>
      </c>
      <c r="E426" s="11" t="str">
        <f>INDEX(Feiertagsregeln!$D$7:$D$480,MATCH($K426,Feiertagsregeln!$A$7:$A$480,0))</f>
        <v>Eidgenössischer Dank-, Buss- und Bettag</v>
      </c>
      <c r="F426" s="11" t="str">
        <f>INDEX(Feiertagsregeln!$E$7:$E$480,MATCH($K426,Feiertagsregeln!$A$7:$A$480,0))</f>
        <v>Jeûne fédéral</v>
      </c>
      <c r="G426" s="22" t="str">
        <f>IF(INDEX(Feiertagsregeln!$F$7:$F$480,MATCH($K426,Feiertagsregeln!$A$7:$A$480,0))="","Noch zu erfassen",INDEX(Feiertagsregeln!$F$7:$F$480,MATCH($K426,Feiertagsregeln!$A$7:$A$480,0)))</f>
        <v>Festa federale di preghiera</v>
      </c>
      <c r="H426" s="22" t="str">
        <f>IF(INDEX(Feiertagsregeln!$G$7:$G$480,MATCH($K426,Feiertagsregeln!$A$7:$A$480,0))="","Noch zu erfassen",INDEX(Feiertagsregeln!$G$7:$G$480,MATCH($K426,Feiertagsregeln!$A$7:$A$480,0)))</f>
        <v>Di da la rogaziun federala</v>
      </c>
      <c r="I426" s="11" t="str">
        <f>INDEX(Feiertagsregeln!$H$7:$H$480,MATCH($K426,Feiertagsregeln!$A$7:$A$480,0))</f>
        <v>publicHoliday</v>
      </c>
      <c r="J426" s="11" t="s">
        <v>69</v>
      </c>
      <c r="K426" s="11" t="s">
        <v>533</v>
      </c>
      <c r="L426" s="11" t="str">
        <f>INDEX(Feiertagsregeln!$Y$7:$Y$480,MATCH($K426,Feiertagsregeln!$A$7:$A$480,0))</f>
        <v>SRC-BS-RLG-811100-20200701</v>
      </c>
      <c r="M426" s="11" t="str">
        <f>INDEX(Feiertagsregeln!$Z$7:$Z$480,MATCH($K426,Feiertagsregeln!$A$7:$A$480,0))</f>
        <v>§ 2 Abs. 1 Bst. a und b</v>
      </c>
      <c r="N426" s="11" t="s">
        <v>193</v>
      </c>
      <c r="O426" s="11" t="str">
        <f>INDEX(Feiertagsregeln!$AA$7:$AA$480,MATCH($K426,Feiertagsregeln!$A$7:$A$480,0))</f>
        <v>Ganztägig</v>
      </c>
    </row>
    <row r="427" spans="1:15" ht="44" customHeight="1">
      <c r="A427" s="14">
        <f>INDEX(Feiertagsregeln!$X$7:$X$480,MATCH($K427,Feiertagsregeln!$A$7:$A$480,0))</f>
        <v>47112</v>
      </c>
      <c r="B427" s="10" t="str">
        <f t="shared" si="6"/>
        <v>Montag</v>
      </c>
      <c r="C427" s="10" t="s">
        <v>522</v>
      </c>
      <c r="D427" s="10" t="s">
        <v>523</v>
      </c>
      <c r="E427" s="10" t="str">
        <f>INDEX(Feiertagsregeln!$D$7:$D$480,MATCH($K427,Feiertagsregeln!$A$7:$A$480,0))</f>
        <v>Weihnachten</v>
      </c>
      <c r="F427" s="10" t="str">
        <f>INDEX(Feiertagsregeln!$E$7:$E$480,MATCH($K427,Feiertagsregeln!$A$7:$A$480,0))</f>
        <v>Noël</v>
      </c>
      <c r="G427" s="21" t="str">
        <f>IF(INDEX(Feiertagsregeln!$F$7:$F$480,MATCH($K427,Feiertagsregeln!$A$7:$A$480,0))="","Noch zu erfassen",INDEX(Feiertagsregeln!$F$7:$F$480,MATCH($K427,Feiertagsregeln!$A$7:$A$480,0)))</f>
        <v>Natale</v>
      </c>
      <c r="H427" s="21" t="str">
        <f>IF(INDEX(Feiertagsregeln!$G$7:$G$480,MATCH($K427,Feiertagsregeln!$A$7:$A$480,0))="","Noch zu erfassen",INDEX(Feiertagsregeln!$G$7:$G$480,MATCH($K427,Feiertagsregeln!$A$7:$A$480,0)))</f>
        <v>Di da Nadal</v>
      </c>
      <c r="I427" s="10" t="str">
        <f>INDEX(Feiertagsregeln!$H$7:$H$480,MATCH($K427,Feiertagsregeln!$A$7:$A$480,0))</f>
        <v>publicHoliday</v>
      </c>
      <c r="J427" s="10" t="s">
        <v>69</v>
      </c>
      <c r="K427" s="10" t="s">
        <v>534</v>
      </c>
      <c r="L427" s="10" t="str">
        <f>INDEX(Feiertagsregeln!$Y$7:$Y$480,MATCH($K427,Feiertagsregeln!$A$7:$A$480,0))</f>
        <v>SRC-BS-RLG-811100-20200701</v>
      </c>
      <c r="M427" s="10" t="str">
        <f>INDEX(Feiertagsregeln!$Z$7:$Z$480,MATCH($K427,Feiertagsregeln!$A$7:$A$480,0))</f>
        <v>§ 2 Abs. 1 Bst. a und b</v>
      </c>
      <c r="N427" s="10" t="s">
        <v>193</v>
      </c>
      <c r="O427" s="10" t="str">
        <f>INDEX(Feiertagsregeln!$AA$7:$AA$480,MATCH($K427,Feiertagsregeln!$A$7:$A$480,0))</f>
        <v>Ganztägig</v>
      </c>
    </row>
    <row r="428" spans="1:15" ht="44" customHeight="1">
      <c r="A428" s="15">
        <f>INDEX(Feiertagsregeln!$X$7:$X$480,MATCH($K428,Feiertagsregeln!$A$7:$A$480,0))</f>
        <v>47113</v>
      </c>
      <c r="B428" s="11" t="str">
        <f t="shared" si="6"/>
        <v>Dienstag</v>
      </c>
      <c r="C428" s="11" t="s">
        <v>522</v>
      </c>
      <c r="D428" s="11" t="s">
        <v>523</v>
      </c>
      <c r="E428" s="11" t="str">
        <f>INDEX(Feiertagsregeln!$D$7:$D$480,MATCH($K428,Feiertagsregeln!$A$7:$A$480,0))</f>
        <v>Stephanstag</v>
      </c>
      <c r="F428" s="11" t="str">
        <f>INDEX(Feiertagsregeln!$E$7:$E$480,MATCH($K428,Feiertagsregeln!$A$7:$A$480,0))</f>
        <v>Saint-Étienne</v>
      </c>
      <c r="G428" s="22" t="str">
        <f>IF(INDEX(Feiertagsregeln!$F$7:$F$480,MATCH($K428,Feiertagsregeln!$A$7:$A$480,0))="","Noch zu erfassen",INDEX(Feiertagsregeln!$F$7:$F$480,MATCH($K428,Feiertagsregeln!$A$7:$A$480,0)))</f>
        <v>Santo Stefano</v>
      </c>
      <c r="H428" s="22" t="str">
        <f>IF(INDEX(Feiertagsregeln!$G$7:$G$480,MATCH($K428,Feiertagsregeln!$A$7:$A$480,0))="","Noch zu erfassen",INDEX(Feiertagsregeln!$G$7:$G$480,MATCH($K428,Feiertagsregeln!$A$7:$A$480,0)))</f>
        <v>Son Steffan</v>
      </c>
      <c r="I428" s="11" t="str">
        <f>INDEX(Feiertagsregeln!$H$7:$H$480,MATCH($K428,Feiertagsregeln!$A$7:$A$480,0))</f>
        <v>publicHoliday</v>
      </c>
      <c r="J428" s="11" t="s">
        <v>69</v>
      </c>
      <c r="K428" s="11" t="s">
        <v>535</v>
      </c>
      <c r="L428" s="11" t="str">
        <f>INDEX(Feiertagsregeln!$Y$7:$Y$480,MATCH($K428,Feiertagsregeln!$A$7:$A$480,0))</f>
        <v>SRC-BS-RLG-811100-20200701</v>
      </c>
      <c r="M428" s="11" t="str">
        <f>INDEX(Feiertagsregeln!$Z$7:$Z$480,MATCH($K428,Feiertagsregeln!$A$7:$A$480,0))</f>
        <v>§ 2 Abs. 1 Bst. a und b</v>
      </c>
      <c r="N428" s="11" t="s">
        <v>193</v>
      </c>
      <c r="O428" s="11" t="str">
        <f>INDEX(Feiertagsregeln!$AA$7:$AA$480,MATCH($K428,Feiertagsregeln!$A$7:$A$480,0))</f>
        <v>Ganztägig</v>
      </c>
    </row>
    <row r="429" spans="1:15" ht="44" customHeight="1">
      <c r="A429" s="14">
        <f>INDEX(Feiertagsregeln!$X$7:$X$480,MATCH($K429,Feiertagsregeln!$A$7:$A$480,0))</f>
        <v>46753</v>
      </c>
      <c r="B429" s="10" t="str">
        <f t="shared" si="6"/>
        <v>Samstag</v>
      </c>
      <c r="C429" s="10" t="s">
        <v>536</v>
      </c>
      <c r="D429" s="10" t="s">
        <v>537</v>
      </c>
      <c r="E429" s="10" t="str">
        <f>INDEX(Feiertagsregeln!$D$7:$D$480,MATCH($K429,Feiertagsregeln!$A$7:$A$480,0))</f>
        <v>Neujahr</v>
      </c>
      <c r="F429" s="10" t="str">
        <f>INDEX(Feiertagsregeln!$E$7:$E$480,MATCH($K429,Feiertagsregeln!$A$7:$A$480,0))</f>
        <v>Nouvel An</v>
      </c>
      <c r="G429" s="21" t="str">
        <f>IF(INDEX(Feiertagsregeln!$F$7:$F$480,MATCH($K429,Feiertagsregeln!$A$7:$A$480,0))="","Noch zu erfassen",INDEX(Feiertagsregeln!$F$7:$F$480,MATCH($K429,Feiertagsregeln!$A$7:$A$480,0)))</f>
        <v>Capo d’anno</v>
      </c>
      <c r="H429" s="21" t="str">
        <f>IF(INDEX(Feiertagsregeln!$G$7:$G$480,MATCH($K429,Feiertagsregeln!$A$7:$A$480,0))="","Noch zu erfassen",INDEX(Feiertagsregeln!$G$7:$G$480,MATCH($K429,Feiertagsregeln!$A$7:$A$480,0)))</f>
        <v>Bumaun</v>
      </c>
      <c r="I429" s="10" t="str">
        <f>INDEX(Feiertagsregeln!$H$7:$H$480,MATCH($K429,Feiertagsregeln!$A$7:$A$480,0))</f>
        <v>publicHoliday</v>
      </c>
      <c r="J429" s="10" t="s">
        <v>69</v>
      </c>
      <c r="K429" s="10" t="s">
        <v>538</v>
      </c>
      <c r="L429" s="10" t="str">
        <f>INDEX(Feiertagsregeln!$Y$7:$Y$480,MATCH($K429,Feiertagsregeln!$A$7:$A$480,0))</f>
        <v>SRC-BL-RTG-547-20191201</v>
      </c>
      <c r="M429" s="10" t="str">
        <f>INDEX(Feiertagsregeln!$Z$7:$Z$480,MATCH($K429,Feiertagsregeln!$A$7:$A$480,0))</f>
        <v>§ 2 Abs. 1 Bst. b und c</v>
      </c>
      <c r="N429" s="10" t="s">
        <v>193</v>
      </c>
      <c r="O429" s="10" t="str">
        <f>INDEX(Feiertagsregeln!$AA$7:$AA$480,MATCH($K429,Feiertagsregeln!$A$7:$A$480,0))</f>
        <v>Ganztägig</v>
      </c>
    </row>
    <row r="430" spans="1:15" ht="44" customHeight="1">
      <c r="A430" s="15">
        <f>INDEX(Feiertagsregeln!$X$7:$X$480,MATCH($K430,Feiertagsregeln!$A$7:$A$480,0))</f>
        <v>46857</v>
      </c>
      <c r="B430" s="11" t="str">
        <f t="shared" si="6"/>
        <v>Freitag</v>
      </c>
      <c r="C430" s="11" t="s">
        <v>536</v>
      </c>
      <c r="D430" s="11" t="s">
        <v>537</v>
      </c>
      <c r="E430" s="11" t="str">
        <f>INDEX(Feiertagsregeln!$D$7:$D$480,MATCH($K430,Feiertagsregeln!$A$7:$A$480,0))</f>
        <v>Karfreitag</v>
      </c>
      <c r="F430" s="11" t="str">
        <f>INDEX(Feiertagsregeln!$E$7:$E$480,MATCH($K430,Feiertagsregeln!$A$7:$A$480,0))</f>
        <v>Vendredi saint</v>
      </c>
      <c r="G430" s="22" t="str">
        <f>IF(INDEX(Feiertagsregeln!$F$7:$F$480,MATCH($K430,Feiertagsregeln!$A$7:$A$480,0))="","Noch zu erfassen",INDEX(Feiertagsregeln!$F$7:$F$480,MATCH($K430,Feiertagsregeln!$A$7:$A$480,0)))</f>
        <v>Venerdì Santo</v>
      </c>
      <c r="H430" s="22" t="str">
        <f>IF(INDEX(Feiertagsregeln!$G$7:$G$480,MATCH($K430,Feiertagsregeln!$A$7:$A$480,0))="","Noch zu erfassen",INDEX(Feiertagsregeln!$G$7:$G$480,MATCH($K430,Feiertagsregeln!$A$7:$A$480,0)))</f>
        <v>Venderdi sontg</v>
      </c>
      <c r="I430" s="11" t="str">
        <f>INDEX(Feiertagsregeln!$H$7:$H$480,MATCH($K430,Feiertagsregeln!$A$7:$A$480,0))</f>
        <v>publicHoliday</v>
      </c>
      <c r="J430" s="11" t="s">
        <v>69</v>
      </c>
      <c r="K430" s="11" t="s">
        <v>539</v>
      </c>
      <c r="L430" s="11" t="str">
        <f>INDEX(Feiertagsregeln!$Y$7:$Y$480,MATCH($K430,Feiertagsregeln!$A$7:$A$480,0))</f>
        <v>SRC-BL-RTG-547-20191201</v>
      </c>
      <c r="M430" s="11" t="str">
        <f>INDEX(Feiertagsregeln!$Z$7:$Z$480,MATCH($K430,Feiertagsregeln!$A$7:$A$480,0))</f>
        <v>§ 2 Abs. 1 Bst. b und c</v>
      </c>
      <c r="N430" s="11" t="s">
        <v>193</v>
      </c>
      <c r="O430" s="11" t="str">
        <f>INDEX(Feiertagsregeln!$AA$7:$AA$480,MATCH($K430,Feiertagsregeln!$A$7:$A$480,0))</f>
        <v>Ganztägig</v>
      </c>
    </row>
    <row r="431" spans="1:15" ht="44" customHeight="1">
      <c r="A431" s="14">
        <f>INDEX(Feiertagsregeln!$X$7:$X$480,MATCH($K431,Feiertagsregeln!$A$7:$A$480,0))</f>
        <v>46859</v>
      </c>
      <c r="B431" s="10" t="str">
        <f t="shared" si="6"/>
        <v>Sonntag</v>
      </c>
      <c r="C431" s="10" t="s">
        <v>536</v>
      </c>
      <c r="D431" s="10" t="s">
        <v>537</v>
      </c>
      <c r="E431" s="10" t="str">
        <f>INDEX(Feiertagsregeln!$D$7:$D$480,MATCH($K431,Feiertagsregeln!$A$7:$A$480,0))</f>
        <v>Ostern</v>
      </c>
      <c r="F431" s="10" t="str">
        <f>INDEX(Feiertagsregeln!$E$7:$E$480,MATCH($K431,Feiertagsregeln!$A$7:$A$480,0))</f>
        <v>Pâques</v>
      </c>
      <c r="G431" s="21" t="str">
        <f>IF(INDEX(Feiertagsregeln!$F$7:$F$480,MATCH($K431,Feiertagsregeln!$A$7:$A$480,0))="","Noch zu erfassen",INDEX(Feiertagsregeln!$F$7:$F$480,MATCH($K431,Feiertagsregeln!$A$7:$A$480,0)))</f>
        <v>Domenica di Pasqua</v>
      </c>
      <c r="H431" s="21" t="str">
        <f>IF(INDEX(Feiertagsregeln!$G$7:$G$480,MATCH($K431,Feiertagsregeln!$A$7:$A$480,0))="","Noch zu erfassen",INDEX(Feiertagsregeln!$G$7:$G$480,MATCH($K431,Feiertagsregeln!$A$7:$A$480,0)))</f>
        <v>Dumengia da Pasca</v>
      </c>
      <c r="I431" s="10" t="str">
        <f>INDEX(Feiertagsregeln!$H$7:$H$480,MATCH($K431,Feiertagsregeln!$A$7:$A$480,0))</f>
        <v>publicHoliday</v>
      </c>
      <c r="J431" s="10" t="s">
        <v>69</v>
      </c>
      <c r="K431" s="10" t="s">
        <v>540</v>
      </c>
      <c r="L431" s="10" t="str">
        <f>INDEX(Feiertagsregeln!$Y$7:$Y$480,MATCH($K431,Feiertagsregeln!$A$7:$A$480,0))</f>
        <v>SRC-BL-RTG-547-20191201</v>
      </c>
      <c r="M431" s="10" t="str">
        <f>INDEX(Feiertagsregeln!$Z$7:$Z$480,MATCH($K431,Feiertagsregeln!$A$7:$A$480,0))</f>
        <v>§ 2 Abs. 1 Bst. b und c</v>
      </c>
      <c r="N431" s="10" t="s">
        <v>193</v>
      </c>
      <c r="O431" s="10" t="str">
        <f>INDEX(Feiertagsregeln!$AA$7:$AA$480,MATCH($K431,Feiertagsregeln!$A$7:$A$480,0))</f>
        <v>Ganztägig</v>
      </c>
    </row>
    <row r="432" spans="1:15" ht="44" customHeight="1">
      <c r="A432" s="15">
        <f>INDEX(Feiertagsregeln!$X$7:$X$480,MATCH($K432,Feiertagsregeln!$A$7:$A$480,0))</f>
        <v>46860</v>
      </c>
      <c r="B432" s="11" t="str">
        <f t="shared" si="6"/>
        <v>Montag</v>
      </c>
      <c r="C432" s="11" t="s">
        <v>536</v>
      </c>
      <c r="D432" s="11" t="s">
        <v>537</v>
      </c>
      <c r="E432" s="11" t="str">
        <f>INDEX(Feiertagsregeln!$D$7:$D$480,MATCH($K432,Feiertagsregeln!$A$7:$A$480,0))</f>
        <v>Ostermontag</v>
      </c>
      <c r="F432" s="11" t="str">
        <f>INDEX(Feiertagsregeln!$E$7:$E$480,MATCH($K432,Feiertagsregeln!$A$7:$A$480,0))</f>
        <v>Lundi de Pâques</v>
      </c>
      <c r="G432" s="22" t="str">
        <f>IF(INDEX(Feiertagsregeln!$F$7:$F$480,MATCH($K432,Feiertagsregeln!$A$7:$A$480,0))="","Noch zu erfassen",INDEX(Feiertagsregeln!$F$7:$F$480,MATCH($K432,Feiertagsregeln!$A$7:$A$480,0)))</f>
        <v>Lunedì di Pasqua</v>
      </c>
      <c r="H432" s="22" t="str">
        <f>IF(INDEX(Feiertagsregeln!$G$7:$G$480,MATCH($K432,Feiertagsregeln!$A$7:$A$480,0))="","Noch zu erfassen",INDEX(Feiertagsregeln!$G$7:$G$480,MATCH($K432,Feiertagsregeln!$A$7:$A$480,0)))</f>
        <v>Glindesdi da Pasca</v>
      </c>
      <c r="I432" s="11" t="str">
        <f>INDEX(Feiertagsregeln!$H$7:$H$480,MATCH($K432,Feiertagsregeln!$A$7:$A$480,0))</f>
        <v>publicHoliday</v>
      </c>
      <c r="J432" s="11" t="s">
        <v>69</v>
      </c>
      <c r="K432" s="11" t="s">
        <v>541</v>
      </c>
      <c r="L432" s="11" t="str">
        <f>INDEX(Feiertagsregeln!$Y$7:$Y$480,MATCH($K432,Feiertagsregeln!$A$7:$A$480,0))</f>
        <v>SRC-BL-RTG-547-20191201</v>
      </c>
      <c r="M432" s="11" t="str">
        <f>INDEX(Feiertagsregeln!$Z$7:$Z$480,MATCH($K432,Feiertagsregeln!$A$7:$A$480,0))</f>
        <v>§ 2 Abs. 1 Bst. b und c</v>
      </c>
      <c r="N432" s="11" t="s">
        <v>193</v>
      </c>
      <c r="O432" s="11" t="str">
        <f>INDEX(Feiertagsregeln!$AA$7:$AA$480,MATCH($K432,Feiertagsregeln!$A$7:$A$480,0))</f>
        <v>Ganztägig</v>
      </c>
    </row>
    <row r="433" spans="1:15" ht="44" customHeight="1">
      <c r="A433" s="14">
        <f>INDEX(Feiertagsregeln!$X$7:$X$480,MATCH($K433,Feiertagsregeln!$A$7:$A$480,0))</f>
        <v>46874</v>
      </c>
      <c r="B433" s="10" t="str">
        <f t="shared" si="6"/>
        <v>Montag</v>
      </c>
      <c r="C433" s="10" t="s">
        <v>536</v>
      </c>
      <c r="D433" s="10" t="s">
        <v>537</v>
      </c>
      <c r="E433" s="10" t="str">
        <f>INDEX(Feiertagsregeln!$D$7:$D$480,MATCH($K433,Feiertagsregeln!$A$7:$A$480,0))</f>
        <v>Tag der Arbeit (1. Mai)</v>
      </c>
      <c r="F433" s="10" t="str">
        <f>INDEX(Feiertagsregeln!$E$7:$E$480,MATCH($K433,Feiertagsregeln!$A$7:$A$480,0))</f>
        <v>Fête du travail (1er mai)</v>
      </c>
      <c r="G433" s="21" t="str">
        <f>IF(INDEX(Feiertagsregeln!$F$7:$F$480,MATCH($K433,Feiertagsregeln!$A$7:$A$480,0))="","Noch zu erfassen",INDEX(Feiertagsregeln!$F$7:$F$480,MATCH($K433,Feiertagsregeln!$A$7:$A$480,0)))</f>
        <v>Primo maggio</v>
      </c>
      <c r="H433" s="21" t="str">
        <f>IF(INDEX(Feiertagsregeln!$G$7:$G$480,MATCH($K433,Feiertagsregeln!$A$7:$A$480,0))="","Noch zu erfassen",INDEX(Feiertagsregeln!$G$7:$G$480,MATCH($K433,Feiertagsregeln!$A$7:$A$480,0)))</f>
        <v>Di da la lavur (1. da matg)</v>
      </c>
      <c r="I433" s="10" t="str">
        <f>INDEX(Feiertagsregeln!$H$7:$H$480,MATCH($K433,Feiertagsregeln!$A$7:$A$480,0))</f>
        <v>publicHoliday</v>
      </c>
      <c r="J433" s="10" t="s">
        <v>69</v>
      </c>
      <c r="K433" s="10" t="s">
        <v>542</v>
      </c>
      <c r="L433" s="10" t="str">
        <f>INDEX(Feiertagsregeln!$Y$7:$Y$480,MATCH($K433,Feiertagsregeln!$A$7:$A$480,0))</f>
        <v>SRC-BL-RTG-547-20191201</v>
      </c>
      <c r="M433" s="10" t="str">
        <f>INDEX(Feiertagsregeln!$Z$7:$Z$480,MATCH($K433,Feiertagsregeln!$A$7:$A$480,0))</f>
        <v>§ 2 Abs. 1 Bst. b und c</v>
      </c>
      <c r="N433" s="10" t="s">
        <v>193</v>
      </c>
      <c r="O433" s="10" t="str">
        <f>INDEX(Feiertagsregeln!$AA$7:$AA$480,MATCH($K433,Feiertagsregeln!$A$7:$A$480,0))</f>
        <v>Ganztägig</v>
      </c>
    </row>
    <row r="434" spans="1:15" ht="44" customHeight="1">
      <c r="A434" s="15">
        <f>INDEX(Feiertagsregeln!$X$7:$X$480,MATCH($K434,Feiertagsregeln!$A$7:$A$480,0))</f>
        <v>46898</v>
      </c>
      <c r="B434" s="11" t="str">
        <f t="shared" si="6"/>
        <v>Donnerstag</v>
      </c>
      <c r="C434" s="11" t="s">
        <v>536</v>
      </c>
      <c r="D434" s="11" t="s">
        <v>537</v>
      </c>
      <c r="E434" s="11" t="str">
        <f>INDEX(Feiertagsregeln!$D$7:$D$480,MATCH($K434,Feiertagsregeln!$A$7:$A$480,0))</f>
        <v>Auffahrt</v>
      </c>
      <c r="F434" s="11" t="str">
        <f>INDEX(Feiertagsregeln!$E$7:$E$480,MATCH($K434,Feiertagsregeln!$A$7:$A$480,0))</f>
        <v>Ascension</v>
      </c>
      <c r="G434" s="22" t="str">
        <f>IF(INDEX(Feiertagsregeln!$F$7:$F$480,MATCH($K434,Feiertagsregeln!$A$7:$A$480,0))="","Noch zu erfassen",INDEX(Feiertagsregeln!$F$7:$F$480,MATCH($K434,Feiertagsregeln!$A$7:$A$480,0)))</f>
        <v>Ascensione</v>
      </c>
      <c r="H434" s="22" t="str">
        <f>IF(INDEX(Feiertagsregeln!$G$7:$G$480,MATCH($K434,Feiertagsregeln!$A$7:$A$480,0))="","Noch zu erfassen",INDEX(Feiertagsregeln!$G$7:$G$480,MATCH($K434,Feiertagsregeln!$A$7:$A$480,0)))</f>
        <v>Ascensiun</v>
      </c>
      <c r="I434" s="11" t="str">
        <f>INDEX(Feiertagsregeln!$H$7:$H$480,MATCH($K434,Feiertagsregeln!$A$7:$A$480,0))</f>
        <v>publicHoliday</v>
      </c>
      <c r="J434" s="11" t="s">
        <v>69</v>
      </c>
      <c r="K434" s="11" t="s">
        <v>543</v>
      </c>
      <c r="L434" s="11" t="str">
        <f>INDEX(Feiertagsregeln!$Y$7:$Y$480,MATCH($K434,Feiertagsregeln!$A$7:$A$480,0))</f>
        <v>SRC-BL-RTG-547-20191201</v>
      </c>
      <c r="M434" s="11" t="str">
        <f>INDEX(Feiertagsregeln!$Z$7:$Z$480,MATCH($K434,Feiertagsregeln!$A$7:$A$480,0))</f>
        <v>§ 2 Abs. 1 Bst. b und c</v>
      </c>
      <c r="N434" s="11" t="s">
        <v>193</v>
      </c>
      <c r="O434" s="11" t="str">
        <f>INDEX(Feiertagsregeln!$AA$7:$AA$480,MATCH($K434,Feiertagsregeln!$A$7:$A$480,0))</f>
        <v>Ganztägig</v>
      </c>
    </row>
    <row r="435" spans="1:15" ht="44" customHeight="1">
      <c r="A435" s="14">
        <f>INDEX(Feiertagsregeln!$X$7:$X$480,MATCH($K435,Feiertagsregeln!$A$7:$A$480,0))</f>
        <v>46908</v>
      </c>
      <c r="B435" s="10" t="str">
        <f t="shared" si="6"/>
        <v>Sonntag</v>
      </c>
      <c r="C435" s="10" t="s">
        <v>536</v>
      </c>
      <c r="D435" s="10" t="s">
        <v>537</v>
      </c>
      <c r="E435" s="10" t="str">
        <f>INDEX(Feiertagsregeln!$D$7:$D$480,MATCH($K435,Feiertagsregeln!$A$7:$A$480,0))</f>
        <v>Pfingsten</v>
      </c>
      <c r="F435" s="10" t="str">
        <f>INDEX(Feiertagsregeln!$E$7:$E$480,MATCH($K435,Feiertagsregeln!$A$7:$A$480,0))</f>
        <v>Pentecôte</v>
      </c>
      <c r="G435" s="21" t="str">
        <f>IF(INDEX(Feiertagsregeln!$F$7:$F$480,MATCH($K435,Feiertagsregeln!$A$7:$A$480,0))="","Noch zu erfassen",INDEX(Feiertagsregeln!$F$7:$F$480,MATCH($K435,Feiertagsregeln!$A$7:$A$480,0)))</f>
        <v>Domenica di Pentecoste</v>
      </c>
      <c r="H435" s="21" t="str">
        <f>IF(INDEX(Feiertagsregeln!$G$7:$G$480,MATCH($K435,Feiertagsregeln!$A$7:$A$480,0))="","Noch zu erfassen",INDEX(Feiertagsregeln!$G$7:$G$480,MATCH($K435,Feiertagsregeln!$A$7:$A$480,0)))</f>
        <v>Dumengia da Tschuncaisma</v>
      </c>
      <c r="I435" s="10" t="str">
        <f>INDEX(Feiertagsregeln!$H$7:$H$480,MATCH($K435,Feiertagsregeln!$A$7:$A$480,0))</f>
        <v>publicHoliday</v>
      </c>
      <c r="J435" s="10" t="s">
        <v>69</v>
      </c>
      <c r="K435" s="10" t="s">
        <v>544</v>
      </c>
      <c r="L435" s="10" t="str">
        <f>INDEX(Feiertagsregeln!$Y$7:$Y$480,MATCH($K435,Feiertagsregeln!$A$7:$A$480,0))</f>
        <v>SRC-BL-RTG-547-20191201</v>
      </c>
      <c r="M435" s="10" t="str">
        <f>INDEX(Feiertagsregeln!$Z$7:$Z$480,MATCH($K435,Feiertagsregeln!$A$7:$A$480,0))</f>
        <v>§ 2 Abs. 1 Bst. b und c</v>
      </c>
      <c r="N435" s="10" t="s">
        <v>193</v>
      </c>
      <c r="O435" s="10" t="str">
        <f>INDEX(Feiertagsregeln!$AA$7:$AA$480,MATCH($K435,Feiertagsregeln!$A$7:$A$480,0))</f>
        <v>Ganztägig</v>
      </c>
    </row>
    <row r="436" spans="1:15" ht="44" customHeight="1">
      <c r="A436" s="15">
        <f>INDEX(Feiertagsregeln!$X$7:$X$480,MATCH($K436,Feiertagsregeln!$A$7:$A$480,0))</f>
        <v>46909</v>
      </c>
      <c r="B436" s="11" t="str">
        <f t="shared" si="6"/>
        <v>Montag</v>
      </c>
      <c r="C436" s="11" t="s">
        <v>536</v>
      </c>
      <c r="D436" s="11" t="s">
        <v>537</v>
      </c>
      <c r="E436" s="11" t="str">
        <f>INDEX(Feiertagsregeln!$D$7:$D$480,MATCH($K436,Feiertagsregeln!$A$7:$A$480,0))</f>
        <v>Pfingstmontag</v>
      </c>
      <c r="F436" s="11" t="str">
        <f>INDEX(Feiertagsregeln!$E$7:$E$480,MATCH($K436,Feiertagsregeln!$A$7:$A$480,0))</f>
        <v>Lundi de Pentecôte</v>
      </c>
      <c r="G436" s="22" t="str">
        <f>IF(INDEX(Feiertagsregeln!$F$7:$F$480,MATCH($K436,Feiertagsregeln!$A$7:$A$480,0))="","Noch zu erfassen",INDEX(Feiertagsregeln!$F$7:$F$480,MATCH($K436,Feiertagsregeln!$A$7:$A$480,0)))</f>
        <v>Lunedì di Pentecoste</v>
      </c>
      <c r="H436" s="22" t="str">
        <f>IF(INDEX(Feiertagsregeln!$G$7:$G$480,MATCH($K436,Feiertagsregeln!$A$7:$A$480,0))="","Noch zu erfassen",INDEX(Feiertagsregeln!$G$7:$G$480,MATCH($K436,Feiertagsregeln!$A$7:$A$480,0)))</f>
        <v>Glindesdi da Tschuncaisma</v>
      </c>
      <c r="I436" s="11" t="str">
        <f>INDEX(Feiertagsregeln!$H$7:$H$480,MATCH($K436,Feiertagsregeln!$A$7:$A$480,0))</f>
        <v>publicHoliday</v>
      </c>
      <c r="J436" s="11" t="s">
        <v>69</v>
      </c>
      <c r="K436" s="11" t="s">
        <v>545</v>
      </c>
      <c r="L436" s="11" t="str">
        <f>INDEX(Feiertagsregeln!$Y$7:$Y$480,MATCH($K436,Feiertagsregeln!$A$7:$A$480,0))</f>
        <v>SRC-BL-RTG-547-20191201</v>
      </c>
      <c r="M436" s="11" t="str">
        <f>INDEX(Feiertagsregeln!$Z$7:$Z$480,MATCH($K436,Feiertagsregeln!$A$7:$A$480,0))</f>
        <v>§ 2 Abs. 1 Bst. b und c</v>
      </c>
      <c r="N436" s="11" t="s">
        <v>193</v>
      </c>
      <c r="O436" s="11" t="str">
        <f>INDEX(Feiertagsregeln!$AA$7:$AA$480,MATCH($K436,Feiertagsregeln!$A$7:$A$480,0))</f>
        <v>Ganztägig</v>
      </c>
    </row>
    <row r="437" spans="1:15" ht="44" customHeight="1">
      <c r="A437" s="14">
        <f>INDEX(Feiertagsregeln!$X$7:$X$480,MATCH($K437,Feiertagsregeln!$A$7:$A$480,0))</f>
        <v>46966</v>
      </c>
      <c r="B437" s="10" t="str">
        <f t="shared" si="6"/>
        <v>Dienstag</v>
      </c>
      <c r="C437" s="10" t="s">
        <v>536</v>
      </c>
      <c r="D437" s="10" t="s">
        <v>537</v>
      </c>
      <c r="E437" s="10" t="str">
        <f>INDEX(Feiertagsregeln!$D$7:$D$480,MATCH($K437,Feiertagsregeln!$A$7:$A$480,0))</f>
        <v>Bundesfeiertag</v>
      </c>
      <c r="F437" s="10" t="str">
        <f>INDEX(Feiertagsregeln!$E$7:$E$480,MATCH($K437,Feiertagsregeln!$A$7:$A$480,0))</f>
        <v>Fête nationale</v>
      </c>
      <c r="G437" s="21" t="str">
        <f>IF(INDEX(Feiertagsregeln!$F$7:$F$480,MATCH($K437,Feiertagsregeln!$A$7:$A$480,0))="","Noch zu erfassen",INDEX(Feiertagsregeln!$F$7:$F$480,MATCH($K437,Feiertagsregeln!$A$7:$A$480,0)))</f>
        <v>Primo agosto</v>
      </c>
      <c r="H437" s="21" t="str">
        <f>IF(INDEX(Feiertagsregeln!$G$7:$G$480,MATCH($K437,Feiertagsregeln!$A$7:$A$480,0))="","Noch zu erfassen",INDEX(Feiertagsregeln!$G$7:$G$480,MATCH($K437,Feiertagsregeln!$A$7:$A$480,0)))</f>
        <v>Festa naziunala svizra</v>
      </c>
      <c r="I437" s="10" t="str">
        <f>INDEX(Feiertagsregeln!$H$7:$H$480,MATCH($K437,Feiertagsregeln!$A$7:$A$480,0))</f>
        <v>publicHoliday</v>
      </c>
      <c r="J437" s="10" t="s">
        <v>69</v>
      </c>
      <c r="K437" s="10" t="s">
        <v>546</v>
      </c>
      <c r="L437" s="10" t="str">
        <f>INDEX(Feiertagsregeln!$Y$7:$Y$480,MATCH($K437,Feiertagsregeln!$A$7:$A$480,0))</f>
        <v>SRC-BUNDESFEIERTAG-19940701</v>
      </c>
      <c r="M437" s="10" t="str">
        <f>INDEX(Feiertagsregeln!$Z$7:$Z$480,MATCH($K437,Feiertagsregeln!$A$7:$A$480,0))</f>
        <v>SR 116 Art. 1, neue Anwendung auf BL-RTG-ALL. Kantonaler Bezug § 2 Abs. 1 Bst. b und c</v>
      </c>
      <c r="N437" s="10" t="s">
        <v>193</v>
      </c>
      <c r="O437" s="10" t="str">
        <f>INDEX(Feiertagsregeln!$AA$7:$AA$480,MATCH($K437,Feiertagsregeln!$A$7:$A$480,0))</f>
        <v>Ganztägig</v>
      </c>
    </row>
    <row r="438" spans="1:15" ht="44" customHeight="1">
      <c r="A438" s="15">
        <f>INDEX(Feiertagsregeln!$X$7:$X$480,MATCH($K438,Feiertagsregeln!$A$7:$A$480,0))</f>
        <v>47013</v>
      </c>
      <c r="B438" s="11" t="str">
        <f t="shared" si="6"/>
        <v>Sonntag</v>
      </c>
      <c r="C438" s="11" t="s">
        <v>536</v>
      </c>
      <c r="D438" s="11" t="s">
        <v>537</v>
      </c>
      <c r="E438" s="11" t="str">
        <f>INDEX(Feiertagsregeln!$D$7:$D$480,MATCH($K438,Feiertagsregeln!$A$7:$A$480,0))</f>
        <v>Eidgenössischer Dank-, Buss- und Bettag</v>
      </c>
      <c r="F438" s="11" t="str">
        <f>INDEX(Feiertagsregeln!$E$7:$E$480,MATCH($K438,Feiertagsregeln!$A$7:$A$480,0))</f>
        <v>Jeûne fédéral</v>
      </c>
      <c r="G438" s="22" t="str">
        <f>IF(INDEX(Feiertagsregeln!$F$7:$F$480,MATCH($K438,Feiertagsregeln!$A$7:$A$480,0))="","Noch zu erfassen",INDEX(Feiertagsregeln!$F$7:$F$480,MATCH($K438,Feiertagsregeln!$A$7:$A$480,0)))</f>
        <v>Festa federale di preghiera</v>
      </c>
      <c r="H438" s="22" t="str">
        <f>IF(INDEX(Feiertagsregeln!$G$7:$G$480,MATCH($K438,Feiertagsregeln!$A$7:$A$480,0))="","Noch zu erfassen",INDEX(Feiertagsregeln!$G$7:$G$480,MATCH($K438,Feiertagsregeln!$A$7:$A$480,0)))</f>
        <v>Di da la rogaziun federala</v>
      </c>
      <c r="I438" s="11" t="str">
        <f>INDEX(Feiertagsregeln!$H$7:$H$480,MATCH($K438,Feiertagsregeln!$A$7:$A$480,0))</f>
        <v>publicHoliday</v>
      </c>
      <c r="J438" s="11" t="s">
        <v>69</v>
      </c>
      <c r="K438" s="11" t="s">
        <v>547</v>
      </c>
      <c r="L438" s="11" t="str">
        <f>INDEX(Feiertagsregeln!$Y$7:$Y$480,MATCH($K438,Feiertagsregeln!$A$7:$A$480,0))</f>
        <v>SRC-BL-RTG-547-20191201</v>
      </c>
      <c r="M438" s="11" t="str">
        <f>INDEX(Feiertagsregeln!$Z$7:$Z$480,MATCH($K438,Feiertagsregeln!$A$7:$A$480,0))</f>
        <v>§ 2 Abs. 1 Bst. b und c</v>
      </c>
      <c r="N438" s="11" t="s">
        <v>193</v>
      </c>
      <c r="O438" s="11" t="str">
        <f>INDEX(Feiertagsregeln!$AA$7:$AA$480,MATCH($K438,Feiertagsregeln!$A$7:$A$480,0))</f>
        <v>Ganztägig</v>
      </c>
    </row>
    <row r="439" spans="1:15" ht="44" customHeight="1">
      <c r="A439" s="14">
        <f>INDEX(Feiertagsregeln!$X$7:$X$480,MATCH($K439,Feiertagsregeln!$A$7:$A$480,0))</f>
        <v>47112</v>
      </c>
      <c r="B439" s="10" t="str">
        <f t="shared" si="6"/>
        <v>Montag</v>
      </c>
      <c r="C439" s="10" t="s">
        <v>536</v>
      </c>
      <c r="D439" s="10" t="s">
        <v>537</v>
      </c>
      <c r="E439" s="10" t="str">
        <f>INDEX(Feiertagsregeln!$D$7:$D$480,MATCH($K439,Feiertagsregeln!$A$7:$A$480,0))</f>
        <v>Weihnachten</v>
      </c>
      <c r="F439" s="10" t="str">
        <f>INDEX(Feiertagsregeln!$E$7:$E$480,MATCH($K439,Feiertagsregeln!$A$7:$A$480,0))</f>
        <v>Noël</v>
      </c>
      <c r="G439" s="21" t="str">
        <f>IF(INDEX(Feiertagsregeln!$F$7:$F$480,MATCH($K439,Feiertagsregeln!$A$7:$A$480,0))="","Noch zu erfassen",INDEX(Feiertagsregeln!$F$7:$F$480,MATCH($K439,Feiertagsregeln!$A$7:$A$480,0)))</f>
        <v>Natale</v>
      </c>
      <c r="H439" s="21" t="str">
        <f>IF(INDEX(Feiertagsregeln!$G$7:$G$480,MATCH($K439,Feiertagsregeln!$A$7:$A$480,0))="","Noch zu erfassen",INDEX(Feiertagsregeln!$G$7:$G$480,MATCH($K439,Feiertagsregeln!$A$7:$A$480,0)))</f>
        <v>Di da Nadal</v>
      </c>
      <c r="I439" s="10" t="str">
        <f>INDEX(Feiertagsregeln!$H$7:$H$480,MATCH($K439,Feiertagsregeln!$A$7:$A$480,0))</f>
        <v>publicHoliday</v>
      </c>
      <c r="J439" s="10" t="s">
        <v>69</v>
      </c>
      <c r="K439" s="10" t="s">
        <v>548</v>
      </c>
      <c r="L439" s="10" t="str">
        <f>INDEX(Feiertagsregeln!$Y$7:$Y$480,MATCH($K439,Feiertagsregeln!$A$7:$A$480,0))</f>
        <v>SRC-BL-RTG-547-20191201</v>
      </c>
      <c r="M439" s="10" t="str">
        <f>INDEX(Feiertagsregeln!$Z$7:$Z$480,MATCH($K439,Feiertagsregeln!$A$7:$A$480,0))</f>
        <v>§ 2 Abs. 1 Bst. b und c</v>
      </c>
      <c r="N439" s="10" t="s">
        <v>193</v>
      </c>
      <c r="O439" s="10" t="str">
        <f>INDEX(Feiertagsregeln!$AA$7:$AA$480,MATCH($K439,Feiertagsregeln!$A$7:$A$480,0))</f>
        <v>Ganztägig</v>
      </c>
    </row>
    <row r="440" spans="1:15" ht="44" customHeight="1">
      <c r="A440" s="15">
        <f>INDEX(Feiertagsregeln!$X$7:$X$480,MATCH($K440,Feiertagsregeln!$A$7:$A$480,0))</f>
        <v>47113</v>
      </c>
      <c r="B440" s="11" t="str">
        <f t="shared" si="6"/>
        <v>Dienstag</v>
      </c>
      <c r="C440" s="11" t="s">
        <v>536</v>
      </c>
      <c r="D440" s="11" t="s">
        <v>537</v>
      </c>
      <c r="E440" s="11" t="str">
        <f>INDEX(Feiertagsregeln!$D$7:$D$480,MATCH($K440,Feiertagsregeln!$A$7:$A$480,0))</f>
        <v>Stephanstag</v>
      </c>
      <c r="F440" s="11" t="str">
        <f>INDEX(Feiertagsregeln!$E$7:$E$480,MATCH($K440,Feiertagsregeln!$A$7:$A$480,0))</f>
        <v>Saint-Étienne</v>
      </c>
      <c r="G440" s="22" t="str">
        <f>IF(INDEX(Feiertagsregeln!$F$7:$F$480,MATCH($K440,Feiertagsregeln!$A$7:$A$480,0))="","Noch zu erfassen",INDEX(Feiertagsregeln!$F$7:$F$480,MATCH($K440,Feiertagsregeln!$A$7:$A$480,0)))</f>
        <v>Santo Stefano</v>
      </c>
      <c r="H440" s="22" t="str">
        <f>IF(INDEX(Feiertagsregeln!$G$7:$G$480,MATCH($K440,Feiertagsregeln!$A$7:$A$480,0))="","Noch zu erfassen",INDEX(Feiertagsregeln!$G$7:$G$480,MATCH($K440,Feiertagsregeln!$A$7:$A$480,0)))</f>
        <v>Son Steffan</v>
      </c>
      <c r="I440" s="11" t="str">
        <f>INDEX(Feiertagsregeln!$H$7:$H$480,MATCH($K440,Feiertagsregeln!$A$7:$A$480,0))</f>
        <v>publicHoliday</v>
      </c>
      <c r="J440" s="11" t="s">
        <v>69</v>
      </c>
      <c r="K440" s="11" t="s">
        <v>549</v>
      </c>
      <c r="L440" s="11" t="str">
        <f>INDEX(Feiertagsregeln!$Y$7:$Y$480,MATCH($K440,Feiertagsregeln!$A$7:$A$480,0))</f>
        <v>SRC-BL-RTG-547-20191201</v>
      </c>
      <c r="M440" s="11" t="str">
        <f>INDEX(Feiertagsregeln!$Z$7:$Z$480,MATCH($K440,Feiertagsregeln!$A$7:$A$480,0))</f>
        <v>§ 2 Abs. 1 Bst. b und c</v>
      </c>
      <c r="N440" s="11" t="s">
        <v>193</v>
      </c>
      <c r="O440" s="11" t="str">
        <f>INDEX(Feiertagsregeln!$AA$7:$AA$480,MATCH($K440,Feiertagsregeln!$A$7:$A$480,0))</f>
        <v>Ganztägig</v>
      </c>
    </row>
    <row r="441" spans="1:15" ht="44" customHeight="1">
      <c r="A441" s="14">
        <f>INDEX(Feiertagsregeln!$X$7:$X$480,MATCH($K441,Feiertagsregeln!$A$7:$A$480,0))</f>
        <v>46753</v>
      </c>
      <c r="B441" s="10" t="str">
        <f t="shared" si="6"/>
        <v>Samstag</v>
      </c>
      <c r="C441" s="10" t="s">
        <v>550</v>
      </c>
      <c r="D441" s="10" t="s">
        <v>551</v>
      </c>
      <c r="E441" s="10" t="str">
        <f>INDEX(Feiertagsregeln!$D$7:$D$480,MATCH($K441,Feiertagsregeln!$A$7:$A$480,0))</f>
        <v>Neujahr</v>
      </c>
      <c r="F441" s="10" t="str">
        <f>INDEX(Feiertagsregeln!$E$7:$E$480,MATCH($K441,Feiertagsregeln!$A$7:$A$480,0))</f>
        <v>Nouvel An</v>
      </c>
      <c r="G441" s="21" t="str">
        <f>IF(INDEX(Feiertagsregeln!$F$7:$F$480,MATCH($K441,Feiertagsregeln!$A$7:$A$480,0))="","Noch zu erfassen",INDEX(Feiertagsregeln!$F$7:$F$480,MATCH($K441,Feiertagsregeln!$A$7:$A$480,0)))</f>
        <v>Capo d’anno</v>
      </c>
      <c r="H441" s="21" t="str">
        <f>IF(INDEX(Feiertagsregeln!$G$7:$G$480,MATCH($K441,Feiertagsregeln!$A$7:$A$480,0))="","Noch zu erfassen",INDEX(Feiertagsregeln!$G$7:$G$480,MATCH($K441,Feiertagsregeln!$A$7:$A$480,0)))</f>
        <v>Bumaun</v>
      </c>
      <c r="I441" s="10" t="str">
        <f>INDEX(Feiertagsregeln!$H$7:$H$480,MATCH($K441,Feiertagsregeln!$A$7:$A$480,0))</f>
        <v>labourLawHoliday</v>
      </c>
      <c r="J441" s="10" t="s">
        <v>69</v>
      </c>
      <c r="K441" s="10" t="s">
        <v>552</v>
      </c>
      <c r="L441" s="10" t="str">
        <f>INDEX(Feiertagsregeln!$Y$7:$Y$480,MATCH($K441,Feiertagsregeln!$A$7:$A$480,0))</f>
        <v>SRC-VD-LEMP-82211-20120401</v>
      </c>
      <c r="M441" s="10" t="str">
        <f>INDEX(Feiertagsregeln!$Z$7:$Z$480,MATCH($K441,Feiertagsregeln!$A$7:$A$480,0))</f>
        <v>Art. 47 Abs. 1</v>
      </c>
      <c r="N441" s="10" t="s">
        <v>193</v>
      </c>
      <c r="O441" s="10" t="str">
        <f>INDEX(Feiertagsregeln!$AA$7:$AA$480,MATCH($K441,Feiertagsregeln!$A$7:$A$480,0))</f>
        <v>Ganztägig</v>
      </c>
    </row>
    <row r="442" spans="1:15" ht="44" customHeight="1">
      <c r="A442" s="15">
        <f>INDEX(Feiertagsregeln!$X$7:$X$480,MATCH($K442,Feiertagsregeln!$A$7:$A$480,0))</f>
        <v>46754</v>
      </c>
      <c r="B442" s="11" t="str">
        <f t="shared" si="6"/>
        <v>Sonntag</v>
      </c>
      <c r="C442" s="11" t="s">
        <v>550</v>
      </c>
      <c r="D442" s="11" t="s">
        <v>551</v>
      </c>
      <c r="E442" s="11" t="str">
        <f>INDEX(Feiertagsregeln!$D$7:$D$480,MATCH($K442,Feiertagsregeln!$A$7:$A$480,0))</f>
        <v>2. Januar</v>
      </c>
      <c r="F442" s="11" t="str">
        <f>INDEX(Feiertagsregeln!$E$7:$E$480,MATCH($K442,Feiertagsregeln!$A$7:$A$480,0))</f>
        <v>2 janvier</v>
      </c>
      <c r="G442" s="22" t="str">
        <f>IF(INDEX(Feiertagsregeln!$F$7:$F$480,MATCH($K442,Feiertagsregeln!$A$7:$A$480,0))="","Noch zu erfassen",INDEX(Feiertagsregeln!$F$7:$F$480,MATCH($K442,Feiertagsregeln!$A$7:$A$480,0)))</f>
        <v>2 gennaio</v>
      </c>
      <c r="H442" s="22" t="str">
        <f>IF(INDEX(Feiertagsregeln!$G$7:$G$480,MATCH($K442,Feiertagsregeln!$A$7:$A$480,0))="","Noch zu erfassen",INDEX(Feiertagsregeln!$G$7:$G$480,MATCH($K442,Feiertagsregeln!$A$7:$A$480,0)))</f>
        <v>2 da schaner</v>
      </c>
      <c r="I442" s="11" t="str">
        <f>INDEX(Feiertagsregeln!$H$7:$H$480,MATCH($K442,Feiertagsregeln!$A$7:$A$480,0))</f>
        <v>labourLawHoliday</v>
      </c>
      <c r="J442" s="11" t="s">
        <v>69</v>
      </c>
      <c r="K442" s="11" t="s">
        <v>553</v>
      </c>
      <c r="L442" s="11" t="str">
        <f>INDEX(Feiertagsregeln!$Y$7:$Y$480,MATCH($K442,Feiertagsregeln!$A$7:$A$480,0))</f>
        <v>SRC-VD-LEMP-82211-20120401</v>
      </c>
      <c r="M442" s="11" t="str">
        <f>INDEX(Feiertagsregeln!$Z$7:$Z$480,MATCH($K442,Feiertagsregeln!$A$7:$A$480,0))</f>
        <v>Art. 47 Abs. 1</v>
      </c>
      <c r="N442" s="11" t="s">
        <v>193</v>
      </c>
      <c r="O442" s="11" t="str">
        <f>INDEX(Feiertagsregeln!$AA$7:$AA$480,MATCH($K442,Feiertagsregeln!$A$7:$A$480,0))</f>
        <v>Ganztägig</v>
      </c>
    </row>
    <row r="443" spans="1:15" ht="44" customHeight="1">
      <c r="A443" s="14">
        <f>INDEX(Feiertagsregeln!$X$7:$X$480,MATCH($K443,Feiertagsregeln!$A$7:$A$480,0))</f>
        <v>46857</v>
      </c>
      <c r="B443" s="10" t="str">
        <f t="shared" si="6"/>
        <v>Freitag</v>
      </c>
      <c r="C443" s="10" t="s">
        <v>550</v>
      </c>
      <c r="D443" s="10" t="s">
        <v>551</v>
      </c>
      <c r="E443" s="10" t="str">
        <f>INDEX(Feiertagsregeln!$D$7:$D$480,MATCH($K443,Feiertagsregeln!$A$7:$A$480,0))</f>
        <v>Karfreitag</v>
      </c>
      <c r="F443" s="10" t="str">
        <f>INDEX(Feiertagsregeln!$E$7:$E$480,MATCH($K443,Feiertagsregeln!$A$7:$A$480,0))</f>
        <v>Vendredi saint</v>
      </c>
      <c r="G443" s="21" t="str">
        <f>IF(INDEX(Feiertagsregeln!$F$7:$F$480,MATCH($K443,Feiertagsregeln!$A$7:$A$480,0))="","Noch zu erfassen",INDEX(Feiertagsregeln!$F$7:$F$480,MATCH($K443,Feiertagsregeln!$A$7:$A$480,0)))</f>
        <v>Venerdì Santo</v>
      </c>
      <c r="H443" s="21" t="str">
        <f>IF(INDEX(Feiertagsregeln!$G$7:$G$480,MATCH($K443,Feiertagsregeln!$A$7:$A$480,0))="","Noch zu erfassen",INDEX(Feiertagsregeln!$G$7:$G$480,MATCH($K443,Feiertagsregeln!$A$7:$A$480,0)))</f>
        <v>Venderdi sontg</v>
      </c>
      <c r="I443" s="10" t="str">
        <f>INDEX(Feiertagsregeln!$H$7:$H$480,MATCH($K443,Feiertagsregeln!$A$7:$A$480,0))</f>
        <v>labourLawHoliday</v>
      </c>
      <c r="J443" s="10" t="s">
        <v>69</v>
      </c>
      <c r="K443" s="10" t="s">
        <v>554</v>
      </c>
      <c r="L443" s="10" t="str">
        <f>INDEX(Feiertagsregeln!$Y$7:$Y$480,MATCH($K443,Feiertagsregeln!$A$7:$A$480,0))</f>
        <v>SRC-VD-LEMP-82211-20120401</v>
      </c>
      <c r="M443" s="10" t="str">
        <f>INDEX(Feiertagsregeln!$Z$7:$Z$480,MATCH($K443,Feiertagsregeln!$A$7:$A$480,0))</f>
        <v>Art. 47 Abs. 1</v>
      </c>
      <c r="N443" s="10" t="s">
        <v>193</v>
      </c>
      <c r="O443" s="10" t="str">
        <f>INDEX(Feiertagsregeln!$AA$7:$AA$480,MATCH($K443,Feiertagsregeln!$A$7:$A$480,0))</f>
        <v>Ganztägig</v>
      </c>
    </row>
    <row r="444" spans="1:15" ht="44" customHeight="1">
      <c r="A444" s="15">
        <f>INDEX(Feiertagsregeln!$X$7:$X$480,MATCH($K444,Feiertagsregeln!$A$7:$A$480,0))</f>
        <v>46860</v>
      </c>
      <c r="B444" s="11" t="str">
        <f t="shared" si="6"/>
        <v>Montag</v>
      </c>
      <c r="C444" s="11" t="s">
        <v>550</v>
      </c>
      <c r="D444" s="11" t="s">
        <v>551</v>
      </c>
      <c r="E444" s="11" t="str">
        <f>INDEX(Feiertagsregeln!$D$7:$D$480,MATCH($K444,Feiertagsregeln!$A$7:$A$480,0))</f>
        <v>Ostermontag</v>
      </c>
      <c r="F444" s="11" t="str">
        <f>INDEX(Feiertagsregeln!$E$7:$E$480,MATCH($K444,Feiertagsregeln!$A$7:$A$480,0))</f>
        <v>Lundi de Pâques</v>
      </c>
      <c r="G444" s="22" t="str">
        <f>IF(INDEX(Feiertagsregeln!$F$7:$F$480,MATCH($K444,Feiertagsregeln!$A$7:$A$480,0))="","Noch zu erfassen",INDEX(Feiertagsregeln!$F$7:$F$480,MATCH($K444,Feiertagsregeln!$A$7:$A$480,0)))</f>
        <v>Lunedì di Pasqua</v>
      </c>
      <c r="H444" s="22" t="str">
        <f>IF(INDEX(Feiertagsregeln!$G$7:$G$480,MATCH($K444,Feiertagsregeln!$A$7:$A$480,0))="","Noch zu erfassen",INDEX(Feiertagsregeln!$G$7:$G$480,MATCH($K444,Feiertagsregeln!$A$7:$A$480,0)))</f>
        <v>Glindesdi da Pasca</v>
      </c>
      <c r="I444" s="11" t="str">
        <f>INDEX(Feiertagsregeln!$H$7:$H$480,MATCH($K444,Feiertagsregeln!$A$7:$A$480,0))</f>
        <v>labourLawHoliday</v>
      </c>
      <c r="J444" s="11" t="s">
        <v>69</v>
      </c>
      <c r="K444" s="11" t="s">
        <v>555</v>
      </c>
      <c r="L444" s="11" t="str">
        <f>INDEX(Feiertagsregeln!$Y$7:$Y$480,MATCH($K444,Feiertagsregeln!$A$7:$A$480,0))</f>
        <v>SRC-VD-LEMP-82211-20120401</v>
      </c>
      <c r="M444" s="11" t="str">
        <f>INDEX(Feiertagsregeln!$Z$7:$Z$480,MATCH($K444,Feiertagsregeln!$A$7:$A$480,0))</f>
        <v>Art. 47 Abs. 1</v>
      </c>
      <c r="N444" s="11" t="s">
        <v>193</v>
      </c>
      <c r="O444" s="11" t="str">
        <f>INDEX(Feiertagsregeln!$AA$7:$AA$480,MATCH($K444,Feiertagsregeln!$A$7:$A$480,0))</f>
        <v>Ganztägig</v>
      </c>
    </row>
    <row r="445" spans="1:15" ht="44" customHeight="1">
      <c r="A445" s="14">
        <f>INDEX(Feiertagsregeln!$X$7:$X$480,MATCH($K445,Feiertagsregeln!$A$7:$A$480,0))</f>
        <v>46898</v>
      </c>
      <c r="B445" s="10" t="str">
        <f t="shared" si="6"/>
        <v>Donnerstag</v>
      </c>
      <c r="C445" s="10" t="s">
        <v>550</v>
      </c>
      <c r="D445" s="10" t="s">
        <v>551</v>
      </c>
      <c r="E445" s="10" t="str">
        <f>INDEX(Feiertagsregeln!$D$7:$D$480,MATCH($K445,Feiertagsregeln!$A$7:$A$480,0))</f>
        <v>Auffahrt</v>
      </c>
      <c r="F445" s="10" t="str">
        <f>INDEX(Feiertagsregeln!$E$7:$E$480,MATCH($K445,Feiertagsregeln!$A$7:$A$480,0))</f>
        <v>Ascension</v>
      </c>
      <c r="G445" s="21" t="str">
        <f>IF(INDEX(Feiertagsregeln!$F$7:$F$480,MATCH($K445,Feiertagsregeln!$A$7:$A$480,0))="","Noch zu erfassen",INDEX(Feiertagsregeln!$F$7:$F$480,MATCH($K445,Feiertagsregeln!$A$7:$A$480,0)))</f>
        <v>Ascensione</v>
      </c>
      <c r="H445" s="21" t="str">
        <f>IF(INDEX(Feiertagsregeln!$G$7:$G$480,MATCH($K445,Feiertagsregeln!$A$7:$A$480,0))="","Noch zu erfassen",INDEX(Feiertagsregeln!$G$7:$G$480,MATCH($K445,Feiertagsregeln!$A$7:$A$480,0)))</f>
        <v>Ascensiun</v>
      </c>
      <c r="I445" s="10" t="str">
        <f>INDEX(Feiertagsregeln!$H$7:$H$480,MATCH($K445,Feiertagsregeln!$A$7:$A$480,0))</f>
        <v>labourLawHoliday</v>
      </c>
      <c r="J445" s="10" t="s">
        <v>69</v>
      </c>
      <c r="K445" s="10" t="s">
        <v>556</v>
      </c>
      <c r="L445" s="10" t="str">
        <f>INDEX(Feiertagsregeln!$Y$7:$Y$480,MATCH($K445,Feiertagsregeln!$A$7:$A$480,0))</f>
        <v>SRC-VD-LEMP-82211-20120401</v>
      </c>
      <c r="M445" s="10" t="str">
        <f>INDEX(Feiertagsregeln!$Z$7:$Z$480,MATCH($K445,Feiertagsregeln!$A$7:$A$480,0))</f>
        <v>Art. 47 Abs. 1</v>
      </c>
      <c r="N445" s="10" t="s">
        <v>193</v>
      </c>
      <c r="O445" s="10" t="str">
        <f>INDEX(Feiertagsregeln!$AA$7:$AA$480,MATCH($K445,Feiertagsregeln!$A$7:$A$480,0))</f>
        <v>Ganztägig</v>
      </c>
    </row>
    <row r="446" spans="1:15" ht="44" customHeight="1">
      <c r="A446" s="15">
        <f>INDEX(Feiertagsregeln!$X$7:$X$480,MATCH($K446,Feiertagsregeln!$A$7:$A$480,0))</f>
        <v>46909</v>
      </c>
      <c r="B446" s="11" t="str">
        <f t="shared" si="6"/>
        <v>Montag</v>
      </c>
      <c r="C446" s="11" t="s">
        <v>550</v>
      </c>
      <c r="D446" s="11" t="s">
        <v>551</v>
      </c>
      <c r="E446" s="11" t="str">
        <f>INDEX(Feiertagsregeln!$D$7:$D$480,MATCH($K446,Feiertagsregeln!$A$7:$A$480,0))</f>
        <v>Pfingstmontag</v>
      </c>
      <c r="F446" s="11" t="str">
        <f>INDEX(Feiertagsregeln!$E$7:$E$480,MATCH($K446,Feiertagsregeln!$A$7:$A$480,0))</f>
        <v>Lundi de Pentecôte</v>
      </c>
      <c r="G446" s="22" t="str">
        <f>IF(INDEX(Feiertagsregeln!$F$7:$F$480,MATCH($K446,Feiertagsregeln!$A$7:$A$480,0))="","Noch zu erfassen",INDEX(Feiertagsregeln!$F$7:$F$480,MATCH($K446,Feiertagsregeln!$A$7:$A$480,0)))</f>
        <v>Lunedì di Pentecoste</v>
      </c>
      <c r="H446" s="22" t="str">
        <f>IF(INDEX(Feiertagsregeln!$G$7:$G$480,MATCH($K446,Feiertagsregeln!$A$7:$A$480,0))="","Noch zu erfassen",INDEX(Feiertagsregeln!$G$7:$G$480,MATCH($K446,Feiertagsregeln!$A$7:$A$480,0)))</f>
        <v>Glindesdi da Tschuncaisma</v>
      </c>
      <c r="I446" s="11" t="str">
        <f>INDEX(Feiertagsregeln!$H$7:$H$480,MATCH($K446,Feiertagsregeln!$A$7:$A$480,0))</f>
        <v>labourLawHoliday</v>
      </c>
      <c r="J446" s="11" t="s">
        <v>69</v>
      </c>
      <c r="K446" s="11" t="s">
        <v>557</v>
      </c>
      <c r="L446" s="11" t="str">
        <f>INDEX(Feiertagsregeln!$Y$7:$Y$480,MATCH($K446,Feiertagsregeln!$A$7:$A$480,0))</f>
        <v>SRC-VD-LEMP-82211-20120401</v>
      </c>
      <c r="M446" s="11" t="str">
        <f>INDEX(Feiertagsregeln!$Z$7:$Z$480,MATCH($K446,Feiertagsregeln!$A$7:$A$480,0))</f>
        <v>Art. 47 Abs. 1</v>
      </c>
      <c r="N446" s="11" t="s">
        <v>193</v>
      </c>
      <c r="O446" s="11" t="str">
        <f>INDEX(Feiertagsregeln!$AA$7:$AA$480,MATCH($K446,Feiertagsregeln!$A$7:$A$480,0))</f>
        <v>Ganztägig</v>
      </c>
    </row>
    <row r="447" spans="1:15" ht="44" customHeight="1">
      <c r="A447" s="14">
        <f>INDEX(Feiertagsregeln!$X$7:$X$480,MATCH($K447,Feiertagsregeln!$A$7:$A$480,0))</f>
        <v>46966</v>
      </c>
      <c r="B447" s="10" t="str">
        <f t="shared" si="6"/>
        <v>Dienstag</v>
      </c>
      <c r="C447" s="10" t="s">
        <v>550</v>
      </c>
      <c r="D447" s="10" t="s">
        <v>551</v>
      </c>
      <c r="E447" s="10" t="str">
        <f>INDEX(Feiertagsregeln!$D$7:$D$480,MATCH($K447,Feiertagsregeln!$A$7:$A$480,0))</f>
        <v>Bundesfeiertag</v>
      </c>
      <c r="F447" s="10" t="str">
        <f>INDEX(Feiertagsregeln!$E$7:$E$480,MATCH($K447,Feiertagsregeln!$A$7:$A$480,0))</f>
        <v>Fête nationale</v>
      </c>
      <c r="G447" s="21" t="str">
        <f>IF(INDEX(Feiertagsregeln!$F$7:$F$480,MATCH($K447,Feiertagsregeln!$A$7:$A$480,0))="","Noch zu erfassen",INDEX(Feiertagsregeln!$F$7:$F$480,MATCH($K447,Feiertagsregeln!$A$7:$A$480,0)))</f>
        <v>Primo agosto</v>
      </c>
      <c r="H447" s="21" t="str">
        <f>IF(INDEX(Feiertagsregeln!$G$7:$G$480,MATCH($K447,Feiertagsregeln!$A$7:$A$480,0))="","Noch zu erfassen",INDEX(Feiertagsregeln!$G$7:$G$480,MATCH($K447,Feiertagsregeln!$A$7:$A$480,0)))</f>
        <v>Festa naziunala svizra</v>
      </c>
      <c r="I447" s="10" t="str">
        <f>INDEX(Feiertagsregeln!$H$7:$H$480,MATCH($K447,Feiertagsregeln!$A$7:$A$480,0))</f>
        <v>publicHoliday</v>
      </c>
      <c r="J447" s="10" t="s">
        <v>69</v>
      </c>
      <c r="K447" s="10" t="s">
        <v>558</v>
      </c>
      <c r="L447" s="10" t="str">
        <f>INDEX(Feiertagsregeln!$Y$7:$Y$480,MATCH($K447,Feiertagsregeln!$A$7:$A$480,0))</f>
        <v>SRC-BUNDESFEIERTAG-19940701</v>
      </c>
      <c r="M447" s="10" t="str">
        <f>INDEX(Feiertagsregeln!$Z$7:$Z$480,MATCH($K447,Feiertagsregeln!$A$7:$A$480,0))</f>
        <v>SR 116 Art. 1, neue Anwendung auf VD-LEMP-ALL. Kantonaler Bezug Art. 47 Abs. 1</v>
      </c>
      <c r="N447" s="10" t="s">
        <v>193</v>
      </c>
      <c r="O447" s="10" t="str">
        <f>INDEX(Feiertagsregeln!$AA$7:$AA$480,MATCH($K447,Feiertagsregeln!$A$7:$A$480,0))</f>
        <v>Ganztägig</v>
      </c>
    </row>
    <row r="448" spans="1:15" ht="44" customHeight="1">
      <c r="A448" s="15">
        <f>INDEX(Feiertagsregeln!$X$7:$X$480,MATCH($K448,Feiertagsregeln!$A$7:$A$480,0))</f>
        <v>47014</v>
      </c>
      <c r="B448" s="11" t="str">
        <f t="shared" si="6"/>
        <v>Montag</v>
      </c>
      <c r="C448" s="11" t="s">
        <v>550</v>
      </c>
      <c r="D448" s="11" t="s">
        <v>551</v>
      </c>
      <c r="E448" s="11" t="str">
        <f>INDEX(Feiertagsregeln!$D$7:$D$480,MATCH($K448,Feiertagsregeln!$A$7:$A$480,0))</f>
        <v>Bettagsmontag</v>
      </c>
      <c r="F448" s="11" t="str">
        <f>INDEX(Feiertagsregeln!$E$7:$E$480,MATCH($K448,Feiertagsregeln!$A$7:$A$480,0))</f>
        <v>Lundi du Jeûne fédéral</v>
      </c>
      <c r="G448" s="22" t="str">
        <f>IF(INDEX(Feiertagsregeln!$F$7:$F$480,MATCH($K448,Feiertagsregeln!$A$7:$A$480,0))="","Noch zu erfassen",INDEX(Feiertagsregeln!$F$7:$F$480,MATCH($K448,Feiertagsregeln!$A$7:$A$480,0)))</f>
        <v>Lunedì del Digiuno federale</v>
      </c>
      <c r="H448" s="22" t="str">
        <f>IF(INDEX(Feiertagsregeln!$G$7:$G$480,MATCH($K448,Feiertagsregeln!$A$7:$A$480,0))="","Noch zu erfassen",INDEX(Feiertagsregeln!$G$7:$G$480,MATCH($K448,Feiertagsregeln!$A$7:$A$480,0)))</f>
        <v>Glindesdi da la Rogaziun federala</v>
      </c>
      <c r="I448" s="11" t="str">
        <f>INDEX(Feiertagsregeln!$H$7:$H$480,MATCH($K448,Feiertagsregeln!$A$7:$A$480,0))</f>
        <v>labourLawHoliday</v>
      </c>
      <c r="J448" s="11" t="s">
        <v>69</v>
      </c>
      <c r="K448" s="11" t="s">
        <v>559</v>
      </c>
      <c r="L448" s="11" t="str">
        <f>INDEX(Feiertagsregeln!$Y$7:$Y$480,MATCH($K448,Feiertagsregeln!$A$7:$A$480,0))</f>
        <v>SRC-VD-LEMP-82211-20120401</v>
      </c>
      <c r="M448" s="11" t="str">
        <f>INDEX(Feiertagsregeln!$Z$7:$Z$480,MATCH($K448,Feiertagsregeln!$A$7:$A$480,0))</f>
        <v>Art. 47 Abs. 1</v>
      </c>
      <c r="N448" s="11" t="s">
        <v>193</v>
      </c>
      <c r="O448" s="11" t="str">
        <f>INDEX(Feiertagsregeln!$AA$7:$AA$480,MATCH($K448,Feiertagsregeln!$A$7:$A$480,0))</f>
        <v>Ganztägig</v>
      </c>
    </row>
    <row r="449" spans="1:15" ht="44" customHeight="1">
      <c r="A449" s="14">
        <f>INDEX(Feiertagsregeln!$X$7:$X$480,MATCH($K449,Feiertagsregeln!$A$7:$A$480,0))</f>
        <v>47112</v>
      </c>
      <c r="B449" s="10" t="str">
        <f t="shared" si="6"/>
        <v>Montag</v>
      </c>
      <c r="C449" s="10" t="s">
        <v>550</v>
      </c>
      <c r="D449" s="10" t="s">
        <v>551</v>
      </c>
      <c r="E449" s="10" t="str">
        <f>INDEX(Feiertagsregeln!$D$7:$D$480,MATCH($K449,Feiertagsregeln!$A$7:$A$480,0))</f>
        <v>Weihnachten</v>
      </c>
      <c r="F449" s="10" t="str">
        <f>INDEX(Feiertagsregeln!$E$7:$E$480,MATCH($K449,Feiertagsregeln!$A$7:$A$480,0))</f>
        <v>Noël</v>
      </c>
      <c r="G449" s="21" t="str">
        <f>IF(INDEX(Feiertagsregeln!$F$7:$F$480,MATCH($K449,Feiertagsregeln!$A$7:$A$480,0))="","Noch zu erfassen",INDEX(Feiertagsregeln!$F$7:$F$480,MATCH($K449,Feiertagsregeln!$A$7:$A$480,0)))</f>
        <v>Natale</v>
      </c>
      <c r="H449" s="21" t="str">
        <f>IF(INDEX(Feiertagsregeln!$G$7:$G$480,MATCH($K449,Feiertagsregeln!$A$7:$A$480,0))="","Noch zu erfassen",INDEX(Feiertagsregeln!$G$7:$G$480,MATCH($K449,Feiertagsregeln!$A$7:$A$480,0)))</f>
        <v>Di da Nadal</v>
      </c>
      <c r="I449" s="10" t="str">
        <f>INDEX(Feiertagsregeln!$H$7:$H$480,MATCH($K449,Feiertagsregeln!$A$7:$A$480,0))</f>
        <v>labourLawHoliday</v>
      </c>
      <c r="J449" s="10" t="s">
        <v>69</v>
      </c>
      <c r="K449" s="10" t="s">
        <v>560</v>
      </c>
      <c r="L449" s="10" t="str">
        <f>INDEX(Feiertagsregeln!$Y$7:$Y$480,MATCH($K449,Feiertagsregeln!$A$7:$A$480,0))</f>
        <v>SRC-VD-LEMP-82211-20120401</v>
      </c>
      <c r="M449" s="10" t="str">
        <f>INDEX(Feiertagsregeln!$Z$7:$Z$480,MATCH($K449,Feiertagsregeln!$A$7:$A$480,0))</f>
        <v>Art. 47 Abs. 1</v>
      </c>
      <c r="N449" s="10" t="s">
        <v>193</v>
      </c>
      <c r="O449" s="10" t="str">
        <f>INDEX(Feiertagsregeln!$AA$7:$AA$480,MATCH($K449,Feiertagsregeln!$A$7:$A$480,0))</f>
        <v>Ganztägig</v>
      </c>
    </row>
    <row r="450" spans="1:15" ht="44" customHeight="1">
      <c r="A450" s="15">
        <f>INDEX(Feiertagsregeln!$X$7:$X$480,MATCH($K450,Feiertagsregeln!$A$7:$A$480,0))</f>
        <v>46753</v>
      </c>
      <c r="B450" s="11" t="str">
        <f t="shared" si="6"/>
        <v>Samstag</v>
      </c>
      <c r="C450" s="11" t="s">
        <v>561</v>
      </c>
      <c r="D450" s="11" t="s">
        <v>562</v>
      </c>
      <c r="E450" s="11" t="str">
        <f>INDEX(Feiertagsregeln!$D$7:$D$480,MATCH($K450,Feiertagsregeln!$A$7:$A$480,0))</f>
        <v>Neujahr</v>
      </c>
      <c r="F450" s="11" t="str">
        <f>INDEX(Feiertagsregeln!$E$7:$E$480,MATCH($K450,Feiertagsregeln!$A$7:$A$480,0))</f>
        <v>Nouvel An</v>
      </c>
      <c r="G450" s="22" t="str">
        <f>IF(INDEX(Feiertagsregeln!$F$7:$F$480,MATCH($K450,Feiertagsregeln!$A$7:$A$480,0))="","Noch zu erfassen",INDEX(Feiertagsregeln!$F$7:$F$480,MATCH($K450,Feiertagsregeln!$A$7:$A$480,0)))</f>
        <v>Capo d’anno</v>
      </c>
      <c r="H450" s="22" t="str">
        <f>IF(INDEX(Feiertagsregeln!$G$7:$G$480,MATCH($K450,Feiertagsregeln!$A$7:$A$480,0))="","Noch zu erfassen",INDEX(Feiertagsregeln!$G$7:$G$480,MATCH($K450,Feiertagsregeln!$A$7:$A$480,0)))</f>
        <v>Bumaun</v>
      </c>
      <c r="I450" s="11" t="str">
        <f>INDEX(Feiertagsregeln!$H$7:$H$480,MATCH($K450,Feiertagsregeln!$A$7:$A$480,0))</f>
        <v>publicHoliday</v>
      </c>
      <c r="J450" s="11" t="s">
        <v>69</v>
      </c>
      <c r="K450" s="11" t="s">
        <v>563</v>
      </c>
      <c r="L450" s="11" t="str">
        <f>INDEX(Feiertagsregeln!$Y$7:$Y$480,MATCH($K450,Feiertagsregeln!$A$7:$A$480,0))</f>
        <v>SRC-NE-LDJF-94102-20100101</v>
      </c>
      <c r="M450" s="11" t="str">
        <f>INDEX(Feiertagsregeln!$Z$7:$Z$480,MATCH($K450,Feiertagsregeln!$A$7:$A$480,0))</f>
        <v>Art. 3 Abs. 1</v>
      </c>
      <c r="N450" s="11" t="s">
        <v>193</v>
      </c>
      <c r="O450" s="11" t="str">
        <f>INDEX(Feiertagsregeln!$AA$7:$AA$480,MATCH($K450,Feiertagsregeln!$A$7:$A$480,0))</f>
        <v>Ganztägig</v>
      </c>
    </row>
    <row r="451" spans="1:15" ht="44" customHeight="1">
      <c r="A451" s="14">
        <f>INDEX(Feiertagsregeln!$X$7:$X$480,MATCH($K451,Feiertagsregeln!$A$7:$A$480,0))</f>
        <v>46813</v>
      </c>
      <c r="B451" s="10" t="str">
        <f t="shared" si="6"/>
        <v>Mittwoch</v>
      </c>
      <c r="C451" s="10" t="s">
        <v>561</v>
      </c>
      <c r="D451" s="10" t="s">
        <v>562</v>
      </c>
      <c r="E451" s="10" t="str">
        <f>INDEX(Feiertagsregeln!$D$7:$D$480,MATCH($K451,Feiertagsregeln!$A$7:$A$480,0))</f>
        <v>Gründung der Republik Neuenburg</v>
      </c>
      <c r="F451" s="10" t="str">
        <f>INDEX(Feiertagsregeln!$E$7:$E$480,MATCH($K451,Feiertagsregeln!$A$7:$A$480,0))</f>
        <v>Instauration de la République de Neuchâtel</v>
      </c>
      <c r="G451" s="21" t="str">
        <f>IF(INDEX(Feiertagsregeln!$F$7:$F$480,MATCH($K451,Feiertagsregeln!$A$7:$A$480,0))="","Noch zu erfassen",INDEX(Feiertagsregeln!$F$7:$F$480,MATCH($K451,Feiertagsregeln!$A$7:$A$480,0)))</f>
        <v>Istituzione della Repubblica di Neuchâtel</v>
      </c>
      <c r="H451" s="21" t="str">
        <f>IF(INDEX(Feiertagsregeln!$G$7:$G$480,MATCH($K451,Feiertagsregeln!$A$7:$A$480,0))="","Noch zu erfassen",INDEX(Feiertagsregeln!$G$7:$G$480,MATCH($K451,Feiertagsregeln!$A$7:$A$480,0)))</f>
        <v>Fundaziun da la Republica da Neuchâtel</v>
      </c>
      <c r="I451" s="10" t="str">
        <f>INDEX(Feiertagsregeln!$H$7:$H$480,MATCH($K451,Feiertagsregeln!$A$7:$A$480,0))</f>
        <v>publicHoliday</v>
      </c>
      <c r="J451" s="10" t="s">
        <v>69</v>
      </c>
      <c r="K451" s="10" t="s">
        <v>564</v>
      </c>
      <c r="L451" s="10" t="str">
        <f>INDEX(Feiertagsregeln!$Y$7:$Y$480,MATCH($K451,Feiertagsregeln!$A$7:$A$480,0))</f>
        <v>SRC-NE-LDJF-94102-20100101</v>
      </c>
      <c r="M451" s="10" t="str">
        <f>INDEX(Feiertagsregeln!$Z$7:$Z$480,MATCH($K451,Feiertagsregeln!$A$7:$A$480,0))</f>
        <v>Art. 3 Abs. 1</v>
      </c>
      <c r="N451" s="10" t="s">
        <v>193</v>
      </c>
      <c r="O451" s="10" t="str">
        <f>INDEX(Feiertagsregeln!$AA$7:$AA$480,MATCH($K451,Feiertagsregeln!$A$7:$A$480,0))</f>
        <v>Ganztägig</v>
      </c>
    </row>
    <row r="452" spans="1:15" ht="44" customHeight="1">
      <c r="A452" s="15">
        <f>INDEX(Feiertagsregeln!$X$7:$X$480,MATCH($K452,Feiertagsregeln!$A$7:$A$480,0))</f>
        <v>46857</v>
      </c>
      <c r="B452" s="11" t="str">
        <f t="shared" si="6"/>
        <v>Freitag</v>
      </c>
      <c r="C452" s="11" t="s">
        <v>561</v>
      </c>
      <c r="D452" s="11" t="s">
        <v>562</v>
      </c>
      <c r="E452" s="11" t="str">
        <f>INDEX(Feiertagsregeln!$D$7:$D$480,MATCH($K452,Feiertagsregeln!$A$7:$A$480,0))</f>
        <v>Karfreitag</v>
      </c>
      <c r="F452" s="11" t="str">
        <f>INDEX(Feiertagsregeln!$E$7:$E$480,MATCH($K452,Feiertagsregeln!$A$7:$A$480,0))</f>
        <v>Vendredi saint</v>
      </c>
      <c r="G452" s="22" t="str">
        <f>IF(INDEX(Feiertagsregeln!$F$7:$F$480,MATCH($K452,Feiertagsregeln!$A$7:$A$480,0))="","Noch zu erfassen",INDEX(Feiertagsregeln!$F$7:$F$480,MATCH($K452,Feiertagsregeln!$A$7:$A$480,0)))</f>
        <v>Venerdì Santo</v>
      </c>
      <c r="H452" s="22" t="str">
        <f>IF(INDEX(Feiertagsregeln!$G$7:$G$480,MATCH($K452,Feiertagsregeln!$A$7:$A$480,0))="","Noch zu erfassen",INDEX(Feiertagsregeln!$G$7:$G$480,MATCH($K452,Feiertagsregeln!$A$7:$A$480,0)))</f>
        <v>Venderdi sontg</v>
      </c>
      <c r="I452" s="11" t="str">
        <f>INDEX(Feiertagsregeln!$H$7:$H$480,MATCH($K452,Feiertagsregeln!$A$7:$A$480,0))</f>
        <v>publicHoliday</v>
      </c>
      <c r="J452" s="11" t="s">
        <v>69</v>
      </c>
      <c r="K452" s="11" t="s">
        <v>565</v>
      </c>
      <c r="L452" s="11" t="str">
        <f>INDEX(Feiertagsregeln!$Y$7:$Y$480,MATCH($K452,Feiertagsregeln!$A$7:$A$480,0))</f>
        <v>SRC-NE-LDJF-94102-20100101</v>
      </c>
      <c r="M452" s="11" t="str">
        <f>INDEX(Feiertagsregeln!$Z$7:$Z$480,MATCH($K452,Feiertagsregeln!$A$7:$A$480,0))</f>
        <v>Art. 3 Abs. 1</v>
      </c>
      <c r="N452" s="11" t="s">
        <v>193</v>
      </c>
      <c r="O452" s="11" t="str">
        <f>INDEX(Feiertagsregeln!$AA$7:$AA$480,MATCH($K452,Feiertagsregeln!$A$7:$A$480,0))</f>
        <v>Ganztägig</v>
      </c>
    </row>
    <row r="453" spans="1:15" ht="44" customHeight="1">
      <c r="A453" s="14">
        <f>INDEX(Feiertagsregeln!$X$7:$X$480,MATCH($K453,Feiertagsregeln!$A$7:$A$480,0))</f>
        <v>46874</v>
      </c>
      <c r="B453" s="10" t="str">
        <f t="shared" si="6"/>
        <v>Montag</v>
      </c>
      <c r="C453" s="10" t="s">
        <v>561</v>
      </c>
      <c r="D453" s="10" t="s">
        <v>562</v>
      </c>
      <c r="E453" s="10" t="str">
        <f>INDEX(Feiertagsregeln!$D$7:$D$480,MATCH($K453,Feiertagsregeln!$A$7:$A$480,0))</f>
        <v>Tag der Arbeit (1. Mai)</v>
      </c>
      <c r="F453" s="10" t="str">
        <f>INDEX(Feiertagsregeln!$E$7:$E$480,MATCH($K453,Feiertagsregeln!$A$7:$A$480,0))</f>
        <v>Fête du travail (1er mai)</v>
      </c>
      <c r="G453" s="21" t="str">
        <f>IF(INDEX(Feiertagsregeln!$F$7:$F$480,MATCH($K453,Feiertagsregeln!$A$7:$A$480,0))="","Noch zu erfassen",INDEX(Feiertagsregeln!$F$7:$F$480,MATCH($K453,Feiertagsregeln!$A$7:$A$480,0)))</f>
        <v>Primo maggio</v>
      </c>
      <c r="H453" s="21" t="str">
        <f>IF(INDEX(Feiertagsregeln!$G$7:$G$480,MATCH($K453,Feiertagsregeln!$A$7:$A$480,0))="","Noch zu erfassen",INDEX(Feiertagsregeln!$G$7:$G$480,MATCH($K453,Feiertagsregeln!$A$7:$A$480,0)))</f>
        <v>Di da la lavur (1. da matg)</v>
      </c>
      <c r="I453" s="10" t="str">
        <f>INDEX(Feiertagsregeln!$H$7:$H$480,MATCH($K453,Feiertagsregeln!$A$7:$A$480,0))</f>
        <v>publicHoliday</v>
      </c>
      <c r="J453" s="10" t="s">
        <v>69</v>
      </c>
      <c r="K453" s="10" t="s">
        <v>566</v>
      </c>
      <c r="L453" s="10" t="str">
        <f>INDEX(Feiertagsregeln!$Y$7:$Y$480,MATCH($K453,Feiertagsregeln!$A$7:$A$480,0))</f>
        <v>SRC-NE-LDJF-94102-20100101</v>
      </c>
      <c r="M453" s="10" t="str">
        <f>INDEX(Feiertagsregeln!$Z$7:$Z$480,MATCH($K453,Feiertagsregeln!$A$7:$A$480,0))</f>
        <v>Art. 3 Abs. 1</v>
      </c>
      <c r="N453" s="10" t="s">
        <v>193</v>
      </c>
      <c r="O453" s="10" t="str">
        <f>INDEX(Feiertagsregeln!$AA$7:$AA$480,MATCH($K453,Feiertagsregeln!$A$7:$A$480,0))</f>
        <v>Ganztägig</v>
      </c>
    </row>
    <row r="454" spans="1:15" ht="44" customHeight="1">
      <c r="A454" s="15">
        <f>INDEX(Feiertagsregeln!$X$7:$X$480,MATCH($K454,Feiertagsregeln!$A$7:$A$480,0))</f>
        <v>46898</v>
      </c>
      <c r="B454" s="11" t="str">
        <f t="shared" si="6"/>
        <v>Donnerstag</v>
      </c>
      <c r="C454" s="11" t="s">
        <v>561</v>
      </c>
      <c r="D454" s="11" t="s">
        <v>562</v>
      </c>
      <c r="E454" s="11" t="str">
        <f>INDEX(Feiertagsregeln!$D$7:$D$480,MATCH($K454,Feiertagsregeln!$A$7:$A$480,0))</f>
        <v>Auffahrt</v>
      </c>
      <c r="F454" s="11" t="str">
        <f>INDEX(Feiertagsregeln!$E$7:$E$480,MATCH($K454,Feiertagsregeln!$A$7:$A$480,0))</f>
        <v>Ascension</v>
      </c>
      <c r="G454" s="22" t="str">
        <f>IF(INDEX(Feiertagsregeln!$F$7:$F$480,MATCH($K454,Feiertagsregeln!$A$7:$A$480,0))="","Noch zu erfassen",INDEX(Feiertagsregeln!$F$7:$F$480,MATCH($K454,Feiertagsregeln!$A$7:$A$480,0)))</f>
        <v>Ascensione</v>
      </c>
      <c r="H454" s="22" t="str">
        <f>IF(INDEX(Feiertagsregeln!$G$7:$G$480,MATCH($K454,Feiertagsregeln!$A$7:$A$480,0))="","Noch zu erfassen",INDEX(Feiertagsregeln!$G$7:$G$480,MATCH($K454,Feiertagsregeln!$A$7:$A$480,0)))</f>
        <v>Ascensiun</v>
      </c>
      <c r="I454" s="11" t="str">
        <f>INDEX(Feiertagsregeln!$H$7:$H$480,MATCH($K454,Feiertagsregeln!$A$7:$A$480,0))</f>
        <v>publicHoliday</v>
      </c>
      <c r="J454" s="11" t="s">
        <v>69</v>
      </c>
      <c r="K454" s="11" t="s">
        <v>567</v>
      </c>
      <c r="L454" s="11" t="str">
        <f>INDEX(Feiertagsregeln!$Y$7:$Y$480,MATCH($K454,Feiertagsregeln!$A$7:$A$480,0))</f>
        <v>SRC-NE-LDJF-94102-20100101</v>
      </c>
      <c r="M454" s="11" t="str">
        <f>INDEX(Feiertagsregeln!$Z$7:$Z$480,MATCH($K454,Feiertagsregeln!$A$7:$A$480,0))</f>
        <v>Art. 3 Abs. 1</v>
      </c>
      <c r="N454" s="11" t="s">
        <v>193</v>
      </c>
      <c r="O454" s="11" t="str">
        <f>INDEX(Feiertagsregeln!$AA$7:$AA$480,MATCH($K454,Feiertagsregeln!$A$7:$A$480,0))</f>
        <v>Ganztägig</v>
      </c>
    </row>
    <row r="455" spans="1:15" ht="44" customHeight="1">
      <c r="A455" s="14">
        <f>INDEX(Feiertagsregeln!$X$7:$X$480,MATCH($K455,Feiertagsregeln!$A$7:$A$480,0))</f>
        <v>46966</v>
      </c>
      <c r="B455" s="10" t="str">
        <f t="shared" ref="B455:B518" si="7">IF(ISNUMBER(A455),CHOOSE(WEEKDAY(A455,2),"Montag","Dienstag","Mittwoch","Donnerstag","Freitag","Samstag","Sonntag")&amp;IF(O455="Ab 12.00 Uhr",", ab 12.00 Uhr",""),"n.a.")</f>
        <v>Dienstag</v>
      </c>
      <c r="C455" s="10" t="s">
        <v>561</v>
      </c>
      <c r="D455" s="10" t="s">
        <v>562</v>
      </c>
      <c r="E455" s="10" t="str">
        <f>INDEX(Feiertagsregeln!$D$7:$D$480,MATCH($K455,Feiertagsregeln!$A$7:$A$480,0))</f>
        <v>Bundesfeiertag</v>
      </c>
      <c r="F455" s="10" t="str">
        <f>INDEX(Feiertagsregeln!$E$7:$E$480,MATCH($K455,Feiertagsregeln!$A$7:$A$480,0))</f>
        <v>Fête nationale</v>
      </c>
      <c r="G455" s="21" t="str">
        <f>IF(INDEX(Feiertagsregeln!$F$7:$F$480,MATCH($K455,Feiertagsregeln!$A$7:$A$480,0))="","Noch zu erfassen",INDEX(Feiertagsregeln!$F$7:$F$480,MATCH($K455,Feiertagsregeln!$A$7:$A$480,0)))</f>
        <v>Primo agosto</v>
      </c>
      <c r="H455" s="21" t="str">
        <f>IF(INDEX(Feiertagsregeln!$G$7:$G$480,MATCH($K455,Feiertagsregeln!$A$7:$A$480,0))="","Noch zu erfassen",INDEX(Feiertagsregeln!$G$7:$G$480,MATCH($K455,Feiertagsregeln!$A$7:$A$480,0)))</f>
        <v>Festa naziunala svizra</v>
      </c>
      <c r="I455" s="10" t="str">
        <f>INDEX(Feiertagsregeln!$H$7:$H$480,MATCH($K455,Feiertagsregeln!$A$7:$A$480,0))</f>
        <v>publicHoliday</v>
      </c>
      <c r="J455" s="10" t="s">
        <v>69</v>
      </c>
      <c r="K455" s="10" t="s">
        <v>568</v>
      </c>
      <c r="L455" s="10" t="str">
        <f>INDEX(Feiertagsregeln!$Y$7:$Y$480,MATCH($K455,Feiertagsregeln!$A$7:$A$480,0))</f>
        <v>SRC-BUNDESFEIERTAG-19940701</v>
      </c>
      <c r="M455" s="10" t="str">
        <f>INDEX(Feiertagsregeln!$Z$7:$Z$480,MATCH($K455,Feiertagsregeln!$A$7:$A$480,0))</f>
        <v>SR 116 Art. 1, neue Anwendung auf NE-LDJF-BASE. Kantonaler Bezug Art. 3 Abs. 1</v>
      </c>
      <c r="N455" s="10" t="s">
        <v>193</v>
      </c>
      <c r="O455" s="10" t="str">
        <f>INDEX(Feiertagsregeln!$AA$7:$AA$480,MATCH($K455,Feiertagsregeln!$A$7:$A$480,0))</f>
        <v>Ganztägig</v>
      </c>
    </row>
    <row r="456" spans="1:15" ht="44" customHeight="1">
      <c r="A456" s="15">
        <f>INDEX(Feiertagsregeln!$X$7:$X$480,MATCH($K456,Feiertagsregeln!$A$7:$A$480,0))</f>
        <v>47112</v>
      </c>
      <c r="B456" s="11" t="str">
        <f t="shared" si="7"/>
        <v>Montag</v>
      </c>
      <c r="C456" s="11" t="s">
        <v>561</v>
      </c>
      <c r="D456" s="11" t="s">
        <v>562</v>
      </c>
      <c r="E456" s="11" t="str">
        <f>INDEX(Feiertagsregeln!$D$7:$D$480,MATCH($K456,Feiertagsregeln!$A$7:$A$480,0))</f>
        <v>Weihnachten</v>
      </c>
      <c r="F456" s="11" t="str">
        <f>INDEX(Feiertagsregeln!$E$7:$E$480,MATCH($K456,Feiertagsregeln!$A$7:$A$480,0))</f>
        <v>Noël</v>
      </c>
      <c r="G456" s="22" t="str">
        <f>IF(INDEX(Feiertagsregeln!$F$7:$F$480,MATCH($K456,Feiertagsregeln!$A$7:$A$480,0))="","Noch zu erfassen",INDEX(Feiertagsregeln!$F$7:$F$480,MATCH($K456,Feiertagsregeln!$A$7:$A$480,0)))</f>
        <v>Natale</v>
      </c>
      <c r="H456" s="22" t="str">
        <f>IF(INDEX(Feiertagsregeln!$G$7:$G$480,MATCH($K456,Feiertagsregeln!$A$7:$A$480,0))="","Noch zu erfassen",INDEX(Feiertagsregeln!$G$7:$G$480,MATCH($K456,Feiertagsregeln!$A$7:$A$480,0)))</f>
        <v>Di da Nadal</v>
      </c>
      <c r="I456" s="11" t="str">
        <f>INDEX(Feiertagsregeln!$H$7:$H$480,MATCH($K456,Feiertagsregeln!$A$7:$A$480,0))</f>
        <v>publicHoliday</v>
      </c>
      <c r="J456" s="11" t="s">
        <v>69</v>
      </c>
      <c r="K456" s="11" t="s">
        <v>569</v>
      </c>
      <c r="L456" s="11" t="str">
        <f>INDEX(Feiertagsregeln!$Y$7:$Y$480,MATCH($K456,Feiertagsregeln!$A$7:$A$480,0))</f>
        <v>SRC-NE-LDJF-94102-20100101</v>
      </c>
      <c r="M456" s="11" t="str">
        <f>INDEX(Feiertagsregeln!$Z$7:$Z$480,MATCH($K456,Feiertagsregeln!$A$7:$A$480,0))</f>
        <v>Art. 3 Abs. 1</v>
      </c>
      <c r="N456" s="11" t="s">
        <v>193</v>
      </c>
      <c r="O456" s="11" t="str">
        <f>INDEX(Feiertagsregeln!$AA$7:$AA$480,MATCH($K456,Feiertagsregeln!$A$7:$A$480,0))</f>
        <v>Ganztägig</v>
      </c>
    </row>
    <row r="457" spans="1:15" ht="44" customHeight="1">
      <c r="A457" s="14">
        <f>INDEX(Feiertagsregeln!$X$7:$X$480,MATCH($K457,Feiertagsregeln!$A$7:$A$480,0))</f>
        <v>46919</v>
      </c>
      <c r="B457" s="10" t="str">
        <f t="shared" si="7"/>
        <v>Donnerstag</v>
      </c>
      <c r="C457" s="10" t="s">
        <v>561</v>
      </c>
      <c r="D457" s="10" t="s">
        <v>570</v>
      </c>
      <c r="E457" s="10" t="str">
        <f>INDEX(Feiertagsregeln!$D$7:$D$480,MATCH($K457,Feiertagsregeln!$A$7:$A$480,0))</f>
        <v>Fronleichnam</v>
      </c>
      <c r="F457" s="10" t="str">
        <f>INDEX(Feiertagsregeln!$E$7:$E$480,MATCH($K457,Feiertagsregeln!$A$7:$A$480,0))</f>
        <v>Fête-Dieu</v>
      </c>
      <c r="G457" s="21" t="str">
        <f>IF(INDEX(Feiertagsregeln!$F$7:$F$480,MATCH($K457,Feiertagsregeln!$A$7:$A$480,0))="","Noch zu erfassen",INDEX(Feiertagsregeln!$F$7:$F$480,MATCH($K457,Feiertagsregeln!$A$7:$A$480,0)))</f>
        <v>Corpus Domini</v>
      </c>
      <c r="H457" s="21" t="str">
        <f>IF(INDEX(Feiertagsregeln!$G$7:$G$480,MATCH($K457,Feiertagsregeln!$A$7:$A$480,0))="","Noch zu erfassen",INDEX(Feiertagsregeln!$G$7:$G$480,MATCH($K457,Feiertagsregeln!$A$7:$A$480,0)))</f>
        <v>Sontgilcrest</v>
      </c>
      <c r="I457" s="10" t="str">
        <f>INDEX(Feiertagsregeln!$H$7:$H$480,MATCH($K457,Feiertagsregeln!$A$7:$A$480,0))</f>
        <v>publicHoliday</v>
      </c>
      <c r="J457" s="10" t="s">
        <v>69</v>
      </c>
      <c r="K457" s="10" t="s">
        <v>571</v>
      </c>
      <c r="L457" s="10" t="str">
        <f>INDEX(Feiertagsregeln!$Y$7:$Y$480,MATCH($K457,Feiertagsregeln!$A$7:$A$480,0))</f>
        <v>SRC-NE-ADJF-941020-20250527</v>
      </c>
      <c r="M457" s="10" t="str">
        <f>INDEX(Feiertagsregeln!$Z$7:$Z$480,MATCH($K457,Feiertagsregeln!$A$7:$A$480,0))</f>
        <v>Art. 2</v>
      </c>
      <c r="N457" s="10" t="s">
        <v>193</v>
      </c>
      <c r="O457" s="10" t="str">
        <f>INDEX(Feiertagsregeln!$AA$7:$AA$480,MATCH($K457,Feiertagsregeln!$A$7:$A$480,0))</f>
        <v>Ganztägig</v>
      </c>
    </row>
    <row r="458" spans="1:15" ht="44" customHeight="1">
      <c r="A458" s="15">
        <f>INDEX(Feiertagsregeln!$X$7:$X$480,MATCH($K458,Feiertagsregeln!$A$7:$A$480,0))</f>
        <v>46754</v>
      </c>
      <c r="B458" s="11" t="str">
        <f t="shared" si="7"/>
        <v>Sonntag</v>
      </c>
      <c r="C458" s="11" t="s">
        <v>561</v>
      </c>
      <c r="D458" s="11" t="s">
        <v>572</v>
      </c>
      <c r="E458" s="11" t="str">
        <f>INDEX(Feiertagsregeln!$D$7:$D$480,MATCH($K458,Feiertagsregeln!$A$7:$A$480,0))</f>
        <v>2. Januar</v>
      </c>
      <c r="F458" s="11" t="str">
        <f>INDEX(Feiertagsregeln!$E$7:$E$480,MATCH($K458,Feiertagsregeln!$A$7:$A$480,0))</f>
        <v>2 janvier</v>
      </c>
      <c r="G458" s="22" t="str">
        <f>IF(INDEX(Feiertagsregeln!$F$7:$F$480,MATCH($K458,Feiertagsregeln!$A$7:$A$480,0))="","Noch zu erfassen",INDEX(Feiertagsregeln!$F$7:$F$480,MATCH($K458,Feiertagsregeln!$A$7:$A$480,0)))</f>
        <v>2 gennaio</v>
      </c>
      <c r="H458" s="22" t="str">
        <f>IF(INDEX(Feiertagsregeln!$G$7:$G$480,MATCH($K458,Feiertagsregeln!$A$7:$A$480,0))="","Noch zu erfassen",INDEX(Feiertagsregeln!$G$7:$G$480,MATCH($K458,Feiertagsregeln!$A$7:$A$480,0)))</f>
        <v>2 da schaner</v>
      </c>
      <c r="I458" s="11" t="str">
        <f>INDEX(Feiertagsregeln!$H$7:$H$480,MATCH($K458,Feiertagsregeln!$A$7:$A$480,0))</f>
        <v>proceduralEquivalentDay</v>
      </c>
      <c r="J458" s="11" t="s">
        <v>69</v>
      </c>
      <c r="K458" s="11" t="s">
        <v>573</v>
      </c>
      <c r="L458" s="11" t="str">
        <f>INDEX(Feiertagsregeln!$Y$7:$Y$480,MATCH($K458,Feiertagsregeln!$A$7:$A$480,0))</f>
        <v>SRC-NE-LPA-152130-20260101</v>
      </c>
      <c r="M458" s="11" t="str">
        <f>INDEX(Feiertagsregeln!$Z$7:$Z$480,MATCH($K458,Feiertagsregeln!$A$7:$A$480,0))</f>
        <v>LPA Art. 33 Abs. 3 in Verbindung mit RDF Art. 11 Abs. 1</v>
      </c>
      <c r="N458" s="11" t="s">
        <v>193</v>
      </c>
      <c r="O458" s="11" t="str">
        <f>INDEX(Feiertagsregeln!$AA$7:$AA$480,MATCH($K458,Feiertagsregeln!$A$7:$A$480,0))</f>
        <v>Ganztägig</v>
      </c>
    </row>
    <row r="459" spans="1:15" ht="44" customHeight="1">
      <c r="A459" s="14">
        <f>INDEX(Feiertagsregeln!$X$7:$X$480,MATCH($K459,Feiertagsregeln!$A$7:$A$480,0))</f>
        <v>46860</v>
      </c>
      <c r="B459" s="10" t="str">
        <f t="shared" si="7"/>
        <v>Montag</v>
      </c>
      <c r="C459" s="10" t="s">
        <v>561</v>
      </c>
      <c r="D459" s="10" t="s">
        <v>572</v>
      </c>
      <c r="E459" s="10" t="str">
        <f>INDEX(Feiertagsregeln!$D$7:$D$480,MATCH($K459,Feiertagsregeln!$A$7:$A$480,0))</f>
        <v>Ostermontag</v>
      </c>
      <c r="F459" s="10" t="str">
        <f>INDEX(Feiertagsregeln!$E$7:$E$480,MATCH($K459,Feiertagsregeln!$A$7:$A$480,0))</f>
        <v>Lundi de Pâques</v>
      </c>
      <c r="G459" s="21" t="str">
        <f>IF(INDEX(Feiertagsregeln!$F$7:$F$480,MATCH($K459,Feiertagsregeln!$A$7:$A$480,0))="","Noch zu erfassen",INDEX(Feiertagsregeln!$F$7:$F$480,MATCH($K459,Feiertagsregeln!$A$7:$A$480,0)))</f>
        <v>Lunedì di Pasqua</v>
      </c>
      <c r="H459" s="21" t="str">
        <f>IF(INDEX(Feiertagsregeln!$G$7:$G$480,MATCH($K459,Feiertagsregeln!$A$7:$A$480,0))="","Noch zu erfassen",INDEX(Feiertagsregeln!$G$7:$G$480,MATCH($K459,Feiertagsregeln!$A$7:$A$480,0)))</f>
        <v>Glindesdi da Pasca</v>
      </c>
      <c r="I459" s="10" t="str">
        <f>INDEX(Feiertagsregeln!$H$7:$H$480,MATCH($K459,Feiertagsregeln!$A$7:$A$480,0))</f>
        <v>proceduralEquivalentDay</v>
      </c>
      <c r="J459" s="10" t="s">
        <v>69</v>
      </c>
      <c r="K459" s="10" t="s">
        <v>574</v>
      </c>
      <c r="L459" s="10" t="str">
        <f>INDEX(Feiertagsregeln!$Y$7:$Y$480,MATCH($K459,Feiertagsregeln!$A$7:$A$480,0))</f>
        <v>SRC-NE-LPA-152130-20260101</v>
      </c>
      <c r="M459" s="10" t="str">
        <f>INDEX(Feiertagsregeln!$Z$7:$Z$480,MATCH($K459,Feiertagsregeln!$A$7:$A$480,0))</f>
        <v>LPA Art. 33 Abs. 3 in Verbindung mit RDF Art. 11 Abs. 1</v>
      </c>
      <c r="N459" s="10" t="s">
        <v>193</v>
      </c>
      <c r="O459" s="10" t="str">
        <f>INDEX(Feiertagsregeln!$AA$7:$AA$480,MATCH($K459,Feiertagsregeln!$A$7:$A$480,0))</f>
        <v>Ganztägig</v>
      </c>
    </row>
    <row r="460" spans="1:15" ht="44" customHeight="1">
      <c r="A460" s="15">
        <f>INDEX(Feiertagsregeln!$X$7:$X$480,MATCH($K460,Feiertagsregeln!$A$7:$A$480,0))</f>
        <v>46899</v>
      </c>
      <c r="B460" s="11" t="str">
        <f t="shared" si="7"/>
        <v>Freitag</v>
      </c>
      <c r="C460" s="11" t="s">
        <v>561</v>
      </c>
      <c r="D460" s="11" t="s">
        <v>572</v>
      </c>
      <c r="E460" s="11" t="str">
        <f>INDEX(Feiertagsregeln!$D$7:$D$480,MATCH($K460,Feiertagsregeln!$A$7:$A$480,0))</f>
        <v>Freitag nach Auffahrt</v>
      </c>
      <c r="F460" s="11" t="str">
        <f>INDEX(Feiertagsregeln!$E$7:$E$480,MATCH($K460,Feiertagsregeln!$A$7:$A$480,0))</f>
        <v>Vendredi de l’Ascension</v>
      </c>
      <c r="G460" s="22" t="str">
        <f>IF(INDEX(Feiertagsregeln!$F$7:$F$480,MATCH($K460,Feiertagsregeln!$A$7:$A$480,0))="","Noch zu erfassen",INDEX(Feiertagsregeln!$F$7:$F$480,MATCH($K460,Feiertagsregeln!$A$7:$A$480,0)))</f>
        <v>Venerdì dopo l’Ascensione</v>
      </c>
      <c r="H460" s="22" t="str">
        <f>IF(INDEX(Feiertagsregeln!$G$7:$G$480,MATCH($K460,Feiertagsregeln!$A$7:$A$480,0))="","Noch zu erfassen",INDEX(Feiertagsregeln!$G$7:$G$480,MATCH($K460,Feiertagsregeln!$A$7:$A$480,0)))</f>
        <v>Venderdi suenter Anzainzas</v>
      </c>
      <c r="I460" s="11" t="str">
        <f>INDEX(Feiertagsregeln!$H$7:$H$480,MATCH($K460,Feiertagsregeln!$A$7:$A$480,0))</f>
        <v>proceduralEquivalentDay</v>
      </c>
      <c r="J460" s="11" t="s">
        <v>69</v>
      </c>
      <c r="K460" s="11" t="s">
        <v>575</v>
      </c>
      <c r="L460" s="11" t="str">
        <f>INDEX(Feiertagsregeln!$Y$7:$Y$480,MATCH($K460,Feiertagsregeln!$A$7:$A$480,0))</f>
        <v>SRC-NE-LPA-152130-20260101</v>
      </c>
      <c r="M460" s="11" t="str">
        <f>INDEX(Feiertagsregeln!$Z$7:$Z$480,MATCH($K460,Feiertagsregeln!$A$7:$A$480,0))</f>
        <v>LPA Art. 33 Abs. 3 in Verbindung mit RDF Art. 11 Abs. 1</v>
      </c>
      <c r="N460" s="11" t="s">
        <v>193</v>
      </c>
      <c r="O460" s="11" t="str">
        <f>INDEX(Feiertagsregeln!$AA$7:$AA$480,MATCH($K460,Feiertagsregeln!$A$7:$A$480,0))</f>
        <v>Ganztägig</v>
      </c>
    </row>
    <row r="461" spans="1:15" ht="44" customHeight="1">
      <c r="A461" s="14">
        <f>INDEX(Feiertagsregeln!$X$7:$X$480,MATCH($K461,Feiertagsregeln!$A$7:$A$480,0))</f>
        <v>46909</v>
      </c>
      <c r="B461" s="10" t="str">
        <f t="shared" si="7"/>
        <v>Montag</v>
      </c>
      <c r="C461" s="10" t="s">
        <v>561</v>
      </c>
      <c r="D461" s="10" t="s">
        <v>572</v>
      </c>
      <c r="E461" s="10" t="str">
        <f>INDEX(Feiertagsregeln!$D$7:$D$480,MATCH($K461,Feiertagsregeln!$A$7:$A$480,0))</f>
        <v>Pfingstmontag</v>
      </c>
      <c r="F461" s="10" t="str">
        <f>INDEX(Feiertagsregeln!$E$7:$E$480,MATCH($K461,Feiertagsregeln!$A$7:$A$480,0))</f>
        <v>Lundi de Pentecôte</v>
      </c>
      <c r="G461" s="21" t="str">
        <f>IF(INDEX(Feiertagsregeln!$F$7:$F$480,MATCH($K461,Feiertagsregeln!$A$7:$A$480,0))="","Noch zu erfassen",INDEX(Feiertagsregeln!$F$7:$F$480,MATCH($K461,Feiertagsregeln!$A$7:$A$480,0)))</f>
        <v>Lunedì di Pentecoste</v>
      </c>
      <c r="H461" s="21" t="str">
        <f>IF(INDEX(Feiertagsregeln!$G$7:$G$480,MATCH($K461,Feiertagsregeln!$A$7:$A$480,0))="","Noch zu erfassen",INDEX(Feiertagsregeln!$G$7:$G$480,MATCH($K461,Feiertagsregeln!$A$7:$A$480,0)))</f>
        <v>Glindesdi da Tschuncaisma</v>
      </c>
      <c r="I461" s="10" t="str">
        <f>INDEX(Feiertagsregeln!$H$7:$H$480,MATCH($K461,Feiertagsregeln!$A$7:$A$480,0))</f>
        <v>proceduralEquivalentDay</v>
      </c>
      <c r="J461" s="10" t="s">
        <v>69</v>
      </c>
      <c r="K461" s="10" t="s">
        <v>576</v>
      </c>
      <c r="L461" s="10" t="str">
        <f>INDEX(Feiertagsregeln!$Y$7:$Y$480,MATCH($K461,Feiertagsregeln!$A$7:$A$480,0))</f>
        <v>SRC-NE-LPA-152130-20260101</v>
      </c>
      <c r="M461" s="10" t="str">
        <f>INDEX(Feiertagsregeln!$Z$7:$Z$480,MATCH($K461,Feiertagsregeln!$A$7:$A$480,0))</f>
        <v>LPA Art. 33 Abs. 3 in Verbindung mit RDF Art. 11 Abs. 1</v>
      </c>
      <c r="N461" s="10" t="s">
        <v>193</v>
      </c>
      <c r="O461" s="10" t="str">
        <f>INDEX(Feiertagsregeln!$AA$7:$AA$480,MATCH($K461,Feiertagsregeln!$A$7:$A$480,0))</f>
        <v>Ganztägig</v>
      </c>
    </row>
    <row r="462" spans="1:15" ht="44" customHeight="1">
      <c r="A462" s="15">
        <f>INDEX(Feiertagsregeln!$X$7:$X$480,MATCH($K462,Feiertagsregeln!$A$7:$A$480,0))</f>
        <v>47014</v>
      </c>
      <c r="B462" s="11" t="str">
        <f t="shared" si="7"/>
        <v>Montag</v>
      </c>
      <c r="C462" s="11" t="s">
        <v>561</v>
      </c>
      <c r="D462" s="11" t="s">
        <v>572</v>
      </c>
      <c r="E462" s="11" t="str">
        <f>INDEX(Feiertagsregeln!$D$7:$D$480,MATCH($K462,Feiertagsregeln!$A$7:$A$480,0))</f>
        <v>Bettagsmontag</v>
      </c>
      <c r="F462" s="11" t="str">
        <f>INDEX(Feiertagsregeln!$E$7:$E$480,MATCH($K462,Feiertagsregeln!$A$7:$A$480,0))</f>
        <v>Lundi du Jeûne fédéral</v>
      </c>
      <c r="G462" s="22" t="str">
        <f>IF(INDEX(Feiertagsregeln!$F$7:$F$480,MATCH($K462,Feiertagsregeln!$A$7:$A$480,0))="","Noch zu erfassen",INDEX(Feiertagsregeln!$F$7:$F$480,MATCH($K462,Feiertagsregeln!$A$7:$A$480,0)))</f>
        <v>Lunedì del Digiuno federale</v>
      </c>
      <c r="H462" s="22" t="str">
        <f>IF(INDEX(Feiertagsregeln!$G$7:$G$480,MATCH($K462,Feiertagsregeln!$A$7:$A$480,0))="","Noch zu erfassen",INDEX(Feiertagsregeln!$G$7:$G$480,MATCH($K462,Feiertagsregeln!$A$7:$A$480,0)))</f>
        <v>Glindesdi da la Rogaziun federala</v>
      </c>
      <c r="I462" s="11" t="str">
        <f>INDEX(Feiertagsregeln!$H$7:$H$480,MATCH($K462,Feiertagsregeln!$A$7:$A$480,0))</f>
        <v>proceduralEquivalentDay</v>
      </c>
      <c r="J462" s="11" t="s">
        <v>69</v>
      </c>
      <c r="K462" s="11" t="s">
        <v>577</v>
      </c>
      <c r="L462" s="11" t="str">
        <f>INDEX(Feiertagsregeln!$Y$7:$Y$480,MATCH($K462,Feiertagsregeln!$A$7:$A$480,0))</f>
        <v>SRC-NE-LPA-152130-20260101</v>
      </c>
      <c r="M462" s="11" t="str">
        <f>INDEX(Feiertagsregeln!$Z$7:$Z$480,MATCH($K462,Feiertagsregeln!$A$7:$A$480,0))</f>
        <v>LPA Art. 33 Abs. 3 in Verbindung mit RDF Art. 11 Abs. 1</v>
      </c>
      <c r="N462" s="11" t="s">
        <v>193</v>
      </c>
      <c r="O462" s="11" t="str">
        <f>INDEX(Feiertagsregeln!$AA$7:$AA$480,MATCH($K462,Feiertagsregeln!$A$7:$A$480,0))</f>
        <v>Ganztägig</v>
      </c>
    </row>
    <row r="463" spans="1:15" ht="44" customHeight="1">
      <c r="A463" s="14">
        <f>INDEX(Feiertagsregeln!$X$7:$X$480,MATCH($K463,Feiertagsregeln!$A$7:$A$480,0))</f>
        <v>47111</v>
      </c>
      <c r="B463" s="10" t="str">
        <f t="shared" si="7"/>
        <v>Sonntag</v>
      </c>
      <c r="C463" s="10" t="s">
        <v>561</v>
      </c>
      <c r="D463" s="10" t="s">
        <v>572</v>
      </c>
      <c r="E463" s="10" t="str">
        <f>INDEX(Feiertagsregeln!$D$7:$D$480,MATCH($K463,Feiertagsregeln!$A$7:$A$480,0))</f>
        <v>Heiligabend</v>
      </c>
      <c r="F463" s="10" t="str">
        <f>INDEX(Feiertagsregeln!$E$7:$E$480,MATCH($K463,Feiertagsregeln!$A$7:$A$480,0))</f>
        <v>Veille de Noël</v>
      </c>
      <c r="G463" s="21" t="str">
        <f>IF(INDEX(Feiertagsregeln!$F$7:$F$480,MATCH($K463,Feiertagsregeln!$A$7:$A$480,0))="","Noch zu erfassen",INDEX(Feiertagsregeln!$F$7:$F$480,MATCH($K463,Feiertagsregeln!$A$7:$A$480,0)))</f>
        <v>Vigilia di Natale</v>
      </c>
      <c r="H463" s="21" t="str">
        <f>IF(INDEX(Feiertagsregeln!$G$7:$G$480,MATCH($K463,Feiertagsregeln!$A$7:$A$480,0))="","Noch zu erfassen",INDEX(Feiertagsregeln!$G$7:$G$480,MATCH($K463,Feiertagsregeln!$A$7:$A$480,0)))</f>
        <v>Vigilia da Nadal</v>
      </c>
      <c r="I463" s="10" t="str">
        <f>INDEX(Feiertagsregeln!$H$7:$H$480,MATCH($K463,Feiertagsregeln!$A$7:$A$480,0))</f>
        <v>proceduralEquivalentDay</v>
      </c>
      <c r="J463" s="10" t="s">
        <v>69</v>
      </c>
      <c r="K463" s="10" t="s">
        <v>578</v>
      </c>
      <c r="L463" s="10" t="str">
        <f>INDEX(Feiertagsregeln!$Y$7:$Y$480,MATCH($K463,Feiertagsregeln!$A$7:$A$480,0))</f>
        <v>SRC-NE-LPA-152130-20260101</v>
      </c>
      <c r="M463" s="10" t="str">
        <f>INDEX(Feiertagsregeln!$Z$7:$Z$480,MATCH($K463,Feiertagsregeln!$A$7:$A$480,0))</f>
        <v>LPA Art. 33 Abs. 3 in Verbindung mit RDF Art. 11 Abs. 1</v>
      </c>
      <c r="N463" s="10" t="s">
        <v>193</v>
      </c>
      <c r="O463" s="10" t="str">
        <f>INDEX(Feiertagsregeln!$AA$7:$AA$480,MATCH($K463,Feiertagsregeln!$A$7:$A$480,0))</f>
        <v>Ganztägig</v>
      </c>
    </row>
    <row r="464" spans="1:15" ht="44" customHeight="1">
      <c r="A464" s="15">
        <f>INDEX(Feiertagsregeln!$X$7:$X$480,MATCH($K464,Feiertagsregeln!$A$7:$A$480,0))</f>
        <v>47113</v>
      </c>
      <c r="B464" s="11" t="str">
        <f t="shared" si="7"/>
        <v>Dienstag</v>
      </c>
      <c r="C464" s="11" t="s">
        <v>561</v>
      </c>
      <c r="D464" s="11" t="s">
        <v>572</v>
      </c>
      <c r="E464" s="11" t="str">
        <f>INDEX(Feiertagsregeln!$D$7:$D$480,MATCH($K464,Feiertagsregeln!$A$7:$A$480,0))</f>
        <v>Stephanstag</v>
      </c>
      <c r="F464" s="11" t="str">
        <f>INDEX(Feiertagsregeln!$E$7:$E$480,MATCH($K464,Feiertagsregeln!$A$7:$A$480,0))</f>
        <v>Saint-Étienne</v>
      </c>
      <c r="G464" s="22" t="str">
        <f>IF(INDEX(Feiertagsregeln!$F$7:$F$480,MATCH($K464,Feiertagsregeln!$A$7:$A$480,0))="","Noch zu erfassen",INDEX(Feiertagsregeln!$F$7:$F$480,MATCH($K464,Feiertagsregeln!$A$7:$A$480,0)))</f>
        <v>Santo Stefano</v>
      </c>
      <c r="H464" s="22" t="str">
        <f>IF(INDEX(Feiertagsregeln!$G$7:$G$480,MATCH($K464,Feiertagsregeln!$A$7:$A$480,0))="","Noch zu erfassen",INDEX(Feiertagsregeln!$G$7:$G$480,MATCH($K464,Feiertagsregeln!$A$7:$A$480,0)))</f>
        <v>Son Steffan</v>
      </c>
      <c r="I464" s="11" t="str">
        <f>INDEX(Feiertagsregeln!$H$7:$H$480,MATCH($K464,Feiertagsregeln!$A$7:$A$480,0))</f>
        <v>proceduralEquivalentDay</v>
      </c>
      <c r="J464" s="11" t="s">
        <v>69</v>
      </c>
      <c r="K464" s="11" t="s">
        <v>579</v>
      </c>
      <c r="L464" s="11" t="str">
        <f>INDEX(Feiertagsregeln!$Y$7:$Y$480,MATCH($K464,Feiertagsregeln!$A$7:$A$480,0))</f>
        <v>SRC-NE-LPA-152130-20260101</v>
      </c>
      <c r="M464" s="11" t="str">
        <f>INDEX(Feiertagsregeln!$Z$7:$Z$480,MATCH($K464,Feiertagsregeln!$A$7:$A$480,0))</f>
        <v>LPA Art. 33 Abs. 3 in Verbindung mit RDF Art. 11 Abs. 1</v>
      </c>
      <c r="N464" s="11" t="s">
        <v>193</v>
      </c>
      <c r="O464" s="11" t="str">
        <f>INDEX(Feiertagsregeln!$AA$7:$AA$480,MATCH($K464,Feiertagsregeln!$A$7:$A$480,0))</f>
        <v>Ganztägig</v>
      </c>
    </row>
    <row r="465" spans="1:15" ht="44" customHeight="1">
      <c r="A465" s="14">
        <f>INDEX(Feiertagsregeln!$X$7:$X$480,MATCH($K465,Feiertagsregeln!$A$7:$A$480,0))</f>
        <v>47118</v>
      </c>
      <c r="B465" s="10" t="str">
        <f t="shared" si="7"/>
        <v>Sonntag</v>
      </c>
      <c r="C465" s="10" t="s">
        <v>561</v>
      </c>
      <c r="D465" s="10" t="s">
        <v>572</v>
      </c>
      <c r="E465" s="10" t="str">
        <f>INDEX(Feiertagsregeln!$D$7:$D$480,MATCH($K465,Feiertagsregeln!$A$7:$A$480,0))</f>
        <v>Silvester</v>
      </c>
      <c r="F465" s="10" t="str">
        <f>INDEX(Feiertagsregeln!$E$7:$E$480,MATCH($K465,Feiertagsregeln!$A$7:$A$480,0))</f>
        <v>Saint-Sylvestre</v>
      </c>
      <c r="G465" s="21" t="str">
        <f>IF(INDEX(Feiertagsregeln!$F$7:$F$480,MATCH($K465,Feiertagsregeln!$A$7:$A$480,0))="","Noch zu erfassen",INDEX(Feiertagsregeln!$F$7:$F$480,MATCH($K465,Feiertagsregeln!$A$7:$A$480,0)))</f>
        <v>San Silvestro</v>
      </c>
      <c r="H465" s="21" t="str">
        <f>IF(INDEX(Feiertagsregeln!$G$7:$G$480,MATCH($K465,Feiertagsregeln!$A$7:$A$480,0))="","Noch zu erfassen",INDEX(Feiertagsregeln!$G$7:$G$480,MATCH($K465,Feiertagsregeln!$A$7:$A$480,0)))</f>
        <v>Silvester</v>
      </c>
      <c r="I465" s="10" t="str">
        <f>INDEX(Feiertagsregeln!$H$7:$H$480,MATCH($K465,Feiertagsregeln!$A$7:$A$480,0))</f>
        <v>proceduralEquivalentDay</v>
      </c>
      <c r="J465" s="10" t="s">
        <v>69</v>
      </c>
      <c r="K465" s="10" t="s">
        <v>580</v>
      </c>
      <c r="L465" s="10" t="str">
        <f>INDEX(Feiertagsregeln!$Y$7:$Y$480,MATCH($K465,Feiertagsregeln!$A$7:$A$480,0))</f>
        <v>SRC-NE-LPA-152130-20260101</v>
      </c>
      <c r="M465" s="10" t="str">
        <f>INDEX(Feiertagsregeln!$Z$7:$Z$480,MATCH($K465,Feiertagsregeln!$A$7:$A$480,0))</f>
        <v>LPA Art. 33 Abs. 3 in Verbindung mit RDF Art. 11 Abs. 1</v>
      </c>
      <c r="N465" s="10" t="s">
        <v>193</v>
      </c>
      <c r="O465" s="10" t="str">
        <f>INDEX(Feiertagsregeln!$AA$7:$AA$480,MATCH($K465,Feiertagsregeln!$A$7:$A$480,0))</f>
        <v>Ganztägig</v>
      </c>
    </row>
    <row r="466" spans="1:15" ht="44" customHeight="1">
      <c r="A466" s="15">
        <f>INDEX(Feiertagsregeln!$X$7:$X$480,MATCH($K466,Feiertagsregeln!$A$7:$A$480,0))</f>
        <v>46753</v>
      </c>
      <c r="B466" s="11" t="str">
        <f t="shared" si="7"/>
        <v>Samstag</v>
      </c>
      <c r="C466" s="11" t="s">
        <v>581</v>
      </c>
      <c r="D466" s="11" t="s">
        <v>582</v>
      </c>
      <c r="E466" s="11" t="str">
        <f>INDEX(Feiertagsregeln!$D$7:$D$480,MATCH($K466,Feiertagsregeln!$A$7:$A$480,0))</f>
        <v>Neujahr</v>
      </c>
      <c r="F466" s="11" t="str">
        <f>INDEX(Feiertagsregeln!$E$7:$E$480,MATCH($K466,Feiertagsregeln!$A$7:$A$480,0))</f>
        <v>Nouvel An</v>
      </c>
      <c r="G466" s="22" t="str">
        <f>IF(INDEX(Feiertagsregeln!$F$7:$F$480,MATCH($K466,Feiertagsregeln!$A$7:$A$480,0))="","Noch zu erfassen",INDEX(Feiertagsregeln!$F$7:$F$480,MATCH($K466,Feiertagsregeln!$A$7:$A$480,0)))</f>
        <v>Capo d’anno</v>
      </c>
      <c r="H466" s="22" t="str">
        <f>IF(INDEX(Feiertagsregeln!$G$7:$G$480,MATCH($K466,Feiertagsregeln!$A$7:$A$480,0))="","Noch zu erfassen",INDEX(Feiertagsregeln!$G$7:$G$480,MATCH($K466,Feiertagsregeln!$A$7:$A$480,0)))</f>
        <v>Bumaun</v>
      </c>
      <c r="I466" s="11" t="str">
        <f>INDEX(Feiertagsregeln!$H$7:$H$480,MATCH($K466,Feiertagsregeln!$A$7:$A$480,0))</f>
        <v>publicHoliday</v>
      </c>
      <c r="J466" s="11" t="s">
        <v>69</v>
      </c>
      <c r="K466" s="11" t="s">
        <v>583</v>
      </c>
      <c r="L466" s="11" t="str">
        <f>INDEX(Feiertagsregeln!$Y$7:$Y$480,MATCH($K466,Feiertagsregeln!$A$7:$A$480,0))</f>
        <v>SRC-JU-LJF-5551-20230101</v>
      </c>
      <c r="M466" s="11" t="str">
        <f>INDEX(Feiertagsregeln!$Z$7:$Z$480,MATCH($K466,Feiertagsregeln!$A$7:$A$480,0))</f>
        <v>Art. 3 Bst. b</v>
      </c>
      <c r="N466" s="11" t="s">
        <v>193</v>
      </c>
      <c r="O466" s="11" t="str">
        <f>INDEX(Feiertagsregeln!$AA$7:$AA$480,MATCH($K466,Feiertagsregeln!$A$7:$A$480,0))</f>
        <v>Ganztägig</v>
      </c>
    </row>
    <row r="467" spans="1:15" ht="44" customHeight="1">
      <c r="A467" s="14">
        <f>INDEX(Feiertagsregeln!$X$7:$X$480,MATCH($K467,Feiertagsregeln!$A$7:$A$480,0))</f>
        <v>46754</v>
      </c>
      <c r="B467" s="10" t="str">
        <f t="shared" si="7"/>
        <v>Sonntag</v>
      </c>
      <c r="C467" s="10" t="s">
        <v>581</v>
      </c>
      <c r="D467" s="10" t="s">
        <v>582</v>
      </c>
      <c r="E467" s="10" t="str">
        <f>INDEX(Feiertagsregeln!$D$7:$D$480,MATCH($K467,Feiertagsregeln!$A$7:$A$480,0))</f>
        <v>2. Januar</v>
      </c>
      <c r="F467" s="10" t="str">
        <f>INDEX(Feiertagsregeln!$E$7:$E$480,MATCH($K467,Feiertagsregeln!$A$7:$A$480,0))</f>
        <v>2 janvier</v>
      </c>
      <c r="G467" s="21" t="str">
        <f>IF(INDEX(Feiertagsregeln!$F$7:$F$480,MATCH($K467,Feiertagsregeln!$A$7:$A$480,0))="","Noch zu erfassen",INDEX(Feiertagsregeln!$F$7:$F$480,MATCH($K467,Feiertagsregeln!$A$7:$A$480,0)))</f>
        <v>2 gennaio</v>
      </c>
      <c r="H467" s="21" t="str">
        <f>IF(INDEX(Feiertagsregeln!$G$7:$G$480,MATCH($K467,Feiertagsregeln!$A$7:$A$480,0))="","Noch zu erfassen",INDEX(Feiertagsregeln!$G$7:$G$480,MATCH($K467,Feiertagsregeln!$A$7:$A$480,0)))</f>
        <v>2 da schaner</v>
      </c>
      <c r="I467" s="10" t="str">
        <f>INDEX(Feiertagsregeln!$H$7:$H$480,MATCH($K467,Feiertagsregeln!$A$7:$A$480,0))</f>
        <v>publicHoliday</v>
      </c>
      <c r="J467" s="10" t="s">
        <v>69</v>
      </c>
      <c r="K467" s="10" t="s">
        <v>584</v>
      </c>
      <c r="L467" s="10" t="str">
        <f>INDEX(Feiertagsregeln!$Y$7:$Y$480,MATCH($K467,Feiertagsregeln!$A$7:$A$480,0))</f>
        <v>SRC-JU-LJF-5551-20230101</v>
      </c>
      <c r="M467" s="10" t="str">
        <f>INDEX(Feiertagsregeln!$Z$7:$Z$480,MATCH($K467,Feiertagsregeln!$A$7:$A$480,0))</f>
        <v>Art. 3 Bst. b</v>
      </c>
      <c r="N467" s="10" t="s">
        <v>193</v>
      </c>
      <c r="O467" s="10" t="str">
        <f>INDEX(Feiertagsregeln!$AA$7:$AA$480,MATCH($K467,Feiertagsregeln!$A$7:$A$480,0))</f>
        <v>Ganztägig</v>
      </c>
    </row>
    <row r="468" spans="1:15" ht="44" customHeight="1">
      <c r="A468" s="15">
        <f>INDEX(Feiertagsregeln!$X$7:$X$480,MATCH($K468,Feiertagsregeln!$A$7:$A$480,0))</f>
        <v>46857</v>
      </c>
      <c r="B468" s="11" t="str">
        <f t="shared" si="7"/>
        <v>Freitag</v>
      </c>
      <c r="C468" s="11" t="s">
        <v>581</v>
      </c>
      <c r="D468" s="11" t="s">
        <v>582</v>
      </c>
      <c r="E468" s="11" t="str">
        <f>INDEX(Feiertagsregeln!$D$7:$D$480,MATCH($K468,Feiertagsregeln!$A$7:$A$480,0))</f>
        <v>Karfreitag</v>
      </c>
      <c r="F468" s="11" t="str">
        <f>INDEX(Feiertagsregeln!$E$7:$E$480,MATCH($K468,Feiertagsregeln!$A$7:$A$480,0))</f>
        <v>Vendredi saint</v>
      </c>
      <c r="G468" s="22" t="str">
        <f>IF(INDEX(Feiertagsregeln!$F$7:$F$480,MATCH($K468,Feiertagsregeln!$A$7:$A$480,0))="","Noch zu erfassen",INDEX(Feiertagsregeln!$F$7:$F$480,MATCH($K468,Feiertagsregeln!$A$7:$A$480,0)))</f>
        <v>Venerdì Santo</v>
      </c>
      <c r="H468" s="22" t="str">
        <f>IF(INDEX(Feiertagsregeln!$G$7:$G$480,MATCH($K468,Feiertagsregeln!$A$7:$A$480,0))="","Noch zu erfassen",INDEX(Feiertagsregeln!$G$7:$G$480,MATCH($K468,Feiertagsregeln!$A$7:$A$480,0)))</f>
        <v>Venderdi sontg</v>
      </c>
      <c r="I468" s="11" t="str">
        <f>INDEX(Feiertagsregeln!$H$7:$H$480,MATCH($K468,Feiertagsregeln!$A$7:$A$480,0))</f>
        <v>publicHoliday</v>
      </c>
      <c r="J468" s="11" t="s">
        <v>69</v>
      </c>
      <c r="K468" s="11" t="s">
        <v>585</v>
      </c>
      <c r="L468" s="11" t="str">
        <f>INDEX(Feiertagsregeln!$Y$7:$Y$480,MATCH($K468,Feiertagsregeln!$A$7:$A$480,0))</f>
        <v>SRC-JU-LJF-5551-20230101</v>
      </c>
      <c r="M468" s="11" t="str">
        <f>INDEX(Feiertagsregeln!$Z$7:$Z$480,MATCH($K468,Feiertagsregeln!$A$7:$A$480,0))</f>
        <v>Art. 3 Bst. b</v>
      </c>
      <c r="N468" s="11" t="s">
        <v>193</v>
      </c>
      <c r="O468" s="11" t="str">
        <f>INDEX(Feiertagsregeln!$AA$7:$AA$480,MATCH($K468,Feiertagsregeln!$A$7:$A$480,0))</f>
        <v>Ganztägig</v>
      </c>
    </row>
    <row r="469" spans="1:15" ht="44" customHeight="1">
      <c r="A469" s="14">
        <f>INDEX(Feiertagsregeln!$X$7:$X$480,MATCH($K469,Feiertagsregeln!$A$7:$A$480,0))</f>
        <v>46859</v>
      </c>
      <c r="B469" s="10" t="str">
        <f t="shared" si="7"/>
        <v>Sonntag</v>
      </c>
      <c r="C469" s="10" t="s">
        <v>581</v>
      </c>
      <c r="D469" s="10" t="s">
        <v>582</v>
      </c>
      <c r="E469" s="10" t="str">
        <f>INDEX(Feiertagsregeln!$D$7:$D$480,MATCH($K469,Feiertagsregeln!$A$7:$A$480,0))</f>
        <v>Ostern</v>
      </c>
      <c r="F469" s="10" t="str">
        <f>INDEX(Feiertagsregeln!$E$7:$E$480,MATCH($K469,Feiertagsregeln!$A$7:$A$480,0))</f>
        <v>Pâques</v>
      </c>
      <c r="G469" s="21" t="str">
        <f>IF(INDEX(Feiertagsregeln!$F$7:$F$480,MATCH($K469,Feiertagsregeln!$A$7:$A$480,0))="","Noch zu erfassen",INDEX(Feiertagsregeln!$F$7:$F$480,MATCH($K469,Feiertagsregeln!$A$7:$A$480,0)))</f>
        <v>Domenica di Pasqua</v>
      </c>
      <c r="H469" s="21" t="str">
        <f>IF(INDEX(Feiertagsregeln!$G$7:$G$480,MATCH($K469,Feiertagsregeln!$A$7:$A$480,0))="","Noch zu erfassen",INDEX(Feiertagsregeln!$G$7:$G$480,MATCH($K469,Feiertagsregeln!$A$7:$A$480,0)))</f>
        <v>Dumengia da Pasca</v>
      </c>
      <c r="I469" s="10" t="str">
        <f>INDEX(Feiertagsregeln!$H$7:$H$480,MATCH($K469,Feiertagsregeln!$A$7:$A$480,0))</f>
        <v>publicHoliday</v>
      </c>
      <c r="J469" s="10" t="s">
        <v>69</v>
      </c>
      <c r="K469" s="10" t="s">
        <v>586</v>
      </c>
      <c r="L469" s="10" t="str">
        <f>INDEX(Feiertagsregeln!$Y$7:$Y$480,MATCH($K469,Feiertagsregeln!$A$7:$A$480,0))</f>
        <v>SRC-JU-LJF-5551-20230101</v>
      </c>
      <c r="M469" s="10" t="str">
        <f>INDEX(Feiertagsregeln!$Z$7:$Z$480,MATCH($K469,Feiertagsregeln!$A$7:$A$480,0))</f>
        <v>Art. 3 Bst. b</v>
      </c>
      <c r="N469" s="10" t="s">
        <v>193</v>
      </c>
      <c r="O469" s="10" t="str">
        <f>INDEX(Feiertagsregeln!$AA$7:$AA$480,MATCH($K469,Feiertagsregeln!$A$7:$A$480,0))</f>
        <v>Ganztägig</v>
      </c>
    </row>
    <row r="470" spans="1:15" ht="44" customHeight="1">
      <c r="A470" s="15">
        <f>INDEX(Feiertagsregeln!$X$7:$X$480,MATCH($K470,Feiertagsregeln!$A$7:$A$480,0))</f>
        <v>46860</v>
      </c>
      <c r="B470" s="11" t="str">
        <f t="shared" si="7"/>
        <v>Montag</v>
      </c>
      <c r="C470" s="11" t="s">
        <v>581</v>
      </c>
      <c r="D470" s="11" t="s">
        <v>582</v>
      </c>
      <c r="E470" s="11" t="str">
        <f>INDEX(Feiertagsregeln!$D$7:$D$480,MATCH($K470,Feiertagsregeln!$A$7:$A$480,0))</f>
        <v>Ostermontag</v>
      </c>
      <c r="F470" s="11" t="str">
        <f>INDEX(Feiertagsregeln!$E$7:$E$480,MATCH($K470,Feiertagsregeln!$A$7:$A$480,0))</f>
        <v>Lundi de Pâques</v>
      </c>
      <c r="G470" s="22" t="str">
        <f>IF(INDEX(Feiertagsregeln!$F$7:$F$480,MATCH($K470,Feiertagsregeln!$A$7:$A$480,0))="","Noch zu erfassen",INDEX(Feiertagsregeln!$F$7:$F$480,MATCH($K470,Feiertagsregeln!$A$7:$A$480,0)))</f>
        <v>Lunedì di Pasqua</v>
      </c>
      <c r="H470" s="22" t="str">
        <f>IF(INDEX(Feiertagsregeln!$G$7:$G$480,MATCH($K470,Feiertagsregeln!$A$7:$A$480,0))="","Noch zu erfassen",INDEX(Feiertagsregeln!$G$7:$G$480,MATCH($K470,Feiertagsregeln!$A$7:$A$480,0)))</f>
        <v>Glindesdi da Pasca</v>
      </c>
      <c r="I470" s="11" t="str">
        <f>INDEX(Feiertagsregeln!$H$7:$H$480,MATCH($K470,Feiertagsregeln!$A$7:$A$480,0))</f>
        <v>publicHoliday</v>
      </c>
      <c r="J470" s="11" t="s">
        <v>69</v>
      </c>
      <c r="K470" s="11" t="s">
        <v>587</v>
      </c>
      <c r="L470" s="11" t="str">
        <f>INDEX(Feiertagsregeln!$Y$7:$Y$480,MATCH($K470,Feiertagsregeln!$A$7:$A$480,0))</f>
        <v>SRC-JU-LJF-5551-20230101</v>
      </c>
      <c r="M470" s="11" t="str">
        <f>INDEX(Feiertagsregeln!$Z$7:$Z$480,MATCH($K470,Feiertagsregeln!$A$7:$A$480,0))</f>
        <v>Art. 3 Bst. b</v>
      </c>
      <c r="N470" s="11" t="s">
        <v>193</v>
      </c>
      <c r="O470" s="11" t="str">
        <f>INDEX(Feiertagsregeln!$AA$7:$AA$480,MATCH($K470,Feiertagsregeln!$A$7:$A$480,0))</f>
        <v>Ganztägig</v>
      </c>
    </row>
    <row r="471" spans="1:15" ht="44" customHeight="1">
      <c r="A471" s="14">
        <f>INDEX(Feiertagsregeln!$X$7:$X$480,MATCH($K471,Feiertagsregeln!$A$7:$A$480,0))</f>
        <v>46874</v>
      </c>
      <c r="B471" s="10" t="str">
        <f t="shared" si="7"/>
        <v>Montag</v>
      </c>
      <c r="C471" s="10" t="s">
        <v>581</v>
      </c>
      <c r="D471" s="10" t="s">
        <v>582</v>
      </c>
      <c r="E471" s="10" t="str">
        <f>INDEX(Feiertagsregeln!$D$7:$D$480,MATCH($K471,Feiertagsregeln!$A$7:$A$480,0))</f>
        <v>Tag der Arbeit (1. Mai)</v>
      </c>
      <c r="F471" s="10" t="str">
        <f>INDEX(Feiertagsregeln!$E$7:$E$480,MATCH($K471,Feiertagsregeln!$A$7:$A$480,0))</f>
        <v>Fête du travail (1er mai)</v>
      </c>
      <c r="G471" s="21" t="str">
        <f>IF(INDEX(Feiertagsregeln!$F$7:$F$480,MATCH($K471,Feiertagsregeln!$A$7:$A$480,0))="","Noch zu erfassen",INDEX(Feiertagsregeln!$F$7:$F$480,MATCH($K471,Feiertagsregeln!$A$7:$A$480,0)))</f>
        <v>Primo maggio</v>
      </c>
      <c r="H471" s="21" t="str">
        <f>IF(INDEX(Feiertagsregeln!$G$7:$G$480,MATCH($K471,Feiertagsregeln!$A$7:$A$480,0))="","Noch zu erfassen",INDEX(Feiertagsregeln!$G$7:$G$480,MATCH($K471,Feiertagsregeln!$A$7:$A$480,0)))</f>
        <v>Di da la lavur (1. da matg)</v>
      </c>
      <c r="I471" s="10" t="str">
        <f>INDEX(Feiertagsregeln!$H$7:$H$480,MATCH($K471,Feiertagsregeln!$A$7:$A$480,0))</f>
        <v>publicHoliday</v>
      </c>
      <c r="J471" s="10" t="s">
        <v>69</v>
      </c>
      <c r="K471" s="10" t="s">
        <v>588</v>
      </c>
      <c r="L471" s="10" t="str">
        <f>INDEX(Feiertagsregeln!$Y$7:$Y$480,MATCH($K471,Feiertagsregeln!$A$7:$A$480,0))</f>
        <v>SRC-JU-LJF-5551-20230101</v>
      </c>
      <c r="M471" s="10" t="str">
        <f>INDEX(Feiertagsregeln!$Z$7:$Z$480,MATCH($K471,Feiertagsregeln!$A$7:$A$480,0))</f>
        <v>Art. 3 Bst. b</v>
      </c>
      <c r="N471" s="10" t="s">
        <v>193</v>
      </c>
      <c r="O471" s="10" t="str">
        <f>INDEX(Feiertagsregeln!$AA$7:$AA$480,MATCH($K471,Feiertagsregeln!$A$7:$A$480,0))</f>
        <v>Ganztägig</v>
      </c>
    </row>
    <row r="472" spans="1:15" ht="44" customHeight="1">
      <c r="A472" s="15">
        <f>INDEX(Feiertagsregeln!$X$7:$X$480,MATCH($K472,Feiertagsregeln!$A$7:$A$480,0))</f>
        <v>46898</v>
      </c>
      <c r="B472" s="11" t="str">
        <f t="shared" si="7"/>
        <v>Donnerstag</v>
      </c>
      <c r="C472" s="11" t="s">
        <v>581</v>
      </c>
      <c r="D472" s="11" t="s">
        <v>582</v>
      </c>
      <c r="E472" s="11" t="str">
        <f>INDEX(Feiertagsregeln!$D$7:$D$480,MATCH($K472,Feiertagsregeln!$A$7:$A$480,0))</f>
        <v>Auffahrt</v>
      </c>
      <c r="F472" s="11" t="str">
        <f>INDEX(Feiertagsregeln!$E$7:$E$480,MATCH($K472,Feiertagsregeln!$A$7:$A$480,0))</f>
        <v>Ascension</v>
      </c>
      <c r="G472" s="22" t="str">
        <f>IF(INDEX(Feiertagsregeln!$F$7:$F$480,MATCH($K472,Feiertagsregeln!$A$7:$A$480,0))="","Noch zu erfassen",INDEX(Feiertagsregeln!$F$7:$F$480,MATCH($K472,Feiertagsregeln!$A$7:$A$480,0)))</f>
        <v>Ascensione</v>
      </c>
      <c r="H472" s="22" t="str">
        <f>IF(INDEX(Feiertagsregeln!$G$7:$G$480,MATCH($K472,Feiertagsregeln!$A$7:$A$480,0))="","Noch zu erfassen",INDEX(Feiertagsregeln!$G$7:$G$480,MATCH($K472,Feiertagsregeln!$A$7:$A$480,0)))</f>
        <v>Ascensiun</v>
      </c>
      <c r="I472" s="11" t="str">
        <f>INDEX(Feiertagsregeln!$H$7:$H$480,MATCH($K472,Feiertagsregeln!$A$7:$A$480,0))</f>
        <v>publicHoliday</v>
      </c>
      <c r="J472" s="11" t="s">
        <v>69</v>
      </c>
      <c r="K472" s="11" t="s">
        <v>589</v>
      </c>
      <c r="L472" s="11" t="str">
        <f>INDEX(Feiertagsregeln!$Y$7:$Y$480,MATCH($K472,Feiertagsregeln!$A$7:$A$480,0))</f>
        <v>SRC-JU-LJF-5551-20230101</v>
      </c>
      <c r="M472" s="11" t="str">
        <f>INDEX(Feiertagsregeln!$Z$7:$Z$480,MATCH($K472,Feiertagsregeln!$A$7:$A$480,0))</f>
        <v>Art. 3 Bst. b</v>
      </c>
      <c r="N472" s="11" t="s">
        <v>193</v>
      </c>
      <c r="O472" s="11" t="str">
        <f>INDEX(Feiertagsregeln!$AA$7:$AA$480,MATCH($K472,Feiertagsregeln!$A$7:$A$480,0))</f>
        <v>Ganztägig</v>
      </c>
    </row>
    <row r="473" spans="1:15" ht="44" customHeight="1">
      <c r="A473" s="14">
        <f>INDEX(Feiertagsregeln!$X$7:$X$480,MATCH($K473,Feiertagsregeln!$A$7:$A$480,0))</f>
        <v>46908</v>
      </c>
      <c r="B473" s="10" t="str">
        <f t="shared" si="7"/>
        <v>Sonntag</v>
      </c>
      <c r="C473" s="10" t="s">
        <v>581</v>
      </c>
      <c r="D473" s="10" t="s">
        <v>582</v>
      </c>
      <c r="E473" s="10" t="str">
        <f>INDEX(Feiertagsregeln!$D$7:$D$480,MATCH($K473,Feiertagsregeln!$A$7:$A$480,0))</f>
        <v>Pfingsten</v>
      </c>
      <c r="F473" s="10" t="str">
        <f>INDEX(Feiertagsregeln!$E$7:$E$480,MATCH($K473,Feiertagsregeln!$A$7:$A$480,0))</f>
        <v>Pentecôte</v>
      </c>
      <c r="G473" s="21" t="str">
        <f>IF(INDEX(Feiertagsregeln!$F$7:$F$480,MATCH($K473,Feiertagsregeln!$A$7:$A$480,0))="","Noch zu erfassen",INDEX(Feiertagsregeln!$F$7:$F$480,MATCH($K473,Feiertagsregeln!$A$7:$A$480,0)))</f>
        <v>Domenica di Pentecoste</v>
      </c>
      <c r="H473" s="21" t="str">
        <f>IF(INDEX(Feiertagsregeln!$G$7:$G$480,MATCH($K473,Feiertagsregeln!$A$7:$A$480,0))="","Noch zu erfassen",INDEX(Feiertagsregeln!$G$7:$G$480,MATCH($K473,Feiertagsregeln!$A$7:$A$480,0)))</f>
        <v>Dumengia da Tschuncaisma</v>
      </c>
      <c r="I473" s="10" t="str">
        <f>INDEX(Feiertagsregeln!$H$7:$H$480,MATCH($K473,Feiertagsregeln!$A$7:$A$480,0))</f>
        <v>publicHoliday</v>
      </c>
      <c r="J473" s="10" t="s">
        <v>69</v>
      </c>
      <c r="K473" s="10" t="s">
        <v>590</v>
      </c>
      <c r="L473" s="10" t="str">
        <f>INDEX(Feiertagsregeln!$Y$7:$Y$480,MATCH($K473,Feiertagsregeln!$A$7:$A$480,0))</f>
        <v>SRC-JU-LJF-5551-20230101</v>
      </c>
      <c r="M473" s="10" t="str">
        <f>INDEX(Feiertagsregeln!$Z$7:$Z$480,MATCH($K473,Feiertagsregeln!$A$7:$A$480,0))</f>
        <v>Art. 3 Bst. b</v>
      </c>
      <c r="N473" s="10" t="s">
        <v>193</v>
      </c>
      <c r="O473" s="10" t="str">
        <f>INDEX(Feiertagsregeln!$AA$7:$AA$480,MATCH($K473,Feiertagsregeln!$A$7:$A$480,0))</f>
        <v>Ganztägig</v>
      </c>
    </row>
    <row r="474" spans="1:15" ht="44" customHeight="1">
      <c r="A474" s="15">
        <f>INDEX(Feiertagsregeln!$X$7:$X$480,MATCH($K474,Feiertagsregeln!$A$7:$A$480,0))</f>
        <v>46909</v>
      </c>
      <c r="B474" s="11" t="str">
        <f t="shared" si="7"/>
        <v>Montag</v>
      </c>
      <c r="C474" s="11" t="s">
        <v>581</v>
      </c>
      <c r="D474" s="11" t="s">
        <v>582</v>
      </c>
      <c r="E474" s="11" t="str">
        <f>INDEX(Feiertagsregeln!$D$7:$D$480,MATCH($K474,Feiertagsregeln!$A$7:$A$480,0))</f>
        <v>Pfingstmontag</v>
      </c>
      <c r="F474" s="11" t="str">
        <f>INDEX(Feiertagsregeln!$E$7:$E$480,MATCH($K474,Feiertagsregeln!$A$7:$A$480,0))</f>
        <v>Lundi de Pentecôte</v>
      </c>
      <c r="G474" s="22" t="str">
        <f>IF(INDEX(Feiertagsregeln!$F$7:$F$480,MATCH($K474,Feiertagsregeln!$A$7:$A$480,0))="","Noch zu erfassen",INDEX(Feiertagsregeln!$F$7:$F$480,MATCH($K474,Feiertagsregeln!$A$7:$A$480,0)))</f>
        <v>Lunedì di Pentecoste</v>
      </c>
      <c r="H474" s="22" t="str">
        <f>IF(INDEX(Feiertagsregeln!$G$7:$G$480,MATCH($K474,Feiertagsregeln!$A$7:$A$480,0))="","Noch zu erfassen",INDEX(Feiertagsregeln!$G$7:$G$480,MATCH($K474,Feiertagsregeln!$A$7:$A$480,0)))</f>
        <v>Glindesdi da Tschuncaisma</v>
      </c>
      <c r="I474" s="11" t="str">
        <f>INDEX(Feiertagsregeln!$H$7:$H$480,MATCH($K474,Feiertagsregeln!$A$7:$A$480,0))</f>
        <v>publicHoliday</v>
      </c>
      <c r="J474" s="11" t="s">
        <v>69</v>
      </c>
      <c r="K474" s="11" t="s">
        <v>591</v>
      </c>
      <c r="L474" s="11" t="str">
        <f>INDEX(Feiertagsregeln!$Y$7:$Y$480,MATCH($K474,Feiertagsregeln!$A$7:$A$480,0))</f>
        <v>SRC-JU-LJF-5551-20230101</v>
      </c>
      <c r="M474" s="11" t="str">
        <f>INDEX(Feiertagsregeln!$Z$7:$Z$480,MATCH($K474,Feiertagsregeln!$A$7:$A$480,0))</f>
        <v>Art. 3 Bst. b</v>
      </c>
      <c r="N474" s="11" t="s">
        <v>193</v>
      </c>
      <c r="O474" s="11" t="str">
        <f>INDEX(Feiertagsregeln!$AA$7:$AA$480,MATCH($K474,Feiertagsregeln!$A$7:$A$480,0))</f>
        <v>Ganztägig</v>
      </c>
    </row>
    <row r="475" spans="1:15" ht="44" customHeight="1">
      <c r="A475" s="14">
        <f>INDEX(Feiertagsregeln!$X$7:$X$480,MATCH($K475,Feiertagsregeln!$A$7:$A$480,0))</f>
        <v>46919</v>
      </c>
      <c r="B475" s="10" t="str">
        <f t="shared" si="7"/>
        <v>Donnerstag</v>
      </c>
      <c r="C475" s="10" t="s">
        <v>581</v>
      </c>
      <c r="D475" s="10" t="s">
        <v>582</v>
      </c>
      <c r="E475" s="10" t="str">
        <f>INDEX(Feiertagsregeln!$D$7:$D$480,MATCH($K475,Feiertagsregeln!$A$7:$A$480,0))</f>
        <v>Fronleichnam</v>
      </c>
      <c r="F475" s="10" t="str">
        <f>INDEX(Feiertagsregeln!$E$7:$E$480,MATCH($K475,Feiertagsregeln!$A$7:$A$480,0))</f>
        <v>Fête-Dieu</v>
      </c>
      <c r="G475" s="21" t="str">
        <f>IF(INDEX(Feiertagsregeln!$F$7:$F$480,MATCH($K475,Feiertagsregeln!$A$7:$A$480,0))="","Noch zu erfassen",INDEX(Feiertagsregeln!$F$7:$F$480,MATCH($K475,Feiertagsregeln!$A$7:$A$480,0)))</f>
        <v>Corpus Domini</v>
      </c>
      <c r="H475" s="21" t="str">
        <f>IF(INDEX(Feiertagsregeln!$G$7:$G$480,MATCH($K475,Feiertagsregeln!$A$7:$A$480,0))="","Noch zu erfassen",INDEX(Feiertagsregeln!$G$7:$G$480,MATCH($K475,Feiertagsregeln!$A$7:$A$480,0)))</f>
        <v>Sontgilcrest</v>
      </c>
      <c r="I475" s="10" t="str">
        <f>INDEX(Feiertagsregeln!$H$7:$H$480,MATCH($K475,Feiertagsregeln!$A$7:$A$480,0))</f>
        <v>publicHoliday</v>
      </c>
      <c r="J475" s="10" t="s">
        <v>69</v>
      </c>
      <c r="K475" s="10" t="s">
        <v>592</v>
      </c>
      <c r="L475" s="10" t="str">
        <f>INDEX(Feiertagsregeln!$Y$7:$Y$480,MATCH($K475,Feiertagsregeln!$A$7:$A$480,0))</f>
        <v>SRC-JU-LJF-5551-20230101</v>
      </c>
      <c r="M475" s="10" t="str">
        <f>INDEX(Feiertagsregeln!$Z$7:$Z$480,MATCH($K475,Feiertagsregeln!$A$7:$A$480,0))</f>
        <v>Art. 3 Bst. b</v>
      </c>
      <c r="N475" s="10" t="s">
        <v>193</v>
      </c>
      <c r="O475" s="10" t="str">
        <f>INDEX(Feiertagsregeln!$AA$7:$AA$480,MATCH($K475,Feiertagsregeln!$A$7:$A$480,0))</f>
        <v>Ganztägig</v>
      </c>
    </row>
    <row r="476" spans="1:15" ht="44" customHeight="1">
      <c r="A476" s="15">
        <f>INDEX(Feiertagsregeln!$X$7:$X$480,MATCH($K476,Feiertagsregeln!$A$7:$A$480,0))</f>
        <v>46927</v>
      </c>
      <c r="B476" s="11" t="str">
        <f t="shared" si="7"/>
        <v>Freitag</v>
      </c>
      <c r="C476" s="11" t="s">
        <v>581</v>
      </c>
      <c r="D476" s="11" t="s">
        <v>582</v>
      </c>
      <c r="E476" s="11" t="str">
        <f>INDEX(Feiertagsregeln!$D$7:$D$480,MATCH($K476,Feiertagsregeln!$A$7:$A$480,0))</f>
        <v>Gedenktag der Volksabstimmung (23. Juni)</v>
      </c>
      <c r="F476" s="11" t="str">
        <f>INDEX(Feiertagsregeln!$E$7:$E$480,MATCH($K476,Feiertagsregeln!$A$7:$A$480,0))</f>
        <v>Commémoration du Plébiscite (23 juin)</v>
      </c>
      <c r="G476" s="22" t="str">
        <f>IF(INDEX(Feiertagsregeln!$F$7:$F$480,MATCH($K476,Feiertagsregeln!$A$7:$A$480,0))="","Noch zu erfassen",INDEX(Feiertagsregeln!$F$7:$F$480,MATCH($K476,Feiertagsregeln!$A$7:$A$480,0)))</f>
        <v>Commemorazione del plebiscito (23 giugno)</v>
      </c>
      <c r="H476" s="22" t="str">
        <f>IF(INDEX(Feiertagsregeln!$G$7:$G$480,MATCH($K476,Feiertagsregeln!$A$7:$A$480,0))="","Noch zu erfassen",INDEX(Feiertagsregeln!$G$7:$G$480,MATCH($K476,Feiertagsregeln!$A$7:$A$480,0)))</f>
        <v>Commemoraziun dal plebiscit (23 da zercladur)</v>
      </c>
      <c r="I476" s="11" t="str">
        <f>INDEX(Feiertagsregeln!$H$7:$H$480,MATCH($K476,Feiertagsregeln!$A$7:$A$480,0))</f>
        <v>publicHoliday</v>
      </c>
      <c r="J476" s="11" t="s">
        <v>69</v>
      </c>
      <c r="K476" s="11" t="s">
        <v>593</v>
      </c>
      <c r="L476" s="11" t="str">
        <f>INDEX(Feiertagsregeln!$Y$7:$Y$480,MATCH($K476,Feiertagsregeln!$A$7:$A$480,0))</f>
        <v>SRC-JU-LJF-5551-20230101</v>
      </c>
      <c r="M476" s="11" t="str">
        <f>INDEX(Feiertagsregeln!$Z$7:$Z$480,MATCH($K476,Feiertagsregeln!$A$7:$A$480,0))</f>
        <v>Art. 3 Bst. b</v>
      </c>
      <c r="N476" s="11" t="s">
        <v>193</v>
      </c>
      <c r="O476" s="11" t="str">
        <f>INDEX(Feiertagsregeln!$AA$7:$AA$480,MATCH($K476,Feiertagsregeln!$A$7:$A$480,0))</f>
        <v>Ganztägig</v>
      </c>
    </row>
    <row r="477" spans="1:15" ht="44" customHeight="1">
      <c r="A477" s="14">
        <f>INDEX(Feiertagsregeln!$X$7:$X$480,MATCH($K477,Feiertagsregeln!$A$7:$A$480,0))</f>
        <v>46966</v>
      </c>
      <c r="B477" s="10" t="str">
        <f t="shared" si="7"/>
        <v>Dienstag</v>
      </c>
      <c r="C477" s="10" t="s">
        <v>581</v>
      </c>
      <c r="D477" s="10" t="s">
        <v>582</v>
      </c>
      <c r="E477" s="10" t="str">
        <f>INDEX(Feiertagsregeln!$D$7:$D$480,MATCH($K477,Feiertagsregeln!$A$7:$A$480,0))</f>
        <v>Bundesfeiertag</v>
      </c>
      <c r="F477" s="10" t="str">
        <f>INDEX(Feiertagsregeln!$E$7:$E$480,MATCH($K477,Feiertagsregeln!$A$7:$A$480,0))</f>
        <v>Fête nationale</v>
      </c>
      <c r="G477" s="21" t="str">
        <f>IF(INDEX(Feiertagsregeln!$F$7:$F$480,MATCH($K477,Feiertagsregeln!$A$7:$A$480,0))="","Noch zu erfassen",INDEX(Feiertagsregeln!$F$7:$F$480,MATCH($K477,Feiertagsregeln!$A$7:$A$480,0)))</f>
        <v>Primo agosto</v>
      </c>
      <c r="H477" s="21" t="str">
        <f>IF(INDEX(Feiertagsregeln!$G$7:$G$480,MATCH($K477,Feiertagsregeln!$A$7:$A$480,0))="","Noch zu erfassen",INDEX(Feiertagsregeln!$G$7:$G$480,MATCH($K477,Feiertagsregeln!$A$7:$A$480,0)))</f>
        <v>Festa naziunala svizra</v>
      </c>
      <c r="I477" s="10" t="str">
        <f>INDEX(Feiertagsregeln!$H$7:$H$480,MATCH($K477,Feiertagsregeln!$A$7:$A$480,0))</f>
        <v>publicHoliday</v>
      </c>
      <c r="J477" s="10" t="s">
        <v>69</v>
      </c>
      <c r="K477" s="10" t="s">
        <v>594</v>
      </c>
      <c r="L477" s="10" t="str">
        <f>INDEX(Feiertagsregeln!$Y$7:$Y$480,MATCH($K477,Feiertagsregeln!$A$7:$A$480,0))</f>
        <v>SRC-BUNDESFEIERTAG-19940701</v>
      </c>
      <c r="M477" s="10" t="str">
        <f>INDEX(Feiertagsregeln!$Z$7:$Z$480,MATCH($K477,Feiertagsregeln!$A$7:$A$480,0))</f>
        <v>SR 116 Art. 1, neue Anwendung auf JU-LJF-OFFICIAL. Kantonaler Bezug Art. 3 Bst. b</v>
      </c>
      <c r="N477" s="10" t="s">
        <v>193</v>
      </c>
      <c r="O477" s="10" t="str">
        <f>INDEX(Feiertagsregeln!$AA$7:$AA$480,MATCH($K477,Feiertagsregeln!$A$7:$A$480,0))</f>
        <v>Ganztägig</v>
      </c>
    </row>
    <row r="478" spans="1:15" ht="44" customHeight="1">
      <c r="A478" s="15">
        <f>INDEX(Feiertagsregeln!$X$7:$X$480,MATCH($K478,Feiertagsregeln!$A$7:$A$480,0))</f>
        <v>46980</v>
      </c>
      <c r="B478" s="11" t="str">
        <f t="shared" si="7"/>
        <v>Dienstag</v>
      </c>
      <c r="C478" s="11" t="s">
        <v>581</v>
      </c>
      <c r="D478" s="11" t="s">
        <v>582</v>
      </c>
      <c r="E478" s="11" t="str">
        <f>INDEX(Feiertagsregeln!$D$7:$D$480,MATCH($K478,Feiertagsregeln!$A$7:$A$480,0))</f>
        <v>Mariä Himmelfahrt</v>
      </c>
      <c r="F478" s="11" t="str">
        <f>INDEX(Feiertagsregeln!$E$7:$E$480,MATCH($K478,Feiertagsregeln!$A$7:$A$480,0))</f>
        <v>Assomption</v>
      </c>
      <c r="G478" s="22" t="str">
        <f>IF(INDEX(Feiertagsregeln!$F$7:$F$480,MATCH($K478,Feiertagsregeln!$A$7:$A$480,0))="","Noch zu erfassen",INDEX(Feiertagsregeln!$F$7:$F$480,MATCH($K478,Feiertagsregeln!$A$7:$A$480,0)))</f>
        <v>Assunzione</v>
      </c>
      <c r="H478" s="22" t="str">
        <f>IF(INDEX(Feiertagsregeln!$G$7:$G$480,MATCH($K478,Feiertagsregeln!$A$7:$A$480,0))="","Noch zu erfassen",INDEX(Feiertagsregeln!$G$7:$G$480,MATCH($K478,Feiertagsregeln!$A$7:$A$480,0)))</f>
        <v>Nossadunna d’avust</v>
      </c>
      <c r="I478" s="11" t="str">
        <f>INDEX(Feiertagsregeln!$H$7:$H$480,MATCH($K478,Feiertagsregeln!$A$7:$A$480,0))</f>
        <v>publicHoliday</v>
      </c>
      <c r="J478" s="11" t="s">
        <v>69</v>
      </c>
      <c r="K478" s="11" t="s">
        <v>595</v>
      </c>
      <c r="L478" s="11" t="str">
        <f>INDEX(Feiertagsregeln!$Y$7:$Y$480,MATCH($K478,Feiertagsregeln!$A$7:$A$480,0))</f>
        <v>SRC-JU-LJF-5551-20230101</v>
      </c>
      <c r="M478" s="11" t="str">
        <f>INDEX(Feiertagsregeln!$Z$7:$Z$480,MATCH($K478,Feiertagsregeln!$A$7:$A$480,0))</f>
        <v>Art. 3 Bst. b</v>
      </c>
      <c r="N478" s="11" t="s">
        <v>193</v>
      </c>
      <c r="O478" s="11" t="str">
        <f>INDEX(Feiertagsregeln!$AA$7:$AA$480,MATCH($K478,Feiertagsregeln!$A$7:$A$480,0))</f>
        <v>Ganztägig</v>
      </c>
    </row>
    <row r="479" spans="1:15" ht="44" customHeight="1">
      <c r="A479" s="14">
        <f>INDEX(Feiertagsregeln!$X$7:$X$480,MATCH($K479,Feiertagsregeln!$A$7:$A$480,0))</f>
        <v>47058</v>
      </c>
      <c r="B479" s="10" t="str">
        <f t="shared" si="7"/>
        <v>Mittwoch</v>
      </c>
      <c r="C479" s="10" t="s">
        <v>581</v>
      </c>
      <c r="D479" s="10" t="s">
        <v>582</v>
      </c>
      <c r="E479" s="10" t="str">
        <f>INDEX(Feiertagsregeln!$D$7:$D$480,MATCH($K479,Feiertagsregeln!$A$7:$A$480,0))</f>
        <v>Allerheiligen</v>
      </c>
      <c r="F479" s="10" t="str">
        <f>INDEX(Feiertagsregeln!$E$7:$E$480,MATCH($K479,Feiertagsregeln!$A$7:$A$480,0))</f>
        <v>Toussaint</v>
      </c>
      <c r="G479" s="21" t="str">
        <f>IF(INDEX(Feiertagsregeln!$F$7:$F$480,MATCH($K479,Feiertagsregeln!$A$7:$A$480,0))="","Noch zu erfassen",INDEX(Feiertagsregeln!$F$7:$F$480,MATCH($K479,Feiertagsregeln!$A$7:$A$480,0)))</f>
        <v>Ognissanti</v>
      </c>
      <c r="H479" s="21" t="str">
        <f>IF(INDEX(Feiertagsregeln!$G$7:$G$480,MATCH($K479,Feiertagsregeln!$A$7:$A$480,0))="","Noch zu erfassen",INDEX(Feiertagsregeln!$G$7:$G$480,MATCH($K479,Feiertagsregeln!$A$7:$A$480,0)))</f>
        <v>Numnasontga</v>
      </c>
      <c r="I479" s="10" t="str">
        <f>INDEX(Feiertagsregeln!$H$7:$H$480,MATCH($K479,Feiertagsregeln!$A$7:$A$480,0))</f>
        <v>publicHoliday</v>
      </c>
      <c r="J479" s="10" t="s">
        <v>69</v>
      </c>
      <c r="K479" s="10" t="s">
        <v>596</v>
      </c>
      <c r="L479" s="10" t="str">
        <f>INDEX(Feiertagsregeln!$Y$7:$Y$480,MATCH($K479,Feiertagsregeln!$A$7:$A$480,0))</f>
        <v>SRC-JU-LJF-5551-20230101</v>
      </c>
      <c r="M479" s="10" t="str">
        <f>INDEX(Feiertagsregeln!$Z$7:$Z$480,MATCH($K479,Feiertagsregeln!$A$7:$A$480,0))</f>
        <v>Art. 3 Bst. b</v>
      </c>
      <c r="N479" s="10" t="s">
        <v>193</v>
      </c>
      <c r="O479" s="10" t="str">
        <f>INDEX(Feiertagsregeln!$AA$7:$AA$480,MATCH($K479,Feiertagsregeln!$A$7:$A$480,0))</f>
        <v>Ganztägig</v>
      </c>
    </row>
    <row r="480" spans="1:15" ht="44" customHeight="1">
      <c r="A480" s="15">
        <f>INDEX(Feiertagsregeln!$X$7:$X$480,MATCH($K480,Feiertagsregeln!$A$7:$A$480,0))</f>
        <v>47112</v>
      </c>
      <c r="B480" s="11" t="str">
        <f t="shared" si="7"/>
        <v>Montag</v>
      </c>
      <c r="C480" s="11" t="s">
        <v>581</v>
      </c>
      <c r="D480" s="11" t="s">
        <v>582</v>
      </c>
      <c r="E480" s="11" t="str">
        <f>INDEX(Feiertagsregeln!$D$7:$D$480,MATCH($K480,Feiertagsregeln!$A$7:$A$480,0))</f>
        <v>Weihnachten</v>
      </c>
      <c r="F480" s="11" t="str">
        <f>INDEX(Feiertagsregeln!$E$7:$E$480,MATCH($K480,Feiertagsregeln!$A$7:$A$480,0))</f>
        <v>Noël</v>
      </c>
      <c r="G480" s="22" t="str">
        <f>IF(INDEX(Feiertagsregeln!$F$7:$F$480,MATCH($K480,Feiertagsregeln!$A$7:$A$480,0))="","Noch zu erfassen",INDEX(Feiertagsregeln!$F$7:$F$480,MATCH($K480,Feiertagsregeln!$A$7:$A$480,0)))</f>
        <v>Natale</v>
      </c>
      <c r="H480" s="22" t="str">
        <f>IF(INDEX(Feiertagsregeln!$G$7:$G$480,MATCH($K480,Feiertagsregeln!$A$7:$A$480,0))="","Noch zu erfassen",INDEX(Feiertagsregeln!$G$7:$G$480,MATCH($K480,Feiertagsregeln!$A$7:$A$480,0)))</f>
        <v>Di da Nadal</v>
      </c>
      <c r="I480" s="11" t="str">
        <f>INDEX(Feiertagsregeln!$H$7:$H$480,MATCH($K480,Feiertagsregeln!$A$7:$A$480,0))</f>
        <v>publicHoliday</v>
      </c>
      <c r="J480" s="11" t="s">
        <v>69</v>
      </c>
      <c r="K480" s="11" t="s">
        <v>597</v>
      </c>
      <c r="L480" s="11" t="str">
        <f>INDEX(Feiertagsregeln!$Y$7:$Y$480,MATCH($K480,Feiertagsregeln!$A$7:$A$480,0))</f>
        <v>SRC-JU-LJF-5551-20230101</v>
      </c>
      <c r="M480" s="11" t="str">
        <f>INDEX(Feiertagsregeln!$Z$7:$Z$480,MATCH($K480,Feiertagsregeln!$A$7:$A$480,0))</f>
        <v>Art. 3 Bst. b</v>
      </c>
      <c r="N480" s="11" t="s">
        <v>193</v>
      </c>
      <c r="O480" s="11" t="str">
        <f>INDEX(Feiertagsregeln!$AA$7:$AA$480,MATCH($K480,Feiertagsregeln!$A$7:$A$480,0))</f>
        <v>Ganztägig</v>
      </c>
    </row>
    <row r="481" spans="1:15" ht="44" customHeight="1">
      <c r="A481" s="14">
        <f>INDEX(Feiertagsregeln!$X$7:$X$480,MATCH($K481,Feiertagsregeln!$A$7:$A$480,0))</f>
        <v>46753</v>
      </c>
      <c r="B481" s="10" t="str">
        <f t="shared" si="7"/>
        <v>Samstag</v>
      </c>
      <c r="C481" s="10" t="s">
        <v>581</v>
      </c>
      <c r="D481" s="10" t="s">
        <v>598</v>
      </c>
      <c r="E481" s="10" t="str">
        <f>INDEX(Feiertagsregeln!$D$7:$D$480,MATCH($K481,Feiertagsregeln!$A$7:$A$480,0))</f>
        <v>Neujahr</v>
      </c>
      <c r="F481" s="10" t="str">
        <f>INDEX(Feiertagsregeln!$E$7:$E$480,MATCH($K481,Feiertagsregeln!$A$7:$A$480,0))</f>
        <v>Nouvel An</v>
      </c>
      <c r="G481" s="21" t="str">
        <f>IF(INDEX(Feiertagsregeln!$F$7:$F$480,MATCH($K481,Feiertagsregeln!$A$7:$A$480,0))="","Noch zu erfassen",INDEX(Feiertagsregeln!$F$7:$F$480,MATCH($K481,Feiertagsregeln!$A$7:$A$480,0)))</f>
        <v>Capo d’anno</v>
      </c>
      <c r="H481" s="21" t="str">
        <f>IF(INDEX(Feiertagsregeln!$G$7:$G$480,MATCH($K481,Feiertagsregeln!$A$7:$A$480,0))="","Noch zu erfassen",INDEX(Feiertagsregeln!$G$7:$G$480,MATCH($K481,Feiertagsregeln!$A$7:$A$480,0)))</f>
        <v>Bumaun</v>
      </c>
      <c r="I481" s="10" t="str">
        <f>INDEX(Feiertagsregeln!$H$7:$H$480,MATCH($K481,Feiertagsregeln!$A$7:$A$480,0))</f>
        <v>labourLawHoliday</v>
      </c>
      <c r="J481" s="10" t="s">
        <v>69</v>
      </c>
      <c r="K481" s="10" t="s">
        <v>599</v>
      </c>
      <c r="L481" s="10" t="str">
        <f>INDEX(Feiertagsregeln!$Y$7:$Y$480,MATCH($K481,Feiertagsregeln!$A$7:$A$480,0))</f>
        <v>SRC-JU-LJF-5551-20230101</v>
      </c>
      <c r="M481" s="10" t="str">
        <f>INDEX(Feiertagsregeln!$Z$7:$Z$480,MATCH($K481,Feiertagsregeln!$A$7:$A$480,0))</f>
        <v>Art. 4</v>
      </c>
      <c r="N481" s="10" t="s">
        <v>193</v>
      </c>
      <c r="O481" s="10" t="str">
        <f>INDEX(Feiertagsregeln!$AA$7:$AA$480,MATCH($K481,Feiertagsregeln!$A$7:$A$480,0))</f>
        <v>Ganztägig</v>
      </c>
    </row>
    <row r="482" spans="1:15" ht="44" customHeight="1">
      <c r="A482" s="15">
        <f>INDEX(Feiertagsregeln!$X$7:$X$480,MATCH($K482,Feiertagsregeln!$A$7:$A$480,0))</f>
        <v>46857</v>
      </c>
      <c r="B482" s="11" t="str">
        <f t="shared" si="7"/>
        <v>Freitag</v>
      </c>
      <c r="C482" s="11" t="s">
        <v>581</v>
      </c>
      <c r="D482" s="11" t="s">
        <v>598</v>
      </c>
      <c r="E482" s="11" t="str">
        <f>INDEX(Feiertagsregeln!$D$7:$D$480,MATCH($K482,Feiertagsregeln!$A$7:$A$480,0))</f>
        <v>Karfreitag</v>
      </c>
      <c r="F482" s="11" t="str">
        <f>INDEX(Feiertagsregeln!$E$7:$E$480,MATCH($K482,Feiertagsregeln!$A$7:$A$480,0))</f>
        <v>Vendredi saint</v>
      </c>
      <c r="G482" s="22" t="str">
        <f>IF(INDEX(Feiertagsregeln!$F$7:$F$480,MATCH($K482,Feiertagsregeln!$A$7:$A$480,0))="","Noch zu erfassen",INDEX(Feiertagsregeln!$F$7:$F$480,MATCH($K482,Feiertagsregeln!$A$7:$A$480,0)))</f>
        <v>Venerdì Santo</v>
      </c>
      <c r="H482" s="22" t="str">
        <f>IF(INDEX(Feiertagsregeln!$G$7:$G$480,MATCH($K482,Feiertagsregeln!$A$7:$A$480,0))="","Noch zu erfassen",INDEX(Feiertagsregeln!$G$7:$G$480,MATCH($K482,Feiertagsregeln!$A$7:$A$480,0)))</f>
        <v>Venderdi sontg</v>
      </c>
      <c r="I482" s="11" t="str">
        <f>INDEX(Feiertagsregeln!$H$7:$H$480,MATCH($K482,Feiertagsregeln!$A$7:$A$480,0))</f>
        <v>labourLawHoliday</v>
      </c>
      <c r="J482" s="11" t="s">
        <v>69</v>
      </c>
      <c r="K482" s="11" t="s">
        <v>600</v>
      </c>
      <c r="L482" s="11" t="str">
        <f>INDEX(Feiertagsregeln!$Y$7:$Y$480,MATCH($K482,Feiertagsregeln!$A$7:$A$480,0))</f>
        <v>SRC-JU-LJF-5551-20230101</v>
      </c>
      <c r="M482" s="11" t="str">
        <f>INDEX(Feiertagsregeln!$Z$7:$Z$480,MATCH($K482,Feiertagsregeln!$A$7:$A$480,0))</f>
        <v>Art. 4</v>
      </c>
      <c r="N482" s="11" t="s">
        <v>193</v>
      </c>
      <c r="O482" s="11" t="str">
        <f>INDEX(Feiertagsregeln!$AA$7:$AA$480,MATCH($K482,Feiertagsregeln!$A$7:$A$480,0))</f>
        <v>Ganztägig</v>
      </c>
    </row>
    <row r="483" spans="1:15" ht="44" customHeight="1">
      <c r="A483" s="14">
        <f>INDEX(Feiertagsregeln!$X$7:$X$480,MATCH($K483,Feiertagsregeln!$A$7:$A$480,0))</f>
        <v>46860</v>
      </c>
      <c r="B483" s="10" t="str">
        <f t="shared" si="7"/>
        <v>Montag</v>
      </c>
      <c r="C483" s="10" t="s">
        <v>581</v>
      </c>
      <c r="D483" s="10" t="s">
        <v>598</v>
      </c>
      <c r="E483" s="10" t="str">
        <f>INDEX(Feiertagsregeln!$D$7:$D$480,MATCH($K483,Feiertagsregeln!$A$7:$A$480,0))</f>
        <v>Ostermontag</v>
      </c>
      <c r="F483" s="10" t="str">
        <f>INDEX(Feiertagsregeln!$E$7:$E$480,MATCH($K483,Feiertagsregeln!$A$7:$A$480,0))</f>
        <v>Lundi de Pâques</v>
      </c>
      <c r="G483" s="21" t="str">
        <f>IF(INDEX(Feiertagsregeln!$F$7:$F$480,MATCH($K483,Feiertagsregeln!$A$7:$A$480,0))="","Noch zu erfassen",INDEX(Feiertagsregeln!$F$7:$F$480,MATCH($K483,Feiertagsregeln!$A$7:$A$480,0)))</f>
        <v>Lunedì di Pasqua</v>
      </c>
      <c r="H483" s="21" t="str">
        <f>IF(INDEX(Feiertagsregeln!$G$7:$G$480,MATCH($K483,Feiertagsregeln!$A$7:$A$480,0))="","Noch zu erfassen",INDEX(Feiertagsregeln!$G$7:$G$480,MATCH($K483,Feiertagsregeln!$A$7:$A$480,0)))</f>
        <v>Glindesdi da Pasca</v>
      </c>
      <c r="I483" s="10" t="str">
        <f>INDEX(Feiertagsregeln!$H$7:$H$480,MATCH($K483,Feiertagsregeln!$A$7:$A$480,0))</f>
        <v>labourLawHoliday</v>
      </c>
      <c r="J483" s="10" t="s">
        <v>69</v>
      </c>
      <c r="K483" s="10" t="s">
        <v>601</v>
      </c>
      <c r="L483" s="10" t="str">
        <f>INDEX(Feiertagsregeln!$Y$7:$Y$480,MATCH($K483,Feiertagsregeln!$A$7:$A$480,0))</f>
        <v>SRC-JU-LJF-5551-20230101</v>
      </c>
      <c r="M483" s="10" t="str">
        <f>INDEX(Feiertagsregeln!$Z$7:$Z$480,MATCH($K483,Feiertagsregeln!$A$7:$A$480,0))</f>
        <v>Art. 4</v>
      </c>
      <c r="N483" s="10" t="s">
        <v>193</v>
      </c>
      <c r="O483" s="10" t="str">
        <f>INDEX(Feiertagsregeln!$AA$7:$AA$480,MATCH($K483,Feiertagsregeln!$A$7:$A$480,0))</f>
        <v>Ganztägig</v>
      </c>
    </row>
    <row r="484" spans="1:15" ht="44" customHeight="1">
      <c r="A484" s="15">
        <f>INDEX(Feiertagsregeln!$X$7:$X$480,MATCH($K484,Feiertagsregeln!$A$7:$A$480,0))</f>
        <v>46874</v>
      </c>
      <c r="B484" s="11" t="str">
        <f t="shared" si="7"/>
        <v>Montag</v>
      </c>
      <c r="C484" s="11" t="s">
        <v>581</v>
      </c>
      <c r="D484" s="11" t="s">
        <v>598</v>
      </c>
      <c r="E484" s="11" t="str">
        <f>INDEX(Feiertagsregeln!$D$7:$D$480,MATCH($K484,Feiertagsregeln!$A$7:$A$480,0))</f>
        <v>Tag der Arbeit (1. Mai)</v>
      </c>
      <c r="F484" s="11" t="str">
        <f>INDEX(Feiertagsregeln!$E$7:$E$480,MATCH($K484,Feiertagsregeln!$A$7:$A$480,0))</f>
        <v>Fête du travail (1er mai)</v>
      </c>
      <c r="G484" s="22" t="str">
        <f>IF(INDEX(Feiertagsregeln!$F$7:$F$480,MATCH($K484,Feiertagsregeln!$A$7:$A$480,0))="","Noch zu erfassen",INDEX(Feiertagsregeln!$F$7:$F$480,MATCH($K484,Feiertagsregeln!$A$7:$A$480,0)))</f>
        <v>Primo maggio</v>
      </c>
      <c r="H484" s="22" t="str">
        <f>IF(INDEX(Feiertagsregeln!$G$7:$G$480,MATCH($K484,Feiertagsregeln!$A$7:$A$480,0))="","Noch zu erfassen",INDEX(Feiertagsregeln!$G$7:$G$480,MATCH($K484,Feiertagsregeln!$A$7:$A$480,0)))</f>
        <v>Di da la lavur (1. da matg)</v>
      </c>
      <c r="I484" s="11" t="str">
        <f>INDEX(Feiertagsregeln!$H$7:$H$480,MATCH($K484,Feiertagsregeln!$A$7:$A$480,0))</f>
        <v>labourLawHoliday</v>
      </c>
      <c r="J484" s="11" t="s">
        <v>69</v>
      </c>
      <c r="K484" s="11" t="s">
        <v>602</v>
      </c>
      <c r="L484" s="11" t="str">
        <f>INDEX(Feiertagsregeln!$Y$7:$Y$480,MATCH($K484,Feiertagsregeln!$A$7:$A$480,0))</f>
        <v>SRC-JU-LJF-5551-20230101</v>
      </c>
      <c r="M484" s="11" t="str">
        <f>INDEX(Feiertagsregeln!$Z$7:$Z$480,MATCH($K484,Feiertagsregeln!$A$7:$A$480,0))</f>
        <v>Art. 4</v>
      </c>
      <c r="N484" s="11" t="s">
        <v>193</v>
      </c>
      <c r="O484" s="11" t="str">
        <f>INDEX(Feiertagsregeln!$AA$7:$AA$480,MATCH($K484,Feiertagsregeln!$A$7:$A$480,0))</f>
        <v>Ganztägig</v>
      </c>
    </row>
    <row r="485" spans="1:15" ht="44" customHeight="1">
      <c r="A485" s="14">
        <f>INDEX(Feiertagsregeln!$X$7:$X$480,MATCH($K485,Feiertagsregeln!$A$7:$A$480,0))</f>
        <v>46898</v>
      </c>
      <c r="B485" s="10" t="str">
        <f t="shared" si="7"/>
        <v>Donnerstag</v>
      </c>
      <c r="C485" s="10" t="s">
        <v>581</v>
      </c>
      <c r="D485" s="10" t="s">
        <v>598</v>
      </c>
      <c r="E485" s="10" t="str">
        <f>INDEX(Feiertagsregeln!$D$7:$D$480,MATCH($K485,Feiertagsregeln!$A$7:$A$480,0))</f>
        <v>Auffahrt</v>
      </c>
      <c r="F485" s="10" t="str">
        <f>INDEX(Feiertagsregeln!$E$7:$E$480,MATCH($K485,Feiertagsregeln!$A$7:$A$480,0))</f>
        <v>Ascension</v>
      </c>
      <c r="G485" s="21" t="str">
        <f>IF(INDEX(Feiertagsregeln!$F$7:$F$480,MATCH($K485,Feiertagsregeln!$A$7:$A$480,0))="","Noch zu erfassen",INDEX(Feiertagsregeln!$F$7:$F$480,MATCH($K485,Feiertagsregeln!$A$7:$A$480,0)))</f>
        <v>Ascensione</v>
      </c>
      <c r="H485" s="21" t="str">
        <f>IF(INDEX(Feiertagsregeln!$G$7:$G$480,MATCH($K485,Feiertagsregeln!$A$7:$A$480,0))="","Noch zu erfassen",INDEX(Feiertagsregeln!$G$7:$G$480,MATCH($K485,Feiertagsregeln!$A$7:$A$480,0)))</f>
        <v>Ascensiun</v>
      </c>
      <c r="I485" s="10" t="str">
        <f>INDEX(Feiertagsregeln!$H$7:$H$480,MATCH($K485,Feiertagsregeln!$A$7:$A$480,0))</f>
        <v>labourLawHoliday</v>
      </c>
      <c r="J485" s="10" t="s">
        <v>69</v>
      </c>
      <c r="K485" s="10" t="s">
        <v>603</v>
      </c>
      <c r="L485" s="10" t="str">
        <f>INDEX(Feiertagsregeln!$Y$7:$Y$480,MATCH($K485,Feiertagsregeln!$A$7:$A$480,0))</f>
        <v>SRC-JU-LJF-5551-20230101</v>
      </c>
      <c r="M485" s="10" t="str">
        <f>INDEX(Feiertagsregeln!$Z$7:$Z$480,MATCH($K485,Feiertagsregeln!$A$7:$A$480,0))</f>
        <v>Art. 4</v>
      </c>
      <c r="N485" s="10" t="s">
        <v>193</v>
      </c>
      <c r="O485" s="10" t="str">
        <f>INDEX(Feiertagsregeln!$AA$7:$AA$480,MATCH($K485,Feiertagsregeln!$A$7:$A$480,0))</f>
        <v>Ganztägig</v>
      </c>
    </row>
    <row r="486" spans="1:15" ht="44" customHeight="1">
      <c r="A486" s="15">
        <f>INDEX(Feiertagsregeln!$X$7:$X$480,MATCH($K486,Feiertagsregeln!$A$7:$A$480,0))</f>
        <v>46909</v>
      </c>
      <c r="B486" s="11" t="str">
        <f t="shared" si="7"/>
        <v>Montag</v>
      </c>
      <c r="C486" s="11" t="s">
        <v>581</v>
      </c>
      <c r="D486" s="11" t="s">
        <v>598</v>
      </c>
      <c r="E486" s="11" t="str">
        <f>INDEX(Feiertagsregeln!$D$7:$D$480,MATCH($K486,Feiertagsregeln!$A$7:$A$480,0))</f>
        <v>Pfingstmontag</v>
      </c>
      <c r="F486" s="11" t="str">
        <f>INDEX(Feiertagsregeln!$E$7:$E$480,MATCH($K486,Feiertagsregeln!$A$7:$A$480,0))</f>
        <v>Lundi de Pentecôte</v>
      </c>
      <c r="G486" s="22" t="str">
        <f>IF(INDEX(Feiertagsregeln!$F$7:$F$480,MATCH($K486,Feiertagsregeln!$A$7:$A$480,0))="","Noch zu erfassen",INDEX(Feiertagsregeln!$F$7:$F$480,MATCH($K486,Feiertagsregeln!$A$7:$A$480,0)))</f>
        <v>Lunedì di Pentecoste</v>
      </c>
      <c r="H486" s="22" t="str">
        <f>IF(INDEX(Feiertagsregeln!$G$7:$G$480,MATCH($K486,Feiertagsregeln!$A$7:$A$480,0))="","Noch zu erfassen",INDEX(Feiertagsregeln!$G$7:$G$480,MATCH($K486,Feiertagsregeln!$A$7:$A$480,0)))</f>
        <v>Glindesdi da Tschuncaisma</v>
      </c>
      <c r="I486" s="11" t="str">
        <f>INDEX(Feiertagsregeln!$H$7:$H$480,MATCH($K486,Feiertagsregeln!$A$7:$A$480,0))</f>
        <v>labourLawHoliday</v>
      </c>
      <c r="J486" s="11" t="s">
        <v>69</v>
      </c>
      <c r="K486" s="11" t="s">
        <v>604</v>
      </c>
      <c r="L486" s="11" t="str">
        <f>INDEX(Feiertagsregeln!$Y$7:$Y$480,MATCH($K486,Feiertagsregeln!$A$7:$A$480,0))</f>
        <v>SRC-JU-LJF-5551-20230101</v>
      </c>
      <c r="M486" s="11" t="str">
        <f>INDEX(Feiertagsregeln!$Z$7:$Z$480,MATCH($K486,Feiertagsregeln!$A$7:$A$480,0))</f>
        <v>Art. 4</v>
      </c>
      <c r="N486" s="11" t="s">
        <v>193</v>
      </c>
      <c r="O486" s="11" t="str">
        <f>INDEX(Feiertagsregeln!$AA$7:$AA$480,MATCH($K486,Feiertagsregeln!$A$7:$A$480,0))</f>
        <v>Ganztägig</v>
      </c>
    </row>
    <row r="487" spans="1:15" ht="44" customHeight="1">
      <c r="A487" s="14">
        <f>INDEX(Feiertagsregeln!$X$7:$X$480,MATCH($K487,Feiertagsregeln!$A$7:$A$480,0))</f>
        <v>46919</v>
      </c>
      <c r="B487" s="10" t="str">
        <f t="shared" si="7"/>
        <v>Donnerstag</v>
      </c>
      <c r="C487" s="10" t="s">
        <v>581</v>
      </c>
      <c r="D487" s="10" t="s">
        <v>598</v>
      </c>
      <c r="E487" s="10" t="str">
        <f>INDEX(Feiertagsregeln!$D$7:$D$480,MATCH($K487,Feiertagsregeln!$A$7:$A$480,0))</f>
        <v>Fronleichnam</v>
      </c>
      <c r="F487" s="10" t="str">
        <f>INDEX(Feiertagsregeln!$E$7:$E$480,MATCH($K487,Feiertagsregeln!$A$7:$A$480,0))</f>
        <v>Fête-Dieu</v>
      </c>
      <c r="G487" s="21" t="str">
        <f>IF(INDEX(Feiertagsregeln!$F$7:$F$480,MATCH($K487,Feiertagsregeln!$A$7:$A$480,0))="","Noch zu erfassen",INDEX(Feiertagsregeln!$F$7:$F$480,MATCH($K487,Feiertagsregeln!$A$7:$A$480,0)))</f>
        <v>Corpus Domini</v>
      </c>
      <c r="H487" s="21" t="str">
        <f>IF(INDEX(Feiertagsregeln!$G$7:$G$480,MATCH($K487,Feiertagsregeln!$A$7:$A$480,0))="","Noch zu erfassen",INDEX(Feiertagsregeln!$G$7:$G$480,MATCH($K487,Feiertagsregeln!$A$7:$A$480,0)))</f>
        <v>Sontgilcrest</v>
      </c>
      <c r="I487" s="10" t="str">
        <f>INDEX(Feiertagsregeln!$H$7:$H$480,MATCH($K487,Feiertagsregeln!$A$7:$A$480,0))</f>
        <v>labourLawHoliday</v>
      </c>
      <c r="J487" s="10" t="s">
        <v>69</v>
      </c>
      <c r="K487" s="10" t="s">
        <v>605</v>
      </c>
      <c r="L487" s="10" t="str">
        <f>INDEX(Feiertagsregeln!$Y$7:$Y$480,MATCH($K487,Feiertagsregeln!$A$7:$A$480,0))</f>
        <v>SRC-JU-LJF-5551-20230101</v>
      </c>
      <c r="M487" s="10" t="str">
        <f>INDEX(Feiertagsregeln!$Z$7:$Z$480,MATCH($K487,Feiertagsregeln!$A$7:$A$480,0))</f>
        <v>Art. 4</v>
      </c>
      <c r="N487" s="10" t="s">
        <v>193</v>
      </c>
      <c r="O487" s="10" t="str">
        <f>INDEX(Feiertagsregeln!$AA$7:$AA$480,MATCH($K487,Feiertagsregeln!$A$7:$A$480,0))</f>
        <v>Ganztägig</v>
      </c>
    </row>
    <row r="488" spans="1:15" ht="44" customHeight="1">
      <c r="A488" s="15">
        <f>INDEX(Feiertagsregeln!$X$7:$X$480,MATCH($K488,Feiertagsregeln!$A$7:$A$480,0))</f>
        <v>46966</v>
      </c>
      <c r="B488" s="11" t="str">
        <f t="shared" si="7"/>
        <v>Dienstag</v>
      </c>
      <c r="C488" s="11" t="s">
        <v>581</v>
      </c>
      <c r="D488" s="11" t="s">
        <v>598</v>
      </c>
      <c r="E488" s="11" t="str">
        <f>INDEX(Feiertagsregeln!$D$7:$D$480,MATCH($K488,Feiertagsregeln!$A$7:$A$480,0))</f>
        <v>Bundesfeiertag</v>
      </c>
      <c r="F488" s="11" t="str">
        <f>INDEX(Feiertagsregeln!$E$7:$E$480,MATCH($K488,Feiertagsregeln!$A$7:$A$480,0))</f>
        <v>Fête nationale</v>
      </c>
      <c r="G488" s="22" t="str">
        <f>IF(INDEX(Feiertagsregeln!$F$7:$F$480,MATCH($K488,Feiertagsregeln!$A$7:$A$480,0))="","Noch zu erfassen",INDEX(Feiertagsregeln!$F$7:$F$480,MATCH($K488,Feiertagsregeln!$A$7:$A$480,0)))</f>
        <v>Primo agosto</v>
      </c>
      <c r="H488" s="22" t="str">
        <f>IF(INDEX(Feiertagsregeln!$G$7:$G$480,MATCH($K488,Feiertagsregeln!$A$7:$A$480,0))="","Noch zu erfassen",INDEX(Feiertagsregeln!$G$7:$G$480,MATCH($K488,Feiertagsregeln!$A$7:$A$480,0)))</f>
        <v>Festa naziunala svizra</v>
      </c>
      <c r="I488" s="11" t="str">
        <f>INDEX(Feiertagsregeln!$H$7:$H$480,MATCH($K488,Feiertagsregeln!$A$7:$A$480,0))</f>
        <v>publicHoliday</v>
      </c>
      <c r="J488" s="11" t="s">
        <v>69</v>
      </c>
      <c r="K488" s="11" t="s">
        <v>606</v>
      </c>
      <c r="L488" s="11" t="str">
        <f>INDEX(Feiertagsregeln!$Y$7:$Y$480,MATCH($K488,Feiertagsregeln!$A$7:$A$480,0))</f>
        <v>SRC-BUNDESFEIERTAG-19940701</v>
      </c>
      <c r="M488" s="11" t="str">
        <f>INDEX(Feiertagsregeln!$Z$7:$Z$480,MATCH($K488,Feiertagsregeln!$A$7:$A$480,0))</f>
        <v>SR 116 Art. 1, neue Anwendung auf JU-LJF-LABOUR. Kantonaler Bezug Art. 4</v>
      </c>
      <c r="N488" s="11" t="s">
        <v>193</v>
      </c>
      <c r="O488" s="11" t="str">
        <f>INDEX(Feiertagsregeln!$AA$7:$AA$480,MATCH($K488,Feiertagsregeln!$A$7:$A$480,0))</f>
        <v>Ganztägig</v>
      </c>
    </row>
    <row r="489" spans="1:15" ht="44" customHeight="1">
      <c r="A489" s="14">
        <f>INDEX(Feiertagsregeln!$X$7:$X$480,MATCH($K489,Feiertagsregeln!$A$7:$A$480,0))</f>
        <v>47112</v>
      </c>
      <c r="B489" s="10" t="str">
        <f t="shared" si="7"/>
        <v>Montag</v>
      </c>
      <c r="C489" s="10" t="s">
        <v>581</v>
      </c>
      <c r="D489" s="10" t="s">
        <v>598</v>
      </c>
      <c r="E489" s="10" t="str">
        <f>INDEX(Feiertagsregeln!$D$7:$D$480,MATCH($K489,Feiertagsregeln!$A$7:$A$480,0))</f>
        <v>Weihnachten</v>
      </c>
      <c r="F489" s="10" t="str">
        <f>INDEX(Feiertagsregeln!$E$7:$E$480,MATCH($K489,Feiertagsregeln!$A$7:$A$480,0))</f>
        <v>Noël</v>
      </c>
      <c r="G489" s="21" t="str">
        <f>IF(INDEX(Feiertagsregeln!$F$7:$F$480,MATCH($K489,Feiertagsregeln!$A$7:$A$480,0))="","Noch zu erfassen",INDEX(Feiertagsregeln!$F$7:$F$480,MATCH($K489,Feiertagsregeln!$A$7:$A$480,0)))</f>
        <v>Natale</v>
      </c>
      <c r="H489" s="21" t="str">
        <f>IF(INDEX(Feiertagsregeln!$G$7:$G$480,MATCH($K489,Feiertagsregeln!$A$7:$A$480,0))="","Noch zu erfassen",INDEX(Feiertagsregeln!$G$7:$G$480,MATCH($K489,Feiertagsregeln!$A$7:$A$480,0)))</f>
        <v>Di da Nadal</v>
      </c>
      <c r="I489" s="10" t="str">
        <f>INDEX(Feiertagsregeln!$H$7:$H$480,MATCH($K489,Feiertagsregeln!$A$7:$A$480,0))</f>
        <v>labourLawHoliday</v>
      </c>
      <c r="J489" s="10" t="s">
        <v>69</v>
      </c>
      <c r="K489" s="10" t="s">
        <v>607</v>
      </c>
      <c r="L489" s="10" t="str">
        <f>INDEX(Feiertagsregeln!$Y$7:$Y$480,MATCH($K489,Feiertagsregeln!$A$7:$A$480,0))</f>
        <v>SRC-JU-LJF-5551-20230101</v>
      </c>
      <c r="M489" s="10" t="str">
        <f>INDEX(Feiertagsregeln!$Z$7:$Z$480,MATCH($K489,Feiertagsregeln!$A$7:$A$480,0))</f>
        <v>Art. 4</v>
      </c>
      <c r="N489" s="10" t="s">
        <v>193</v>
      </c>
      <c r="O489" s="10" t="str">
        <f>INDEX(Feiertagsregeln!$AA$7:$AA$480,MATCH($K489,Feiertagsregeln!$A$7:$A$480,0))</f>
        <v>Ganztägig</v>
      </c>
    </row>
  </sheetData>
  <sheetProtection sheet="1" objects="1" scenarios="1" sort="0" autoFilter="0"/>
  <conditionalFormatting sqref="J7:J489">
    <cfRule type="containsText" dxfId="25" priority="1" operator="containsText" text="open"/>
    <cfRule type="containsText" dxfId="24" priority="2" operator="containsText" text="blocked"/>
  </conditionalFormatting>
  <dataValidations count="1">
    <dataValidation type="list" sqref="J7:J489" xr:uid="{00000000-0002-0000-0100-000000000000}">
      <formula1>"approved,open,blocked"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3"/>
  <sheetViews>
    <sheetView showGridLines="0" workbookViewId="0">
      <pane xSplit="1" ySplit="6" topLeftCell="B7" activePane="bottomRight" state="frozen"/>
      <selection pane="topRight"/>
      <selection pane="bottomLeft"/>
      <selection pane="bottomRight" activeCell="B7" sqref="B7"/>
    </sheetView>
  </sheetViews>
  <sheetFormatPr baseColWidth="10" defaultColWidth="8.83203125" defaultRowHeight="14"/>
  <cols>
    <col min="1" max="1" width="15" customWidth="1"/>
    <col min="2" max="2" width="28" customWidth="1"/>
    <col min="3" max="3" width="31" customWidth="1"/>
    <col min="4" max="5" width="32" customWidth="1"/>
    <col min="6" max="6" width="15" customWidth="1"/>
    <col min="7" max="7" width="30" customWidth="1"/>
    <col min="8" max="8" width="16" customWidth="1"/>
    <col min="9" max="9" width="64" customWidth="1"/>
  </cols>
  <sheetData>
    <row r="1" spans="1:9" ht="24" customHeight="1">
      <c r="A1" s="2"/>
      <c r="B1" s="2"/>
      <c r="C1" s="2"/>
      <c r="F1" s="2"/>
      <c r="G1" s="2"/>
      <c r="H1" s="2"/>
      <c r="I1" s="2"/>
    </row>
    <row r="2" spans="1:9" ht="24" customHeight="1">
      <c r="A2" s="3" t="s">
        <v>608</v>
      </c>
      <c r="B2" s="2"/>
      <c r="C2" s="2"/>
      <c r="F2" s="2"/>
      <c r="G2" s="2"/>
      <c r="H2" s="2"/>
      <c r="I2" s="2"/>
    </row>
    <row r="3" spans="1:9" ht="24" customHeight="1">
      <c r="A3" s="4"/>
      <c r="B3" s="4"/>
      <c r="C3" s="4"/>
      <c r="F3" s="4"/>
      <c r="G3" s="4"/>
      <c r="H3" s="4"/>
      <c r="I3" s="4"/>
    </row>
    <row r="4" spans="1:9" ht="24" customHeight="1">
      <c r="A4" s="8" t="s">
        <v>609</v>
      </c>
      <c r="B4" s="2"/>
      <c r="C4" s="2"/>
      <c r="F4" s="2"/>
      <c r="G4" s="2"/>
      <c r="H4" s="2"/>
      <c r="I4" s="2"/>
    </row>
    <row r="5" spans="1:9" ht="24" customHeight="1">
      <c r="A5" s="2"/>
      <c r="B5" s="2"/>
      <c r="C5" s="2"/>
      <c r="F5" s="2"/>
      <c r="G5" s="2"/>
      <c r="H5" s="2"/>
      <c r="I5" s="2"/>
    </row>
    <row r="6" spans="1:9" ht="42" customHeight="1">
      <c r="A6" s="9" t="s">
        <v>610</v>
      </c>
      <c r="B6" s="9" t="s">
        <v>611</v>
      </c>
      <c r="C6" s="9" t="s">
        <v>39</v>
      </c>
      <c r="D6" s="20" t="s">
        <v>40</v>
      </c>
      <c r="E6" s="20" t="s">
        <v>41</v>
      </c>
      <c r="F6" s="9" t="s">
        <v>612</v>
      </c>
      <c r="G6" s="9" t="s">
        <v>613</v>
      </c>
      <c r="H6" s="9" t="s">
        <v>43</v>
      </c>
      <c r="I6" s="9" t="s">
        <v>614</v>
      </c>
    </row>
    <row r="7" spans="1:9" ht="38" customHeight="1">
      <c r="A7" s="10" t="s">
        <v>49</v>
      </c>
      <c r="B7" s="24" t="s">
        <v>615</v>
      </c>
      <c r="C7" s="24" t="s">
        <v>616</v>
      </c>
      <c r="D7" s="25"/>
      <c r="E7" s="25"/>
      <c r="F7" s="24"/>
      <c r="G7" s="24" t="s">
        <v>617</v>
      </c>
      <c r="H7" s="24" t="s">
        <v>618</v>
      </c>
      <c r="I7" s="24" t="s">
        <v>619</v>
      </c>
    </row>
    <row r="8" spans="1:9" ht="38" customHeight="1">
      <c r="A8" s="11" t="s">
        <v>280</v>
      </c>
      <c r="B8" s="26" t="s">
        <v>620</v>
      </c>
      <c r="C8" s="26" t="s">
        <v>621</v>
      </c>
      <c r="D8" s="27" t="s">
        <v>622</v>
      </c>
      <c r="E8" s="27" t="s">
        <v>623</v>
      </c>
      <c r="F8" s="26" t="s">
        <v>49</v>
      </c>
      <c r="G8" s="26" t="s">
        <v>624</v>
      </c>
      <c r="H8" s="26" t="s">
        <v>69</v>
      </c>
      <c r="I8" s="26" t="s">
        <v>625</v>
      </c>
    </row>
    <row r="9" spans="1:9" ht="38" customHeight="1">
      <c r="A9" s="10" t="s">
        <v>53</v>
      </c>
      <c r="B9" s="24" t="s">
        <v>626</v>
      </c>
      <c r="C9" s="24" t="s">
        <v>627</v>
      </c>
      <c r="D9" s="25"/>
      <c r="E9" s="25"/>
      <c r="F9" s="24" t="s">
        <v>49</v>
      </c>
      <c r="G9" s="24" t="s">
        <v>617</v>
      </c>
      <c r="H9" s="24" t="s">
        <v>618</v>
      </c>
      <c r="I9" s="24" t="s">
        <v>628</v>
      </c>
    </row>
    <row r="10" spans="1:9" ht="38" customHeight="1">
      <c r="A10" s="11" t="s">
        <v>379</v>
      </c>
      <c r="B10" s="26" t="s">
        <v>629</v>
      </c>
      <c r="C10" s="26" t="s">
        <v>630</v>
      </c>
      <c r="D10" s="27" t="s">
        <v>631</v>
      </c>
      <c r="E10" s="27" t="s">
        <v>631</v>
      </c>
      <c r="F10" s="26" t="s">
        <v>49</v>
      </c>
      <c r="G10" s="26" t="s">
        <v>624</v>
      </c>
      <c r="H10" s="26" t="s">
        <v>69</v>
      </c>
      <c r="I10" s="26" t="s">
        <v>632</v>
      </c>
    </row>
    <row r="11" spans="1:9" ht="38" customHeight="1">
      <c r="A11" s="10" t="s">
        <v>412</v>
      </c>
      <c r="B11" s="24" t="s">
        <v>633</v>
      </c>
      <c r="C11" s="24" t="s">
        <v>633</v>
      </c>
      <c r="D11" s="25" t="s">
        <v>633</v>
      </c>
      <c r="E11" s="25" t="s">
        <v>633</v>
      </c>
      <c r="F11" s="24" t="s">
        <v>49</v>
      </c>
      <c r="G11" s="24" t="s">
        <v>624</v>
      </c>
      <c r="H11" s="24" t="s">
        <v>69</v>
      </c>
      <c r="I11" s="24" t="s">
        <v>634</v>
      </c>
    </row>
    <row r="12" spans="1:9" ht="38" customHeight="1">
      <c r="A12" s="11" t="s">
        <v>428</v>
      </c>
      <c r="B12" s="26" t="s">
        <v>635</v>
      </c>
      <c r="C12" s="26" t="s">
        <v>636</v>
      </c>
      <c r="D12" s="27" t="s">
        <v>637</v>
      </c>
      <c r="E12" s="27" t="s">
        <v>638</v>
      </c>
      <c r="F12" s="26" t="s">
        <v>49</v>
      </c>
      <c r="G12" s="26" t="s">
        <v>624</v>
      </c>
      <c r="H12" s="26" t="s">
        <v>69</v>
      </c>
      <c r="I12" s="26" t="s">
        <v>639</v>
      </c>
    </row>
    <row r="13" spans="1:9" ht="38" customHeight="1">
      <c r="A13" s="10" t="s">
        <v>447</v>
      </c>
      <c r="B13" s="24" t="s">
        <v>640</v>
      </c>
      <c r="C13" s="24" t="s">
        <v>641</v>
      </c>
      <c r="D13" s="25" t="s">
        <v>642</v>
      </c>
      <c r="E13" s="25" t="s">
        <v>643</v>
      </c>
      <c r="F13" s="24" t="s">
        <v>49</v>
      </c>
      <c r="G13" s="24" t="s">
        <v>624</v>
      </c>
      <c r="H13" s="24" t="s">
        <v>69</v>
      </c>
      <c r="I13" s="24" t="s">
        <v>644</v>
      </c>
    </row>
    <row r="14" spans="1:9" ht="38" customHeight="1">
      <c r="A14" s="11" t="s">
        <v>462</v>
      </c>
      <c r="B14" s="26" t="s">
        <v>645</v>
      </c>
      <c r="C14" s="26" t="s">
        <v>646</v>
      </c>
      <c r="D14" s="27" t="s">
        <v>647</v>
      </c>
      <c r="E14" s="27" t="s">
        <v>648</v>
      </c>
      <c r="F14" s="26" t="s">
        <v>49</v>
      </c>
      <c r="G14" s="26" t="s">
        <v>624</v>
      </c>
      <c r="H14" s="26" t="s">
        <v>69</v>
      </c>
      <c r="I14" s="26" t="s">
        <v>649</v>
      </c>
    </row>
    <row r="15" spans="1:9" ht="38" customHeight="1">
      <c r="A15" s="10" t="s">
        <v>508</v>
      </c>
      <c r="B15" s="24" t="s">
        <v>650</v>
      </c>
      <c r="C15" s="24" t="s">
        <v>651</v>
      </c>
      <c r="D15" s="25" t="s">
        <v>652</v>
      </c>
      <c r="E15" s="25" t="s">
        <v>653</v>
      </c>
      <c r="F15" s="24" t="s">
        <v>49</v>
      </c>
      <c r="G15" s="24" t="s">
        <v>654</v>
      </c>
      <c r="H15" s="24" t="s">
        <v>69</v>
      </c>
      <c r="I15" s="24" t="s">
        <v>655</v>
      </c>
    </row>
    <row r="16" spans="1:9" ht="38" customHeight="1">
      <c r="A16" s="11" t="s">
        <v>477</v>
      </c>
      <c r="B16" s="26" t="s">
        <v>656</v>
      </c>
      <c r="C16" s="26" t="s">
        <v>657</v>
      </c>
      <c r="D16" s="27" t="s">
        <v>658</v>
      </c>
      <c r="E16" s="27" t="s">
        <v>656</v>
      </c>
      <c r="F16" s="26" t="s">
        <v>49</v>
      </c>
      <c r="G16" s="26" t="s">
        <v>624</v>
      </c>
      <c r="H16" s="26" t="s">
        <v>69</v>
      </c>
      <c r="I16" s="26" t="s">
        <v>659</v>
      </c>
    </row>
    <row r="17" spans="1:9" ht="38" customHeight="1">
      <c r="A17" s="10" t="s">
        <v>207</v>
      </c>
      <c r="B17" s="24" t="s">
        <v>660</v>
      </c>
      <c r="C17" s="24" t="s">
        <v>661</v>
      </c>
      <c r="D17" s="25" t="s">
        <v>662</v>
      </c>
      <c r="E17" s="25" t="s">
        <v>663</v>
      </c>
      <c r="F17" s="24" t="s">
        <v>49</v>
      </c>
      <c r="G17" s="24" t="s">
        <v>664</v>
      </c>
      <c r="H17" s="24" t="s">
        <v>69</v>
      </c>
      <c r="I17" s="24" t="s">
        <v>665</v>
      </c>
    </row>
    <row r="18" spans="1:9" ht="38" customHeight="1">
      <c r="A18" s="11" t="s">
        <v>244</v>
      </c>
      <c r="B18" s="26" t="s">
        <v>666</v>
      </c>
      <c r="C18" s="26" t="s">
        <v>667</v>
      </c>
      <c r="D18" s="27" t="s">
        <v>668</v>
      </c>
      <c r="E18" s="27" t="s">
        <v>669</v>
      </c>
      <c r="F18" s="26" t="s">
        <v>49</v>
      </c>
      <c r="G18" s="26" t="s">
        <v>664</v>
      </c>
      <c r="H18" s="26" t="s">
        <v>69</v>
      </c>
      <c r="I18" s="26" t="s">
        <v>670</v>
      </c>
    </row>
    <row r="19" spans="1:9" ht="38" customHeight="1">
      <c r="A19" s="10" t="s">
        <v>522</v>
      </c>
      <c r="B19" s="24" t="s">
        <v>671</v>
      </c>
      <c r="C19" s="24" t="s">
        <v>672</v>
      </c>
      <c r="D19" s="25" t="s">
        <v>673</v>
      </c>
      <c r="E19" s="25" t="s">
        <v>674</v>
      </c>
      <c r="F19" s="24" t="s">
        <v>49</v>
      </c>
      <c r="G19" s="24" t="s">
        <v>624</v>
      </c>
      <c r="H19" s="24" t="s">
        <v>69</v>
      </c>
      <c r="I19" s="24" t="s">
        <v>675</v>
      </c>
    </row>
    <row r="20" spans="1:9" ht="38" customHeight="1">
      <c r="A20" s="11" t="s">
        <v>536</v>
      </c>
      <c r="B20" s="26" t="s">
        <v>676</v>
      </c>
      <c r="C20" s="26" t="s">
        <v>677</v>
      </c>
      <c r="D20" s="27" t="s">
        <v>678</v>
      </c>
      <c r="E20" s="27" t="s">
        <v>679</v>
      </c>
      <c r="F20" s="26" t="s">
        <v>49</v>
      </c>
      <c r="G20" s="26" t="s">
        <v>624</v>
      </c>
      <c r="H20" s="26" t="s">
        <v>69</v>
      </c>
      <c r="I20" s="26" t="s">
        <v>680</v>
      </c>
    </row>
    <row r="21" spans="1:9" ht="38" customHeight="1">
      <c r="A21" s="10" t="s">
        <v>305</v>
      </c>
      <c r="B21" s="24" t="s">
        <v>681</v>
      </c>
      <c r="C21" s="24" t="s">
        <v>682</v>
      </c>
      <c r="D21" s="25" t="s">
        <v>683</v>
      </c>
      <c r="E21" s="25" t="s">
        <v>684</v>
      </c>
      <c r="F21" s="24" t="s">
        <v>49</v>
      </c>
      <c r="G21" s="24" t="s">
        <v>624</v>
      </c>
      <c r="H21" s="24" t="s">
        <v>69</v>
      </c>
      <c r="I21" s="24" t="s">
        <v>685</v>
      </c>
    </row>
    <row r="22" spans="1:9" ht="38" customHeight="1">
      <c r="A22" s="11" t="s">
        <v>352</v>
      </c>
      <c r="B22" s="26" t="s">
        <v>686</v>
      </c>
      <c r="C22" s="26" t="s">
        <v>687</v>
      </c>
      <c r="D22" s="27" t="s">
        <v>688</v>
      </c>
      <c r="E22" s="27" t="s">
        <v>689</v>
      </c>
      <c r="F22" s="26" t="s">
        <v>49</v>
      </c>
      <c r="G22" s="26" t="s">
        <v>654</v>
      </c>
      <c r="H22" s="26" t="s">
        <v>69</v>
      </c>
      <c r="I22" s="26" t="s">
        <v>690</v>
      </c>
    </row>
    <row r="23" spans="1:9" ht="38" customHeight="1">
      <c r="A23" s="10" t="s">
        <v>361</v>
      </c>
      <c r="B23" s="24" t="s">
        <v>691</v>
      </c>
      <c r="C23" s="24" t="s">
        <v>692</v>
      </c>
      <c r="D23" s="25" t="s">
        <v>693</v>
      </c>
      <c r="E23" s="25" t="s">
        <v>694</v>
      </c>
      <c r="F23" s="24" t="s">
        <v>49</v>
      </c>
      <c r="G23" s="24" t="s">
        <v>654</v>
      </c>
      <c r="H23" s="24" t="s">
        <v>69</v>
      </c>
      <c r="I23" s="24" t="s">
        <v>695</v>
      </c>
    </row>
    <row r="24" spans="1:9" ht="38" customHeight="1">
      <c r="A24" s="11" t="s">
        <v>336</v>
      </c>
      <c r="B24" s="26" t="s">
        <v>696</v>
      </c>
      <c r="C24" s="26" t="s">
        <v>697</v>
      </c>
      <c r="D24" s="27" t="s">
        <v>698</v>
      </c>
      <c r="E24" s="27" t="s">
        <v>699</v>
      </c>
      <c r="F24" s="26" t="s">
        <v>49</v>
      </c>
      <c r="G24" s="26" t="s">
        <v>624</v>
      </c>
      <c r="H24" s="26" t="s">
        <v>69</v>
      </c>
      <c r="I24" s="26" t="s">
        <v>700</v>
      </c>
    </row>
    <row r="25" spans="1:9" ht="38" customHeight="1">
      <c r="A25" s="10" t="s">
        <v>176</v>
      </c>
      <c r="B25" s="24" t="s">
        <v>701</v>
      </c>
      <c r="C25" s="24" t="s">
        <v>702</v>
      </c>
      <c r="D25" s="25" t="s">
        <v>703</v>
      </c>
      <c r="E25" s="25" t="s">
        <v>704</v>
      </c>
      <c r="F25" s="24" t="s">
        <v>49</v>
      </c>
      <c r="G25" s="24" t="s">
        <v>705</v>
      </c>
      <c r="H25" s="24" t="s">
        <v>69</v>
      </c>
      <c r="I25" s="24" t="s">
        <v>706</v>
      </c>
    </row>
    <row r="26" spans="1:9" ht="38" customHeight="1">
      <c r="A26" s="11" t="s">
        <v>67</v>
      </c>
      <c r="B26" s="26" t="s">
        <v>707</v>
      </c>
      <c r="C26" s="26" t="s">
        <v>708</v>
      </c>
      <c r="D26" s="27"/>
      <c r="E26" s="27"/>
      <c r="F26" s="26" t="s">
        <v>49</v>
      </c>
      <c r="G26" s="26" t="s">
        <v>709</v>
      </c>
      <c r="H26" s="26" t="s">
        <v>69</v>
      </c>
      <c r="I26" s="26" t="s">
        <v>710</v>
      </c>
    </row>
    <row r="27" spans="1:9" ht="38" customHeight="1">
      <c r="A27" s="10" t="s">
        <v>321</v>
      </c>
      <c r="B27" s="24" t="s">
        <v>711</v>
      </c>
      <c r="C27" s="24" t="s">
        <v>712</v>
      </c>
      <c r="D27" s="25" t="s">
        <v>713</v>
      </c>
      <c r="E27" s="25" t="s">
        <v>713</v>
      </c>
      <c r="F27" s="24" t="s">
        <v>49</v>
      </c>
      <c r="G27" s="24" t="s">
        <v>624</v>
      </c>
      <c r="H27" s="24" t="s">
        <v>69</v>
      </c>
      <c r="I27" s="24" t="s">
        <v>714</v>
      </c>
    </row>
    <row r="28" spans="1:9" ht="38" customHeight="1">
      <c r="A28" s="11" t="s">
        <v>157</v>
      </c>
      <c r="B28" s="26" t="s">
        <v>715</v>
      </c>
      <c r="C28" s="26" t="s">
        <v>715</v>
      </c>
      <c r="D28" s="27" t="s">
        <v>716</v>
      </c>
      <c r="E28" s="27" t="s">
        <v>715</v>
      </c>
      <c r="F28" s="26" t="s">
        <v>49</v>
      </c>
      <c r="G28" s="26" t="s">
        <v>705</v>
      </c>
      <c r="H28" s="26" t="s">
        <v>69</v>
      </c>
      <c r="I28" s="26" t="s">
        <v>717</v>
      </c>
    </row>
    <row r="29" spans="1:9" ht="38" customHeight="1">
      <c r="A29" s="10" t="s">
        <v>550</v>
      </c>
      <c r="B29" s="24" t="s">
        <v>718</v>
      </c>
      <c r="C29" s="24" t="s">
        <v>719</v>
      </c>
      <c r="D29" s="25" t="s">
        <v>719</v>
      </c>
      <c r="E29" s="25" t="s">
        <v>720</v>
      </c>
      <c r="F29" s="24" t="s">
        <v>49</v>
      </c>
      <c r="G29" s="24" t="s">
        <v>624</v>
      </c>
      <c r="H29" s="24" t="s">
        <v>69</v>
      </c>
      <c r="I29" s="24" t="s">
        <v>721</v>
      </c>
    </row>
    <row r="30" spans="1:9" ht="38" customHeight="1">
      <c r="A30" s="11" t="s">
        <v>190</v>
      </c>
      <c r="B30" s="26" t="s">
        <v>722</v>
      </c>
      <c r="C30" s="26" t="s">
        <v>723</v>
      </c>
      <c r="D30" s="27" t="s">
        <v>724</v>
      </c>
      <c r="E30" s="27" t="s">
        <v>725</v>
      </c>
      <c r="F30" s="26" t="s">
        <v>49</v>
      </c>
      <c r="G30" s="26" t="s">
        <v>664</v>
      </c>
      <c r="H30" s="26" t="s">
        <v>69</v>
      </c>
      <c r="I30" s="26" t="s">
        <v>726</v>
      </c>
    </row>
    <row r="31" spans="1:9" ht="38" customHeight="1">
      <c r="A31" s="10" t="s">
        <v>561</v>
      </c>
      <c r="B31" s="24" t="s">
        <v>727</v>
      </c>
      <c r="C31" s="24" t="s">
        <v>728</v>
      </c>
      <c r="D31" s="25" t="s">
        <v>728</v>
      </c>
      <c r="E31" s="25" t="s">
        <v>728</v>
      </c>
      <c r="F31" s="24" t="s">
        <v>49</v>
      </c>
      <c r="G31" s="24" t="s">
        <v>654</v>
      </c>
      <c r="H31" s="24" t="s">
        <v>69</v>
      </c>
      <c r="I31" s="24" t="s">
        <v>729</v>
      </c>
    </row>
    <row r="32" spans="1:9" ht="38" customHeight="1">
      <c r="A32" s="11" t="s">
        <v>269</v>
      </c>
      <c r="B32" s="26" t="s">
        <v>730</v>
      </c>
      <c r="C32" s="26" t="s">
        <v>731</v>
      </c>
      <c r="D32" s="27" t="s">
        <v>732</v>
      </c>
      <c r="E32" s="27" t="s">
        <v>733</v>
      </c>
      <c r="F32" s="26" t="s">
        <v>49</v>
      </c>
      <c r="G32" s="26" t="s">
        <v>664</v>
      </c>
      <c r="H32" s="26" t="s">
        <v>69</v>
      </c>
      <c r="I32" s="26" t="s">
        <v>734</v>
      </c>
    </row>
    <row r="33" spans="1:9" ht="38" customHeight="1">
      <c r="A33" s="10" t="s">
        <v>581</v>
      </c>
      <c r="B33" s="24" t="s">
        <v>735</v>
      </c>
      <c r="C33" s="24" t="s">
        <v>735</v>
      </c>
      <c r="D33" s="25" t="s">
        <v>736</v>
      </c>
      <c r="E33" s="25" t="s">
        <v>736</v>
      </c>
      <c r="F33" s="24" t="s">
        <v>49</v>
      </c>
      <c r="G33" s="24" t="s">
        <v>624</v>
      </c>
      <c r="H33" s="24" t="s">
        <v>69</v>
      </c>
      <c r="I33" s="24" t="s">
        <v>737</v>
      </c>
    </row>
  </sheetData>
  <sheetProtection sheet="1" objects="1" scenarios="1" sort="0" autoFilter="0"/>
  <conditionalFormatting sqref="D7:D33">
    <cfRule type="containsBlanks" dxfId="23" priority="3"/>
  </conditionalFormatting>
  <conditionalFormatting sqref="E7:E33">
    <cfRule type="containsBlanks" dxfId="22" priority="4"/>
  </conditionalFormatting>
  <conditionalFormatting sqref="H7:H33">
    <cfRule type="containsText" dxfId="21" priority="1" operator="containsText" text="open"/>
    <cfRule type="containsText" dxfId="20" priority="2" operator="containsText" text="blocked"/>
  </conditionalFormatting>
  <dataValidations count="1">
    <dataValidation type="list" sqref="H7:H33" xr:uid="{00000000-0002-0000-0200-000000000000}">
      <formula1>"approved,open,blocked"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480"/>
  <sheetViews>
    <sheetView showGridLines="0" workbookViewId="0">
      <pane xSplit="1" ySplit="6" topLeftCell="B311" activePane="bottomRight" state="frozen"/>
      <selection pane="topRight"/>
      <selection pane="bottomLeft"/>
      <selection pane="bottomRight" activeCell="D313" sqref="D313"/>
    </sheetView>
  </sheetViews>
  <sheetFormatPr baseColWidth="10" defaultColWidth="8.83203125" defaultRowHeight="14"/>
  <cols>
    <col min="1" max="1" width="42" customWidth="1"/>
    <col min="2" max="2" width="16" customWidth="1"/>
    <col min="3" max="3" width="31" customWidth="1"/>
    <col min="4" max="4" width="35" customWidth="1"/>
    <col min="5" max="7" width="32" customWidth="1"/>
    <col min="8" max="9" width="27" customWidth="1"/>
    <col min="10" max="11" width="10" customWidth="1"/>
    <col min="12" max="12" width="13" customWidth="1"/>
    <col min="13" max="13" width="14" customWidth="1"/>
    <col min="14" max="14" width="13" customWidth="1"/>
    <col min="15" max="16" width="16" customWidth="1"/>
    <col min="17" max="17" width="12" customWidth="1"/>
    <col min="18" max="18" width="15" customWidth="1"/>
    <col min="19" max="19" width="41" customWidth="1"/>
    <col min="20" max="20" width="13" customWidth="1"/>
    <col min="21" max="22" width="24" customWidth="1"/>
    <col min="23" max="23" width="17" customWidth="1"/>
    <col min="24" max="24" width="24" customWidth="1"/>
    <col min="25" max="25" width="42" customWidth="1"/>
    <col min="26" max="26" width="32" customWidth="1"/>
    <col min="27" max="27" width="22" customWidth="1"/>
    <col min="28" max="28" width="3" customWidth="1"/>
    <col min="29" max="29" width="22" customWidth="1"/>
    <col min="30" max="30" width="18" customWidth="1"/>
  </cols>
  <sheetData>
    <row r="1" spans="1:30" ht="24" customHeight="1">
      <c r="A1" s="2"/>
      <c r="B1" s="2"/>
      <c r="C1" s="2"/>
      <c r="D1" s="2"/>
      <c r="E1" s="2"/>
      <c r="H1" s="2"/>
      <c r="I1" s="2"/>
      <c r="J1" s="2"/>
      <c r="K1" s="2"/>
      <c r="L1" s="2"/>
      <c r="M1" s="2"/>
      <c r="N1" s="2"/>
      <c r="O1" s="2"/>
      <c r="P1" s="2"/>
      <c r="Q1" s="2"/>
      <c r="R1" s="2"/>
      <c r="S1" s="2"/>
      <c r="T1" s="2"/>
      <c r="U1" s="2"/>
      <c r="V1" s="2"/>
      <c r="W1" s="2"/>
      <c r="X1" s="2"/>
      <c r="Y1" s="2"/>
      <c r="Z1" s="2"/>
    </row>
    <row r="2" spans="1:30" ht="24" customHeight="1">
      <c r="A2" s="3" t="s">
        <v>738</v>
      </c>
      <c r="B2" s="2"/>
      <c r="C2" s="2"/>
      <c r="D2" s="2"/>
      <c r="E2" s="2"/>
      <c r="H2" s="2"/>
      <c r="I2" s="2"/>
      <c r="J2" s="2"/>
      <c r="K2" s="2"/>
      <c r="L2" s="2"/>
      <c r="M2" s="2"/>
      <c r="N2" s="2"/>
      <c r="O2" s="2"/>
      <c r="P2" s="2"/>
      <c r="Q2" s="2"/>
      <c r="R2" s="2"/>
      <c r="S2" s="2"/>
      <c r="T2" s="2"/>
      <c r="U2" s="2"/>
      <c r="V2" s="2"/>
      <c r="W2" s="2"/>
      <c r="X2" s="2"/>
      <c r="Y2" s="2"/>
      <c r="Z2" s="2"/>
    </row>
    <row r="3" spans="1:30" ht="24" customHeight="1">
      <c r="A3" s="4"/>
      <c r="B3" s="4"/>
      <c r="C3" s="4"/>
      <c r="D3" s="4"/>
      <c r="E3" s="4"/>
      <c r="H3" s="4"/>
      <c r="I3" s="4"/>
      <c r="J3" s="4"/>
      <c r="K3" s="4"/>
      <c r="L3" s="4"/>
      <c r="M3" s="4"/>
      <c r="N3" s="4"/>
      <c r="O3" s="4"/>
      <c r="P3" s="4"/>
      <c r="Q3" s="4"/>
      <c r="R3" s="4"/>
      <c r="S3" s="4"/>
      <c r="T3" s="4"/>
      <c r="U3" s="4"/>
      <c r="V3" s="4"/>
      <c r="W3" s="4"/>
      <c r="X3" s="4"/>
      <c r="Y3" s="4"/>
      <c r="Z3" s="4"/>
    </row>
    <row r="4" spans="1:30" ht="24" customHeight="1">
      <c r="A4" s="8" t="s">
        <v>739</v>
      </c>
      <c r="B4" s="2"/>
      <c r="C4" s="2"/>
      <c r="D4" s="2"/>
      <c r="E4" s="2"/>
      <c r="H4" s="2"/>
      <c r="I4" s="2"/>
      <c r="J4" s="2"/>
      <c r="K4" s="2"/>
      <c r="L4" s="2"/>
      <c r="M4" s="2"/>
      <c r="N4" s="2"/>
      <c r="O4" s="2"/>
      <c r="P4" s="2"/>
      <c r="Q4" s="2"/>
      <c r="R4" s="2"/>
      <c r="S4" s="2"/>
      <c r="T4" s="2"/>
      <c r="U4" s="2"/>
      <c r="V4" s="2"/>
      <c r="W4" s="2"/>
      <c r="X4" s="2"/>
      <c r="Y4" s="2"/>
      <c r="Z4" s="2"/>
    </row>
    <row r="5" spans="1:30" ht="24" customHeight="1">
      <c r="A5" s="2"/>
      <c r="B5" s="2"/>
      <c r="C5" s="2"/>
      <c r="D5" s="2"/>
      <c r="E5" s="2"/>
      <c r="H5" s="2"/>
      <c r="I5" s="2"/>
      <c r="J5" s="2"/>
      <c r="K5" s="2"/>
      <c r="L5" s="2"/>
      <c r="M5" s="2"/>
      <c r="N5" s="2"/>
      <c r="O5" s="2"/>
      <c r="P5" s="2"/>
      <c r="Q5" s="2"/>
      <c r="R5" s="2"/>
      <c r="S5" s="2"/>
      <c r="T5" s="2"/>
      <c r="U5" s="2"/>
      <c r="V5" s="2"/>
      <c r="W5" s="2"/>
      <c r="X5" s="2"/>
      <c r="Y5" s="2"/>
      <c r="Z5" s="2"/>
    </row>
    <row r="6" spans="1:30" ht="42" customHeight="1">
      <c r="A6" s="9" t="s">
        <v>44</v>
      </c>
      <c r="B6" s="9" t="s">
        <v>19</v>
      </c>
      <c r="C6" s="9" t="s">
        <v>740</v>
      </c>
      <c r="D6" s="9" t="s">
        <v>611</v>
      </c>
      <c r="E6" s="9" t="s">
        <v>39</v>
      </c>
      <c r="F6" s="20" t="s">
        <v>40</v>
      </c>
      <c r="G6" s="20" t="s">
        <v>41</v>
      </c>
      <c r="H6" s="9" t="s">
        <v>42</v>
      </c>
      <c r="I6" s="9" t="s">
        <v>741</v>
      </c>
      <c r="J6" s="9" t="s">
        <v>742</v>
      </c>
      <c r="K6" s="9" t="s">
        <v>743</v>
      </c>
      <c r="L6" s="9" t="s">
        <v>744</v>
      </c>
      <c r="M6" s="9" t="s">
        <v>745</v>
      </c>
      <c r="N6" s="9" t="s">
        <v>746</v>
      </c>
      <c r="O6" s="9" t="s">
        <v>747</v>
      </c>
      <c r="P6" s="9" t="s">
        <v>748</v>
      </c>
      <c r="Q6" s="9" t="s">
        <v>749</v>
      </c>
      <c r="R6" s="9" t="s">
        <v>43</v>
      </c>
      <c r="S6" s="9" t="s">
        <v>750</v>
      </c>
      <c r="T6" s="9" t="s">
        <v>751</v>
      </c>
      <c r="U6" s="9" t="s">
        <v>752</v>
      </c>
      <c r="V6" s="9" t="s">
        <v>753</v>
      </c>
      <c r="W6" s="9" t="s">
        <v>754</v>
      </c>
      <c r="X6" s="9" t="s">
        <v>755</v>
      </c>
      <c r="Y6" s="9" t="s">
        <v>45</v>
      </c>
      <c r="Z6" s="9" t="s">
        <v>46</v>
      </c>
      <c r="AA6" s="9" t="s">
        <v>48</v>
      </c>
      <c r="AB6" s="16"/>
      <c r="AC6" s="16" t="s">
        <v>756</v>
      </c>
      <c r="AD6" s="16" t="s">
        <v>757</v>
      </c>
    </row>
    <row r="7" spans="1:30" ht="38" customHeight="1">
      <c r="A7" s="10" t="s">
        <v>51</v>
      </c>
      <c r="B7" s="10" t="s">
        <v>49</v>
      </c>
      <c r="C7" s="10" t="s">
        <v>758</v>
      </c>
      <c r="D7" s="10" t="s">
        <v>759</v>
      </c>
      <c r="E7" s="10" t="s">
        <v>760</v>
      </c>
      <c r="F7" s="25"/>
      <c r="G7" s="25"/>
      <c r="H7" s="10" t="s">
        <v>761</v>
      </c>
      <c r="I7" s="10" t="s">
        <v>762</v>
      </c>
      <c r="J7" s="12">
        <v>8</v>
      </c>
      <c r="K7" s="12">
        <v>1</v>
      </c>
      <c r="L7" s="10"/>
      <c r="M7" s="10"/>
      <c r="N7" s="10"/>
      <c r="O7" s="14">
        <v>34516</v>
      </c>
      <c r="P7" s="14"/>
      <c r="Q7" s="10">
        <v>100</v>
      </c>
      <c r="R7" s="10" t="s">
        <v>618</v>
      </c>
      <c r="S7" s="10" t="s">
        <v>763</v>
      </c>
      <c r="T7" s="10" t="s">
        <v>764</v>
      </c>
      <c r="U7" s="10"/>
      <c r="V7" s="10" t="s">
        <v>765</v>
      </c>
      <c r="W7" s="14">
        <f>IF(AND(ISNUMBER(Übersicht!$B$4),Übersicht!$B$4=INT(Übersicht!$B$4),Übersicht!$B$4&gt;=2026,Übersicht!$B$4&lt;=2028),IF(I7="fixedMonthDay",IF(AND(ISNUMBER(J7),J7=INT(J7),J7&gt;=1,J7&lt;=12,ISNUMBER(K7),K7=INT(K7),K7&gt;=1,K7&lt;=31,MONTH(DATE(Übersicht!$B$4,J7,K7))=J7,DAY(DATE(Übersicht!$B$4,J7,K7))=K7,L7="",M7="",N7=""),DATE(Übersicht!$B$4,J7,K7),NA()),IF(I7="easterOffsetDays",IF(AND(ISNUMBER(L7),L7=INT(L7),L7&gt;=-366,L7&lt;=366,J7="",K7="",M7="",N7=""),$AD$23+L7,NA()),IF(I7="nthWeekdayOfMonth",IF(AND(ISNUMBER(J7),J7=INT(J7),J7&gt;=1,J7&lt;=12,ISNUMBER(M7),M7=INT(M7),M7&gt;=1,M7&lt;=7,ISNUMBER(N7),N7=INT(N7),N7&gt;=1,N7&lt;=5,MONTH(DATE(Übersicht!$B$4,J7,1)+MOD(M7-WEEKDAY(DATE(Übersicht!$B$4,J7,1),2),7)+7*(N7-1))=J7,K7="",L7=""),DATE(Übersicht!$B$4,J7,1)+MOD(M7-WEEKDAY(DATE(Übersicht!$B$4,J7,1),2),7)+7*(N7-1),NA()),IF(I7="nthWeekdayOffsetDays",IF(AND(ISNUMBER(J7),J7=INT(J7),J7&gt;=1,J7&lt;=12,ISNUMBER(M7),M7=INT(M7),M7&gt;=1,M7&lt;=7,ISNUMBER(N7),N7=INT(N7),N7&gt;=1,N7&lt;=5,MONTH(DATE(Übersicht!$B$4,J7,1)+MOD(M7-WEEKDAY(DATE(Übersicht!$B$4,J7,1),2),7)+7*(N7-1))=J7,K7="",ISNUMBER(L7),L7=INT(L7),L7&gt;=-366,L7&lt;=366),DATE(Übersicht!$B$4,J7,1)+MOD(M7-WEEKDAY(DATE(Übersicht!$B$4,J7,1),2),7)+7*(N7-1)+L7,NA()),NA())))),NA())</f>
        <v>46966</v>
      </c>
      <c r="X7" s="14">
        <f t="shared" ref="X7:X70" si="0">IF(AND(ISNUMBER(O7),O7=INT(O7),O7&gt;=-115780,O7&lt;=2958465,OR(P7="",AND(ISNUMBER(P7),P7=INT(P7),P7&gt;=-115780,P7&lt;=2958465,P7&gt;=O7)),OR(AA7="Ganztägig",AA7="Ab 12.00 Uhr")),IF(AND(W7&gt;=O7,OR(P7="",W7&lt;=P7)),W7,"Ausserhalb Geltung"),NA())</f>
        <v>46966</v>
      </c>
      <c r="Y7" s="10" t="s">
        <v>766</v>
      </c>
      <c r="Z7" s="10" t="s">
        <v>767</v>
      </c>
      <c r="AA7" s="10" t="s">
        <v>768</v>
      </c>
      <c r="AB7" s="1"/>
      <c r="AC7" s="1" t="s">
        <v>769</v>
      </c>
      <c r="AD7" s="1">
        <f>Übersicht!$B$4</f>
        <v>2028</v>
      </c>
    </row>
    <row r="8" spans="1:30" ht="38" customHeight="1">
      <c r="A8" s="11" t="s">
        <v>56</v>
      </c>
      <c r="B8" s="11" t="s">
        <v>53</v>
      </c>
      <c r="C8" s="11" t="s">
        <v>770</v>
      </c>
      <c r="D8" s="11" t="s">
        <v>771</v>
      </c>
      <c r="E8" s="11" t="s">
        <v>772</v>
      </c>
      <c r="F8" s="27"/>
      <c r="G8" s="27"/>
      <c r="H8" s="11" t="s">
        <v>761</v>
      </c>
      <c r="I8" s="11" t="s">
        <v>762</v>
      </c>
      <c r="J8" s="13">
        <v>1</v>
      </c>
      <c r="K8" s="13">
        <v>1</v>
      </c>
      <c r="L8" s="11"/>
      <c r="M8" s="11"/>
      <c r="N8" s="11"/>
      <c r="O8" s="15">
        <v>46023</v>
      </c>
      <c r="P8" s="15"/>
      <c r="Q8" s="11">
        <v>100</v>
      </c>
      <c r="R8" s="11" t="s">
        <v>618</v>
      </c>
      <c r="S8" s="11" t="s">
        <v>763</v>
      </c>
      <c r="T8" s="11" t="s">
        <v>764</v>
      </c>
      <c r="U8" s="11"/>
      <c r="V8" s="11" t="s">
        <v>765</v>
      </c>
      <c r="W8" s="15">
        <f>IF(AND(ISNUMBER(Übersicht!$B$4),Übersicht!$B$4=INT(Übersicht!$B$4),Übersicht!$B$4&gt;=2026,Übersicht!$B$4&lt;=2028),IF(I8="fixedMonthDay",IF(AND(ISNUMBER(J8),J8=INT(J8),J8&gt;=1,J8&lt;=12,ISNUMBER(K8),K8=INT(K8),K8&gt;=1,K8&lt;=31,MONTH(DATE(Übersicht!$B$4,J8,K8))=J8,DAY(DATE(Übersicht!$B$4,J8,K8))=K8,L8="",M8="",N8=""),DATE(Übersicht!$B$4,J8,K8),NA()),IF(I8="easterOffsetDays",IF(AND(ISNUMBER(L8),L8=INT(L8),L8&gt;=-366,L8&lt;=366,J8="",K8="",M8="",N8=""),$AD$23+L8,NA()),IF(I8="nthWeekdayOfMonth",IF(AND(ISNUMBER(J8),J8=INT(J8),J8&gt;=1,J8&lt;=12,ISNUMBER(M8),M8=INT(M8),M8&gt;=1,M8&lt;=7,ISNUMBER(N8),N8=INT(N8),N8&gt;=1,N8&lt;=5,MONTH(DATE(Übersicht!$B$4,J8,1)+MOD(M8-WEEKDAY(DATE(Übersicht!$B$4,J8,1),2),7)+7*(N8-1))=J8,K8="",L8=""),DATE(Übersicht!$B$4,J8,1)+MOD(M8-WEEKDAY(DATE(Übersicht!$B$4,J8,1),2),7)+7*(N8-1),NA()),IF(I8="nthWeekdayOffsetDays",IF(AND(ISNUMBER(J8),J8=INT(J8),J8&gt;=1,J8&lt;=12,ISNUMBER(M8),M8=INT(M8),M8&gt;=1,M8&lt;=7,ISNUMBER(N8),N8=INT(N8),N8&gt;=1,N8&lt;=5,MONTH(DATE(Übersicht!$B$4,J8,1)+MOD(M8-WEEKDAY(DATE(Übersicht!$B$4,J8,1),2),7)+7*(N8-1))=J8,K8="",ISNUMBER(L8),L8=INT(L8),L8&gt;=-366,L8&lt;=366),DATE(Übersicht!$B$4,J8,1)+MOD(M8-WEEKDAY(DATE(Übersicht!$B$4,J8,1),2),7)+7*(N8-1)+L8,NA()),NA())))),NA())</f>
        <v>46753</v>
      </c>
      <c r="X8" s="15">
        <f t="shared" si="0"/>
        <v>46753</v>
      </c>
      <c r="Y8" s="11" t="s">
        <v>773</v>
      </c>
      <c r="Z8" s="11" t="s">
        <v>774</v>
      </c>
      <c r="AA8" s="11" t="s">
        <v>768</v>
      </c>
      <c r="AB8" s="1"/>
      <c r="AC8" s="1" t="s">
        <v>775</v>
      </c>
      <c r="AD8" s="1">
        <f>MOD(AD7,19)</f>
        <v>14</v>
      </c>
    </row>
    <row r="9" spans="1:30" ht="38" customHeight="1">
      <c r="A9" s="10" t="s">
        <v>57</v>
      </c>
      <c r="B9" s="10" t="s">
        <v>53</v>
      </c>
      <c r="C9" s="10" t="s">
        <v>770</v>
      </c>
      <c r="D9" s="10" t="s">
        <v>776</v>
      </c>
      <c r="E9" s="10" t="s">
        <v>777</v>
      </c>
      <c r="F9" s="25"/>
      <c r="G9" s="25"/>
      <c r="H9" s="10" t="s">
        <v>761</v>
      </c>
      <c r="I9" s="10" t="s">
        <v>762</v>
      </c>
      <c r="J9" s="12">
        <v>1</v>
      </c>
      <c r="K9" s="12">
        <v>2</v>
      </c>
      <c r="L9" s="10"/>
      <c r="M9" s="10"/>
      <c r="N9" s="10"/>
      <c r="O9" s="14">
        <v>46023</v>
      </c>
      <c r="P9" s="14"/>
      <c r="Q9" s="10">
        <v>100</v>
      </c>
      <c r="R9" s="10" t="s">
        <v>618</v>
      </c>
      <c r="S9" s="10" t="s">
        <v>763</v>
      </c>
      <c r="T9" s="10" t="s">
        <v>764</v>
      </c>
      <c r="U9" s="10"/>
      <c r="V9" s="10" t="s">
        <v>765</v>
      </c>
      <c r="W9" s="14">
        <f>IF(AND(ISNUMBER(Übersicht!$B$4),Übersicht!$B$4=INT(Übersicht!$B$4),Übersicht!$B$4&gt;=2026,Übersicht!$B$4&lt;=2028),IF(I9="fixedMonthDay",IF(AND(ISNUMBER(J9),J9=INT(J9),J9&gt;=1,J9&lt;=12,ISNUMBER(K9),K9=INT(K9),K9&gt;=1,K9&lt;=31,MONTH(DATE(Übersicht!$B$4,J9,K9))=J9,DAY(DATE(Übersicht!$B$4,J9,K9))=K9,L9="",M9="",N9=""),DATE(Übersicht!$B$4,J9,K9),NA()),IF(I9="easterOffsetDays",IF(AND(ISNUMBER(L9),L9=INT(L9),L9&gt;=-366,L9&lt;=366,J9="",K9="",M9="",N9=""),$AD$23+L9,NA()),IF(I9="nthWeekdayOfMonth",IF(AND(ISNUMBER(J9),J9=INT(J9),J9&gt;=1,J9&lt;=12,ISNUMBER(M9),M9=INT(M9),M9&gt;=1,M9&lt;=7,ISNUMBER(N9),N9=INT(N9),N9&gt;=1,N9&lt;=5,MONTH(DATE(Übersicht!$B$4,J9,1)+MOD(M9-WEEKDAY(DATE(Übersicht!$B$4,J9,1),2),7)+7*(N9-1))=J9,K9="",L9=""),DATE(Übersicht!$B$4,J9,1)+MOD(M9-WEEKDAY(DATE(Übersicht!$B$4,J9,1),2),7)+7*(N9-1),NA()),IF(I9="nthWeekdayOffsetDays",IF(AND(ISNUMBER(J9),J9=INT(J9),J9&gt;=1,J9&lt;=12,ISNUMBER(M9),M9=INT(M9),M9&gt;=1,M9&lt;=7,ISNUMBER(N9),N9=INT(N9),N9&gt;=1,N9&lt;=5,MONTH(DATE(Übersicht!$B$4,J9,1)+MOD(M9-WEEKDAY(DATE(Übersicht!$B$4,J9,1),2),7)+7*(N9-1))=J9,K9="",ISNUMBER(L9),L9=INT(L9),L9&gt;=-366,L9&lt;=366),DATE(Übersicht!$B$4,J9,1)+MOD(M9-WEEKDAY(DATE(Übersicht!$B$4,J9,1),2),7)+7*(N9-1)+L9,NA()),NA())))),NA())</f>
        <v>46754</v>
      </c>
      <c r="X9" s="14">
        <f t="shared" si="0"/>
        <v>46754</v>
      </c>
      <c r="Y9" s="10" t="s">
        <v>773</v>
      </c>
      <c r="Z9" s="10" t="s">
        <v>774</v>
      </c>
      <c r="AA9" s="10" t="s">
        <v>768</v>
      </c>
      <c r="AB9" s="1"/>
      <c r="AC9" s="1" t="s">
        <v>778</v>
      </c>
      <c r="AD9" s="1">
        <f>INT(AD7/100)</f>
        <v>20</v>
      </c>
    </row>
    <row r="10" spans="1:30" ht="38" customHeight="1">
      <c r="A10" s="11" t="s">
        <v>58</v>
      </c>
      <c r="B10" s="11" t="s">
        <v>53</v>
      </c>
      <c r="C10" s="11" t="s">
        <v>770</v>
      </c>
      <c r="D10" s="11" t="s">
        <v>779</v>
      </c>
      <c r="E10" s="11" t="s">
        <v>780</v>
      </c>
      <c r="F10" s="27"/>
      <c r="G10" s="27"/>
      <c r="H10" s="11" t="s">
        <v>761</v>
      </c>
      <c r="I10" s="11" t="s">
        <v>781</v>
      </c>
      <c r="J10" s="13"/>
      <c r="K10" s="13"/>
      <c r="L10" s="11">
        <v>-2</v>
      </c>
      <c r="M10" s="11"/>
      <c r="N10" s="11"/>
      <c r="O10" s="15">
        <v>46023</v>
      </c>
      <c r="P10" s="15"/>
      <c r="Q10" s="11">
        <v>100</v>
      </c>
      <c r="R10" s="11" t="s">
        <v>618</v>
      </c>
      <c r="S10" s="11" t="s">
        <v>763</v>
      </c>
      <c r="T10" s="11" t="s">
        <v>764</v>
      </c>
      <c r="U10" s="11"/>
      <c r="V10" s="11" t="s">
        <v>765</v>
      </c>
      <c r="W10" s="15">
        <f>IF(AND(ISNUMBER(Übersicht!$B$4),Übersicht!$B$4=INT(Übersicht!$B$4),Übersicht!$B$4&gt;=2026,Übersicht!$B$4&lt;=2028),IF(I10="fixedMonthDay",IF(AND(ISNUMBER(J10),J10=INT(J10),J10&gt;=1,J10&lt;=12,ISNUMBER(K10),K10=INT(K10),K10&gt;=1,K10&lt;=31,MONTH(DATE(Übersicht!$B$4,J10,K10))=J10,DAY(DATE(Übersicht!$B$4,J10,K10))=K10,L10="",M10="",N10=""),DATE(Übersicht!$B$4,J10,K10),NA()),IF(I10="easterOffsetDays",IF(AND(ISNUMBER(L10),L10=INT(L10),L10&gt;=-366,L10&lt;=366,J10="",K10="",M10="",N10=""),$AD$23+L10,NA()),IF(I10="nthWeekdayOfMonth",IF(AND(ISNUMBER(J10),J10=INT(J10),J10&gt;=1,J10&lt;=12,ISNUMBER(M10),M10=INT(M10),M10&gt;=1,M10&lt;=7,ISNUMBER(N10),N10=INT(N10),N10&gt;=1,N10&lt;=5,MONTH(DATE(Übersicht!$B$4,J10,1)+MOD(M10-WEEKDAY(DATE(Übersicht!$B$4,J10,1),2),7)+7*(N10-1))=J10,K10="",L10=""),DATE(Übersicht!$B$4,J10,1)+MOD(M10-WEEKDAY(DATE(Übersicht!$B$4,J10,1),2),7)+7*(N10-1),NA()),IF(I10="nthWeekdayOffsetDays",IF(AND(ISNUMBER(J10),J10=INT(J10),J10&gt;=1,J10&lt;=12,ISNUMBER(M10),M10=INT(M10),M10&gt;=1,M10&lt;=7,ISNUMBER(N10),N10=INT(N10),N10&gt;=1,N10&lt;=5,MONTH(DATE(Übersicht!$B$4,J10,1)+MOD(M10-WEEKDAY(DATE(Übersicht!$B$4,J10,1),2),7)+7*(N10-1))=J10,K10="",ISNUMBER(L10),L10=INT(L10),L10&gt;=-366,L10&lt;=366),DATE(Übersicht!$B$4,J10,1)+MOD(M10-WEEKDAY(DATE(Übersicht!$B$4,J10,1),2),7)+7*(N10-1)+L10,NA()),NA())))),NA())</f>
        <v>46857</v>
      </c>
      <c r="X10" s="15">
        <f t="shared" si="0"/>
        <v>46857</v>
      </c>
      <c r="Y10" s="11" t="s">
        <v>773</v>
      </c>
      <c r="Z10" s="11" t="s">
        <v>782</v>
      </c>
      <c r="AA10" s="11" t="s">
        <v>768</v>
      </c>
      <c r="AB10" s="1"/>
      <c r="AC10" s="1" t="s">
        <v>783</v>
      </c>
      <c r="AD10" s="1">
        <f>MOD(AD7,100)</f>
        <v>28</v>
      </c>
    </row>
    <row r="11" spans="1:30" ht="38" customHeight="1">
      <c r="A11" s="10" t="s">
        <v>59</v>
      </c>
      <c r="B11" s="10" t="s">
        <v>53</v>
      </c>
      <c r="C11" s="10" t="s">
        <v>770</v>
      </c>
      <c r="D11" s="10" t="s">
        <v>784</v>
      </c>
      <c r="E11" s="10" t="s">
        <v>785</v>
      </c>
      <c r="F11" s="25"/>
      <c r="G11" s="25"/>
      <c r="H11" s="10" t="s">
        <v>761</v>
      </c>
      <c r="I11" s="10" t="s">
        <v>781</v>
      </c>
      <c r="J11" s="12"/>
      <c r="K11" s="12"/>
      <c r="L11" s="10">
        <v>0</v>
      </c>
      <c r="M11" s="10"/>
      <c r="N11" s="10"/>
      <c r="O11" s="14">
        <v>46023</v>
      </c>
      <c r="P11" s="14"/>
      <c r="Q11" s="10">
        <v>100</v>
      </c>
      <c r="R11" s="10" t="s">
        <v>618</v>
      </c>
      <c r="S11" s="10" t="s">
        <v>763</v>
      </c>
      <c r="T11" s="10" t="s">
        <v>764</v>
      </c>
      <c r="U11" s="10"/>
      <c r="V11" s="10" t="s">
        <v>765</v>
      </c>
      <c r="W11" s="14">
        <f>IF(AND(ISNUMBER(Übersicht!$B$4),Übersicht!$B$4=INT(Übersicht!$B$4),Übersicht!$B$4&gt;=2026,Übersicht!$B$4&lt;=2028),IF(I11="fixedMonthDay",IF(AND(ISNUMBER(J11),J11=INT(J11),J11&gt;=1,J11&lt;=12,ISNUMBER(K11),K11=INT(K11),K11&gt;=1,K11&lt;=31,MONTH(DATE(Übersicht!$B$4,J11,K11))=J11,DAY(DATE(Übersicht!$B$4,J11,K11))=K11,L11="",M11="",N11=""),DATE(Übersicht!$B$4,J11,K11),NA()),IF(I11="easterOffsetDays",IF(AND(ISNUMBER(L11),L11=INT(L11),L11&gt;=-366,L11&lt;=366,J11="",K11="",M11="",N11=""),$AD$23+L11,NA()),IF(I11="nthWeekdayOfMonth",IF(AND(ISNUMBER(J11),J11=INT(J11),J11&gt;=1,J11&lt;=12,ISNUMBER(M11),M11=INT(M11),M11&gt;=1,M11&lt;=7,ISNUMBER(N11),N11=INT(N11),N11&gt;=1,N11&lt;=5,MONTH(DATE(Übersicht!$B$4,J11,1)+MOD(M11-WEEKDAY(DATE(Übersicht!$B$4,J11,1),2),7)+7*(N11-1))=J11,K11="",L11=""),DATE(Übersicht!$B$4,J11,1)+MOD(M11-WEEKDAY(DATE(Übersicht!$B$4,J11,1),2),7)+7*(N11-1),NA()),IF(I11="nthWeekdayOffsetDays",IF(AND(ISNUMBER(J11),J11=INT(J11),J11&gt;=1,J11&lt;=12,ISNUMBER(M11),M11=INT(M11),M11&gt;=1,M11&lt;=7,ISNUMBER(N11),N11=INT(N11),N11&gt;=1,N11&lt;=5,MONTH(DATE(Übersicht!$B$4,J11,1)+MOD(M11-WEEKDAY(DATE(Übersicht!$B$4,J11,1),2),7)+7*(N11-1))=J11,K11="",ISNUMBER(L11),L11=INT(L11),L11&gt;=-366,L11&lt;=366),DATE(Übersicht!$B$4,J11,1)+MOD(M11-WEEKDAY(DATE(Übersicht!$B$4,J11,1),2),7)+7*(N11-1)+L11,NA()),NA())))),NA())</f>
        <v>46859</v>
      </c>
      <c r="X11" s="14">
        <f t="shared" si="0"/>
        <v>46859</v>
      </c>
      <c r="Y11" s="10" t="s">
        <v>773</v>
      </c>
      <c r="Z11" s="10" t="s">
        <v>782</v>
      </c>
      <c r="AA11" s="10" t="s">
        <v>768</v>
      </c>
      <c r="AB11" s="1"/>
      <c r="AC11" s="1" t="s">
        <v>786</v>
      </c>
      <c r="AD11" s="1">
        <f>INT(AD9/4)</f>
        <v>5</v>
      </c>
    </row>
    <row r="12" spans="1:30" ht="38" customHeight="1">
      <c r="A12" s="11" t="s">
        <v>60</v>
      </c>
      <c r="B12" s="11" t="s">
        <v>53</v>
      </c>
      <c r="C12" s="11" t="s">
        <v>770</v>
      </c>
      <c r="D12" s="11" t="s">
        <v>787</v>
      </c>
      <c r="E12" s="11" t="s">
        <v>788</v>
      </c>
      <c r="F12" s="27"/>
      <c r="G12" s="27"/>
      <c r="H12" s="11" t="s">
        <v>761</v>
      </c>
      <c r="I12" s="11" t="s">
        <v>781</v>
      </c>
      <c r="J12" s="13"/>
      <c r="K12" s="13"/>
      <c r="L12" s="11">
        <v>1</v>
      </c>
      <c r="M12" s="11"/>
      <c r="N12" s="11"/>
      <c r="O12" s="15">
        <v>46023</v>
      </c>
      <c r="P12" s="15"/>
      <c r="Q12" s="11">
        <v>100</v>
      </c>
      <c r="R12" s="11" t="s">
        <v>618</v>
      </c>
      <c r="S12" s="11" t="s">
        <v>763</v>
      </c>
      <c r="T12" s="11" t="s">
        <v>764</v>
      </c>
      <c r="U12" s="11"/>
      <c r="V12" s="11" t="s">
        <v>765</v>
      </c>
      <c r="W12" s="15">
        <f>IF(AND(ISNUMBER(Übersicht!$B$4),Übersicht!$B$4=INT(Übersicht!$B$4),Übersicht!$B$4&gt;=2026,Übersicht!$B$4&lt;=2028),IF(I12="fixedMonthDay",IF(AND(ISNUMBER(J12),J12=INT(J12),J12&gt;=1,J12&lt;=12,ISNUMBER(K12),K12=INT(K12),K12&gt;=1,K12&lt;=31,MONTH(DATE(Übersicht!$B$4,J12,K12))=J12,DAY(DATE(Übersicht!$B$4,J12,K12))=K12,L12="",M12="",N12=""),DATE(Übersicht!$B$4,J12,K12),NA()),IF(I12="easterOffsetDays",IF(AND(ISNUMBER(L12),L12=INT(L12),L12&gt;=-366,L12&lt;=366,J12="",K12="",M12="",N12=""),$AD$23+L12,NA()),IF(I12="nthWeekdayOfMonth",IF(AND(ISNUMBER(J12),J12=INT(J12),J12&gt;=1,J12&lt;=12,ISNUMBER(M12),M12=INT(M12),M12&gt;=1,M12&lt;=7,ISNUMBER(N12),N12=INT(N12),N12&gt;=1,N12&lt;=5,MONTH(DATE(Übersicht!$B$4,J12,1)+MOD(M12-WEEKDAY(DATE(Übersicht!$B$4,J12,1),2),7)+7*(N12-1))=J12,K12="",L12=""),DATE(Übersicht!$B$4,J12,1)+MOD(M12-WEEKDAY(DATE(Übersicht!$B$4,J12,1),2),7)+7*(N12-1),NA()),IF(I12="nthWeekdayOffsetDays",IF(AND(ISNUMBER(J12),J12=INT(J12),J12&gt;=1,J12&lt;=12,ISNUMBER(M12),M12=INT(M12),M12&gt;=1,M12&lt;=7,ISNUMBER(N12),N12=INT(N12),N12&gt;=1,N12&lt;=5,MONTH(DATE(Übersicht!$B$4,J12,1)+MOD(M12-WEEKDAY(DATE(Übersicht!$B$4,J12,1),2),7)+7*(N12-1))=J12,K12="",ISNUMBER(L12),L12=INT(L12),L12&gt;=-366,L12&lt;=366),DATE(Übersicht!$B$4,J12,1)+MOD(M12-WEEKDAY(DATE(Übersicht!$B$4,J12,1),2),7)+7*(N12-1)+L12,NA()),NA())))),NA())</f>
        <v>46860</v>
      </c>
      <c r="X12" s="15">
        <f t="shared" si="0"/>
        <v>46860</v>
      </c>
      <c r="Y12" s="11" t="s">
        <v>773</v>
      </c>
      <c r="Z12" s="11" t="s">
        <v>774</v>
      </c>
      <c r="AA12" s="11" t="s">
        <v>768</v>
      </c>
      <c r="AB12" s="1"/>
      <c r="AC12" s="1" t="s">
        <v>789</v>
      </c>
      <c r="AD12" s="1">
        <f>MOD(AD9,4)</f>
        <v>0</v>
      </c>
    </row>
    <row r="13" spans="1:30" ht="38" customHeight="1">
      <c r="A13" s="10" t="s">
        <v>61</v>
      </c>
      <c r="B13" s="10" t="s">
        <v>53</v>
      </c>
      <c r="C13" s="10" t="s">
        <v>770</v>
      </c>
      <c r="D13" s="10" t="s">
        <v>790</v>
      </c>
      <c r="E13" s="10" t="s">
        <v>791</v>
      </c>
      <c r="F13" s="25"/>
      <c r="G13" s="25"/>
      <c r="H13" s="10" t="s">
        <v>761</v>
      </c>
      <c r="I13" s="10" t="s">
        <v>781</v>
      </c>
      <c r="J13" s="12"/>
      <c r="K13" s="12"/>
      <c r="L13" s="10">
        <v>39</v>
      </c>
      <c r="M13" s="10"/>
      <c r="N13" s="10"/>
      <c r="O13" s="14">
        <v>46023</v>
      </c>
      <c r="P13" s="14"/>
      <c r="Q13" s="10">
        <v>100</v>
      </c>
      <c r="R13" s="10" t="s">
        <v>618</v>
      </c>
      <c r="S13" s="10" t="s">
        <v>763</v>
      </c>
      <c r="T13" s="10" t="s">
        <v>764</v>
      </c>
      <c r="U13" s="10"/>
      <c r="V13" s="10" t="s">
        <v>765</v>
      </c>
      <c r="W13" s="14">
        <f>IF(AND(ISNUMBER(Übersicht!$B$4),Übersicht!$B$4=INT(Übersicht!$B$4),Übersicht!$B$4&gt;=2026,Übersicht!$B$4&lt;=2028),IF(I13="fixedMonthDay",IF(AND(ISNUMBER(J13),J13=INT(J13),J13&gt;=1,J13&lt;=12,ISNUMBER(K13),K13=INT(K13),K13&gt;=1,K13&lt;=31,MONTH(DATE(Übersicht!$B$4,J13,K13))=J13,DAY(DATE(Übersicht!$B$4,J13,K13))=K13,L13="",M13="",N13=""),DATE(Übersicht!$B$4,J13,K13),NA()),IF(I13="easterOffsetDays",IF(AND(ISNUMBER(L13),L13=INT(L13),L13&gt;=-366,L13&lt;=366,J13="",K13="",M13="",N13=""),$AD$23+L13,NA()),IF(I13="nthWeekdayOfMonth",IF(AND(ISNUMBER(J13),J13=INT(J13),J13&gt;=1,J13&lt;=12,ISNUMBER(M13),M13=INT(M13),M13&gt;=1,M13&lt;=7,ISNUMBER(N13),N13=INT(N13),N13&gt;=1,N13&lt;=5,MONTH(DATE(Übersicht!$B$4,J13,1)+MOD(M13-WEEKDAY(DATE(Übersicht!$B$4,J13,1),2),7)+7*(N13-1))=J13,K13="",L13=""),DATE(Übersicht!$B$4,J13,1)+MOD(M13-WEEKDAY(DATE(Übersicht!$B$4,J13,1),2),7)+7*(N13-1),NA()),IF(I13="nthWeekdayOffsetDays",IF(AND(ISNUMBER(J13),J13=INT(J13),J13&gt;=1,J13&lt;=12,ISNUMBER(M13),M13=INT(M13),M13&gt;=1,M13&lt;=7,ISNUMBER(N13),N13=INT(N13),N13&gt;=1,N13&lt;=5,MONTH(DATE(Übersicht!$B$4,J13,1)+MOD(M13-WEEKDAY(DATE(Übersicht!$B$4,J13,1),2),7)+7*(N13-1))=J13,K13="",ISNUMBER(L13),L13=INT(L13),L13&gt;=-366,L13&lt;=366),DATE(Übersicht!$B$4,J13,1)+MOD(M13-WEEKDAY(DATE(Übersicht!$B$4,J13,1),2),7)+7*(N13-1)+L13,NA()),NA())))),NA())</f>
        <v>46898</v>
      </c>
      <c r="X13" s="14">
        <f t="shared" si="0"/>
        <v>46898</v>
      </c>
      <c r="Y13" s="10" t="s">
        <v>773</v>
      </c>
      <c r="Z13" s="10" t="s">
        <v>782</v>
      </c>
      <c r="AA13" s="10" t="s">
        <v>768</v>
      </c>
      <c r="AB13" s="1"/>
      <c r="AC13" s="1" t="s">
        <v>792</v>
      </c>
      <c r="AD13" s="1">
        <f>INT((AD9+8)/25)</f>
        <v>1</v>
      </c>
    </row>
    <row r="14" spans="1:30" ht="38" customHeight="1">
      <c r="A14" s="11" t="s">
        <v>62</v>
      </c>
      <c r="B14" s="11" t="s">
        <v>53</v>
      </c>
      <c r="C14" s="11" t="s">
        <v>770</v>
      </c>
      <c r="D14" s="11" t="s">
        <v>793</v>
      </c>
      <c r="E14" s="11" t="s">
        <v>794</v>
      </c>
      <c r="F14" s="27"/>
      <c r="G14" s="27"/>
      <c r="H14" s="11" t="s">
        <v>761</v>
      </c>
      <c r="I14" s="11" t="s">
        <v>781</v>
      </c>
      <c r="J14" s="13"/>
      <c r="K14" s="13"/>
      <c r="L14" s="11">
        <v>49</v>
      </c>
      <c r="M14" s="11"/>
      <c r="N14" s="11"/>
      <c r="O14" s="15">
        <v>46023</v>
      </c>
      <c r="P14" s="15"/>
      <c r="Q14" s="11">
        <v>100</v>
      </c>
      <c r="R14" s="11" t="s">
        <v>618</v>
      </c>
      <c r="S14" s="11" t="s">
        <v>763</v>
      </c>
      <c r="T14" s="11" t="s">
        <v>764</v>
      </c>
      <c r="U14" s="11"/>
      <c r="V14" s="11" t="s">
        <v>765</v>
      </c>
      <c r="W14" s="15">
        <f>IF(AND(ISNUMBER(Übersicht!$B$4),Übersicht!$B$4=INT(Übersicht!$B$4),Übersicht!$B$4&gt;=2026,Übersicht!$B$4&lt;=2028),IF(I14="fixedMonthDay",IF(AND(ISNUMBER(J14),J14=INT(J14),J14&gt;=1,J14&lt;=12,ISNUMBER(K14),K14=INT(K14),K14&gt;=1,K14&lt;=31,MONTH(DATE(Übersicht!$B$4,J14,K14))=J14,DAY(DATE(Übersicht!$B$4,J14,K14))=K14,L14="",M14="",N14=""),DATE(Übersicht!$B$4,J14,K14),NA()),IF(I14="easterOffsetDays",IF(AND(ISNUMBER(L14),L14=INT(L14),L14&gt;=-366,L14&lt;=366,J14="",K14="",M14="",N14=""),$AD$23+L14,NA()),IF(I14="nthWeekdayOfMonth",IF(AND(ISNUMBER(J14),J14=INT(J14),J14&gt;=1,J14&lt;=12,ISNUMBER(M14),M14=INT(M14),M14&gt;=1,M14&lt;=7,ISNUMBER(N14),N14=INT(N14),N14&gt;=1,N14&lt;=5,MONTH(DATE(Übersicht!$B$4,J14,1)+MOD(M14-WEEKDAY(DATE(Übersicht!$B$4,J14,1),2),7)+7*(N14-1))=J14,K14="",L14=""),DATE(Übersicht!$B$4,J14,1)+MOD(M14-WEEKDAY(DATE(Übersicht!$B$4,J14,1),2),7)+7*(N14-1),NA()),IF(I14="nthWeekdayOffsetDays",IF(AND(ISNUMBER(J14),J14=INT(J14),J14&gt;=1,J14&lt;=12,ISNUMBER(M14),M14=INT(M14),M14&gt;=1,M14&lt;=7,ISNUMBER(N14),N14=INT(N14),N14&gt;=1,N14&lt;=5,MONTH(DATE(Übersicht!$B$4,J14,1)+MOD(M14-WEEKDAY(DATE(Übersicht!$B$4,J14,1),2),7)+7*(N14-1))=J14,K14="",ISNUMBER(L14),L14=INT(L14),L14&gt;=-366,L14&lt;=366),DATE(Übersicht!$B$4,J14,1)+MOD(M14-WEEKDAY(DATE(Übersicht!$B$4,J14,1),2),7)+7*(N14-1)+L14,NA()),NA())))),NA())</f>
        <v>46908</v>
      </c>
      <c r="X14" s="15">
        <f t="shared" si="0"/>
        <v>46908</v>
      </c>
      <c r="Y14" s="11" t="s">
        <v>773</v>
      </c>
      <c r="Z14" s="11" t="s">
        <v>782</v>
      </c>
      <c r="AA14" s="11" t="s">
        <v>768</v>
      </c>
      <c r="AB14" s="1"/>
      <c r="AC14" s="1" t="s">
        <v>795</v>
      </c>
      <c r="AD14" s="1">
        <f>INT((AD9-AD13+1)/3)</f>
        <v>6</v>
      </c>
    </row>
    <row r="15" spans="1:30" ht="38" customHeight="1">
      <c r="A15" s="10" t="s">
        <v>63</v>
      </c>
      <c r="B15" s="10" t="s">
        <v>53</v>
      </c>
      <c r="C15" s="10" t="s">
        <v>770</v>
      </c>
      <c r="D15" s="10" t="s">
        <v>796</v>
      </c>
      <c r="E15" s="10" t="s">
        <v>797</v>
      </c>
      <c r="F15" s="25"/>
      <c r="G15" s="25"/>
      <c r="H15" s="10" t="s">
        <v>761</v>
      </c>
      <c r="I15" s="10" t="s">
        <v>781</v>
      </c>
      <c r="J15" s="12"/>
      <c r="K15" s="12"/>
      <c r="L15" s="10">
        <v>50</v>
      </c>
      <c r="M15" s="10"/>
      <c r="N15" s="10"/>
      <c r="O15" s="14">
        <v>46023</v>
      </c>
      <c r="P15" s="14"/>
      <c r="Q15" s="10">
        <v>100</v>
      </c>
      <c r="R15" s="10" t="s">
        <v>618</v>
      </c>
      <c r="S15" s="10" t="s">
        <v>763</v>
      </c>
      <c r="T15" s="10" t="s">
        <v>764</v>
      </c>
      <c r="U15" s="10"/>
      <c r="V15" s="10" t="s">
        <v>765</v>
      </c>
      <c r="W15" s="14">
        <f>IF(AND(ISNUMBER(Übersicht!$B$4),Übersicht!$B$4=INT(Übersicht!$B$4),Übersicht!$B$4&gt;=2026,Übersicht!$B$4&lt;=2028),IF(I15="fixedMonthDay",IF(AND(ISNUMBER(J15),J15=INT(J15),J15&gt;=1,J15&lt;=12,ISNUMBER(K15),K15=INT(K15),K15&gt;=1,K15&lt;=31,MONTH(DATE(Übersicht!$B$4,J15,K15))=J15,DAY(DATE(Übersicht!$B$4,J15,K15))=K15,L15="",M15="",N15=""),DATE(Übersicht!$B$4,J15,K15),NA()),IF(I15="easterOffsetDays",IF(AND(ISNUMBER(L15),L15=INT(L15),L15&gt;=-366,L15&lt;=366,J15="",K15="",M15="",N15=""),$AD$23+L15,NA()),IF(I15="nthWeekdayOfMonth",IF(AND(ISNUMBER(J15),J15=INT(J15),J15&gt;=1,J15&lt;=12,ISNUMBER(M15),M15=INT(M15),M15&gt;=1,M15&lt;=7,ISNUMBER(N15),N15=INT(N15),N15&gt;=1,N15&lt;=5,MONTH(DATE(Übersicht!$B$4,J15,1)+MOD(M15-WEEKDAY(DATE(Übersicht!$B$4,J15,1),2),7)+7*(N15-1))=J15,K15="",L15=""),DATE(Übersicht!$B$4,J15,1)+MOD(M15-WEEKDAY(DATE(Übersicht!$B$4,J15,1),2),7)+7*(N15-1),NA()),IF(I15="nthWeekdayOffsetDays",IF(AND(ISNUMBER(J15),J15=INT(J15),J15&gt;=1,J15&lt;=12,ISNUMBER(M15),M15=INT(M15),M15&gt;=1,M15&lt;=7,ISNUMBER(N15),N15=INT(N15),N15&gt;=1,N15&lt;=5,MONTH(DATE(Übersicht!$B$4,J15,1)+MOD(M15-WEEKDAY(DATE(Übersicht!$B$4,J15,1),2),7)+7*(N15-1))=J15,K15="",ISNUMBER(L15),L15=INT(L15),L15&gt;=-366,L15&lt;=366),DATE(Übersicht!$B$4,J15,1)+MOD(M15-WEEKDAY(DATE(Übersicht!$B$4,J15,1),2),7)+7*(N15-1)+L15,NA()),NA())))),NA())</f>
        <v>46909</v>
      </c>
      <c r="X15" s="14">
        <f t="shared" si="0"/>
        <v>46909</v>
      </c>
      <c r="Y15" s="10" t="s">
        <v>773</v>
      </c>
      <c r="Z15" s="10" t="s">
        <v>774</v>
      </c>
      <c r="AA15" s="10" t="s">
        <v>768</v>
      </c>
      <c r="AB15" s="1"/>
      <c r="AC15" s="1" t="s">
        <v>798</v>
      </c>
      <c r="AD15" s="1">
        <f>MOD(19*AD8+AD9-AD11-AD14+15,30)</f>
        <v>20</v>
      </c>
    </row>
    <row r="16" spans="1:30" ht="38" customHeight="1">
      <c r="A16" s="11" t="s">
        <v>64</v>
      </c>
      <c r="B16" s="11" t="s">
        <v>53</v>
      </c>
      <c r="C16" s="11" t="s">
        <v>770</v>
      </c>
      <c r="D16" s="11" t="s">
        <v>799</v>
      </c>
      <c r="E16" s="11" t="s">
        <v>800</v>
      </c>
      <c r="F16" s="27"/>
      <c r="G16" s="27"/>
      <c r="H16" s="11" t="s">
        <v>761</v>
      </c>
      <c r="I16" s="11" t="s">
        <v>801</v>
      </c>
      <c r="J16" s="13">
        <v>9</v>
      </c>
      <c r="K16" s="13"/>
      <c r="L16" s="11"/>
      <c r="M16" s="11">
        <v>7</v>
      </c>
      <c r="N16" s="11">
        <v>3</v>
      </c>
      <c r="O16" s="15">
        <v>46023</v>
      </c>
      <c r="P16" s="15"/>
      <c r="Q16" s="11">
        <v>100</v>
      </c>
      <c r="R16" s="11" t="s">
        <v>618</v>
      </c>
      <c r="S16" s="11" t="s">
        <v>763</v>
      </c>
      <c r="T16" s="11" t="s">
        <v>764</v>
      </c>
      <c r="U16" s="11"/>
      <c r="V16" s="11" t="s">
        <v>765</v>
      </c>
      <c r="W16" s="15">
        <f>IF(AND(ISNUMBER(Übersicht!$B$4),Übersicht!$B$4=INT(Übersicht!$B$4),Übersicht!$B$4&gt;=2026,Übersicht!$B$4&lt;=2028),IF(I16="fixedMonthDay",IF(AND(ISNUMBER(J16),J16=INT(J16),J16&gt;=1,J16&lt;=12,ISNUMBER(K16),K16=INT(K16),K16&gt;=1,K16&lt;=31,MONTH(DATE(Übersicht!$B$4,J16,K16))=J16,DAY(DATE(Übersicht!$B$4,J16,K16))=K16,L16="",M16="",N16=""),DATE(Übersicht!$B$4,J16,K16),NA()),IF(I16="easterOffsetDays",IF(AND(ISNUMBER(L16),L16=INT(L16),L16&gt;=-366,L16&lt;=366,J16="",K16="",M16="",N16=""),$AD$23+L16,NA()),IF(I16="nthWeekdayOfMonth",IF(AND(ISNUMBER(J16),J16=INT(J16),J16&gt;=1,J16&lt;=12,ISNUMBER(M16),M16=INT(M16),M16&gt;=1,M16&lt;=7,ISNUMBER(N16),N16=INT(N16),N16&gt;=1,N16&lt;=5,MONTH(DATE(Übersicht!$B$4,J16,1)+MOD(M16-WEEKDAY(DATE(Übersicht!$B$4,J16,1),2),7)+7*(N16-1))=J16,K16="",L16=""),DATE(Übersicht!$B$4,J16,1)+MOD(M16-WEEKDAY(DATE(Übersicht!$B$4,J16,1),2),7)+7*(N16-1),NA()),IF(I16="nthWeekdayOffsetDays",IF(AND(ISNUMBER(J16),J16=INT(J16),J16&gt;=1,J16&lt;=12,ISNUMBER(M16),M16=INT(M16),M16&gt;=1,M16&lt;=7,ISNUMBER(N16),N16=INT(N16),N16&gt;=1,N16&lt;=5,MONTH(DATE(Übersicht!$B$4,J16,1)+MOD(M16-WEEKDAY(DATE(Übersicht!$B$4,J16,1),2),7)+7*(N16-1))=J16,K16="",ISNUMBER(L16),L16=INT(L16),L16&gt;=-366,L16&lt;=366),DATE(Übersicht!$B$4,J16,1)+MOD(M16-WEEKDAY(DATE(Übersicht!$B$4,J16,1),2),7)+7*(N16-1)+L16,NA()),NA())))),NA())</f>
        <v>47013</v>
      </c>
      <c r="X16" s="15">
        <f t="shared" si="0"/>
        <v>47013</v>
      </c>
      <c r="Y16" s="11" t="s">
        <v>773</v>
      </c>
      <c r="Z16" s="11" t="s">
        <v>782</v>
      </c>
      <c r="AA16" s="11" t="s">
        <v>768</v>
      </c>
      <c r="AB16" s="1"/>
      <c r="AC16" s="1" t="s">
        <v>802</v>
      </c>
      <c r="AD16" s="1">
        <f>INT(AD10/4)</f>
        <v>7</v>
      </c>
    </row>
    <row r="17" spans="1:30" ht="38" customHeight="1">
      <c r="A17" s="10" t="s">
        <v>65</v>
      </c>
      <c r="B17" s="10" t="s">
        <v>53</v>
      </c>
      <c r="C17" s="10" t="s">
        <v>770</v>
      </c>
      <c r="D17" s="10" t="s">
        <v>803</v>
      </c>
      <c r="E17" s="10" t="s">
        <v>804</v>
      </c>
      <c r="F17" s="25"/>
      <c r="G17" s="25"/>
      <c r="H17" s="10" t="s">
        <v>761</v>
      </c>
      <c r="I17" s="10" t="s">
        <v>762</v>
      </c>
      <c r="J17" s="12">
        <v>12</v>
      </c>
      <c r="K17" s="12">
        <v>25</v>
      </c>
      <c r="L17" s="10"/>
      <c r="M17" s="10"/>
      <c r="N17" s="10"/>
      <c r="O17" s="14">
        <v>46023</v>
      </c>
      <c r="P17" s="14"/>
      <c r="Q17" s="10">
        <v>100</v>
      </c>
      <c r="R17" s="10" t="s">
        <v>618</v>
      </c>
      <c r="S17" s="10" t="s">
        <v>763</v>
      </c>
      <c r="T17" s="10" t="s">
        <v>764</v>
      </c>
      <c r="U17" s="10"/>
      <c r="V17" s="10" t="s">
        <v>765</v>
      </c>
      <c r="W17" s="14">
        <f>IF(AND(ISNUMBER(Übersicht!$B$4),Übersicht!$B$4=INT(Übersicht!$B$4),Übersicht!$B$4&gt;=2026,Übersicht!$B$4&lt;=2028),IF(I17="fixedMonthDay",IF(AND(ISNUMBER(J17),J17=INT(J17),J17&gt;=1,J17&lt;=12,ISNUMBER(K17),K17=INT(K17),K17&gt;=1,K17&lt;=31,MONTH(DATE(Übersicht!$B$4,J17,K17))=J17,DAY(DATE(Übersicht!$B$4,J17,K17))=K17,L17="",M17="",N17=""),DATE(Übersicht!$B$4,J17,K17),NA()),IF(I17="easterOffsetDays",IF(AND(ISNUMBER(L17),L17=INT(L17),L17&gt;=-366,L17&lt;=366,J17="",K17="",M17="",N17=""),$AD$23+L17,NA()),IF(I17="nthWeekdayOfMonth",IF(AND(ISNUMBER(J17),J17=INT(J17),J17&gt;=1,J17&lt;=12,ISNUMBER(M17),M17=INT(M17),M17&gt;=1,M17&lt;=7,ISNUMBER(N17),N17=INT(N17),N17&gt;=1,N17&lt;=5,MONTH(DATE(Übersicht!$B$4,J17,1)+MOD(M17-WEEKDAY(DATE(Übersicht!$B$4,J17,1),2),7)+7*(N17-1))=J17,K17="",L17=""),DATE(Übersicht!$B$4,J17,1)+MOD(M17-WEEKDAY(DATE(Übersicht!$B$4,J17,1),2),7)+7*(N17-1),NA()),IF(I17="nthWeekdayOffsetDays",IF(AND(ISNUMBER(J17),J17=INT(J17),J17&gt;=1,J17&lt;=12,ISNUMBER(M17),M17=INT(M17),M17&gt;=1,M17&lt;=7,ISNUMBER(N17),N17=INT(N17),N17&gt;=1,N17&lt;=5,MONTH(DATE(Übersicht!$B$4,J17,1)+MOD(M17-WEEKDAY(DATE(Übersicht!$B$4,J17,1),2),7)+7*(N17-1))=J17,K17="",ISNUMBER(L17),L17=INT(L17),L17&gt;=-366,L17&lt;=366),DATE(Übersicht!$B$4,J17,1)+MOD(M17-WEEKDAY(DATE(Übersicht!$B$4,J17,1),2),7)+7*(N17-1)+L17,NA()),NA())))),NA())</f>
        <v>47112</v>
      </c>
      <c r="X17" s="14">
        <f t="shared" si="0"/>
        <v>47112</v>
      </c>
      <c r="Y17" s="10" t="s">
        <v>773</v>
      </c>
      <c r="Z17" s="10" t="s">
        <v>782</v>
      </c>
      <c r="AA17" s="10" t="s">
        <v>768</v>
      </c>
      <c r="AB17" s="1"/>
      <c r="AC17" s="1" t="s">
        <v>805</v>
      </c>
      <c r="AD17" s="1">
        <f>MOD(AD10,4)</f>
        <v>0</v>
      </c>
    </row>
    <row r="18" spans="1:30" ht="38" customHeight="1">
      <c r="A18" s="11" t="s">
        <v>66</v>
      </c>
      <c r="B18" s="11" t="s">
        <v>53</v>
      </c>
      <c r="C18" s="11" t="s">
        <v>770</v>
      </c>
      <c r="D18" s="11" t="s">
        <v>806</v>
      </c>
      <c r="E18" s="11" t="s">
        <v>807</v>
      </c>
      <c r="F18" s="27"/>
      <c r="G18" s="27"/>
      <c r="H18" s="11" t="s">
        <v>761</v>
      </c>
      <c r="I18" s="11" t="s">
        <v>762</v>
      </c>
      <c r="J18" s="13">
        <v>12</v>
      </c>
      <c r="K18" s="13">
        <v>26</v>
      </c>
      <c r="L18" s="11"/>
      <c r="M18" s="11"/>
      <c r="N18" s="11"/>
      <c r="O18" s="15">
        <v>46023</v>
      </c>
      <c r="P18" s="15"/>
      <c r="Q18" s="11">
        <v>100</v>
      </c>
      <c r="R18" s="11" t="s">
        <v>618</v>
      </c>
      <c r="S18" s="11" t="s">
        <v>763</v>
      </c>
      <c r="T18" s="11" t="s">
        <v>764</v>
      </c>
      <c r="U18" s="11"/>
      <c r="V18" s="11" t="s">
        <v>765</v>
      </c>
      <c r="W18" s="15">
        <f>IF(AND(ISNUMBER(Übersicht!$B$4),Übersicht!$B$4=INT(Übersicht!$B$4),Übersicht!$B$4&gt;=2026,Übersicht!$B$4&lt;=2028),IF(I18="fixedMonthDay",IF(AND(ISNUMBER(J18),J18=INT(J18),J18&gt;=1,J18&lt;=12,ISNUMBER(K18),K18=INT(K18),K18&gt;=1,K18&lt;=31,MONTH(DATE(Übersicht!$B$4,J18,K18))=J18,DAY(DATE(Übersicht!$B$4,J18,K18))=K18,L18="",M18="",N18=""),DATE(Übersicht!$B$4,J18,K18),NA()),IF(I18="easterOffsetDays",IF(AND(ISNUMBER(L18),L18=INT(L18),L18&gt;=-366,L18&lt;=366,J18="",K18="",M18="",N18=""),$AD$23+L18,NA()),IF(I18="nthWeekdayOfMonth",IF(AND(ISNUMBER(J18),J18=INT(J18),J18&gt;=1,J18&lt;=12,ISNUMBER(M18),M18=INT(M18),M18&gt;=1,M18&lt;=7,ISNUMBER(N18),N18=INT(N18),N18&gt;=1,N18&lt;=5,MONTH(DATE(Übersicht!$B$4,J18,1)+MOD(M18-WEEKDAY(DATE(Übersicht!$B$4,J18,1),2),7)+7*(N18-1))=J18,K18="",L18=""),DATE(Übersicht!$B$4,J18,1)+MOD(M18-WEEKDAY(DATE(Übersicht!$B$4,J18,1),2),7)+7*(N18-1),NA()),IF(I18="nthWeekdayOffsetDays",IF(AND(ISNUMBER(J18),J18=INT(J18),J18&gt;=1,J18&lt;=12,ISNUMBER(M18),M18=INT(M18),M18&gt;=1,M18&lt;=7,ISNUMBER(N18),N18=INT(N18),N18&gt;=1,N18&lt;=5,MONTH(DATE(Übersicht!$B$4,J18,1)+MOD(M18-WEEKDAY(DATE(Übersicht!$B$4,J18,1),2),7)+7*(N18-1))=J18,K18="",ISNUMBER(L18),L18=INT(L18),L18&gt;=-366,L18&lt;=366),DATE(Übersicht!$B$4,J18,1)+MOD(M18-WEEKDAY(DATE(Übersicht!$B$4,J18,1),2),7)+7*(N18-1)+L18,NA()),NA())))),NA())</f>
        <v>47113</v>
      </c>
      <c r="X18" s="15">
        <f t="shared" si="0"/>
        <v>47113</v>
      </c>
      <c r="Y18" s="11" t="s">
        <v>773</v>
      </c>
      <c r="Z18" s="11" t="s">
        <v>774</v>
      </c>
      <c r="AA18" s="11" t="s">
        <v>768</v>
      </c>
      <c r="AB18" s="1"/>
      <c r="AC18" s="1" t="s">
        <v>808</v>
      </c>
      <c r="AD18" s="1">
        <f>MOD(32+2*AD12+2*AD16-AD15-AD17,7)</f>
        <v>5</v>
      </c>
    </row>
    <row r="19" spans="1:30" ht="38" customHeight="1">
      <c r="A19" s="10" t="s">
        <v>70</v>
      </c>
      <c r="B19" s="10" t="s">
        <v>67</v>
      </c>
      <c r="C19" s="10" t="s">
        <v>809</v>
      </c>
      <c r="D19" s="24" t="s">
        <v>810</v>
      </c>
      <c r="E19" s="24" t="s">
        <v>811</v>
      </c>
      <c r="F19" s="25"/>
      <c r="G19" s="25"/>
      <c r="H19" s="10" t="s">
        <v>812</v>
      </c>
      <c r="I19" s="10" t="s">
        <v>781</v>
      </c>
      <c r="J19" s="28"/>
      <c r="K19" s="28"/>
      <c r="L19" s="24">
        <v>60</v>
      </c>
      <c r="M19" s="24"/>
      <c r="N19" s="24"/>
      <c r="O19" s="29">
        <v>46023</v>
      </c>
      <c r="P19" s="29"/>
      <c r="Q19" s="24">
        <v>100</v>
      </c>
      <c r="R19" s="24" t="s">
        <v>69</v>
      </c>
      <c r="S19" s="10"/>
      <c r="T19" s="10" t="s">
        <v>764</v>
      </c>
      <c r="U19" s="10"/>
      <c r="V19" s="10" t="s">
        <v>813</v>
      </c>
      <c r="W19" s="14">
        <f>IF(AND(ISNUMBER(Übersicht!$B$4),Übersicht!$B$4=INT(Übersicht!$B$4),Übersicht!$B$4&gt;=2026,Übersicht!$B$4&lt;=2028),IF(I19="fixedMonthDay",IF(AND(ISNUMBER(J19),J19=INT(J19),J19&gt;=1,J19&lt;=12,ISNUMBER(K19),K19=INT(K19),K19&gt;=1,K19&lt;=31,MONTH(DATE(Übersicht!$B$4,J19,K19))=J19,DAY(DATE(Übersicht!$B$4,J19,K19))=K19,L19="",M19="",N19=""),DATE(Übersicht!$B$4,J19,K19),NA()),IF(I19="easterOffsetDays",IF(AND(ISNUMBER(L19),L19=INT(L19),L19&gt;=-366,L19&lt;=366,J19="",K19="",M19="",N19=""),$AD$23+L19,NA()),IF(I19="nthWeekdayOfMonth",IF(AND(ISNUMBER(J19),J19=INT(J19),J19&gt;=1,J19&lt;=12,ISNUMBER(M19),M19=INT(M19),M19&gt;=1,M19&lt;=7,ISNUMBER(N19),N19=INT(N19),N19&gt;=1,N19&lt;=5,MONTH(DATE(Übersicht!$B$4,J19,1)+MOD(M19-WEEKDAY(DATE(Übersicht!$B$4,J19,1),2),7)+7*(N19-1))=J19,K19="",L19=""),DATE(Übersicht!$B$4,J19,1)+MOD(M19-WEEKDAY(DATE(Übersicht!$B$4,J19,1),2),7)+7*(N19-1),NA()),IF(I19="nthWeekdayOffsetDays",IF(AND(ISNUMBER(J19),J19=INT(J19),J19&gt;=1,J19&lt;=12,ISNUMBER(M19),M19=INT(M19),M19&gt;=1,M19&lt;=7,ISNUMBER(N19),N19=INT(N19),N19&gt;=1,N19&lt;=5,MONTH(DATE(Übersicht!$B$4,J19,1)+MOD(M19-WEEKDAY(DATE(Übersicht!$B$4,J19,1),2),7)+7*(N19-1))=J19,K19="",ISNUMBER(L19),L19=INT(L19),L19&gt;=-366,L19&lt;=366),DATE(Übersicht!$B$4,J19,1)+MOD(M19-WEEKDAY(DATE(Übersicht!$B$4,J19,1),2),7)+7*(N19-1)+L19,NA()),NA())))),NA())</f>
        <v>46919</v>
      </c>
      <c r="X19" s="14">
        <f t="shared" si="0"/>
        <v>46919</v>
      </c>
      <c r="Y19" s="10" t="s">
        <v>814</v>
      </c>
      <c r="Z19" s="10" t="s">
        <v>815</v>
      </c>
      <c r="AA19" s="24" t="s">
        <v>768</v>
      </c>
      <c r="AB19" s="1"/>
      <c r="AC19" s="1" t="s">
        <v>816</v>
      </c>
      <c r="AD19" s="1">
        <f>INT((AD8+11*AD15+22*AD18)/451)</f>
        <v>0</v>
      </c>
    </row>
    <row r="20" spans="1:30" ht="38" customHeight="1">
      <c r="A20" s="11" t="s">
        <v>73</v>
      </c>
      <c r="B20" s="11" t="s">
        <v>67</v>
      </c>
      <c r="C20" s="11" t="s">
        <v>817</v>
      </c>
      <c r="D20" s="26" t="s">
        <v>776</v>
      </c>
      <c r="E20" s="26" t="s">
        <v>777</v>
      </c>
      <c r="F20" s="27"/>
      <c r="G20" s="27"/>
      <c r="H20" s="11" t="s">
        <v>812</v>
      </c>
      <c r="I20" s="11" t="s">
        <v>762</v>
      </c>
      <c r="J20" s="30">
        <v>1</v>
      </c>
      <c r="K20" s="30">
        <v>2</v>
      </c>
      <c r="L20" s="26"/>
      <c r="M20" s="26"/>
      <c r="N20" s="26"/>
      <c r="O20" s="31">
        <v>46023</v>
      </c>
      <c r="P20" s="31"/>
      <c r="Q20" s="26">
        <v>100</v>
      </c>
      <c r="R20" s="26" t="s">
        <v>69</v>
      </c>
      <c r="S20" s="11"/>
      <c r="T20" s="11" t="s">
        <v>764</v>
      </c>
      <c r="U20" s="11"/>
      <c r="V20" s="11" t="s">
        <v>813</v>
      </c>
      <c r="W20" s="15">
        <f>IF(AND(ISNUMBER(Übersicht!$B$4),Übersicht!$B$4=INT(Übersicht!$B$4),Übersicht!$B$4&gt;=2026,Übersicht!$B$4&lt;=2028),IF(I20="fixedMonthDay",IF(AND(ISNUMBER(J20),J20=INT(J20),J20&gt;=1,J20&lt;=12,ISNUMBER(K20),K20=INT(K20),K20&gt;=1,K20&lt;=31,MONTH(DATE(Übersicht!$B$4,J20,K20))=J20,DAY(DATE(Übersicht!$B$4,J20,K20))=K20,L20="",M20="",N20=""),DATE(Übersicht!$B$4,J20,K20),NA()),IF(I20="easterOffsetDays",IF(AND(ISNUMBER(L20),L20=INT(L20),L20&gt;=-366,L20&lt;=366,J20="",K20="",M20="",N20=""),$AD$23+L20,NA()),IF(I20="nthWeekdayOfMonth",IF(AND(ISNUMBER(J20),J20=INT(J20),J20&gt;=1,J20&lt;=12,ISNUMBER(M20),M20=INT(M20),M20&gt;=1,M20&lt;=7,ISNUMBER(N20),N20=INT(N20),N20&gt;=1,N20&lt;=5,MONTH(DATE(Übersicht!$B$4,J20,1)+MOD(M20-WEEKDAY(DATE(Übersicht!$B$4,J20,1),2),7)+7*(N20-1))=J20,K20="",L20=""),DATE(Übersicht!$B$4,J20,1)+MOD(M20-WEEKDAY(DATE(Übersicht!$B$4,J20,1),2),7)+7*(N20-1),NA()),IF(I20="nthWeekdayOffsetDays",IF(AND(ISNUMBER(J20),J20=INT(J20),J20&gt;=1,J20&lt;=12,ISNUMBER(M20),M20=INT(M20),M20&gt;=1,M20&lt;=7,ISNUMBER(N20),N20=INT(N20),N20&gt;=1,N20&lt;=5,MONTH(DATE(Übersicht!$B$4,J20,1)+MOD(M20-WEEKDAY(DATE(Übersicht!$B$4,J20,1),2),7)+7*(N20-1))=J20,K20="",ISNUMBER(L20),L20=INT(L20),L20&gt;=-366,L20&lt;=366),DATE(Übersicht!$B$4,J20,1)+MOD(M20-WEEKDAY(DATE(Übersicht!$B$4,J20,1),2),7)+7*(N20-1)+L20,NA()),NA())))),NA())</f>
        <v>46754</v>
      </c>
      <c r="X20" s="15">
        <f t="shared" si="0"/>
        <v>46754</v>
      </c>
      <c r="Y20" s="11" t="s">
        <v>814</v>
      </c>
      <c r="Z20" s="11" t="s">
        <v>818</v>
      </c>
      <c r="AA20" s="26" t="s">
        <v>768</v>
      </c>
      <c r="AB20" s="1"/>
      <c r="AC20" s="1" t="s">
        <v>819</v>
      </c>
      <c r="AD20" s="1">
        <f>AD15+AD18-7*AD19+114</f>
        <v>139</v>
      </c>
    </row>
    <row r="21" spans="1:30" ht="38" customHeight="1">
      <c r="A21" s="10" t="s">
        <v>75</v>
      </c>
      <c r="B21" s="10" t="s">
        <v>67</v>
      </c>
      <c r="C21" s="10" t="s">
        <v>820</v>
      </c>
      <c r="D21" s="24" t="s">
        <v>821</v>
      </c>
      <c r="E21" s="24" t="s">
        <v>822</v>
      </c>
      <c r="F21" s="25"/>
      <c r="G21" s="25"/>
      <c r="H21" s="10" t="s">
        <v>823</v>
      </c>
      <c r="I21" s="10" t="s">
        <v>762</v>
      </c>
      <c r="J21" s="28">
        <v>11</v>
      </c>
      <c r="K21" s="28">
        <v>1</v>
      </c>
      <c r="L21" s="24"/>
      <c r="M21" s="24"/>
      <c r="N21" s="24"/>
      <c r="O21" s="29">
        <v>46023</v>
      </c>
      <c r="P21" s="29"/>
      <c r="Q21" s="24">
        <v>100</v>
      </c>
      <c r="R21" s="24" t="s">
        <v>69</v>
      </c>
      <c r="S21" s="10"/>
      <c r="T21" s="10" t="s">
        <v>764</v>
      </c>
      <c r="U21" s="10"/>
      <c r="V21" s="10" t="s">
        <v>824</v>
      </c>
      <c r="W21" s="14">
        <f>IF(AND(ISNUMBER(Übersicht!$B$4),Übersicht!$B$4=INT(Übersicht!$B$4),Übersicht!$B$4&gt;=2026,Übersicht!$B$4&lt;=2028),IF(I21="fixedMonthDay",IF(AND(ISNUMBER(J21),J21=INT(J21),J21&gt;=1,J21&lt;=12,ISNUMBER(K21),K21=INT(K21),K21&gt;=1,K21&lt;=31,MONTH(DATE(Übersicht!$B$4,J21,K21))=J21,DAY(DATE(Übersicht!$B$4,J21,K21))=K21,L21="",M21="",N21=""),DATE(Übersicht!$B$4,J21,K21),NA()),IF(I21="easterOffsetDays",IF(AND(ISNUMBER(L21),L21=INT(L21),L21&gt;=-366,L21&lt;=366,J21="",K21="",M21="",N21=""),$AD$23+L21,NA()),IF(I21="nthWeekdayOfMonth",IF(AND(ISNUMBER(J21),J21=INT(J21),J21&gt;=1,J21&lt;=12,ISNUMBER(M21),M21=INT(M21),M21&gt;=1,M21&lt;=7,ISNUMBER(N21),N21=INT(N21),N21&gt;=1,N21&lt;=5,MONTH(DATE(Übersicht!$B$4,J21,1)+MOD(M21-WEEKDAY(DATE(Übersicht!$B$4,J21,1),2),7)+7*(N21-1))=J21,K21="",L21=""),DATE(Übersicht!$B$4,J21,1)+MOD(M21-WEEKDAY(DATE(Übersicht!$B$4,J21,1),2),7)+7*(N21-1),NA()),IF(I21="nthWeekdayOffsetDays",IF(AND(ISNUMBER(J21),J21=INT(J21),J21&gt;=1,J21&lt;=12,ISNUMBER(M21),M21=INT(M21),M21&gt;=1,M21&lt;=7,ISNUMBER(N21),N21=INT(N21),N21&gt;=1,N21&lt;=5,MONTH(DATE(Übersicht!$B$4,J21,1)+MOD(M21-WEEKDAY(DATE(Übersicht!$B$4,J21,1),2),7)+7*(N21-1))=J21,K21="",ISNUMBER(L21),L21=INT(L21),L21&gt;=-366,L21&lt;=366),DATE(Übersicht!$B$4,J21,1)+MOD(M21-WEEKDAY(DATE(Übersicht!$B$4,J21,1),2),7)+7*(N21-1)+L21,NA()),NA())))),NA())</f>
        <v>47058</v>
      </c>
      <c r="X21" s="14">
        <f t="shared" si="0"/>
        <v>47058</v>
      </c>
      <c r="Y21" s="10" t="s">
        <v>825</v>
      </c>
      <c r="Z21" s="10" t="s">
        <v>826</v>
      </c>
      <c r="AA21" s="24" t="s">
        <v>768</v>
      </c>
      <c r="AB21" s="1"/>
      <c r="AC21" s="1" t="s">
        <v>827</v>
      </c>
      <c r="AD21" s="1">
        <f>INT(AD20/31)</f>
        <v>4</v>
      </c>
    </row>
    <row r="22" spans="1:30" ht="38" customHeight="1">
      <c r="A22" s="11" t="s">
        <v>77</v>
      </c>
      <c r="B22" s="11" t="s">
        <v>67</v>
      </c>
      <c r="C22" s="11" t="s">
        <v>828</v>
      </c>
      <c r="D22" s="26" t="s">
        <v>771</v>
      </c>
      <c r="E22" s="26" t="s">
        <v>772</v>
      </c>
      <c r="F22" s="27"/>
      <c r="G22" s="27"/>
      <c r="H22" s="11" t="s">
        <v>812</v>
      </c>
      <c r="I22" s="11" t="s">
        <v>762</v>
      </c>
      <c r="J22" s="30">
        <v>1</v>
      </c>
      <c r="K22" s="30">
        <v>1</v>
      </c>
      <c r="L22" s="26"/>
      <c r="M22" s="26"/>
      <c r="N22" s="26"/>
      <c r="O22" s="31">
        <v>46023</v>
      </c>
      <c r="P22" s="31"/>
      <c r="Q22" s="26">
        <v>100</v>
      </c>
      <c r="R22" s="26" t="s">
        <v>69</v>
      </c>
      <c r="S22" s="11"/>
      <c r="T22" s="11" t="s">
        <v>764</v>
      </c>
      <c r="U22" s="11"/>
      <c r="V22" s="11" t="s">
        <v>813</v>
      </c>
      <c r="W22" s="15">
        <f>IF(AND(ISNUMBER(Übersicht!$B$4),Übersicht!$B$4=INT(Übersicht!$B$4),Übersicht!$B$4&gt;=2026,Übersicht!$B$4&lt;=2028),IF(I22="fixedMonthDay",IF(AND(ISNUMBER(J22),J22=INT(J22),J22&gt;=1,J22&lt;=12,ISNUMBER(K22),K22=INT(K22),K22&gt;=1,K22&lt;=31,MONTH(DATE(Übersicht!$B$4,J22,K22))=J22,DAY(DATE(Übersicht!$B$4,J22,K22))=K22,L22="",M22="",N22=""),DATE(Übersicht!$B$4,J22,K22),NA()),IF(I22="easterOffsetDays",IF(AND(ISNUMBER(L22),L22=INT(L22),L22&gt;=-366,L22&lt;=366,J22="",K22="",M22="",N22=""),$AD$23+L22,NA()),IF(I22="nthWeekdayOfMonth",IF(AND(ISNUMBER(J22),J22=INT(J22),J22&gt;=1,J22&lt;=12,ISNUMBER(M22),M22=INT(M22),M22&gt;=1,M22&lt;=7,ISNUMBER(N22),N22=INT(N22),N22&gt;=1,N22&lt;=5,MONTH(DATE(Übersicht!$B$4,J22,1)+MOD(M22-WEEKDAY(DATE(Übersicht!$B$4,J22,1),2),7)+7*(N22-1))=J22,K22="",L22=""),DATE(Übersicht!$B$4,J22,1)+MOD(M22-WEEKDAY(DATE(Übersicht!$B$4,J22,1),2),7)+7*(N22-1),NA()),IF(I22="nthWeekdayOffsetDays",IF(AND(ISNUMBER(J22),J22=INT(J22),J22&gt;=1,J22&lt;=12,ISNUMBER(M22),M22=INT(M22),M22&gt;=1,M22&lt;=7,ISNUMBER(N22),N22=INT(N22),N22&gt;=1,N22&lt;=5,MONTH(DATE(Übersicht!$B$4,J22,1)+MOD(M22-WEEKDAY(DATE(Übersicht!$B$4,J22,1),2),7)+7*(N22-1))=J22,K22="",ISNUMBER(L22),L22=INT(L22),L22&gt;=-366,L22&lt;=366),DATE(Übersicht!$B$4,J22,1)+MOD(M22-WEEKDAY(DATE(Übersicht!$B$4,J22,1),2),7)+7*(N22-1)+L22,NA()),NA())))),NA())</f>
        <v>46753</v>
      </c>
      <c r="X22" s="15">
        <f t="shared" si="0"/>
        <v>46753</v>
      </c>
      <c r="Y22" s="11" t="s">
        <v>814</v>
      </c>
      <c r="Z22" s="11" t="s">
        <v>829</v>
      </c>
      <c r="AA22" s="26" t="s">
        <v>768</v>
      </c>
      <c r="AB22" s="1"/>
      <c r="AC22" s="1" t="s">
        <v>830</v>
      </c>
      <c r="AD22" s="1">
        <f>MOD(AD20,31)+1</f>
        <v>16</v>
      </c>
    </row>
    <row r="23" spans="1:30" ht="38" customHeight="1">
      <c r="A23" s="10" t="s">
        <v>78</v>
      </c>
      <c r="B23" s="10" t="s">
        <v>67</v>
      </c>
      <c r="C23" s="10" t="s">
        <v>828</v>
      </c>
      <c r="D23" s="24" t="s">
        <v>776</v>
      </c>
      <c r="E23" s="24" t="s">
        <v>777</v>
      </c>
      <c r="F23" s="25"/>
      <c r="G23" s="25"/>
      <c r="H23" s="10" t="s">
        <v>812</v>
      </c>
      <c r="I23" s="10" t="s">
        <v>762</v>
      </c>
      <c r="J23" s="28">
        <v>1</v>
      </c>
      <c r="K23" s="28">
        <v>2</v>
      </c>
      <c r="L23" s="24"/>
      <c r="M23" s="24"/>
      <c r="N23" s="24"/>
      <c r="O23" s="29">
        <v>46023</v>
      </c>
      <c r="P23" s="29"/>
      <c r="Q23" s="24">
        <v>100</v>
      </c>
      <c r="R23" s="24" t="s">
        <v>69</v>
      </c>
      <c r="S23" s="10"/>
      <c r="T23" s="10" t="s">
        <v>764</v>
      </c>
      <c r="U23" s="10"/>
      <c r="V23" s="10" t="s">
        <v>813</v>
      </c>
      <c r="W23" s="14">
        <f>IF(AND(ISNUMBER(Übersicht!$B$4),Übersicht!$B$4=INT(Übersicht!$B$4),Übersicht!$B$4&gt;=2026,Übersicht!$B$4&lt;=2028),IF(I23="fixedMonthDay",IF(AND(ISNUMBER(J23),J23=INT(J23),J23&gt;=1,J23&lt;=12,ISNUMBER(K23),K23=INT(K23),K23&gt;=1,K23&lt;=31,MONTH(DATE(Übersicht!$B$4,J23,K23))=J23,DAY(DATE(Übersicht!$B$4,J23,K23))=K23,L23="",M23="",N23=""),DATE(Übersicht!$B$4,J23,K23),NA()),IF(I23="easterOffsetDays",IF(AND(ISNUMBER(L23),L23=INT(L23),L23&gt;=-366,L23&lt;=366,J23="",K23="",M23="",N23=""),$AD$23+L23,NA()),IF(I23="nthWeekdayOfMonth",IF(AND(ISNUMBER(J23),J23=INT(J23),J23&gt;=1,J23&lt;=12,ISNUMBER(M23),M23=INT(M23),M23&gt;=1,M23&lt;=7,ISNUMBER(N23),N23=INT(N23),N23&gt;=1,N23&lt;=5,MONTH(DATE(Übersicht!$B$4,J23,1)+MOD(M23-WEEKDAY(DATE(Übersicht!$B$4,J23,1),2),7)+7*(N23-1))=J23,K23="",L23=""),DATE(Übersicht!$B$4,J23,1)+MOD(M23-WEEKDAY(DATE(Übersicht!$B$4,J23,1),2),7)+7*(N23-1),NA()),IF(I23="nthWeekdayOffsetDays",IF(AND(ISNUMBER(J23),J23=INT(J23),J23&gt;=1,J23&lt;=12,ISNUMBER(M23),M23=INT(M23),M23&gt;=1,M23&lt;=7,ISNUMBER(N23),N23=INT(N23),N23&gt;=1,N23&lt;=5,MONTH(DATE(Übersicht!$B$4,J23,1)+MOD(M23-WEEKDAY(DATE(Übersicht!$B$4,J23,1),2),7)+7*(N23-1))=J23,K23="",ISNUMBER(L23),L23=INT(L23),L23&gt;=-366,L23&lt;=366),DATE(Übersicht!$B$4,J23,1)+MOD(M23-WEEKDAY(DATE(Übersicht!$B$4,J23,1),2),7)+7*(N23-1)+L23,NA()),NA())))),NA())</f>
        <v>46754</v>
      </c>
      <c r="X23" s="14">
        <f t="shared" si="0"/>
        <v>46754</v>
      </c>
      <c r="Y23" s="10" t="s">
        <v>814</v>
      </c>
      <c r="Z23" s="10" t="s">
        <v>829</v>
      </c>
      <c r="AA23" s="24" t="s">
        <v>768</v>
      </c>
      <c r="AB23" s="17"/>
      <c r="AC23" s="1" t="s">
        <v>831</v>
      </c>
      <c r="AD23" s="17">
        <f>DATE(AD7,AD21,AD22)</f>
        <v>46859</v>
      </c>
    </row>
    <row r="24" spans="1:30" ht="38" customHeight="1">
      <c r="A24" s="11" t="s">
        <v>79</v>
      </c>
      <c r="B24" s="11" t="s">
        <v>67</v>
      </c>
      <c r="C24" s="11" t="s">
        <v>828</v>
      </c>
      <c r="D24" s="26" t="s">
        <v>779</v>
      </c>
      <c r="E24" s="26" t="s">
        <v>780</v>
      </c>
      <c r="F24" s="27"/>
      <c r="G24" s="27"/>
      <c r="H24" s="11" t="s">
        <v>812</v>
      </c>
      <c r="I24" s="11" t="s">
        <v>781</v>
      </c>
      <c r="J24" s="30"/>
      <c r="K24" s="30"/>
      <c r="L24" s="26">
        <v>-2</v>
      </c>
      <c r="M24" s="26"/>
      <c r="N24" s="26"/>
      <c r="O24" s="31">
        <v>46023</v>
      </c>
      <c r="P24" s="31"/>
      <c r="Q24" s="26">
        <v>100</v>
      </c>
      <c r="R24" s="26" t="s">
        <v>69</v>
      </c>
      <c r="S24" s="11"/>
      <c r="T24" s="11" t="s">
        <v>764</v>
      </c>
      <c r="U24" s="11"/>
      <c r="V24" s="11" t="s">
        <v>813</v>
      </c>
      <c r="W24" s="15">
        <f>IF(AND(ISNUMBER(Übersicht!$B$4),Übersicht!$B$4=INT(Übersicht!$B$4),Übersicht!$B$4&gt;=2026,Übersicht!$B$4&lt;=2028),IF(I24="fixedMonthDay",IF(AND(ISNUMBER(J24),J24=INT(J24),J24&gt;=1,J24&lt;=12,ISNUMBER(K24),K24=INT(K24),K24&gt;=1,K24&lt;=31,MONTH(DATE(Übersicht!$B$4,J24,K24))=J24,DAY(DATE(Übersicht!$B$4,J24,K24))=K24,L24="",M24="",N24=""),DATE(Übersicht!$B$4,J24,K24),NA()),IF(I24="easterOffsetDays",IF(AND(ISNUMBER(L24),L24=INT(L24),L24&gt;=-366,L24&lt;=366,J24="",K24="",M24="",N24=""),$AD$23+L24,NA()),IF(I24="nthWeekdayOfMonth",IF(AND(ISNUMBER(J24),J24=INT(J24),J24&gt;=1,J24&lt;=12,ISNUMBER(M24),M24=INT(M24),M24&gt;=1,M24&lt;=7,ISNUMBER(N24),N24=INT(N24),N24&gt;=1,N24&lt;=5,MONTH(DATE(Übersicht!$B$4,J24,1)+MOD(M24-WEEKDAY(DATE(Übersicht!$B$4,J24,1),2),7)+7*(N24-1))=J24,K24="",L24=""),DATE(Übersicht!$B$4,J24,1)+MOD(M24-WEEKDAY(DATE(Übersicht!$B$4,J24,1),2),7)+7*(N24-1),NA()),IF(I24="nthWeekdayOffsetDays",IF(AND(ISNUMBER(J24),J24=INT(J24),J24&gt;=1,J24&lt;=12,ISNUMBER(M24),M24=INT(M24),M24&gt;=1,M24&lt;=7,ISNUMBER(N24),N24=INT(N24),N24&gt;=1,N24&lt;=5,MONTH(DATE(Übersicht!$B$4,J24,1)+MOD(M24-WEEKDAY(DATE(Übersicht!$B$4,J24,1),2),7)+7*(N24-1))=J24,K24="",ISNUMBER(L24),L24=INT(L24),L24&gt;=-366,L24&lt;=366),DATE(Übersicht!$B$4,J24,1)+MOD(M24-WEEKDAY(DATE(Übersicht!$B$4,J24,1),2),7)+7*(N24-1)+L24,NA()),NA())))),NA())</f>
        <v>46857</v>
      </c>
      <c r="X24" s="15">
        <f t="shared" si="0"/>
        <v>46857</v>
      </c>
      <c r="Y24" s="11" t="s">
        <v>814</v>
      </c>
      <c r="Z24" s="11" t="s">
        <v>829</v>
      </c>
      <c r="AA24" s="26" t="s">
        <v>768</v>
      </c>
    </row>
    <row r="25" spans="1:30" ht="38" customHeight="1">
      <c r="A25" s="10" t="s">
        <v>80</v>
      </c>
      <c r="B25" s="10" t="s">
        <v>67</v>
      </c>
      <c r="C25" s="10" t="s">
        <v>828</v>
      </c>
      <c r="D25" s="24" t="s">
        <v>787</v>
      </c>
      <c r="E25" s="24" t="s">
        <v>788</v>
      </c>
      <c r="F25" s="25"/>
      <c r="G25" s="25"/>
      <c r="H25" s="10" t="s">
        <v>812</v>
      </c>
      <c r="I25" s="10" t="s">
        <v>781</v>
      </c>
      <c r="J25" s="28"/>
      <c r="K25" s="28"/>
      <c r="L25" s="24">
        <v>1</v>
      </c>
      <c r="M25" s="24"/>
      <c r="N25" s="24"/>
      <c r="O25" s="29">
        <v>46023</v>
      </c>
      <c r="P25" s="29"/>
      <c r="Q25" s="24">
        <v>100</v>
      </c>
      <c r="R25" s="24" t="s">
        <v>69</v>
      </c>
      <c r="S25" s="10"/>
      <c r="T25" s="10" t="s">
        <v>764</v>
      </c>
      <c r="U25" s="10"/>
      <c r="V25" s="10" t="s">
        <v>813</v>
      </c>
      <c r="W25" s="14">
        <f>IF(AND(ISNUMBER(Übersicht!$B$4),Übersicht!$B$4=INT(Übersicht!$B$4),Übersicht!$B$4&gt;=2026,Übersicht!$B$4&lt;=2028),IF(I25="fixedMonthDay",IF(AND(ISNUMBER(J25),J25=INT(J25),J25&gt;=1,J25&lt;=12,ISNUMBER(K25),K25=INT(K25),K25&gt;=1,K25&lt;=31,MONTH(DATE(Übersicht!$B$4,J25,K25))=J25,DAY(DATE(Übersicht!$B$4,J25,K25))=K25,L25="",M25="",N25=""),DATE(Übersicht!$B$4,J25,K25),NA()),IF(I25="easterOffsetDays",IF(AND(ISNUMBER(L25),L25=INT(L25),L25&gt;=-366,L25&lt;=366,J25="",K25="",M25="",N25=""),$AD$23+L25,NA()),IF(I25="nthWeekdayOfMonth",IF(AND(ISNUMBER(J25),J25=INT(J25),J25&gt;=1,J25&lt;=12,ISNUMBER(M25),M25=INT(M25),M25&gt;=1,M25&lt;=7,ISNUMBER(N25),N25=INT(N25),N25&gt;=1,N25&lt;=5,MONTH(DATE(Übersicht!$B$4,J25,1)+MOD(M25-WEEKDAY(DATE(Übersicht!$B$4,J25,1),2),7)+7*(N25-1))=J25,K25="",L25=""),DATE(Übersicht!$B$4,J25,1)+MOD(M25-WEEKDAY(DATE(Übersicht!$B$4,J25,1),2),7)+7*(N25-1),NA()),IF(I25="nthWeekdayOffsetDays",IF(AND(ISNUMBER(J25),J25=INT(J25),J25&gt;=1,J25&lt;=12,ISNUMBER(M25),M25=INT(M25),M25&gt;=1,M25&lt;=7,ISNUMBER(N25),N25=INT(N25),N25&gt;=1,N25&lt;=5,MONTH(DATE(Übersicht!$B$4,J25,1)+MOD(M25-WEEKDAY(DATE(Übersicht!$B$4,J25,1),2),7)+7*(N25-1))=J25,K25="",ISNUMBER(L25),L25=INT(L25),L25&gt;=-366,L25&lt;=366),DATE(Übersicht!$B$4,J25,1)+MOD(M25-WEEKDAY(DATE(Übersicht!$B$4,J25,1),2),7)+7*(N25-1)+L25,NA()),NA())))),NA())</f>
        <v>46860</v>
      </c>
      <c r="X25" s="14">
        <f t="shared" si="0"/>
        <v>46860</v>
      </c>
      <c r="Y25" s="10" t="s">
        <v>814</v>
      </c>
      <c r="Z25" s="10" t="s">
        <v>829</v>
      </c>
      <c r="AA25" s="24" t="s">
        <v>768</v>
      </c>
    </row>
    <row r="26" spans="1:30" ht="38" customHeight="1">
      <c r="A26" s="11" t="s">
        <v>81</v>
      </c>
      <c r="B26" s="11" t="s">
        <v>67</v>
      </c>
      <c r="C26" s="11" t="s">
        <v>828</v>
      </c>
      <c r="D26" s="26" t="s">
        <v>790</v>
      </c>
      <c r="E26" s="26" t="s">
        <v>791</v>
      </c>
      <c r="F26" s="27"/>
      <c r="G26" s="27"/>
      <c r="H26" s="11" t="s">
        <v>812</v>
      </c>
      <c r="I26" s="11" t="s">
        <v>781</v>
      </c>
      <c r="J26" s="30"/>
      <c r="K26" s="30"/>
      <c r="L26" s="26">
        <v>39</v>
      </c>
      <c r="M26" s="26"/>
      <c r="N26" s="26"/>
      <c r="O26" s="31">
        <v>46023</v>
      </c>
      <c r="P26" s="31"/>
      <c r="Q26" s="26">
        <v>100</v>
      </c>
      <c r="R26" s="26" t="s">
        <v>69</v>
      </c>
      <c r="S26" s="11"/>
      <c r="T26" s="11" t="s">
        <v>764</v>
      </c>
      <c r="U26" s="11"/>
      <c r="V26" s="11" t="s">
        <v>813</v>
      </c>
      <c r="W26" s="15">
        <f>IF(AND(ISNUMBER(Übersicht!$B$4),Übersicht!$B$4=INT(Übersicht!$B$4),Übersicht!$B$4&gt;=2026,Übersicht!$B$4&lt;=2028),IF(I26="fixedMonthDay",IF(AND(ISNUMBER(J26),J26=INT(J26),J26&gt;=1,J26&lt;=12,ISNUMBER(K26),K26=INT(K26),K26&gt;=1,K26&lt;=31,MONTH(DATE(Übersicht!$B$4,J26,K26))=J26,DAY(DATE(Übersicht!$B$4,J26,K26))=K26,L26="",M26="",N26=""),DATE(Übersicht!$B$4,J26,K26),NA()),IF(I26="easterOffsetDays",IF(AND(ISNUMBER(L26),L26=INT(L26),L26&gt;=-366,L26&lt;=366,J26="",K26="",M26="",N26=""),$AD$23+L26,NA()),IF(I26="nthWeekdayOfMonth",IF(AND(ISNUMBER(J26),J26=INT(J26),J26&gt;=1,J26&lt;=12,ISNUMBER(M26),M26=INT(M26),M26&gt;=1,M26&lt;=7,ISNUMBER(N26),N26=INT(N26),N26&gt;=1,N26&lt;=5,MONTH(DATE(Übersicht!$B$4,J26,1)+MOD(M26-WEEKDAY(DATE(Übersicht!$B$4,J26,1),2),7)+7*(N26-1))=J26,K26="",L26=""),DATE(Übersicht!$B$4,J26,1)+MOD(M26-WEEKDAY(DATE(Übersicht!$B$4,J26,1),2),7)+7*(N26-1),NA()),IF(I26="nthWeekdayOffsetDays",IF(AND(ISNUMBER(J26),J26=INT(J26),J26&gt;=1,J26&lt;=12,ISNUMBER(M26),M26=INT(M26),M26&gt;=1,M26&lt;=7,ISNUMBER(N26),N26=INT(N26),N26&gt;=1,N26&lt;=5,MONTH(DATE(Übersicht!$B$4,J26,1)+MOD(M26-WEEKDAY(DATE(Übersicht!$B$4,J26,1),2),7)+7*(N26-1))=J26,K26="",ISNUMBER(L26),L26=INT(L26),L26&gt;=-366,L26&lt;=366),DATE(Übersicht!$B$4,J26,1)+MOD(M26-WEEKDAY(DATE(Übersicht!$B$4,J26,1),2),7)+7*(N26-1)+L26,NA()),NA())))),NA())</f>
        <v>46898</v>
      </c>
      <c r="X26" s="15">
        <f t="shared" si="0"/>
        <v>46898</v>
      </c>
      <c r="Y26" s="11" t="s">
        <v>814</v>
      </c>
      <c r="Z26" s="11" t="s">
        <v>829</v>
      </c>
      <c r="AA26" s="26" t="s">
        <v>768</v>
      </c>
    </row>
    <row r="27" spans="1:30" ht="38" customHeight="1">
      <c r="A27" s="10" t="s">
        <v>82</v>
      </c>
      <c r="B27" s="10" t="s">
        <v>67</v>
      </c>
      <c r="C27" s="10" t="s">
        <v>828</v>
      </c>
      <c r="D27" s="24" t="s">
        <v>796</v>
      </c>
      <c r="E27" s="24" t="s">
        <v>797</v>
      </c>
      <c r="F27" s="25"/>
      <c r="G27" s="25"/>
      <c r="H27" s="10" t="s">
        <v>812</v>
      </c>
      <c r="I27" s="10" t="s">
        <v>781</v>
      </c>
      <c r="J27" s="28"/>
      <c r="K27" s="28"/>
      <c r="L27" s="24">
        <v>50</v>
      </c>
      <c r="M27" s="24"/>
      <c r="N27" s="24"/>
      <c r="O27" s="29">
        <v>46023</v>
      </c>
      <c r="P27" s="29"/>
      <c r="Q27" s="24">
        <v>100</v>
      </c>
      <c r="R27" s="24" t="s">
        <v>69</v>
      </c>
      <c r="S27" s="10"/>
      <c r="T27" s="10" t="s">
        <v>764</v>
      </c>
      <c r="U27" s="10"/>
      <c r="V27" s="10" t="s">
        <v>813</v>
      </c>
      <c r="W27" s="14">
        <f>IF(AND(ISNUMBER(Übersicht!$B$4),Übersicht!$B$4=INT(Übersicht!$B$4),Übersicht!$B$4&gt;=2026,Übersicht!$B$4&lt;=2028),IF(I27="fixedMonthDay",IF(AND(ISNUMBER(J27),J27=INT(J27),J27&gt;=1,J27&lt;=12,ISNUMBER(K27),K27=INT(K27),K27&gt;=1,K27&lt;=31,MONTH(DATE(Übersicht!$B$4,J27,K27))=J27,DAY(DATE(Übersicht!$B$4,J27,K27))=K27,L27="",M27="",N27=""),DATE(Übersicht!$B$4,J27,K27),NA()),IF(I27="easterOffsetDays",IF(AND(ISNUMBER(L27),L27=INT(L27),L27&gt;=-366,L27&lt;=366,J27="",K27="",M27="",N27=""),$AD$23+L27,NA()),IF(I27="nthWeekdayOfMonth",IF(AND(ISNUMBER(J27),J27=INT(J27),J27&gt;=1,J27&lt;=12,ISNUMBER(M27),M27=INT(M27),M27&gt;=1,M27&lt;=7,ISNUMBER(N27),N27=INT(N27),N27&gt;=1,N27&lt;=5,MONTH(DATE(Übersicht!$B$4,J27,1)+MOD(M27-WEEKDAY(DATE(Übersicht!$B$4,J27,1),2),7)+7*(N27-1))=J27,K27="",L27=""),DATE(Übersicht!$B$4,J27,1)+MOD(M27-WEEKDAY(DATE(Übersicht!$B$4,J27,1),2),7)+7*(N27-1),NA()),IF(I27="nthWeekdayOffsetDays",IF(AND(ISNUMBER(J27),J27=INT(J27),J27&gt;=1,J27&lt;=12,ISNUMBER(M27),M27=INT(M27),M27&gt;=1,M27&lt;=7,ISNUMBER(N27),N27=INT(N27),N27&gt;=1,N27&lt;=5,MONTH(DATE(Übersicht!$B$4,J27,1)+MOD(M27-WEEKDAY(DATE(Übersicht!$B$4,J27,1),2),7)+7*(N27-1))=J27,K27="",ISNUMBER(L27),L27=INT(L27),L27&gt;=-366,L27&lt;=366),DATE(Übersicht!$B$4,J27,1)+MOD(M27-WEEKDAY(DATE(Übersicht!$B$4,J27,1),2),7)+7*(N27-1)+L27,NA()),NA())))),NA())</f>
        <v>46909</v>
      </c>
      <c r="X27" s="14">
        <f t="shared" si="0"/>
        <v>46909</v>
      </c>
      <c r="Y27" s="10" t="s">
        <v>814</v>
      </c>
      <c r="Z27" s="10" t="s">
        <v>829</v>
      </c>
      <c r="AA27" s="24" t="s">
        <v>768</v>
      </c>
    </row>
    <row r="28" spans="1:30" ht="38" customHeight="1">
      <c r="A28" s="11" t="s">
        <v>83</v>
      </c>
      <c r="B28" s="11" t="s">
        <v>67</v>
      </c>
      <c r="C28" s="11" t="s">
        <v>828</v>
      </c>
      <c r="D28" s="26" t="s">
        <v>803</v>
      </c>
      <c r="E28" s="26" t="s">
        <v>804</v>
      </c>
      <c r="F28" s="27"/>
      <c r="G28" s="27"/>
      <c r="H28" s="11" t="s">
        <v>812</v>
      </c>
      <c r="I28" s="11" t="s">
        <v>762</v>
      </c>
      <c r="J28" s="30">
        <v>12</v>
      </c>
      <c r="K28" s="30">
        <v>25</v>
      </c>
      <c r="L28" s="26"/>
      <c r="M28" s="26"/>
      <c r="N28" s="26"/>
      <c r="O28" s="31">
        <v>46023</v>
      </c>
      <c r="P28" s="31"/>
      <c r="Q28" s="26">
        <v>100</v>
      </c>
      <c r="R28" s="26" t="s">
        <v>69</v>
      </c>
      <c r="S28" s="11"/>
      <c r="T28" s="11" t="s">
        <v>764</v>
      </c>
      <c r="U28" s="11"/>
      <c r="V28" s="11" t="s">
        <v>813</v>
      </c>
      <c r="W28" s="15">
        <f>IF(AND(ISNUMBER(Übersicht!$B$4),Übersicht!$B$4=INT(Übersicht!$B$4),Übersicht!$B$4&gt;=2026,Übersicht!$B$4&lt;=2028),IF(I28="fixedMonthDay",IF(AND(ISNUMBER(J28),J28=INT(J28),J28&gt;=1,J28&lt;=12,ISNUMBER(K28),K28=INT(K28),K28&gt;=1,K28&lt;=31,MONTH(DATE(Übersicht!$B$4,J28,K28))=J28,DAY(DATE(Übersicht!$B$4,J28,K28))=K28,L28="",M28="",N28=""),DATE(Übersicht!$B$4,J28,K28),NA()),IF(I28="easterOffsetDays",IF(AND(ISNUMBER(L28),L28=INT(L28),L28&gt;=-366,L28&lt;=366,J28="",K28="",M28="",N28=""),$AD$23+L28,NA()),IF(I28="nthWeekdayOfMonth",IF(AND(ISNUMBER(J28),J28=INT(J28),J28&gt;=1,J28&lt;=12,ISNUMBER(M28),M28=INT(M28),M28&gt;=1,M28&lt;=7,ISNUMBER(N28),N28=INT(N28),N28&gt;=1,N28&lt;=5,MONTH(DATE(Übersicht!$B$4,J28,1)+MOD(M28-WEEKDAY(DATE(Übersicht!$B$4,J28,1),2),7)+7*(N28-1))=J28,K28="",L28=""),DATE(Übersicht!$B$4,J28,1)+MOD(M28-WEEKDAY(DATE(Übersicht!$B$4,J28,1),2),7)+7*(N28-1),NA()),IF(I28="nthWeekdayOffsetDays",IF(AND(ISNUMBER(J28),J28=INT(J28),J28&gt;=1,J28&lt;=12,ISNUMBER(M28),M28=INT(M28),M28&gt;=1,M28&lt;=7,ISNUMBER(N28),N28=INT(N28),N28&gt;=1,N28&lt;=5,MONTH(DATE(Übersicht!$B$4,J28,1)+MOD(M28-WEEKDAY(DATE(Übersicht!$B$4,J28,1),2),7)+7*(N28-1))=J28,K28="",ISNUMBER(L28),L28=INT(L28),L28&gt;=-366,L28&lt;=366),DATE(Übersicht!$B$4,J28,1)+MOD(M28-WEEKDAY(DATE(Übersicht!$B$4,J28,1),2),7)+7*(N28-1)+L28,NA()),NA())))),NA())</f>
        <v>47112</v>
      </c>
      <c r="X28" s="15">
        <f t="shared" si="0"/>
        <v>47112</v>
      </c>
      <c r="Y28" s="11" t="s">
        <v>814</v>
      </c>
      <c r="Z28" s="11" t="s">
        <v>829</v>
      </c>
      <c r="AA28" s="26" t="s">
        <v>768</v>
      </c>
    </row>
    <row r="29" spans="1:30" ht="38" customHeight="1">
      <c r="A29" s="10" t="s">
        <v>84</v>
      </c>
      <c r="B29" s="10" t="s">
        <v>67</v>
      </c>
      <c r="C29" s="10" t="s">
        <v>828</v>
      </c>
      <c r="D29" s="24" t="s">
        <v>806</v>
      </c>
      <c r="E29" s="24" t="s">
        <v>807</v>
      </c>
      <c r="F29" s="25"/>
      <c r="G29" s="25"/>
      <c r="H29" s="10" t="s">
        <v>812</v>
      </c>
      <c r="I29" s="10" t="s">
        <v>762</v>
      </c>
      <c r="J29" s="28">
        <v>12</v>
      </c>
      <c r="K29" s="28">
        <v>26</v>
      </c>
      <c r="L29" s="24"/>
      <c r="M29" s="24"/>
      <c r="N29" s="24"/>
      <c r="O29" s="29">
        <v>46023</v>
      </c>
      <c r="P29" s="29"/>
      <c r="Q29" s="24">
        <v>100</v>
      </c>
      <c r="R29" s="24" t="s">
        <v>69</v>
      </c>
      <c r="S29" s="10"/>
      <c r="T29" s="10" t="s">
        <v>764</v>
      </c>
      <c r="U29" s="10"/>
      <c r="V29" s="10" t="s">
        <v>813</v>
      </c>
      <c r="W29" s="14">
        <f>IF(AND(ISNUMBER(Übersicht!$B$4),Übersicht!$B$4=INT(Übersicht!$B$4),Übersicht!$B$4&gt;=2026,Übersicht!$B$4&lt;=2028),IF(I29="fixedMonthDay",IF(AND(ISNUMBER(J29),J29=INT(J29),J29&gt;=1,J29&lt;=12,ISNUMBER(K29),K29=INT(K29),K29&gt;=1,K29&lt;=31,MONTH(DATE(Übersicht!$B$4,J29,K29))=J29,DAY(DATE(Übersicht!$B$4,J29,K29))=K29,L29="",M29="",N29=""),DATE(Übersicht!$B$4,J29,K29),NA()),IF(I29="easterOffsetDays",IF(AND(ISNUMBER(L29),L29=INT(L29),L29&gt;=-366,L29&lt;=366,J29="",K29="",M29="",N29=""),$AD$23+L29,NA()),IF(I29="nthWeekdayOfMonth",IF(AND(ISNUMBER(J29),J29=INT(J29),J29&gt;=1,J29&lt;=12,ISNUMBER(M29),M29=INT(M29),M29&gt;=1,M29&lt;=7,ISNUMBER(N29),N29=INT(N29),N29&gt;=1,N29&lt;=5,MONTH(DATE(Übersicht!$B$4,J29,1)+MOD(M29-WEEKDAY(DATE(Übersicht!$B$4,J29,1),2),7)+7*(N29-1))=J29,K29="",L29=""),DATE(Übersicht!$B$4,J29,1)+MOD(M29-WEEKDAY(DATE(Übersicht!$B$4,J29,1),2),7)+7*(N29-1),NA()),IF(I29="nthWeekdayOffsetDays",IF(AND(ISNUMBER(J29),J29=INT(J29),J29&gt;=1,J29&lt;=12,ISNUMBER(M29),M29=INT(M29),M29&gt;=1,M29&lt;=7,ISNUMBER(N29),N29=INT(N29),N29&gt;=1,N29&lt;=5,MONTH(DATE(Übersicht!$B$4,J29,1)+MOD(M29-WEEKDAY(DATE(Übersicht!$B$4,J29,1),2),7)+7*(N29-1))=J29,K29="",ISNUMBER(L29),L29=INT(L29),L29&gt;=-366,L29&lt;=366),DATE(Übersicht!$B$4,J29,1)+MOD(M29-WEEKDAY(DATE(Übersicht!$B$4,J29,1),2),7)+7*(N29-1)+L29,NA()),NA())))),NA())</f>
        <v>47113</v>
      </c>
      <c r="X29" s="14">
        <f t="shared" si="0"/>
        <v>47113</v>
      </c>
      <c r="Y29" s="10" t="s">
        <v>814</v>
      </c>
      <c r="Z29" s="10" t="s">
        <v>829</v>
      </c>
      <c r="AA29" s="24" t="s">
        <v>768</v>
      </c>
    </row>
    <row r="30" spans="1:30" ht="38" customHeight="1">
      <c r="A30" s="11" t="s">
        <v>85</v>
      </c>
      <c r="B30" s="11" t="s">
        <v>67</v>
      </c>
      <c r="C30" s="11" t="s">
        <v>817</v>
      </c>
      <c r="D30" s="26" t="s">
        <v>771</v>
      </c>
      <c r="E30" s="26" t="s">
        <v>772</v>
      </c>
      <c r="F30" s="27"/>
      <c r="G30" s="27"/>
      <c r="H30" s="11" t="s">
        <v>812</v>
      </c>
      <c r="I30" s="11" t="s">
        <v>762</v>
      </c>
      <c r="J30" s="30">
        <v>1</v>
      </c>
      <c r="K30" s="30">
        <v>1</v>
      </c>
      <c r="L30" s="26"/>
      <c r="M30" s="26"/>
      <c r="N30" s="26"/>
      <c r="O30" s="31">
        <v>46023</v>
      </c>
      <c r="P30" s="31"/>
      <c r="Q30" s="26">
        <v>100</v>
      </c>
      <c r="R30" s="26" t="s">
        <v>69</v>
      </c>
      <c r="S30" s="11"/>
      <c r="T30" s="11" t="s">
        <v>764</v>
      </c>
      <c r="U30" s="11"/>
      <c r="V30" s="11" t="s">
        <v>813</v>
      </c>
      <c r="W30" s="15">
        <f>IF(AND(ISNUMBER(Übersicht!$B$4),Übersicht!$B$4=INT(Übersicht!$B$4),Übersicht!$B$4&gt;=2026,Übersicht!$B$4&lt;=2028),IF(I30="fixedMonthDay",IF(AND(ISNUMBER(J30),J30=INT(J30),J30&gt;=1,J30&lt;=12,ISNUMBER(K30),K30=INT(K30),K30&gt;=1,K30&lt;=31,MONTH(DATE(Übersicht!$B$4,J30,K30))=J30,DAY(DATE(Übersicht!$B$4,J30,K30))=K30,L30="",M30="",N30=""),DATE(Übersicht!$B$4,J30,K30),NA()),IF(I30="easterOffsetDays",IF(AND(ISNUMBER(L30),L30=INT(L30),L30&gt;=-366,L30&lt;=366,J30="",K30="",M30="",N30=""),$AD$23+L30,NA()),IF(I30="nthWeekdayOfMonth",IF(AND(ISNUMBER(J30),J30=INT(J30),J30&gt;=1,J30&lt;=12,ISNUMBER(M30),M30=INT(M30),M30&gt;=1,M30&lt;=7,ISNUMBER(N30),N30=INT(N30),N30&gt;=1,N30&lt;=5,MONTH(DATE(Übersicht!$B$4,J30,1)+MOD(M30-WEEKDAY(DATE(Übersicht!$B$4,J30,1),2),7)+7*(N30-1))=J30,K30="",L30=""),DATE(Übersicht!$B$4,J30,1)+MOD(M30-WEEKDAY(DATE(Übersicht!$B$4,J30,1),2),7)+7*(N30-1),NA()),IF(I30="nthWeekdayOffsetDays",IF(AND(ISNUMBER(J30),J30=INT(J30),J30&gt;=1,J30&lt;=12,ISNUMBER(M30),M30=INT(M30),M30&gt;=1,M30&lt;=7,ISNUMBER(N30),N30=INT(N30),N30&gt;=1,N30&lt;=5,MONTH(DATE(Übersicht!$B$4,J30,1)+MOD(M30-WEEKDAY(DATE(Übersicht!$B$4,J30,1),2),7)+7*(N30-1))=J30,K30="",ISNUMBER(L30),L30=INT(L30),L30&gt;=-366,L30&lt;=366),DATE(Übersicht!$B$4,J30,1)+MOD(M30-WEEKDAY(DATE(Übersicht!$B$4,J30,1),2),7)+7*(N30-1)+L30,NA()),NA())))),NA())</f>
        <v>46753</v>
      </c>
      <c r="X30" s="15">
        <f t="shared" si="0"/>
        <v>46753</v>
      </c>
      <c r="Y30" s="11" t="s">
        <v>814</v>
      </c>
      <c r="Z30" s="11" t="s">
        <v>818</v>
      </c>
      <c r="AA30" s="26" t="s">
        <v>768</v>
      </c>
    </row>
    <row r="31" spans="1:30" ht="38" customHeight="1">
      <c r="A31" s="10" t="s">
        <v>86</v>
      </c>
      <c r="B31" s="10" t="s">
        <v>67</v>
      </c>
      <c r="C31" s="10" t="s">
        <v>817</v>
      </c>
      <c r="D31" s="24" t="s">
        <v>779</v>
      </c>
      <c r="E31" s="24" t="s">
        <v>780</v>
      </c>
      <c r="F31" s="25"/>
      <c r="G31" s="25"/>
      <c r="H31" s="10" t="s">
        <v>812</v>
      </c>
      <c r="I31" s="10" t="s">
        <v>781</v>
      </c>
      <c r="J31" s="28"/>
      <c r="K31" s="28"/>
      <c r="L31" s="24">
        <v>-2</v>
      </c>
      <c r="M31" s="24"/>
      <c r="N31" s="24"/>
      <c r="O31" s="29">
        <v>46023</v>
      </c>
      <c r="P31" s="29"/>
      <c r="Q31" s="24">
        <v>100</v>
      </c>
      <c r="R31" s="24" t="s">
        <v>69</v>
      </c>
      <c r="S31" s="10"/>
      <c r="T31" s="10" t="s">
        <v>764</v>
      </c>
      <c r="U31" s="10"/>
      <c r="V31" s="10" t="s">
        <v>813</v>
      </c>
      <c r="W31" s="14">
        <f>IF(AND(ISNUMBER(Übersicht!$B$4),Übersicht!$B$4=INT(Übersicht!$B$4),Übersicht!$B$4&gt;=2026,Übersicht!$B$4&lt;=2028),IF(I31="fixedMonthDay",IF(AND(ISNUMBER(J31),J31=INT(J31),J31&gt;=1,J31&lt;=12,ISNUMBER(K31),K31=INT(K31),K31&gt;=1,K31&lt;=31,MONTH(DATE(Übersicht!$B$4,J31,K31))=J31,DAY(DATE(Übersicht!$B$4,J31,K31))=K31,L31="",M31="",N31=""),DATE(Übersicht!$B$4,J31,K31),NA()),IF(I31="easterOffsetDays",IF(AND(ISNUMBER(L31),L31=INT(L31),L31&gt;=-366,L31&lt;=366,J31="",K31="",M31="",N31=""),$AD$23+L31,NA()),IF(I31="nthWeekdayOfMonth",IF(AND(ISNUMBER(J31),J31=INT(J31),J31&gt;=1,J31&lt;=12,ISNUMBER(M31),M31=INT(M31),M31&gt;=1,M31&lt;=7,ISNUMBER(N31),N31=INT(N31),N31&gt;=1,N31&lt;=5,MONTH(DATE(Übersicht!$B$4,J31,1)+MOD(M31-WEEKDAY(DATE(Übersicht!$B$4,J31,1),2),7)+7*(N31-1))=J31,K31="",L31=""),DATE(Übersicht!$B$4,J31,1)+MOD(M31-WEEKDAY(DATE(Übersicht!$B$4,J31,1),2),7)+7*(N31-1),NA()),IF(I31="nthWeekdayOffsetDays",IF(AND(ISNUMBER(J31),J31=INT(J31),J31&gt;=1,J31&lt;=12,ISNUMBER(M31),M31=INT(M31),M31&gt;=1,M31&lt;=7,ISNUMBER(N31),N31=INT(N31),N31&gt;=1,N31&lt;=5,MONTH(DATE(Übersicht!$B$4,J31,1)+MOD(M31-WEEKDAY(DATE(Übersicht!$B$4,J31,1),2),7)+7*(N31-1))=J31,K31="",ISNUMBER(L31),L31=INT(L31),L31&gt;=-366,L31&lt;=366),DATE(Übersicht!$B$4,J31,1)+MOD(M31-WEEKDAY(DATE(Übersicht!$B$4,J31,1),2),7)+7*(N31-1)+L31,NA()),NA())))),NA())</f>
        <v>46857</v>
      </c>
      <c r="X31" s="14">
        <f t="shared" si="0"/>
        <v>46857</v>
      </c>
      <c r="Y31" s="10" t="s">
        <v>814</v>
      </c>
      <c r="Z31" s="10" t="s">
        <v>818</v>
      </c>
      <c r="AA31" s="24" t="s">
        <v>768</v>
      </c>
    </row>
    <row r="32" spans="1:30" ht="38" customHeight="1">
      <c r="A32" s="11" t="s">
        <v>87</v>
      </c>
      <c r="B32" s="11" t="s">
        <v>67</v>
      </c>
      <c r="C32" s="11" t="s">
        <v>817</v>
      </c>
      <c r="D32" s="26" t="s">
        <v>787</v>
      </c>
      <c r="E32" s="26" t="s">
        <v>788</v>
      </c>
      <c r="F32" s="27"/>
      <c r="G32" s="27"/>
      <c r="H32" s="11" t="s">
        <v>812</v>
      </c>
      <c r="I32" s="11" t="s">
        <v>781</v>
      </c>
      <c r="J32" s="30"/>
      <c r="K32" s="30"/>
      <c r="L32" s="26">
        <v>1</v>
      </c>
      <c r="M32" s="26"/>
      <c r="N32" s="26"/>
      <c r="O32" s="31">
        <v>46023</v>
      </c>
      <c r="P32" s="31"/>
      <c r="Q32" s="26">
        <v>100</v>
      </c>
      <c r="R32" s="26" t="s">
        <v>69</v>
      </c>
      <c r="S32" s="11"/>
      <c r="T32" s="11" t="s">
        <v>764</v>
      </c>
      <c r="U32" s="11"/>
      <c r="V32" s="11" t="s">
        <v>813</v>
      </c>
      <c r="W32" s="15">
        <f>IF(AND(ISNUMBER(Übersicht!$B$4),Übersicht!$B$4=INT(Übersicht!$B$4),Übersicht!$B$4&gt;=2026,Übersicht!$B$4&lt;=2028),IF(I32="fixedMonthDay",IF(AND(ISNUMBER(J32),J32=INT(J32),J32&gt;=1,J32&lt;=12,ISNUMBER(K32),K32=INT(K32),K32&gt;=1,K32&lt;=31,MONTH(DATE(Übersicht!$B$4,J32,K32))=J32,DAY(DATE(Übersicht!$B$4,J32,K32))=K32,L32="",M32="",N32=""),DATE(Übersicht!$B$4,J32,K32),NA()),IF(I32="easterOffsetDays",IF(AND(ISNUMBER(L32),L32=INT(L32),L32&gt;=-366,L32&lt;=366,J32="",K32="",M32="",N32=""),$AD$23+L32,NA()),IF(I32="nthWeekdayOfMonth",IF(AND(ISNUMBER(J32),J32=INT(J32),J32&gt;=1,J32&lt;=12,ISNUMBER(M32),M32=INT(M32),M32&gt;=1,M32&lt;=7,ISNUMBER(N32),N32=INT(N32),N32&gt;=1,N32&lt;=5,MONTH(DATE(Übersicht!$B$4,J32,1)+MOD(M32-WEEKDAY(DATE(Übersicht!$B$4,J32,1),2),7)+7*(N32-1))=J32,K32="",L32=""),DATE(Übersicht!$B$4,J32,1)+MOD(M32-WEEKDAY(DATE(Übersicht!$B$4,J32,1),2),7)+7*(N32-1),NA()),IF(I32="nthWeekdayOffsetDays",IF(AND(ISNUMBER(J32),J32=INT(J32),J32&gt;=1,J32&lt;=12,ISNUMBER(M32),M32=INT(M32),M32&gt;=1,M32&lt;=7,ISNUMBER(N32),N32=INT(N32),N32&gt;=1,N32&lt;=5,MONTH(DATE(Übersicht!$B$4,J32,1)+MOD(M32-WEEKDAY(DATE(Übersicht!$B$4,J32,1),2),7)+7*(N32-1))=J32,K32="",ISNUMBER(L32),L32=INT(L32),L32&gt;=-366,L32&lt;=366),DATE(Übersicht!$B$4,J32,1)+MOD(M32-WEEKDAY(DATE(Übersicht!$B$4,J32,1),2),7)+7*(N32-1)+L32,NA()),NA())))),NA())</f>
        <v>46860</v>
      </c>
      <c r="X32" s="15">
        <f t="shared" si="0"/>
        <v>46860</v>
      </c>
      <c r="Y32" s="11" t="s">
        <v>814</v>
      </c>
      <c r="Z32" s="11" t="s">
        <v>818</v>
      </c>
      <c r="AA32" s="26" t="s">
        <v>768</v>
      </c>
    </row>
    <row r="33" spans="1:27" ht="38" customHeight="1">
      <c r="A33" s="10" t="s">
        <v>88</v>
      </c>
      <c r="B33" s="10" t="s">
        <v>67</v>
      </c>
      <c r="C33" s="10" t="s">
        <v>817</v>
      </c>
      <c r="D33" s="24" t="s">
        <v>790</v>
      </c>
      <c r="E33" s="24" t="s">
        <v>791</v>
      </c>
      <c r="F33" s="25"/>
      <c r="G33" s="25"/>
      <c r="H33" s="10" t="s">
        <v>812</v>
      </c>
      <c r="I33" s="10" t="s">
        <v>781</v>
      </c>
      <c r="J33" s="28"/>
      <c r="K33" s="28"/>
      <c r="L33" s="24">
        <v>39</v>
      </c>
      <c r="M33" s="24"/>
      <c r="N33" s="24"/>
      <c r="O33" s="29">
        <v>46023</v>
      </c>
      <c r="P33" s="29"/>
      <c r="Q33" s="24">
        <v>100</v>
      </c>
      <c r="R33" s="24" t="s">
        <v>69</v>
      </c>
      <c r="S33" s="10"/>
      <c r="T33" s="10" t="s">
        <v>764</v>
      </c>
      <c r="U33" s="10"/>
      <c r="V33" s="10" t="s">
        <v>813</v>
      </c>
      <c r="W33" s="14">
        <f>IF(AND(ISNUMBER(Übersicht!$B$4),Übersicht!$B$4=INT(Übersicht!$B$4),Übersicht!$B$4&gt;=2026,Übersicht!$B$4&lt;=2028),IF(I33="fixedMonthDay",IF(AND(ISNUMBER(J33),J33=INT(J33),J33&gt;=1,J33&lt;=12,ISNUMBER(K33),K33=INT(K33),K33&gt;=1,K33&lt;=31,MONTH(DATE(Übersicht!$B$4,J33,K33))=J33,DAY(DATE(Übersicht!$B$4,J33,K33))=K33,L33="",M33="",N33=""),DATE(Übersicht!$B$4,J33,K33),NA()),IF(I33="easterOffsetDays",IF(AND(ISNUMBER(L33),L33=INT(L33),L33&gt;=-366,L33&lt;=366,J33="",K33="",M33="",N33=""),$AD$23+L33,NA()),IF(I33="nthWeekdayOfMonth",IF(AND(ISNUMBER(J33),J33=INT(J33),J33&gt;=1,J33&lt;=12,ISNUMBER(M33),M33=INT(M33),M33&gt;=1,M33&lt;=7,ISNUMBER(N33),N33=INT(N33),N33&gt;=1,N33&lt;=5,MONTH(DATE(Übersicht!$B$4,J33,1)+MOD(M33-WEEKDAY(DATE(Übersicht!$B$4,J33,1),2),7)+7*(N33-1))=J33,K33="",L33=""),DATE(Übersicht!$B$4,J33,1)+MOD(M33-WEEKDAY(DATE(Übersicht!$B$4,J33,1),2),7)+7*(N33-1),NA()),IF(I33="nthWeekdayOffsetDays",IF(AND(ISNUMBER(J33),J33=INT(J33),J33&gt;=1,J33&lt;=12,ISNUMBER(M33),M33=INT(M33),M33&gt;=1,M33&lt;=7,ISNUMBER(N33),N33=INT(N33),N33&gt;=1,N33&lt;=5,MONTH(DATE(Übersicht!$B$4,J33,1)+MOD(M33-WEEKDAY(DATE(Übersicht!$B$4,J33,1),2),7)+7*(N33-1))=J33,K33="",ISNUMBER(L33),L33=INT(L33),L33&gt;=-366,L33&lt;=366),DATE(Übersicht!$B$4,J33,1)+MOD(M33-WEEKDAY(DATE(Übersicht!$B$4,J33,1),2),7)+7*(N33-1)+L33,NA()),NA())))),NA())</f>
        <v>46898</v>
      </c>
      <c r="X33" s="14">
        <f t="shared" si="0"/>
        <v>46898</v>
      </c>
      <c r="Y33" s="10" t="s">
        <v>814</v>
      </c>
      <c r="Z33" s="10" t="s">
        <v>818</v>
      </c>
      <c r="AA33" s="24" t="s">
        <v>768</v>
      </c>
    </row>
    <row r="34" spans="1:27" ht="38" customHeight="1">
      <c r="A34" s="11" t="s">
        <v>89</v>
      </c>
      <c r="B34" s="11" t="s">
        <v>67</v>
      </c>
      <c r="C34" s="11" t="s">
        <v>817</v>
      </c>
      <c r="D34" s="26" t="s">
        <v>796</v>
      </c>
      <c r="E34" s="26" t="s">
        <v>797</v>
      </c>
      <c r="F34" s="27"/>
      <c r="G34" s="27"/>
      <c r="H34" s="11" t="s">
        <v>812</v>
      </c>
      <c r="I34" s="11" t="s">
        <v>781</v>
      </c>
      <c r="J34" s="30"/>
      <c r="K34" s="30"/>
      <c r="L34" s="26">
        <v>50</v>
      </c>
      <c r="M34" s="26"/>
      <c r="N34" s="26"/>
      <c r="O34" s="31">
        <v>46023</v>
      </c>
      <c r="P34" s="31"/>
      <c r="Q34" s="26">
        <v>100</v>
      </c>
      <c r="R34" s="26" t="s">
        <v>69</v>
      </c>
      <c r="S34" s="11"/>
      <c r="T34" s="11" t="s">
        <v>764</v>
      </c>
      <c r="U34" s="11"/>
      <c r="V34" s="11" t="s">
        <v>813</v>
      </c>
      <c r="W34" s="15">
        <f>IF(AND(ISNUMBER(Übersicht!$B$4),Übersicht!$B$4=INT(Übersicht!$B$4),Übersicht!$B$4&gt;=2026,Übersicht!$B$4&lt;=2028),IF(I34="fixedMonthDay",IF(AND(ISNUMBER(J34),J34=INT(J34),J34&gt;=1,J34&lt;=12,ISNUMBER(K34),K34=INT(K34),K34&gt;=1,K34&lt;=31,MONTH(DATE(Übersicht!$B$4,J34,K34))=J34,DAY(DATE(Übersicht!$B$4,J34,K34))=K34,L34="",M34="",N34=""),DATE(Übersicht!$B$4,J34,K34),NA()),IF(I34="easterOffsetDays",IF(AND(ISNUMBER(L34),L34=INT(L34),L34&gt;=-366,L34&lt;=366,J34="",K34="",M34="",N34=""),$AD$23+L34,NA()),IF(I34="nthWeekdayOfMonth",IF(AND(ISNUMBER(J34),J34=INT(J34),J34&gt;=1,J34&lt;=12,ISNUMBER(M34),M34=INT(M34),M34&gt;=1,M34&lt;=7,ISNUMBER(N34),N34=INT(N34),N34&gt;=1,N34&lt;=5,MONTH(DATE(Übersicht!$B$4,J34,1)+MOD(M34-WEEKDAY(DATE(Übersicht!$B$4,J34,1),2),7)+7*(N34-1))=J34,K34="",L34=""),DATE(Übersicht!$B$4,J34,1)+MOD(M34-WEEKDAY(DATE(Übersicht!$B$4,J34,1),2),7)+7*(N34-1),NA()),IF(I34="nthWeekdayOffsetDays",IF(AND(ISNUMBER(J34),J34=INT(J34),J34&gt;=1,J34&lt;=12,ISNUMBER(M34),M34=INT(M34),M34&gt;=1,M34&lt;=7,ISNUMBER(N34),N34=INT(N34),N34&gt;=1,N34&lt;=5,MONTH(DATE(Übersicht!$B$4,J34,1)+MOD(M34-WEEKDAY(DATE(Übersicht!$B$4,J34,1),2),7)+7*(N34-1))=J34,K34="",ISNUMBER(L34),L34=INT(L34),L34&gt;=-366,L34&lt;=366),DATE(Übersicht!$B$4,J34,1)+MOD(M34-WEEKDAY(DATE(Übersicht!$B$4,J34,1),2),7)+7*(N34-1)+L34,NA()),NA())))),NA())</f>
        <v>46909</v>
      </c>
      <c r="X34" s="15">
        <f t="shared" si="0"/>
        <v>46909</v>
      </c>
      <c r="Y34" s="11" t="s">
        <v>814</v>
      </c>
      <c r="Z34" s="11" t="s">
        <v>818</v>
      </c>
      <c r="AA34" s="26" t="s">
        <v>768</v>
      </c>
    </row>
    <row r="35" spans="1:27" ht="38" customHeight="1">
      <c r="A35" s="10" t="s">
        <v>90</v>
      </c>
      <c r="B35" s="10" t="s">
        <v>67</v>
      </c>
      <c r="C35" s="10" t="s">
        <v>817</v>
      </c>
      <c r="D35" s="24" t="s">
        <v>803</v>
      </c>
      <c r="E35" s="24" t="s">
        <v>804</v>
      </c>
      <c r="F35" s="25"/>
      <c r="G35" s="25"/>
      <c r="H35" s="10" t="s">
        <v>812</v>
      </c>
      <c r="I35" s="10" t="s">
        <v>762</v>
      </c>
      <c r="J35" s="28">
        <v>12</v>
      </c>
      <c r="K35" s="28">
        <v>25</v>
      </c>
      <c r="L35" s="24"/>
      <c r="M35" s="24"/>
      <c r="N35" s="24"/>
      <c r="O35" s="29">
        <v>46023</v>
      </c>
      <c r="P35" s="29"/>
      <c r="Q35" s="24">
        <v>100</v>
      </c>
      <c r="R35" s="24" t="s">
        <v>69</v>
      </c>
      <c r="S35" s="10"/>
      <c r="T35" s="10" t="s">
        <v>764</v>
      </c>
      <c r="U35" s="10"/>
      <c r="V35" s="10" t="s">
        <v>813</v>
      </c>
      <c r="W35" s="14">
        <f>IF(AND(ISNUMBER(Übersicht!$B$4),Übersicht!$B$4=INT(Übersicht!$B$4),Übersicht!$B$4&gt;=2026,Übersicht!$B$4&lt;=2028),IF(I35="fixedMonthDay",IF(AND(ISNUMBER(J35),J35=INT(J35),J35&gt;=1,J35&lt;=12,ISNUMBER(K35),K35=INT(K35),K35&gt;=1,K35&lt;=31,MONTH(DATE(Übersicht!$B$4,J35,K35))=J35,DAY(DATE(Übersicht!$B$4,J35,K35))=K35,L35="",M35="",N35=""),DATE(Übersicht!$B$4,J35,K35),NA()),IF(I35="easterOffsetDays",IF(AND(ISNUMBER(L35),L35=INT(L35),L35&gt;=-366,L35&lt;=366,J35="",K35="",M35="",N35=""),$AD$23+L35,NA()),IF(I35="nthWeekdayOfMonth",IF(AND(ISNUMBER(J35),J35=INT(J35),J35&gt;=1,J35&lt;=12,ISNUMBER(M35),M35=INT(M35),M35&gt;=1,M35&lt;=7,ISNUMBER(N35),N35=INT(N35),N35&gt;=1,N35&lt;=5,MONTH(DATE(Übersicht!$B$4,J35,1)+MOD(M35-WEEKDAY(DATE(Übersicht!$B$4,J35,1),2),7)+7*(N35-1))=J35,K35="",L35=""),DATE(Übersicht!$B$4,J35,1)+MOD(M35-WEEKDAY(DATE(Übersicht!$B$4,J35,1),2),7)+7*(N35-1),NA()),IF(I35="nthWeekdayOffsetDays",IF(AND(ISNUMBER(J35),J35=INT(J35),J35&gt;=1,J35&lt;=12,ISNUMBER(M35),M35=INT(M35),M35&gt;=1,M35&lt;=7,ISNUMBER(N35),N35=INT(N35),N35&gt;=1,N35&lt;=5,MONTH(DATE(Übersicht!$B$4,J35,1)+MOD(M35-WEEKDAY(DATE(Übersicht!$B$4,J35,1),2),7)+7*(N35-1))=J35,K35="",ISNUMBER(L35),L35=INT(L35),L35&gt;=-366,L35&lt;=366),DATE(Übersicht!$B$4,J35,1)+MOD(M35-WEEKDAY(DATE(Übersicht!$B$4,J35,1),2),7)+7*(N35-1)+L35,NA()),NA())))),NA())</f>
        <v>47112</v>
      </c>
      <c r="X35" s="14">
        <f t="shared" si="0"/>
        <v>47112</v>
      </c>
      <c r="Y35" s="10" t="s">
        <v>814</v>
      </c>
      <c r="Z35" s="10" t="s">
        <v>818</v>
      </c>
      <c r="AA35" s="24" t="s">
        <v>768</v>
      </c>
    </row>
    <row r="36" spans="1:27" ht="38" customHeight="1">
      <c r="A36" s="11" t="s">
        <v>91</v>
      </c>
      <c r="B36" s="11" t="s">
        <v>67</v>
      </c>
      <c r="C36" s="11" t="s">
        <v>817</v>
      </c>
      <c r="D36" s="26" t="s">
        <v>806</v>
      </c>
      <c r="E36" s="26" t="s">
        <v>807</v>
      </c>
      <c r="F36" s="27"/>
      <c r="G36" s="27"/>
      <c r="H36" s="11" t="s">
        <v>812</v>
      </c>
      <c r="I36" s="11" t="s">
        <v>762</v>
      </c>
      <c r="J36" s="30">
        <v>12</v>
      </c>
      <c r="K36" s="30">
        <v>26</v>
      </c>
      <c r="L36" s="26"/>
      <c r="M36" s="26"/>
      <c r="N36" s="26"/>
      <c r="O36" s="31">
        <v>46023</v>
      </c>
      <c r="P36" s="31"/>
      <c r="Q36" s="26">
        <v>100</v>
      </c>
      <c r="R36" s="26" t="s">
        <v>69</v>
      </c>
      <c r="S36" s="11"/>
      <c r="T36" s="11" t="s">
        <v>764</v>
      </c>
      <c r="U36" s="11"/>
      <c r="V36" s="11" t="s">
        <v>813</v>
      </c>
      <c r="W36" s="15">
        <f>IF(AND(ISNUMBER(Übersicht!$B$4),Übersicht!$B$4=INT(Übersicht!$B$4),Übersicht!$B$4&gt;=2026,Übersicht!$B$4&lt;=2028),IF(I36="fixedMonthDay",IF(AND(ISNUMBER(J36),J36=INT(J36),J36&gt;=1,J36&lt;=12,ISNUMBER(K36),K36=INT(K36),K36&gt;=1,K36&lt;=31,MONTH(DATE(Übersicht!$B$4,J36,K36))=J36,DAY(DATE(Übersicht!$B$4,J36,K36))=K36,L36="",M36="",N36=""),DATE(Übersicht!$B$4,J36,K36),NA()),IF(I36="easterOffsetDays",IF(AND(ISNUMBER(L36),L36=INT(L36),L36&gt;=-366,L36&lt;=366,J36="",K36="",M36="",N36=""),$AD$23+L36,NA()),IF(I36="nthWeekdayOfMonth",IF(AND(ISNUMBER(J36),J36=INT(J36),J36&gt;=1,J36&lt;=12,ISNUMBER(M36),M36=INT(M36),M36&gt;=1,M36&lt;=7,ISNUMBER(N36),N36=INT(N36),N36&gt;=1,N36&lt;=5,MONTH(DATE(Übersicht!$B$4,J36,1)+MOD(M36-WEEKDAY(DATE(Übersicht!$B$4,J36,1),2),7)+7*(N36-1))=J36,K36="",L36=""),DATE(Übersicht!$B$4,J36,1)+MOD(M36-WEEKDAY(DATE(Übersicht!$B$4,J36,1),2),7)+7*(N36-1),NA()),IF(I36="nthWeekdayOffsetDays",IF(AND(ISNUMBER(J36),J36=INT(J36),J36&gt;=1,J36&lt;=12,ISNUMBER(M36),M36=INT(M36),M36&gt;=1,M36&lt;=7,ISNUMBER(N36),N36=INT(N36),N36&gt;=1,N36&lt;=5,MONTH(DATE(Übersicht!$B$4,J36,1)+MOD(M36-WEEKDAY(DATE(Übersicht!$B$4,J36,1),2),7)+7*(N36-1))=J36,K36="",ISNUMBER(L36),L36=INT(L36),L36&gt;=-366,L36&lt;=366),DATE(Übersicht!$B$4,J36,1)+MOD(M36-WEEKDAY(DATE(Übersicht!$B$4,J36,1),2),7)+7*(N36-1)+L36,NA()),NA())))),NA())</f>
        <v>47113</v>
      </c>
      <c r="X36" s="15">
        <f t="shared" si="0"/>
        <v>47113</v>
      </c>
      <c r="Y36" s="11" t="s">
        <v>814</v>
      </c>
      <c r="Z36" s="11" t="s">
        <v>818</v>
      </c>
      <c r="AA36" s="26" t="s">
        <v>768</v>
      </c>
    </row>
    <row r="37" spans="1:27" ht="38" customHeight="1">
      <c r="A37" s="10" t="s">
        <v>92</v>
      </c>
      <c r="B37" s="10" t="s">
        <v>67</v>
      </c>
      <c r="C37" s="10" t="s">
        <v>809</v>
      </c>
      <c r="D37" s="24" t="s">
        <v>771</v>
      </c>
      <c r="E37" s="24" t="s">
        <v>772</v>
      </c>
      <c r="F37" s="25"/>
      <c r="G37" s="25"/>
      <c r="H37" s="10" t="s">
        <v>812</v>
      </c>
      <c r="I37" s="10" t="s">
        <v>762</v>
      </c>
      <c r="J37" s="28">
        <v>1</v>
      </c>
      <c r="K37" s="28">
        <v>1</v>
      </c>
      <c r="L37" s="24"/>
      <c r="M37" s="24"/>
      <c r="N37" s="24"/>
      <c r="O37" s="29">
        <v>46023</v>
      </c>
      <c r="P37" s="29"/>
      <c r="Q37" s="24">
        <v>100</v>
      </c>
      <c r="R37" s="24" t="s">
        <v>69</v>
      </c>
      <c r="S37" s="10"/>
      <c r="T37" s="10" t="s">
        <v>764</v>
      </c>
      <c r="U37" s="10"/>
      <c r="V37" s="10" t="s">
        <v>813</v>
      </c>
      <c r="W37" s="14">
        <f>IF(AND(ISNUMBER(Übersicht!$B$4),Übersicht!$B$4=INT(Übersicht!$B$4),Übersicht!$B$4&gt;=2026,Übersicht!$B$4&lt;=2028),IF(I37="fixedMonthDay",IF(AND(ISNUMBER(J37),J37=INT(J37),J37&gt;=1,J37&lt;=12,ISNUMBER(K37),K37=INT(K37),K37&gt;=1,K37&lt;=31,MONTH(DATE(Übersicht!$B$4,J37,K37))=J37,DAY(DATE(Übersicht!$B$4,J37,K37))=K37,L37="",M37="",N37=""),DATE(Übersicht!$B$4,J37,K37),NA()),IF(I37="easterOffsetDays",IF(AND(ISNUMBER(L37),L37=INT(L37),L37&gt;=-366,L37&lt;=366,J37="",K37="",M37="",N37=""),$AD$23+L37,NA()),IF(I37="nthWeekdayOfMonth",IF(AND(ISNUMBER(J37),J37=INT(J37),J37&gt;=1,J37&lt;=12,ISNUMBER(M37),M37=INT(M37),M37&gt;=1,M37&lt;=7,ISNUMBER(N37),N37=INT(N37),N37&gt;=1,N37&lt;=5,MONTH(DATE(Übersicht!$B$4,J37,1)+MOD(M37-WEEKDAY(DATE(Übersicht!$B$4,J37,1),2),7)+7*(N37-1))=J37,K37="",L37=""),DATE(Übersicht!$B$4,J37,1)+MOD(M37-WEEKDAY(DATE(Übersicht!$B$4,J37,1),2),7)+7*(N37-1),NA()),IF(I37="nthWeekdayOffsetDays",IF(AND(ISNUMBER(J37),J37=INT(J37),J37&gt;=1,J37&lt;=12,ISNUMBER(M37),M37=INT(M37),M37&gt;=1,M37&lt;=7,ISNUMBER(N37),N37=INT(N37),N37&gt;=1,N37&lt;=5,MONTH(DATE(Übersicht!$B$4,J37,1)+MOD(M37-WEEKDAY(DATE(Übersicht!$B$4,J37,1),2),7)+7*(N37-1))=J37,K37="",ISNUMBER(L37),L37=INT(L37),L37&gt;=-366,L37&lt;=366),DATE(Übersicht!$B$4,J37,1)+MOD(M37-WEEKDAY(DATE(Übersicht!$B$4,J37,1),2),7)+7*(N37-1)+L37,NA()),NA())))),NA())</f>
        <v>46753</v>
      </c>
      <c r="X37" s="14">
        <f t="shared" si="0"/>
        <v>46753</v>
      </c>
      <c r="Y37" s="10" t="s">
        <v>814</v>
      </c>
      <c r="Z37" s="10" t="s">
        <v>815</v>
      </c>
      <c r="AA37" s="24" t="s">
        <v>768</v>
      </c>
    </row>
    <row r="38" spans="1:27" ht="38" customHeight="1">
      <c r="A38" s="11" t="s">
        <v>93</v>
      </c>
      <c r="B38" s="11" t="s">
        <v>67</v>
      </c>
      <c r="C38" s="11" t="s">
        <v>809</v>
      </c>
      <c r="D38" s="26" t="s">
        <v>779</v>
      </c>
      <c r="E38" s="26" t="s">
        <v>780</v>
      </c>
      <c r="F38" s="27"/>
      <c r="G38" s="27"/>
      <c r="H38" s="11" t="s">
        <v>812</v>
      </c>
      <c r="I38" s="11" t="s">
        <v>781</v>
      </c>
      <c r="J38" s="30"/>
      <c r="K38" s="30"/>
      <c r="L38" s="26">
        <v>-2</v>
      </c>
      <c r="M38" s="26"/>
      <c r="N38" s="26"/>
      <c r="O38" s="31">
        <v>46023</v>
      </c>
      <c r="P38" s="31"/>
      <c r="Q38" s="26">
        <v>100</v>
      </c>
      <c r="R38" s="26" t="s">
        <v>69</v>
      </c>
      <c r="S38" s="11"/>
      <c r="T38" s="11" t="s">
        <v>764</v>
      </c>
      <c r="U38" s="11"/>
      <c r="V38" s="11" t="s">
        <v>813</v>
      </c>
      <c r="W38" s="15">
        <f>IF(AND(ISNUMBER(Übersicht!$B$4),Übersicht!$B$4=INT(Übersicht!$B$4),Übersicht!$B$4&gt;=2026,Übersicht!$B$4&lt;=2028),IF(I38="fixedMonthDay",IF(AND(ISNUMBER(J38),J38=INT(J38),J38&gt;=1,J38&lt;=12,ISNUMBER(K38),K38=INT(K38),K38&gt;=1,K38&lt;=31,MONTH(DATE(Übersicht!$B$4,J38,K38))=J38,DAY(DATE(Übersicht!$B$4,J38,K38))=K38,L38="",M38="",N38=""),DATE(Übersicht!$B$4,J38,K38),NA()),IF(I38="easterOffsetDays",IF(AND(ISNUMBER(L38),L38=INT(L38),L38&gt;=-366,L38&lt;=366,J38="",K38="",M38="",N38=""),$AD$23+L38,NA()),IF(I38="nthWeekdayOfMonth",IF(AND(ISNUMBER(J38),J38=INT(J38),J38&gt;=1,J38&lt;=12,ISNUMBER(M38),M38=INT(M38),M38&gt;=1,M38&lt;=7,ISNUMBER(N38),N38=INT(N38),N38&gt;=1,N38&lt;=5,MONTH(DATE(Übersicht!$B$4,J38,1)+MOD(M38-WEEKDAY(DATE(Übersicht!$B$4,J38,1),2),7)+7*(N38-1))=J38,K38="",L38=""),DATE(Übersicht!$B$4,J38,1)+MOD(M38-WEEKDAY(DATE(Übersicht!$B$4,J38,1),2),7)+7*(N38-1),NA()),IF(I38="nthWeekdayOffsetDays",IF(AND(ISNUMBER(J38),J38=INT(J38),J38&gt;=1,J38&lt;=12,ISNUMBER(M38),M38=INT(M38),M38&gt;=1,M38&lt;=7,ISNUMBER(N38),N38=INT(N38),N38&gt;=1,N38&lt;=5,MONTH(DATE(Übersicht!$B$4,J38,1)+MOD(M38-WEEKDAY(DATE(Übersicht!$B$4,J38,1),2),7)+7*(N38-1))=J38,K38="",ISNUMBER(L38),L38=INT(L38),L38&gt;=-366,L38&lt;=366),DATE(Übersicht!$B$4,J38,1)+MOD(M38-WEEKDAY(DATE(Übersicht!$B$4,J38,1),2),7)+7*(N38-1)+L38,NA()),NA())))),NA())</f>
        <v>46857</v>
      </c>
      <c r="X38" s="15">
        <f t="shared" si="0"/>
        <v>46857</v>
      </c>
      <c r="Y38" s="11" t="s">
        <v>814</v>
      </c>
      <c r="Z38" s="11" t="s">
        <v>815</v>
      </c>
      <c r="AA38" s="26" t="s">
        <v>768</v>
      </c>
    </row>
    <row r="39" spans="1:27" ht="38" customHeight="1">
      <c r="A39" s="10" t="s">
        <v>94</v>
      </c>
      <c r="B39" s="10" t="s">
        <v>67</v>
      </c>
      <c r="C39" s="10" t="s">
        <v>809</v>
      </c>
      <c r="D39" s="24" t="s">
        <v>787</v>
      </c>
      <c r="E39" s="24" t="s">
        <v>788</v>
      </c>
      <c r="F39" s="25"/>
      <c r="G39" s="25"/>
      <c r="H39" s="10" t="s">
        <v>812</v>
      </c>
      <c r="I39" s="10" t="s">
        <v>781</v>
      </c>
      <c r="J39" s="28"/>
      <c r="K39" s="28"/>
      <c r="L39" s="24">
        <v>1</v>
      </c>
      <c r="M39" s="24"/>
      <c r="N39" s="24"/>
      <c r="O39" s="29">
        <v>46023</v>
      </c>
      <c r="P39" s="29"/>
      <c r="Q39" s="24">
        <v>100</v>
      </c>
      <c r="R39" s="24" t="s">
        <v>69</v>
      </c>
      <c r="S39" s="10"/>
      <c r="T39" s="10" t="s">
        <v>764</v>
      </c>
      <c r="U39" s="10"/>
      <c r="V39" s="10" t="s">
        <v>813</v>
      </c>
      <c r="W39" s="14">
        <f>IF(AND(ISNUMBER(Übersicht!$B$4),Übersicht!$B$4=INT(Übersicht!$B$4),Übersicht!$B$4&gt;=2026,Übersicht!$B$4&lt;=2028),IF(I39="fixedMonthDay",IF(AND(ISNUMBER(J39),J39=INT(J39),J39&gt;=1,J39&lt;=12,ISNUMBER(K39),K39=INT(K39),K39&gt;=1,K39&lt;=31,MONTH(DATE(Übersicht!$B$4,J39,K39))=J39,DAY(DATE(Übersicht!$B$4,J39,K39))=K39,L39="",M39="",N39=""),DATE(Übersicht!$B$4,J39,K39),NA()),IF(I39="easterOffsetDays",IF(AND(ISNUMBER(L39),L39=INT(L39),L39&gt;=-366,L39&lt;=366,J39="",K39="",M39="",N39=""),$AD$23+L39,NA()),IF(I39="nthWeekdayOfMonth",IF(AND(ISNUMBER(J39),J39=INT(J39),J39&gt;=1,J39&lt;=12,ISNUMBER(M39),M39=INT(M39),M39&gt;=1,M39&lt;=7,ISNUMBER(N39),N39=INT(N39),N39&gt;=1,N39&lt;=5,MONTH(DATE(Übersicht!$B$4,J39,1)+MOD(M39-WEEKDAY(DATE(Übersicht!$B$4,J39,1),2),7)+7*(N39-1))=J39,K39="",L39=""),DATE(Übersicht!$B$4,J39,1)+MOD(M39-WEEKDAY(DATE(Übersicht!$B$4,J39,1),2),7)+7*(N39-1),NA()),IF(I39="nthWeekdayOffsetDays",IF(AND(ISNUMBER(J39),J39=INT(J39),J39&gt;=1,J39&lt;=12,ISNUMBER(M39),M39=INT(M39),M39&gt;=1,M39&lt;=7,ISNUMBER(N39),N39=INT(N39),N39&gt;=1,N39&lt;=5,MONTH(DATE(Übersicht!$B$4,J39,1)+MOD(M39-WEEKDAY(DATE(Übersicht!$B$4,J39,1),2),7)+7*(N39-1))=J39,K39="",ISNUMBER(L39),L39=INT(L39),L39&gt;=-366,L39&lt;=366),DATE(Übersicht!$B$4,J39,1)+MOD(M39-WEEKDAY(DATE(Übersicht!$B$4,J39,1),2),7)+7*(N39-1)+L39,NA()),NA())))),NA())</f>
        <v>46860</v>
      </c>
      <c r="X39" s="14">
        <f t="shared" si="0"/>
        <v>46860</v>
      </c>
      <c r="Y39" s="10" t="s">
        <v>814</v>
      </c>
      <c r="Z39" s="10" t="s">
        <v>815</v>
      </c>
      <c r="AA39" s="24" t="s">
        <v>768</v>
      </c>
    </row>
    <row r="40" spans="1:27" ht="38" customHeight="1">
      <c r="A40" s="11" t="s">
        <v>95</v>
      </c>
      <c r="B40" s="11" t="s">
        <v>67</v>
      </c>
      <c r="C40" s="11" t="s">
        <v>809</v>
      </c>
      <c r="D40" s="26" t="s">
        <v>790</v>
      </c>
      <c r="E40" s="26" t="s">
        <v>791</v>
      </c>
      <c r="F40" s="27"/>
      <c r="G40" s="27"/>
      <c r="H40" s="11" t="s">
        <v>812</v>
      </c>
      <c r="I40" s="11" t="s">
        <v>781</v>
      </c>
      <c r="J40" s="30"/>
      <c r="K40" s="30"/>
      <c r="L40" s="26">
        <v>39</v>
      </c>
      <c r="M40" s="26"/>
      <c r="N40" s="26"/>
      <c r="O40" s="31">
        <v>46023</v>
      </c>
      <c r="P40" s="31"/>
      <c r="Q40" s="26">
        <v>100</v>
      </c>
      <c r="R40" s="26" t="s">
        <v>69</v>
      </c>
      <c r="S40" s="11"/>
      <c r="T40" s="11" t="s">
        <v>764</v>
      </c>
      <c r="U40" s="11"/>
      <c r="V40" s="11" t="s">
        <v>813</v>
      </c>
      <c r="W40" s="15">
        <f>IF(AND(ISNUMBER(Übersicht!$B$4),Übersicht!$B$4=INT(Übersicht!$B$4),Übersicht!$B$4&gt;=2026,Übersicht!$B$4&lt;=2028),IF(I40="fixedMonthDay",IF(AND(ISNUMBER(J40),J40=INT(J40),J40&gt;=1,J40&lt;=12,ISNUMBER(K40),K40=INT(K40),K40&gt;=1,K40&lt;=31,MONTH(DATE(Übersicht!$B$4,J40,K40))=J40,DAY(DATE(Übersicht!$B$4,J40,K40))=K40,L40="",M40="",N40=""),DATE(Übersicht!$B$4,J40,K40),NA()),IF(I40="easterOffsetDays",IF(AND(ISNUMBER(L40),L40=INT(L40),L40&gt;=-366,L40&lt;=366,J40="",K40="",M40="",N40=""),$AD$23+L40,NA()),IF(I40="nthWeekdayOfMonth",IF(AND(ISNUMBER(J40),J40=INT(J40),J40&gt;=1,J40&lt;=12,ISNUMBER(M40),M40=INT(M40),M40&gt;=1,M40&lt;=7,ISNUMBER(N40),N40=INT(N40),N40&gt;=1,N40&lt;=5,MONTH(DATE(Übersicht!$B$4,J40,1)+MOD(M40-WEEKDAY(DATE(Übersicht!$B$4,J40,1),2),7)+7*(N40-1))=J40,K40="",L40=""),DATE(Übersicht!$B$4,J40,1)+MOD(M40-WEEKDAY(DATE(Übersicht!$B$4,J40,1),2),7)+7*(N40-1),NA()),IF(I40="nthWeekdayOffsetDays",IF(AND(ISNUMBER(J40),J40=INT(J40),J40&gt;=1,J40&lt;=12,ISNUMBER(M40),M40=INT(M40),M40&gt;=1,M40&lt;=7,ISNUMBER(N40),N40=INT(N40),N40&gt;=1,N40&lt;=5,MONTH(DATE(Übersicht!$B$4,J40,1)+MOD(M40-WEEKDAY(DATE(Übersicht!$B$4,J40,1),2),7)+7*(N40-1))=J40,K40="",ISNUMBER(L40),L40=INT(L40),L40&gt;=-366,L40&lt;=366),DATE(Übersicht!$B$4,J40,1)+MOD(M40-WEEKDAY(DATE(Übersicht!$B$4,J40,1),2),7)+7*(N40-1)+L40,NA()),NA())))),NA())</f>
        <v>46898</v>
      </c>
      <c r="X40" s="15">
        <f t="shared" si="0"/>
        <v>46898</v>
      </c>
      <c r="Y40" s="11" t="s">
        <v>814</v>
      </c>
      <c r="Z40" s="11" t="s">
        <v>815</v>
      </c>
      <c r="AA40" s="26" t="s">
        <v>768</v>
      </c>
    </row>
    <row r="41" spans="1:27" ht="38" customHeight="1">
      <c r="A41" s="10" t="s">
        <v>96</v>
      </c>
      <c r="B41" s="10" t="s">
        <v>67</v>
      </c>
      <c r="C41" s="10" t="s">
        <v>809</v>
      </c>
      <c r="D41" s="24" t="s">
        <v>796</v>
      </c>
      <c r="E41" s="24" t="s">
        <v>797</v>
      </c>
      <c r="F41" s="25"/>
      <c r="G41" s="25"/>
      <c r="H41" s="10" t="s">
        <v>812</v>
      </c>
      <c r="I41" s="10" t="s">
        <v>781</v>
      </c>
      <c r="J41" s="28"/>
      <c r="K41" s="28"/>
      <c r="L41" s="24">
        <v>50</v>
      </c>
      <c r="M41" s="24"/>
      <c r="N41" s="24"/>
      <c r="O41" s="29">
        <v>46023</v>
      </c>
      <c r="P41" s="29"/>
      <c r="Q41" s="24">
        <v>100</v>
      </c>
      <c r="R41" s="24" t="s">
        <v>69</v>
      </c>
      <c r="S41" s="10"/>
      <c r="T41" s="10" t="s">
        <v>764</v>
      </c>
      <c r="U41" s="10"/>
      <c r="V41" s="10" t="s">
        <v>813</v>
      </c>
      <c r="W41" s="14">
        <f>IF(AND(ISNUMBER(Übersicht!$B$4),Übersicht!$B$4=INT(Übersicht!$B$4),Übersicht!$B$4&gt;=2026,Übersicht!$B$4&lt;=2028),IF(I41="fixedMonthDay",IF(AND(ISNUMBER(J41),J41=INT(J41),J41&gt;=1,J41&lt;=12,ISNUMBER(K41),K41=INT(K41),K41&gt;=1,K41&lt;=31,MONTH(DATE(Übersicht!$B$4,J41,K41))=J41,DAY(DATE(Übersicht!$B$4,J41,K41))=K41,L41="",M41="",N41=""),DATE(Übersicht!$B$4,J41,K41),NA()),IF(I41="easterOffsetDays",IF(AND(ISNUMBER(L41),L41=INT(L41),L41&gt;=-366,L41&lt;=366,J41="",K41="",M41="",N41=""),$AD$23+L41,NA()),IF(I41="nthWeekdayOfMonth",IF(AND(ISNUMBER(J41),J41=INT(J41),J41&gt;=1,J41&lt;=12,ISNUMBER(M41),M41=INT(M41),M41&gt;=1,M41&lt;=7,ISNUMBER(N41),N41=INT(N41),N41&gt;=1,N41&lt;=5,MONTH(DATE(Übersicht!$B$4,J41,1)+MOD(M41-WEEKDAY(DATE(Übersicht!$B$4,J41,1),2),7)+7*(N41-1))=J41,K41="",L41=""),DATE(Übersicht!$B$4,J41,1)+MOD(M41-WEEKDAY(DATE(Übersicht!$B$4,J41,1),2),7)+7*(N41-1),NA()),IF(I41="nthWeekdayOffsetDays",IF(AND(ISNUMBER(J41),J41=INT(J41),J41&gt;=1,J41&lt;=12,ISNUMBER(M41),M41=INT(M41),M41&gt;=1,M41&lt;=7,ISNUMBER(N41),N41=INT(N41),N41&gt;=1,N41&lt;=5,MONTH(DATE(Übersicht!$B$4,J41,1)+MOD(M41-WEEKDAY(DATE(Übersicht!$B$4,J41,1),2),7)+7*(N41-1))=J41,K41="",ISNUMBER(L41),L41=INT(L41),L41&gt;=-366,L41&lt;=366),DATE(Übersicht!$B$4,J41,1)+MOD(M41-WEEKDAY(DATE(Übersicht!$B$4,J41,1),2),7)+7*(N41-1)+L41,NA()),NA())))),NA())</f>
        <v>46909</v>
      </c>
      <c r="X41" s="14">
        <f t="shared" si="0"/>
        <v>46909</v>
      </c>
      <c r="Y41" s="10" t="s">
        <v>814</v>
      </c>
      <c r="Z41" s="10" t="s">
        <v>815</v>
      </c>
      <c r="AA41" s="24" t="s">
        <v>768</v>
      </c>
    </row>
    <row r="42" spans="1:27" ht="38" customHeight="1">
      <c r="A42" s="11" t="s">
        <v>97</v>
      </c>
      <c r="B42" s="11" t="s">
        <v>67</v>
      </c>
      <c r="C42" s="11" t="s">
        <v>809</v>
      </c>
      <c r="D42" s="26" t="s">
        <v>803</v>
      </c>
      <c r="E42" s="26" t="s">
        <v>804</v>
      </c>
      <c r="F42" s="27"/>
      <c r="G42" s="27"/>
      <c r="H42" s="11" t="s">
        <v>812</v>
      </c>
      <c r="I42" s="11" t="s">
        <v>762</v>
      </c>
      <c r="J42" s="30">
        <v>12</v>
      </c>
      <c r="K42" s="30">
        <v>25</v>
      </c>
      <c r="L42" s="26"/>
      <c r="M42" s="26"/>
      <c r="N42" s="26"/>
      <c r="O42" s="31">
        <v>46023</v>
      </c>
      <c r="P42" s="31"/>
      <c r="Q42" s="26">
        <v>100</v>
      </c>
      <c r="R42" s="26" t="s">
        <v>69</v>
      </c>
      <c r="S42" s="11"/>
      <c r="T42" s="11" t="s">
        <v>764</v>
      </c>
      <c r="U42" s="11"/>
      <c r="V42" s="11" t="s">
        <v>813</v>
      </c>
      <c r="W42" s="15">
        <f>IF(AND(ISNUMBER(Übersicht!$B$4),Übersicht!$B$4=INT(Übersicht!$B$4),Übersicht!$B$4&gt;=2026,Übersicht!$B$4&lt;=2028),IF(I42="fixedMonthDay",IF(AND(ISNUMBER(J42),J42=INT(J42),J42&gt;=1,J42&lt;=12,ISNUMBER(K42),K42=INT(K42),K42&gt;=1,K42&lt;=31,MONTH(DATE(Übersicht!$B$4,J42,K42))=J42,DAY(DATE(Übersicht!$B$4,J42,K42))=K42,L42="",M42="",N42=""),DATE(Übersicht!$B$4,J42,K42),NA()),IF(I42="easterOffsetDays",IF(AND(ISNUMBER(L42),L42=INT(L42),L42&gt;=-366,L42&lt;=366,J42="",K42="",M42="",N42=""),$AD$23+L42,NA()),IF(I42="nthWeekdayOfMonth",IF(AND(ISNUMBER(J42),J42=INT(J42),J42&gt;=1,J42&lt;=12,ISNUMBER(M42),M42=INT(M42),M42&gt;=1,M42&lt;=7,ISNUMBER(N42),N42=INT(N42),N42&gt;=1,N42&lt;=5,MONTH(DATE(Übersicht!$B$4,J42,1)+MOD(M42-WEEKDAY(DATE(Übersicht!$B$4,J42,1),2),7)+7*(N42-1))=J42,K42="",L42=""),DATE(Übersicht!$B$4,J42,1)+MOD(M42-WEEKDAY(DATE(Übersicht!$B$4,J42,1),2),7)+7*(N42-1),NA()),IF(I42="nthWeekdayOffsetDays",IF(AND(ISNUMBER(J42),J42=INT(J42),J42&gt;=1,J42&lt;=12,ISNUMBER(M42),M42=INT(M42),M42&gt;=1,M42&lt;=7,ISNUMBER(N42),N42=INT(N42),N42&gt;=1,N42&lt;=5,MONTH(DATE(Übersicht!$B$4,J42,1)+MOD(M42-WEEKDAY(DATE(Übersicht!$B$4,J42,1),2),7)+7*(N42-1))=J42,K42="",ISNUMBER(L42),L42=INT(L42),L42&gt;=-366,L42&lt;=366),DATE(Übersicht!$B$4,J42,1)+MOD(M42-WEEKDAY(DATE(Übersicht!$B$4,J42,1),2),7)+7*(N42-1)+L42,NA()),NA())))),NA())</f>
        <v>47112</v>
      </c>
      <c r="X42" s="15">
        <f t="shared" si="0"/>
        <v>47112</v>
      </c>
      <c r="Y42" s="11" t="s">
        <v>814</v>
      </c>
      <c r="Z42" s="11" t="s">
        <v>815</v>
      </c>
      <c r="AA42" s="26" t="s">
        <v>768</v>
      </c>
    </row>
    <row r="43" spans="1:27" ht="38" customHeight="1">
      <c r="A43" s="10" t="s">
        <v>98</v>
      </c>
      <c r="B43" s="10" t="s">
        <v>67</v>
      </c>
      <c r="C43" s="10" t="s">
        <v>809</v>
      </c>
      <c r="D43" s="24" t="s">
        <v>806</v>
      </c>
      <c r="E43" s="24" t="s">
        <v>807</v>
      </c>
      <c r="F43" s="25"/>
      <c r="G43" s="25"/>
      <c r="H43" s="10" t="s">
        <v>812</v>
      </c>
      <c r="I43" s="10" t="s">
        <v>762</v>
      </c>
      <c r="J43" s="28">
        <v>12</v>
      </c>
      <c r="K43" s="28">
        <v>26</v>
      </c>
      <c r="L43" s="24"/>
      <c r="M43" s="24"/>
      <c r="N43" s="24"/>
      <c r="O43" s="29">
        <v>46023</v>
      </c>
      <c r="P43" s="29"/>
      <c r="Q43" s="24">
        <v>100</v>
      </c>
      <c r="R43" s="24" t="s">
        <v>69</v>
      </c>
      <c r="S43" s="10"/>
      <c r="T43" s="10" t="s">
        <v>764</v>
      </c>
      <c r="U43" s="10"/>
      <c r="V43" s="10" t="s">
        <v>813</v>
      </c>
      <c r="W43" s="14">
        <f>IF(AND(ISNUMBER(Übersicht!$B$4),Übersicht!$B$4=INT(Übersicht!$B$4),Übersicht!$B$4&gt;=2026,Übersicht!$B$4&lt;=2028),IF(I43="fixedMonthDay",IF(AND(ISNUMBER(J43),J43=INT(J43),J43&gt;=1,J43&lt;=12,ISNUMBER(K43),K43=INT(K43),K43&gt;=1,K43&lt;=31,MONTH(DATE(Übersicht!$B$4,J43,K43))=J43,DAY(DATE(Übersicht!$B$4,J43,K43))=K43,L43="",M43="",N43=""),DATE(Übersicht!$B$4,J43,K43),NA()),IF(I43="easterOffsetDays",IF(AND(ISNUMBER(L43),L43=INT(L43),L43&gt;=-366,L43&lt;=366,J43="",K43="",M43="",N43=""),$AD$23+L43,NA()),IF(I43="nthWeekdayOfMonth",IF(AND(ISNUMBER(J43),J43=INT(J43),J43&gt;=1,J43&lt;=12,ISNUMBER(M43),M43=INT(M43),M43&gt;=1,M43&lt;=7,ISNUMBER(N43),N43=INT(N43),N43&gt;=1,N43&lt;=5,MONTH(DATE(Übersicht!$B$4,J43,1)+MOD(M43-WEEKDAY(DATE(Übersicht!$B$4,J43,1),2),7)+7*(N43-1))=J43,K43="",L43=""),DATE(Übersicht!$B$4,J43,1)+MOD(M43-WEEKDAY(DATE(Übersicht!$B$4,J43,1),2),7)+7*(N43-1),NA()),IF(I43="nthWeekdayOffsetDays",IF(AND(ISNUMBER(J43),J43=INT(J43),J43&gt;=1,J43&lt;=12,ISNUMBER(M43),M43=INT(M43),M43&gt;=1,M43&lt;=7,ISNUMBER(N43),N43=INT(N43),N43&gt;=1,N43&lt;=5,MONTH(DATE(Übersicht!$B$4,J43,1)+MOD(M43-WEEKDAY(DATE(Übersicht!$B$4,J43,1),2),7)+7*(N43-1))=J43,K43="",ISNUMBER(L43),L43=INT(L43),L43&gt;=-366,L43&lt;=366),DATE(Übersicht!$B$4,J43,1)+MOD(M43-WEEKDAY(DATE(Übersicht!$B$4,J43,1),2),7)+7*(N43-1)+L43,NA()),NA())))),NA())</f>
        <v>47113</v>
      </c>
      <c r="X43" s="14">
        <f t="shared" si="0"/>
        <v>47113</v>
      </c>
      <c r="Y43" s="10" t="s">
        <v>814</v>
      </c>
      <c r="Z43" s="10" t="s">
        <v>815</v>
      </c>
      <c r="AA43" s="24" t="s">
        <v>768</v>
      </c>
    </row>
    <row r="44" spans="1:27" ht="38" customHeight="1">
      <c r="A44" s="11" t="s">
        <v>100</v>
      </c>
      <c r="B44" s="11" t="s">
        <v>67</v>
      </c>
      <c r="C44" s="11" t="s">
        <v>832</v>
      </c>
      <c r="D44" s="26" t="s">
        <v>771</v>
      </c>
      <c r="E44" s="26" t="s">
        <v>772</v>
      </c>
      <c r="F44" s="27"/>
      <c r="G44" s="27"/>
      <c r="H44" s="11" t="s">
        <v>812</v>
      </c>
      <c r="I44" s="11" t="s">
        <v>762</v>
      </c>
      <c r="J44" s="30">
        <v>1</v>
      </c>
      <c r="K44" s="30">
        <v>1</v>
      </c>
      <c r="L44" s="26"/>
      <c r="M44" s="26"/>
      <c r="N44" s="26"/>
      <c r="O44" s="31">
        <v>46023</v>
      </c>
      <c r="P44" s="31"/>
      <c r="Q44" s="26">
        <v>100</v>
      </c>
      <c r="R44" s="26" t="s">
        <v>69</v>
      </c>
      <c r="S44" s="11"/>
      <c r="T44" s="11" t="s">
        <v>764</v>
      </c>
      <c r="U44" s="11"/>
      <c r="V44" s="11" t="s">
        <v>813</v>
      </c>
      <c r="W44" s="15">
        <f>IF(AND(ISNUMBER(Übersicht!$B$4),Übersicht!$B$4=INT(Übersicht!$B$4),Übersicht!$B$4&gt;=2026,Übersicht!$B$4&lt;=2028),IF(I44="fixedMonthDay",IF(AND(ISNUMBER(J44),J44=INT(J44),J44&gt;=1,J44&lt;=12,ISNUMBER(K44),K44=INT(K44),K44&gt;=1,K44&lt;=31,MONTH(DATE(Übersicht!$B$4,J44,K44))=J44,DAY(DATE(Übersicht!$B$4,J44,K44))=K44,L44="",M44="",N44=""),DATE(Übersicht!$B$4,J44,K44),NA()),IF(I44="easterOffsetDays",IF(AND(ISNUMBER(L44),L44=INT(L44),L44&gt;=-366,L44&lt;=366,J44="",K44="",M44="",N44=""),$AD$23+L44,NA()),IF(I44="nthWeekdayOfMonth",IF(AND(ISNUMBER(J44),J44=INT(J44),J44&gt;=1,J44&lt;=12,ISNUMBER(M44),M44=INT(M44),M44&gt;=1,M44&lt;=7,ISNUMBER(N44),N44=INT(N44),N44&gt;=1,N44&lt;=5,MONTH(DATE(Übersicht!$B$4,J44,1)+MOD(M44-WEEKDAY(DATE(Übersicht!$B$4,J44,1),2),7)+7*(N44-1))=J44,K44="",L44=""),DATE(Übersicht!$B$4,J44,1)+MOD(M44-WEEKDAY(DATE(Übersicht!$B$4,J44,1),2),7)+7*(N44-1),NA()),IF(I44="nthWeekdayOffsetDays",IF(AND(ISNUMBER(J44),J44=INT(J44),J44&gt;=1,J44&lt;=12,ISNUMBER(M44),M44=INT(M44),M44&gt;=1,M44&lt;=7,ISNUMBER(N44),N44=INT(N44),N44&gt;=1,N44&lt;=5,MONTH(DATE(Übersicht!$B$4,J44,1)+MOD(M44-WEEKDAY(DATE(Übersicht!$B$4,J44,1),2),7)+7*(N44-1))=J44,K44="",ISNUMBER(L44),L44=INT(L44),L44&gt;=-366,L44&lt;=366),DATE(Übersicht!$B$4,J44,1)+MOD(M44-WEEKDAY(DATE(Übersicht!$B$4,J44,1),2),7)+7*(N44-1)+L44,NA()),NA())))),NA())</f>
        <v>46753</v>
      </c>
      <c r="X44" s="15">
        <f t="shared" si="0"/>
        <v>46753</v>
      </c>
      <c r="Y44" s="11" t="s">
        <v>814</v>
      </c>
      <c r="Z44" s="11" t="s">
        <v>833</v>
      </c>
      <c r="AA44" s="26" t="s">
        <v>768</v>
      </c>
    </row>
    <row r="45" spans="1:27" ht="38" customHeight="1">
      <c r="A45" s="10" t="s">
        <v>101</v>
      </c>
      <c r="B45" s="10" t="s">
        <v>67</v>
      </c>
      <c r="C45" s="10" t="s">
        <v>832</v>
      </c>
      <c r="D45" s="24" t="s">
        <v>779</v>
      </c>
      <c r="E45" s="24" t="s">
        <v>780</v>
      </c>
      <c r="F45" s="25"/>
      <c r="G45" s="25"/>
      <c r="H45" s="10" t="s">
        <v>812</v>
      </c>
      <c r="I45" s="10" t="s">
        <v>781</v>
      </c>
      <c r="J45" s="28"/>
      <c r="K45" s="28"/>
      <c r="L45" s="24">
        <v>-2</v>
      </c>
      <c r="M45" s="24"/>
      <c r="N45" s="24"/>
      <c r="O45" s="29">
        <v>46023</v>
      </c>
      <c r="P45" s="29"/>
      <c r="Q45" s="24">
        <v>100</v>
      </c>
      <c r="R45" s="24" t="s">
        <v>69</v>
      </c>
      <c r="S45" s="10"/>
      <c r="T45" s="10" t="s">
        <v>764</v>
      </c>
      <c r="U45" s="10"/>
      <c r="V45" s="10" t="s">
        <v>813</v>
      </c>
      <c r="W45" s="14">
        <f>IF(AND(ISNUMBER(Übersicht!$B$4),Übersicht!$B$4=INT(Übersicht!$B$4),Übersicht!$B$4&gt;=2026,Übersicht!$B$4&lt;=2028),IF(I45="fixedMonthDay",IF(AND(ISNUMBER(J45),J45=INT(J45),J45&gt;=1,J45&lt;=12,ISNUMBER(K45),K45=INT(K45),K45&gt;=1,K45&lt;=31,MONTH(DATE(Übersicht!$B$4,J45,K45))=J45,DAY(DATE(Übersicht!$B$4,J45,K45))=K45,L45="",M45="",N45=""),DATE(Übersicht!$B$4,J45,K45),NA()),IF(I45="easterOffsetDays",IF(AND(ISNUMBER(L45),L45=INT(L45),L45&gt;=-366,L45&lt;=366,J45="",K45="",M45="",N45=""),$AD$23+L45,NA()),IF(I45="nthWeekdayOfMonth",IF(AND(ISNUMBER(J45),J45=INT(J45),J45&gt;=1,J45&lt;=12,ISNUMBER(M45),M45=INT(M45),M45&gt;=1,M45&lt;=7,ISNUMBER(N45),N45=INT(N45),N45&gt;=1,N45&lt;=5,MONTH(DATE(Übersicht!$B$4,J45,1)+MOD(M45-WEEKDAY(DATE(Übersicht!$B$4,J45,1),2),7)+7*(N45-1))=J45,K45="",L45=""),DATE(Übersicht!$B$4,J45,1)+MOD(M45-WEEKDAY(DATE(Übersicht!$B$4,J45,1),2),7)+7*(N45-1),NA()),IF(I45="nthWeekdayOffsetDays",IF(AND(ISNUMBER(J45),J45=INT(J45),J45&gt;=1,J45&lt;=12,ISNUMBER(M45),M45=INT(M45),M45&gt;=1,M45&lt;=7,ISNUMBER(N45),N45=INT(N45),N45&gt;=1,N45&lt;=5,MONTH(DATE(Übersicht!$B$4,J45,1)+MOD(M45-WEEKDAY(DATE(Übersicht!$B$4,J45,1),2),7)+7*(N45-1))=J45,K45="",ISNUMBER(L45),L45=INT(L45),L45&gt;=-366,L45&lt;=366),DATE(Übersicht!$B$4,J45,1)+MOD(M45-WEEKDAY(DATE(Übersicht!$B$4,J45,1),2),7)+7*(N45-1)+L45,NA()),NA())))),NA())</f>
        <v>46857</v>
      </c>
      <c r="X45" s="14">
        <f t="shared" si="0"/>
        <v>46857</v>
      </c>
      <c r="Y45" s="10" t="s">
        <v>814</v>
      </c>
      <c r="Z45" s="10" t="s">
        <v>833</v>
      </c>
      <c r="AA45" s="24" t="s">
        <v>768</v>
      </c>
    </row>
    <row r="46" spans="1:27" ht="38" customHeight="1">
      <c r="A46" s="11" t="s">
        <v>102</v>
      </c>
      <c r="B46" s="11" t="s">
        <v>67</v>
      </c>
      <c r="C46" s="11" t="s">
        <v>832</v>
      </c>
      <c r="D46" s="26" t="s">
        <v>790</v>
      </c>
      <c r="E46" s="26" t="s">
        <v>791</v>
      </c>
      <c r="F46" s="27"/>
      <c r="G46" s="27"/>
      <c r="H46" s="11" t="s">
        <v>812</v>
      </c>
      <c r="I46" s="11" t="s">
        <v>781</v>
      </c>
      <c r="J46" s="30"/>
      <c r="K46" s="30"/>
      <c r="L46" s="26">
        <v>39</v>
      </c>
      <c r="M46" s="26"/>
      <c r="N46" s="26"/>
      <c r="O46" s="31">
        <v>46023</v>
      </c>
      <c r="P46" s="31"/>
      <c r="Q46" s="26">
        <v>100</v>
      </c>
      <c r="R46" s="26" t="s">
        <v>69</v>
      </c>
      <c r="S46" s="11"/>
      <c r="T46" s="11" t="s">
        <v>764</v>
      </c>
      <c r="U46" s="11"/>
      <c r="V46" s="11" t="s">
        <v>813</v>
      </c>
      <c r="W46" s="15">
        <f>IF(AND(ISNUMBER(Übersicht!$B$4),Übersicht!$B$4=INT(Übersicht!$B$4),Übersicht!$B$4&gt;=2026,Übersicht!$B$4&lt;=2028),IF(I46="fixedMonthDay",IF(AND(ISNUMBER(J46),J46=INT(J46),J46&gt;=1,J46&lt;=12,ISNUMBER(K46),K46=INT(K46),K46&gt;=1,K46&lt;=31,MONTH(DATE(Übersicht!$B$4,J46,K46))=J46,DAY(DATE(Übersicht!$B$4,J46,K46))=K46,L46="",M46="",N46=""),DATE(Übersicht!$B$4,J46,K46),NA()),IF(I46="easterOffsetDays",IF(AND(ISNUMBER(L46),L46=INT(L46),L46&gt;=-366,L46&lt;=366,J46="",K46="",M46="",N46=""),$AD$23+L46,NA()),IF(I46="nthWeekdayOfMonth",IF(AND(ISNUMBER(J46),J46=INT(J46),J46&gt;=1,J46&lt;=12,ISNUMBER(M46),M46=INT(M46),M46&gt;=1,M46&lt;=7,ISNUMBER(N46),N46=INT(N46),N46&gt;=1,N46&lt;=5,MONTH(DATE(Übersicht!$B$4,J46,1)+MOD(M46-WEEKDAY(DATE(Übersicht!$B$4,J46,1),2),7)+7*(N46-1))=J46,K46="",L46=""),DATE(Übersicht!$B$4,J46,1)+MOD(M46-WEEKDAY(DATE(Übersicht!$B$4,J46,1),2),7)+7*(N46-1),NA()),IF(I46="nthWeekdayOffsetDays",IF(AND(ISNUMBER(J46),J46=INT(J46),J46&gt;=1,J46&lt;=12,ISNUMBER(M46),M46=INT(M46),M46&gt;=1,M46&lt;=7,ISNUMBER(N46),N46=INT(N46),N46&gt;=1,N46&lt;=5,MONTH(DATE(Übersicht!$B$4,J46,1)+MOD(M46-WEEKDAY(DATE(Übersicht!$B$4,J46,1),2),7)+7*(N46-1))=J46,K46="",ISNUMBER(L46),L46=INT(L46),L46&gt;=-366,L46&lt;=366),DATE(Übersicht!$B$4,J46,1)+MOD(M46-WEEKDAY(DATE(Übersicht!$B$4,J46,1),2),7)+7*(N46-1)+L46,NA()),NA())))),NA())</f>
        <v>46898</v>
      </c>
      <c r="X46" s="15">
        <f t="shared" si="0"/>
        <v>46898</v>
      </c>
      <c r="Y46" s="11" t="s">
        <v>814</v>
      </c>
      <c r="Z46" s="11" t="s">
        <v>833</v>
      </c>
      <c r="AA46" s="26" t="s">
        <v>768</v>
      </c>
    </row>
    <row r="47" spans="1:27" ht="38" customHeight="1">
      <c r="A47" s="10" t="s">
        <v>103</v>
      </c>
      <c r="B47" s="10" t="s">
        <v>67</v>
      </c>
      <c r="C47" s="10" t="s">
        <v>832</v>
      </c>
      <c r="D47" s="24" t="s">
        <v>810</v>
      </c>
      <c r="E47" s="24" t="s">
        <v>811</v>
      </c>
      <c r="F47" s="25"/>
      <c r="G47" s="25"/>
      <c r="H47" s="10" t="s">
        <v>812</v>
      </c>
      <c r="I47" s="10" t="s">
        <v>781</v>
      </c>
      <c r="J47" s="28"/>
      <c r="K47" s="28"/>
      <c r="L47" s="24">
        <v>60</v>
      </c>
      <c r="M47" s="24"/>
      <c r="N47" s="24"/>
      <c r="O47" s="29">
        <v>46023</v>
      </c>
      <c r="P47" s="29"/>
      <c r="Q47" s="24">
        <v>100</v>
      </c>
      <c r="R47" s="24" t="s">
        <v>69</v>
      </c>
      <c r="S47" s="10"/>
      <c r="T47" s="10" t="s">
        <v>764</v>
      </c>
      <c r="U47" s="10"/>
      <c r="V47" s="10" t="s">
        <v>813</v>
      </c>
      <c r="W47" s="14">
        <f>IF(AND(ISNUMBER(Übersicht!$B$4),Übersicht!$B$4=INT(Übersicht!$B$4),Übersicht!$B$4&gt;=2026,Übersicht!$B$4&lt;=2028),IF(I47="fixedMonthDay",IF(AND(ISNUMBER(J47),J47=INT(J47),J47&gt;=1,J47&lt;=12,ISNUMBER(K47),K47=INT(K47),K47&gt;=1,K47&lt;=31,MONTH(DATE(Übersicht!$B$4,J47,K47))=J47,DAY(DATE(Übersicht!$B$4,J47,K47))=K47,L47="",M47="",N47=""),DATE(Übersicht!$B$4,J47,K47),NA()),IF(I47="easterOffsetDays",IF(AND(ISNUMBER(L47),L47=INT(L47),L47&gt;=-366,L47&lt;=366,J47="",K47="",M47="",N47=""),$AD$23+L47,NA()),IF(I47="nthWeekdayOfMonth",IF(AND(ISNUMBER(J47),J47=INT(J47),J47&gt;=1,J47&lt;=12,ISNUMBER(M47),M47=INT(M47),M47&gt;=1,M47&lt;=7,ISNUMBER(N47),N47=INT(N47),N47&gt;=1,N47&lt;=5,MONTH(DATE(Übersicht!$B$4,J47,1)+MOD(M47-WEEKDAY(DATE(Übersicht!$B$4,J47,1),2),7)+7*(N47-1))=J47,K47="",L47=""),DATE(Übersicht!$B$4,J47,1)+MOD(M47-WEEKDAY(DATE(Übersicht!$B$4,J47,1),2),7)+7*(N47-1),NA()),IF(I47="nthWeekdayOffsetDays",IF(AND(ISNUMBER(J47),J47=INT(J47),J47&gt;=1,J47&lt;=12,ISNUMBER(M47),M47=INT(M47),M47&gt;=1,M47&lt;=7,ISNUMBER(N47),N47=INT(N47),N47&gt;=1,N47&lt;=5,MONTH(DATE(Übersicht!$B$4,J47,1)+MOD(M47-WEEKDAY(DATE(Übersicht!$B$4,J47,1),2),7)+7*(N47-1))=J47,K47="",ISNUMBER(L47),L47=INT(L47),L47&gt;=-366,L47&lt;=366),DATE(Übersicht!$B$4,J47,1)+MOD(M47-WEEKDAY(DATE(Übersicht!$B$4,J47,1),2),7)+7*(N47-1)+L47,NA()),NA())))),NA())</f>
        <v>46919</v>
      </c>
      <c r="X47" s="14">
        <f t="shared" si="0"/>
        <v>46919</v>
      </c>
      <c r="Y47" s="10" t="s">
        <v>814</v>
      </c>
      <c r="Z47" s="10" t="s">
        <v>833</v>
      </c>
      <c r="AA47" s="24" t="s">
        <v>768</v>
      </c>
    </row>
    <row r="48" spans="1:27" ht="38" customHeight="1">
      <c r="A48" s="11" t="s">
        <v>104</v>
      </c>
      <c r="B48" s="11" t="s">
        <v>67</v>
      </c>
      <c r="C48" s="11" t="s">
        <v>832</v>
      </c>
      <c r="D48" s="26" t="s">
        <v>834</v>
      </c>
      <c r="E48" s="26" t="s">
        <v>835</v>
      </c>
      <c r="F48" s="27"/>
      <c r="G48" s="27"/>
      <c r="H48" s="11" t="s">
        <v>812</v>
      </c>
      <c r="I48" s="11" t="s">
        <v>762</v>
      </c>
      <c r="J48" s="30">
        <v>8</v>
      </c>
      <c r="K48" s="30">
        <v>15</v>
      </c>
      <c r="L48" s="26"/>
      <c r="M48" s="26"/>
      <c r="N48" s="26"/>
      <c r="O48" s="31">
        <v>46023</v>
      </c>
      <c r="P48" s="31"/>
      <c r="Q48" s="26">
        <v>100</v>
      </c>
      <c r="R48" s="26" t="s">
        <v>69</v>
      </c>
      <c r="S48" s="11"/>
      <c r="T48" s="11" t="s">
        <v>764</v>
      </c>
      <c r="U48" s="11"/>
      <c r="V48" s="11" t="s">
        <v>813</v>
      </c>
      <c r="W48" s="15">
        <f>IF(AND(ISNUMBER(Übersicht!$B$4),Übersicht!$B$4=INT(Übersicht!$B$4),Übersicht!$B$4&gt;=2026,Übersicht!$B$4&lt;=2028),IF(I48="fixedMonthDay",IF(AND(ISNUMBER(J48),J48=INT(J48),J48&gt;=1,J48&lt;=12,ISNUMBER(K48),K48=INT(K48),K48&gt;=1,K48&lt;=31,MONTH(DATE(Übersicht!$B$4,J48,K48))=J48,DAY(DATE(Übersicht!$B$4,J48,K48))=K48,L48="",M48="",N48=""),DATE(Übersicht!$B$4,J48,K48),NA()),IF(I48="easterOffsetDays",IF(AND(ISNUMBER(L48),L48=INT(L48),L48&gt;=-366,L48&lt;=366,J48="",K48="",M48="",N48=""),$AD$23+L48,NA()),IF(I48="nthWeekdayOfMonth",IF(AND(ISNUMBER(J48),J48=INT(J48),J48&gt;=1,J48&lt;=12,ISNUMBER(M48),M48=INT(M48),M48&gt;=1,M48&lt;=7,ISNUMBER(N48),N48=INT(N48),N48&gt;=1,N48&lt;=5,MONTH(DATE(Übersicht!$B$4,J48,1)+MOD(M48-WEEKDAY(DATE(Übersicht!$B$4,J48,1),2),7)+7*(N48-1))=J48,K48="",L48=""),DATE(Übersicht!$B$4,J48,1)+MOD(M48-WEEKDAY(DATE(Übersicht!$B$4,J48,1),2),7)+7*(N48-1),NA()),IF(I48="nthWeekdayOffsetDays",IF(AND(ISNUMBER(J48),J48=INT(J48),J48&gt;=1,J48&lt;=12,ISNUMBER(M48),M48=INT(M48),M48&gt;=1,M48&lt;=7,ISNUMBER(N48),N48=INT(N48),N48&gt;=1,N48&lt;=5,MONTH(DATE(Übersicht!$B$4,J48,1)+MOD(M48-WEEKDAY(DATE(Übersicht!$B$4,J48,1),2),7)+7*(N48-1))=J48,K48="",ISNUMBER(L48),L48=INT(L48),L48&gt;=-366,L48&lt;=366),DATE(Übersicht!$B$4,J48,1)+MOD(M48-WEEKDAY(DATE(Übersicht!$B$4,J48,1),2),7)+7*(N48-1)+L48,NA()),NA())))),NA())</f>
        <v>46980</v>
      </c>
      <c r="X48" s="15">
        <f t="shared" si="0"/>
        <v>46980</v>
      </c>
      <c r="Y48" s="11" t="s">
        <v>814</v>
      </c>
      <c r="Z48" s="11" t="s">
        <v>833</v>
      </c>
      <c r="AA48" s="26" t="s">
        <v>768</v>
      </c>
    </row>
    <row r="49" spans="1:27" ht="38" customHeight="1">
      <c r="A49" s="10" t="s">
        <v>105</v>
      </c>
      <c r="B49" s="10" t="s">
        <v>67</v>
      </c>
      <c r="C49" s="10" t="s">
        <v>832</v>
      </c>
      <c r="D49" s="24" t="s">
        <v>821</v>
      </c>
      <c r="E49" s="24" t="s">
        <v>822</v>
      </c>
      <c r="F49" s="25"/>
      <c r="G49" s="25"/>
      <c r="H49" s="10" t="s">
        <v>812</v>
      </c>
      <c r="I49" s="10" t="s">
        <v>762</v>
      </c>
      <c r="J49" s="28">
        <v>11</v>
      </c>
      <c r="K49" s="28">
        <v>1</v>
      </c>
      <c r="L49" s="24"/>
      <c r="M49" s="24"/>
      <c r="N49" s="24"/>
      <c r="O49" s="29">
        <v>46023</v>
      </c>
      <c r="P49" s="29"/>
      <c r="Q49" s="24">
        <v>100</v>
      </c>
      <c r="R49" s="24" t="s">
        <v>69</v>
      </c>
      <c r="S49" s="10"/>
      <c r="T49" s="10" t="s">
        <v>764</v>
      </c>
      <c r="U49" s="10"/>
      <c r="V49" s="10" t="s">
        <v>813</v>
      </c>
      <c r="W49" s="14">
        <f>IF(AND(ISNUMBER(Übersicht!$B$4),Übersicht!$B$4=INT(Übersicht!$B$4),Übersicht!$B$4&gt;=2026,Übersicht!$B$4&lt;=2028),IF(I49="fixedMonthDay",IF(AND(ISNUMBER(J49),J49=INT(J49),J49&gt;=1,J49&lt;=12,ISNUMBER(K49),K49=INT(K49),K49&gt;=1,K49&lt;=31,MONTH(DATE(Übersicht!$B$4,J49,K49))=J49,DAY(DATE(Übersicht!$B$4,J49,K49))=K49,L49="",M49="",N49=""),DATE(Übersicht!$B$4,J49,K49),NA()),IF(I49="easterOffsetDays",IF(AND(ISNUMBER(L49),L49=INT(L49),L49&gt;=-366,L49&lt;=366,J49="",K49="",M49="",N49=""),$AD$23+L49,NA()),IF(I49="nthWeekdayOfMonth",IF(AND(ISNUMBER(J49),J49=INT(J49),J49&gt;=1,J49&lt;=12,ISNUMBER(M49),M49=INT(M49),M49&gt;=1,M49&lt;=7,ISNUMBER(N49),N49=INT(N49),N49&gt;=1,N49&lt;=5,MONTH(DATE(Übersicht!$B$4,J49,1)+MOD(M49-WEEKDAY(DATE(Übersicht!$B$4,J49,1),2),7)+7*(N49-1))=J49,K49="",L49=""),DATE(Übersicht!$B$4,J49,1)+MOD(M49-WEEKDAY(DATE(Übersicht!$B$4,J49,1),2),7)+7*(N49-1),NA()),IF(I49="nthWeekdayOffsetDays",IF(AND(ISNUMBER(J49),J49=INT(J49),J49&gt;=1,J49&lt;=12,ISNUMBER(M49),M49=INT(M49),M49&gt;=1,M49&lt;=7,ISNUMBER(N49),N49=INT(N49),N49&gt;=1,N49&lt;=5,MONTH(DATE(Übersicht!$B$4,J49,1)+MOD(M49-WEEKDAY(DATE(Übersicht!$B$4,J49,1),2),7)+7*(N49-1))=J49,K49="",ISNUMBER(L49),L49=INT(L49),L49&gt;=-366,L49&lt;=366),DATE(Übersicht!$B$4,J49,1)+MOD(M49-WEEKDAY(DATE(Übersicht!$B$4,J49,1),2),7)+7*(N49-1)+L49,NA()),NA())))),NA())</f>
        <v>47058</v>
      </c>
      <c r="X49" s="14">
        <f t="shared" si="0"/>
        <v>47058</v>
      </c>
      <c r="Y49" s="10" t="s">
        <v>814</v>
      </c>
      <c r="Z49" s="10" t="s">
        <v>833</v>
      </c>
      <c r="AA49" s="24" t="s">
        <v>768</v>
      </c>
    </row>
    <row r="50" spans="1:27" ht="38" customHeight="1">
      <c r="A50" s="11" t="s">
        <v>106</v>
      </c>
      <c r="B50" s="11" t="s">
        <v>67</v>
      </c>
      <c r="C50" s="11" t="s">
        <v>832</v>
      </c>
      <c r="D50" s="26" t="s">
        <v>803</v>
      </c>
      <c r="E50" s="26" t="s">
        <v>804</v>
      </c>
      <c r="F50" s="27"/>
      <c r="G50" s="27"/>
      <c r="H50" s="11" t="s">
        <v>812</v>
      </c>
      <c r="I50" s="11" t="s">
        <v>762</v>
      </c>
      <c r="J50" s="30">
        <v>12</v>
      </c>
      <c r="K50" s="30">
        <v>25</v>
      </c>
      <c r="L50" s="26"/>
      <c r="M50" s="26"/>
      <c r="N50" s="26"/>
      <c r="O50" s="31">
        <v>46023</v>
      </c>
      <c r="P50" s="31"/>
      <c r="Q50" s="26">
        <v>100</v>
      </c>
      <c r="R50" s="26" t="s">
        <v>69</v>
      </c>
      <c r="S50" s="11"/>
      <c r="T50" s="11" t="s">
        <v>764</v>
      </c>
      <c r="U50" s="11"/>
      <c r="V50" s="11" t="s">
        <v>813</v>
      </c>
      <c r="W50" s="15">
        <f>IF(AND(ISNUMBER(Übersicht!$B$4),Übersicht!$B$4=INT(Übersicht!$B$4),Übersicht!$B$4&gt;=2026,Übersicht!$B$4&lt;=2028),IF(I50="fixedMonthDay",IF(AND(ISNUMBER(J50),J50=INT(J50),J50&gt;=1,J50&lt;=12,ISNUMBER(K50),K50=INT(K50),K50&gt;=1,K50&lt;=31,MONTH(DATE(Übersicht!$B$4,J50,K50))=J50,DAY(DATE(Übersicht!$B$4,J50,K50))=K50,L50="",M50="",N50=""),DATE(Übersicht!$B$4,J50,K50),NA()),IF(I50="easterOffsetDays",IF(AND(ISNUMBER(L50),L50=INT(L50),L50&gt;=-366,L50&lt;=366,J50="",K50="",M50="",N50=""),$AD$23+L50,NA()),IF(I50="nthWeekdayOfMonth",IF(AND(ISNUMBER(J50),J50=INT(J50),J50&gt;=1,J50&lt;=12,ISNUMBER(M50),M50=INT(M50),M50&gt;=1,M50&lt;=7,ISNUMBER(N50),N50=INT(N50),N50&gt;=1,N50&lt;=5,MONTH(DATE(Übersicht!$B$4,J50,1)+MOD(M50-WEEKDAY(DATE(Übersicht!$B$4,J50,1),2),7)+7*(N50-1))=J50,K50="",L50=""),DATE(Übersicht!$B$4,J50,1)+MOD(M50-WEEKDAY(DATE(Übersicht!$B$4,J50,1),2),7)+7*(N50-1),NA()),IF(I50="nthWeekdayOffsetDays",IF(AND(ISNUMBER(J50),J50=INT(J50),J50&gt;=1,J50&lt;=12,ISNUMBER(M50),M50=INT(M50),M50&gt;=1,M50&lt;=7,ISNUMBER(N50),N50=INT(N50),N50&gt;=1,N50&lt;=5,MONTH(DATE(Übersicht!$B$4,J50,1)+MOD(M50-WEEKDAY(DATE(Übersicht!$B$4,J50,1),2),7)+7*(N50-1))=J50,K50="",ISNUMBER(L50),L50=INT(L50),L50&gt;=-366,L50&lt;=366),DATE(Übersicht!$B$4,J50,1)+MOD(M50-WEEKDAY(DATE(Übersicht!$B$4,J50,1),2),7)+7*(N50-1)+L50,NA()),NA())))),NA())</f>
        <v>47112</v>
      </c>
      <c r="X50" s="15">
        <f t="shared" si="0"/>
        <v>47112</v>
      </c>
      <c r="Y50" s="11" t="s">
        <v>814</v>
      </c>
      <c r="Z50" s="11" t="s">
        <v>833</v>
      </c>
      <c r="AA50" s="26" t="s">
        <v>768</v>
      </c>
    </row>
    <row r="51" spans="1:27" ht="38" customHeight="1">
      <c r="A51" s="10" t="s">
        <v>107</v>
      </c>
      <c r="B51" s="10" t="s">
        <v>67</v>
      </c>
      <c r="C51" s="10" t="s">
        <v>832</v>
      </c>
      <c r="D51" s="24" t="s">
        <v>806</v>
      </c>
      <c r="E51" s="24" t="s">
        <v>807</v>
      </c>
      <c r="F51" s="25"/>
      <c r="G51" s="25"/>
      <c r="H51" s="10" t="s">
        <v>812</v>
      </c>
      <c r="I51" s="10" t="s">
        <v>762</v>
      </c>
      <c r="J51" s="28">
        <v>12</v>
      </c>
      <c r="K51" s="28">
        <v>26</v>
      </c>
      <c r="L51" s="24"/>
      <c r="M51" s="24"/>
      <c r="N51" s="24"/>
      <c r="O51" s="29">
        <v>46023</v>
      </c>
      <c r="P51" s="29"/>
      <c r="Q51" s="24">
        <v>100</v>
      </c>
      <c r="R51" s="24" t="s">
        <v>69</v>
      </c>
      <c r="S51" s="10"/>
      <c r="T51" s="10" t="s">
        <v>764</v>
      </c>
      <c r="U51" s="10"/>
      <c r="V51" s="10" t="s">
        <v>813</v>
      </c>
      <c r="W51" s="14">
        <f>IF(AND(ISNUMBER(Übersicht!$B$4),Übersicht!$B$4=INT(Übersicht!$B$4),Übersicht!$B$4&gt;=2026,Übersicht!$B$4&lt;=2028),IF(I51="fixedMonthDay",IF(AND(ISNUMBER(J51),J51=INT(J51),J51&gt;=1,J51&lt;=12,ISNUMBER(K51),K51=INT(K51),K51&gt;=1,K51&lt;=31,MONTH(DATE(Übersicht!$B$4,J51,K51))=J51,DAY(DATE(Übersicht!$B$4,J51,K51))=K51,L51="",M51="",N51=""),DATE(Übersicht!$B$4,J51,K51),NA()),IF(I51="easterOffsetDays",IF(AND(ISNUMBER(L51),L51=INT(L51),L51&gt;=-366,L51&lt;=366,J51="",K51="",M51="",N51=""),$AD$23+L51,NA()),IF(I51="nthWeekdayOfMonth",IF(AND(ISNUMBER(J51),J51=INT(J51),J51&gt;=1,J51&lt;=12,ISNUMBER(M51),M51=INT(M51),M51&gt;=1,M51&lt;=7,ISNUMBER(N51),N51=INT(N51),N51&gt;=1,N51&lt;=5,MONTH(DATE(Übersicht!$B$4,J51,1)+MOD(M51-WEEKDAY(DATE(Übersicht!$B$4,J51,1),2),7)+7*(N51-1))=J51,K51="",L51=""),DATE(Übersicht!$B$4,J51,1)+MOD(M51-WEEKDAY(DATE(Übersicht!$B$4,J51,1),2),7)+7*(N51-1),NA()),IF(I51="nthWeekdayOffsetDays",IF(AND(ISNUMBER(J51),J51=INT(J51),J51&gt;=1,J51&lt;=12,ISNUMBER(M51),M51=INT(M51),M51&gt;=1,M51&lt;=7,ISNUMBER(N51),N51=INT(N51),N51&gt;=1,N51&lt;=5,MONTH(DATE(Übersicht!$B$4,J51,1)+MOD(M51-WEEKDAY(DATE(Übersicht!$B$4,J51,1),2),7)+7*(N51-1))=J51,K51="",ISNUMBER(L51),L51=INT(L51),L51&gt;=-366,L51&lt;=366),DATE(Übersicht!$B$4,J51,1)+MOD(M51-WEEKDAY(DATE(Übersicht!$B$4,J51,1),2),7)+7*(N51-1)+L51,NA()),NA())))),NA())</f>
        <v>47113</v>
      </c>
      <c r="X51" s="14">
        <f t="shared" si="0"/>
        <v>47113</v>
      </c>
      <c r="Y51" s="10" t="s">
        <v>814</v>
      </c>
      <c r="Z51" s="10" t="s">
        <v>833</v>
      </c>
      <c r="AA51" s="24" t="s">
        <v>768</v>
      </c>
    </row>
    <row r="52" spans="1:27" ht="38" customHeight="1">
      <c r="A52" s="11" t="s">
        <v>109</v>
      </c>
      <c r="B52" s="11" t="s">
        <v>67</v>
      </c>
      <c r="C52" s="11" t="s">
        <v>836</v>
      </c>
      <c r="D52" s="26" t="s">
        <v>771</v>
      </c>
      <c r="E52" s="26" t="s">
        <v>772</v>
      </c>
      <c r="F52" s="27"/>
      <c r="G52" s="27"/>
      <c r="H52" s="11" t="s">
        <v>812</v>
      </c>
      <c r="I52" s="11" t="s">
        <v>762</v>
      </c>
      <c r="J52" s="30">
        <v>1</v>
      </c>
      <c r="K52" s="30">
        <v>1</v>
      </c>
      <c r="L52" s="26"/>
      <c r="M52" s="26"/>
      <c r="N52" s="26"/>
      <c r="O52" s="31">
        <v>46023</v>
      </c>
      <c r="P52" s="31"/>
      <c r="Q52" s="26">
        <v>100</v>
      </c>
      <c r="R52" s="26" t="s">
        <v>69</v>
      </c>
      <c r="S52" s="11"/>
      <c r="T52" s="11" t="s">
        <v>764</v>
      </c>
      <c r="U52" s="11"/>
      <c r="V52" s="11" t="s">
        <v>813</v>
      </c>
      <c r="W52" s="15">
        <f>IF(AND(ISNUMBER(Übersicht!$B$4),Übersicht!$B$4=INT(Übersicht!$B$4),Übersicht!$B$4&gt;=2026,Übersicht!$B$4&lt;=2028),IF(I52="fixedMonthDay",IF(AND(ISNUMBER(J52),J52=INT(J52),J52&gt;=1,J52&lt;=12,ISNUMBER(K52),K52=INT(K52),K52&gt;=1,K52&lt;=31,MONTH(DATE(Übersicht!$B$4,J52,K52))=J52,DAY(DATE(Übersicht!$B$4,J52,K52))=K52,L52="",M52="",N52=""),DATE(Übersicht!$B$4,J52,K52),NA()),IF(I52="easterOffsetDays",IF(AND(ISNUMBER(L52),L52=INT(L52),L52&gt;=-366,L52&lt;=366,J52="",K52="",M52="",N52=""),$AD$23+L52,NA()),IF(I52="nthWeekdayOfMonth",IF(AND(ISNUMBER(J52),J52=INT(J52),J52&gt;=1,J52&lt;=12,ISNUMBER(M52),M52=INT(M52),M52&gt;=1,M52&lt;=7,ISNUMBER(N52),N52=INT(N52),N52&gt;=1,N52&lt;=5,MONTH(DATE(Übersicht!$B$4,J52,1)+MOD(M52-WEEKDAY(DATE(Übersicht!$B$4,J52,1),2),7)+7*(N52-1))=J52,K52="",L52=""),DATE(Übersicht!$B$4,J52,1)+MOD(M52-WEEKDAY(DATE(Übersicht!$B$4,J52,1),2),7)+7*(N52-1),NA()),IF(I52="nthWeekdayOffsetDays",IF(AND(ISNUMBER(J52),J52=INT(J52),J52&gt;=1,J52&lt;=12,ISNUMBER(M52),M52=INT(M52),M52&gt;=1,M52&lt;=7,ISNUMBER(N52),N52=INT(N52),N52&gt;=1,N52&lt;=5,MONTH(DATE(Übersicht!$B$4,J52,1)+MOD(M52-WEEKDAY(DATE(Übersicht!$B$4,J52,1),2),7)+7*(N52-1))=J52,K52="",ISNUMBER(L52),L52=INT(L52),L52&gt;=-366,L52&lt;=366),DATE(Übersicht!$B$4,J52,1)+MOD(M52-WEEKDAY(DATE(Übersicht!$B$4,J52,1),2),7)+7*(N52-1)+L52,NA()),NA())))),NA())</f>
        <v>46753</v>
      </c>
      <c r="X52" s="15">
        <f t="shared" si="0"/>
        <v>46753</v>
      </c>
      <c r="Y52" s="11" t="s">
        <v>814</v>
      </c>
      <c r="Z52" s="11" t="s">
        <v>837</v>
      </c>
      <c r="AA52" s="26" t="s">
        <v>768</v>
      </c>
    </row>
    <row r="53" spans="1:27" ht="38" customHeight="1">
      <c r="A53" s="10" t="s">
        <v>110</v>
      </c>
      <c r="B53" s="10" t="s">
        <v>67</v>
      </c>
      <c r="C53" s="10" t="s">
        <v>836</v>
      </c>
      <c r="D53" s="24" t="s">
        <v>779</v>
      </c>
      <c r="E53" s="24" t="s">
        <v>780</v>
      </c>
      <c r="F53" s="25"/>
      <c r="G53" s="25"/>
      <c r="H53" s="10" t="s">
        <v>812</v>
      </c>
      <c r="I53" s="10" t="s">
        <v>781</v>
      </c>
      <c r="J53" s="28"/>
      <c r="K53" s="28"/>
      <c r="L53" s="24">
        <v>-2</v>
      </c>
      <c r="M53" s="24"/>
      <c r="N53" s="24"/>
      <c r="O53" s="29">
        <v>46023</v>
      </c>
      <c r="P53" s="29"/>
      <c r="Q53" s="24">
        <v>100</v>
      </c>
      <c r="R53" s="24" t="s">
        <v>69</v>
      </c>
      <c r="S53" s="10"/>
      <c r="T53" s="10" t="s">
        <v>764</v>
      </c>
      <c r="U53" s="10"/>
      <c r="V53" s="10" t="s">
        <v>813</v>
      </c>
      <c r="W53" s="14">
        <f>IF(AND(ISNUMBER(Übersicht!$B$4),Übersicht!$B$4=INT(Übersicht!$B$4),Übersicht!$B$4&gt;=2026,Übersicht!$B$4&lt;=2028),IF(I53="fixedMonthDay",IF(AND(ISNUMBER(J53),J53=INT(J53),J53&gt;=1,J53&lt;=12,ISNUMBER(K53),K53=INT(K53),K53&gt;=1,K53&lt;=31,MONTH(DATE(Übersicht!$B$4,J53,K53))=J53,DAY(DATE(Übersicht!$B$4,J53,K53))=K53,L53="",M53="",N53=""),DATE(Übersicht!$B$4,J53,K53),NA()),IF(I53="easterOffsetDays",IF(AND(ISNUMBER(L53),L53=INT(L53),L53&gt;=-366,L53&lt;=366,J53="",K53="",M53="",N53=""),$AD$23+L53,NA()),IF(I53="nthWeekdayOfMonth",IF(AND(ISNUMBER(J53),J53=INT(J53),J53&gt;=1,J53&lt;=12,ISNUMBER(M53),M53=INT(M53),M53&gt;=1,M53&lt;=7,ISNUMBER(N53),N53=INT(N53),N53&gt;=1,N53&lt;=5,MONTH(DATE(Übersicht!$B$4,J53,1)+MOD(M53-WEEKDAY(DATE(Übersicht!$B$4,J53,1),2),7)+7*(N53-1))=J53,K53="",L53=""),DATE(Übersicht!$B$4,J53,1)+MOD(M53-WEEKDAY(DATE(Übersicht!$B$4,J53,1),2),7)+7*(N53-1),NA()),IF(I53="nthWeekdayOffsetDays",IF(AND(ISNUMBER(J53),J53=INT(J53),J53&gt;=1,J53&lt;=12,ISNUMBER(M53),M53=INT(M53),M53&gt;=1,M53&lt;=7,ISNUMBER(N53),N53=INT(N53),N53&gt;=1,N53&lt;=5,MONTH(DATE(Übersicht!$B$4,J53,1)+MOD(M53-WEEKDAY(DATE(Übersicht!$B$4,J53,1),2),7)+7*(N53-1))=J53,K53="",ISNUMBER(L53),L53=INT(L53),L53&gt;=-366,L53&lt;=366),DATE(Übersicht!$B$4,J53,1)+MOD(M53-WEEKDAY(DATE(Übersicht!$B$4,J53,1),2),7)+7*(N53-1)+L53,NA()),NA())))),NA())</f>
        <v>46857</v>
      </c>
      <c r="X53" s="14">
        <f t="shared" si="0"/>
        <v>46857</v>
      </c>
      <c r="Y53" s="10" t="s">
        <v>814</v>
      </c>
      <c r="Z53" s="10" t="s">
        <v>837</v>
      </c>
      <c r="AA53" s="24" t="s">
        <v>768</v>
      </c>
    </row>
    <row r="54" spans="1:27" ht="38" customHeight="1">
      <c r="A54" s="11" t="s">
        <v>111</v>
      </c>
      <c r="B54" s="11" t="s">
        <v>67</v>
      </c>
      <c r="C54" s="11" t="s">
        <v>836</v>
      </c>
      <c r="D54" s="26" t="s">
        <v>790</v>
      </c>
      <c r="E54" s="26" t="s">
        <v>791</v>
      </c>
      <c r="F54" s="27"/>
      <c r="G54" s="27"/>
      <c r="H54" s="11" t="s">
        <v>812</v>
      </c>
      <c r="I54" s="11" t="s">
        <v>781</v>
      </c>
      <c r="J54" s="30"/>
      <c r="K54" s="30"/>
      <c r="L54" s="26">
        <v>39</v>
      </c>
      <c r="M54" s="26"/>
      <c r="N54" s="26"/>
      <c r="O54" s="31">
        <v>46023</v>
      </c>
      <c r="P54" s="31"/>
      <c r="Q54" s="26">
        <v>100</v>
      </c>
      <c r="R54" s="26" t="s">
        <v>69</v>
      </c>
      <c r="S54" s="11"/>
      <c r="T54" s="11" t="s">
        <v>764</v>
      </c>
      <c r="U54" s="11"/>
      <c r="V54" s="11" t="s">
        <v>813</v>
      </c>
      <c r="W54" s="15">
        <f>IF(AND(ISNUMBER(Übersicht!$B$4),Übersicht!$B$4=INT(Übersicht!$B$4),Übersicht!$B$4&gt;=2026,Übersicht!$B$4&lt;=2028),IF(I54="fixedMonthDay",IF(AND(ISNUMBER(J54),J54=INT(J54),J54&gt;=1,J54&lt;=12,ISNUMBER(K54),K54=INT(K54),K54&gt;=1,K54&lt;=31,MONTH(DATE(Übersicht!$B$4,J54,K54))=J54,DAY(DATE(Übersicht!$B$4,J54,K54))=K54,L54="",M54="",N54=""),DATE(Übersicht!$B$4,J54,K54),NA()),IF(I54="easterOffsetDays",IF(AND(ISNUMBER(L54),L54=INT(L54),L54&gt;=-366,L54&lt;=366,J54="",K54="",M54="",N54=""),$AD$23+L54,NA()),IF(I54="nthWeekdayOfMonth",IF(AND(ISNUMBER(J54),J54=INT(J54),J54&gt;=1,J54&lt;=12,ISNUMBER(M54),M54=INT(M54),M54&gt;=1,M54&lt;=7,ISNUMBER(N54),N54=INT(N54),N54&gt;=1,N54&lt;=5,MONTH(DATE(Übersicht!$B$4,J54,1)+MOD(M54-WEEKDAY(DATE(Übersicht!$B$4,J54,1),2),7)+7*(N54-1))=J54,K54="",L54=""),DATE(Übersicht!$B$4,J54,1)+MOD(M54-WEEKDAY(DATE(Übersicht!$B$4,J54,1),2),7)+7*(N54-1),NA()),IF(I54="nthWeekdayOffsetDays",IF(AND(ISNUMBER(J54),J54=INT(J54),J54&gt;=1,J54&lt;=12,ISNUMBER(M54),M54=INT(M54),M54&gt;=1,M54&lt;=7,ISNUMBER(N54),N54=INT(N54),N54&gt;=1,N54&lt;=5,MONTH(DATE(Übersicht!$B$4,J54,1)+MOD(M54-WEEKDAY(DATE(Übersicht!$B$4,J54,1),2),7)+7*(N54-1))=J54,K54="",ISNUMBER(L54),L54=INT(L54),L54&gt;=-366,L54&lt;=366),DATE(Übersicht!$B$4,J54,1)+MOD(M54-WEEKDAY(DATE(Übersicht!$B$4,J54,1),2),7)+7*(N54-1)+L54,NA()),NA())))),NA())</f>
        <v>46898</v>
      </c>
      <c r="X54" s="15">
        <f t="shared" si="0"/>
        <v>46898</v>
      </c>
      <c r="Y54" s="11" t="s">
        <v>814</v>
      </c>
      <c r="Z54" s="11" t="s">
        <v>837</v>
      </c>
      <c r="AA54" s="26" t="s">
        <v>768</v>
      </c>
    </row>
    <row r="55" spans="1:27" ht="38" customHeight="1">
      <c r="A55" s="10" t="s">
        <v>112</v>
      </c>
      <c r="B55" s="10" t="s">
        <v>67</v>
      </c>
      <c r="C55" s="10" t="s">
        <v>836</v>
      </c>
      <c r="D55" s="24" t="s">
        <v>810</v>
      </c>
      <c r="E55" s="24" t="s">
        <v>811</v>
      </c>
      <c r="F55" s="25"/>
      <c r="G55" s="25"/>
      <c r="H55" s="10" t="s">
        <v>812</v>
      </c>
      <c r="I55" s="10" t="s">
        <v>781</v>
      </c>
      <c r="J55" s="28"/>
      <c r="K55" s="28"/>
      <c r="L55" s="24">
        <v>60</v>
      </c>
      <c r="M55" s="24"/>
      <c r="N55" s="24"/>
      <c r="O55" s="29">
        <v>46023</v>
      </c>
      <c r="P55" s="29"/>
      <c r="Q55" s="24">
        <v>100</v>
      </c>
      <c r="R55" s="24" t="s">
        <v>69</v>
      </c>
      <c r="S55" s="10"/>
      <c r="T55" s="10" t="s">
        <v>764</v>
      </c>
      <c r="U55" s="10"/>
      <c r="V55" s="10" t="s">
        <v>813</v>
      </c>
      <c r="W55" s="14">
        <f>IF(AND(ISNUMBER(Übersicht!$B$4),Übersicht!$B$4=INT(Übersicht!$B$4),Übersicht!$B$4&gt;=2026,Übersicht!$B$4&lt;=2028),IF(I55="fixedMonthDay",IF(AND(ISNUMBER(J55),J55=INT(J55),J55&gt;=1,J55&lt;=12,ISNUMBER(K55),K55=INT(K55),K55&gt;=1,K55&lt;=31,MONTH(DATE(Übersicht!$B$4,J55,K55))=J55,DAY(DATE(Übersicht!$B$4,J55,K55))=K55,L55="",M55="",N55=""),DATE(Übersicht!$B$4,J55,K55),NA()),IF(I55="easterOffsetDays",IF(AND(ISNUMBER(L55),L55=INT(L55),L55&gt;=-366,L55&lt;=366,J55="",K55="",M55="",N55=""),$AD$23+L55,NA()),IF(I55="nthWeekdayOfMonth",IF(AND(ISNUMBER(J55),J55=INT(J55),J55&gt;=1,J55&lt;=12,ISNUMBER(M55),M55=INT(M55),M55&gt;=1,M55&lt;=7,ISNUMBER(N55),N55=INT(N55),N55&gt;=1,N55&lt;=5,MONTH(DATE(Übersicht!$B$4,J55,1)+MOD(M55-WEEKDAY(DATE(Übersicht!$B$4,J55,1),2),7)+7*(N55-1))=J55,K55="",L55=""),DATE(Übersicht!$B$4,J55,1)+MOD(M55-WEEKDAY(DATE(Übersicht!$B$4,J55,1),2),7)+7*(N55-1),NA()),IF(I55="nthWeekdayOffsetDays",IF(AND(ISNUMBER(J55),J55=INT(J55),J55&gt;=1,J55&lt;=12,ISNUMBER(M55),M55=INT(M55),M55&gt;=1,M55&lt;=7,ISNUMBER(N55),N55=INT(N55),N55&gt;=1,N55&lt;=5,MONTH(DATE(Übersicht!$B$4,J55,1)+MOD(M55-WEEKDAY(DATE(Übersicht!$B$4,J55,1),2),7)+7*(N55-1))=J55,K55="",ISNUMBER(L55),L55=INT(L55),L55&gt;=-366,L55&lt;=366),DATE(Übersicht!$B$4,J55,1)+MOD(M55-WEEKDAY(DATE(Übersicht!$B$4,J55,1),2),7)+7*(N55-1)+L55,NA()),NA())))),NA())</f>
        <v>46919</v>
      </c>
      <c r="X55" s="14">
        <f t="shared" si="0"/>
        <v>46919</v>
      </c>
      <c r="Y55" s="10" t="s">
        <v>814</v>
      </c>
      <c r="Z55" s="10" t="s">
        <v>837</v>
      </c>
      <c r="AA55" s="24" t="s">
        <v>768</v>
      </c>
    </row>
    <row r="56" spans="1:27" ht="38" customHeight="1">
      <c r="A56" s="11" t="s">
        <v>113</v>
      </c>
      <c r="B56" s="11" t="s">
        <v>67</v>
      </c>
      <c r="C56" s="11" t="s">
        <v>836</v>
      </c>
      <c r="D56" s="26" t="s">
        <v>834</v>
      </c>
      <c r="E56" s="26" t="s">
        <v>835</v>
      </c>
      <c r="F56" s="27"/>
      <c r="G56" s="27"/>
      <c r="H56" s="11" t="s">
        <v>812</v>
      </c>
      <c r="I56" s="11" t="s">
        <v>762</v>
      </c>
      <c r="J56" s="30">
        <v>8</v>
      </c>
      <c r="K56" s="30">
        <v>15</v>
      </c>
      <c r="L56" s="26"/>
      <c r="M56" s="26"/>
      <c r="N56" s="26"/>
      <c r="O56" s="31">
        <v>46023</v>
      </c>
      <c r="P56" s="31"/>
      <c r="Q56" s="26">
        <v>100</v>
      </c>
      <c r="R56" s="26" t="s">
        <v>69</v>
      </c>
      <c r="S56" s="11"/>
      <c r="T56" s="11" t="s">
        <v>764</v>
      </c>
      <c r="U56" s="11"/>
      <c r="V56" s="11" t="s">
        <v>813</v>
      </c>
      <c r="W56" s="15">
        <f>IF(AND(ISNUMBER(Übersicht!$B$4),Übersicht!$B$4=INT(Übersicht!$B$4),Übersicht!$B$4&gt;=2026,Übersicht!$B$4&lt;=2028),IF(I56="fixedMonthDay",IF(AND(ISNUMBER(J56),J56=INT(J56),J56&gt;=1,J56&lt;=12,ISNUMBER(K56),K56=INT(K56),K56&gt;=1,K56&lt;=31,MONTH(DATE(Übersicht!$B$4,J56,K56))=J56,DAY(DATE(Übersicht!$B$4,J56,K56))=K56,L56="",M56="",N56=""),DATE(Übersicht!$B$4,J56,K56),NA()),IF(I56="easterOffsetDays",IF(AND(ISNUMBER(L56),L56=INT(L56),L56&gt;=-366,L56&lt;=366,J56="",K56="",M56="",N56=""),$AD$23+L56,NA()),IF(I56="nthWeekdayOfMonth",IF(AND(ISNUMBER(J56),J56=INT(J56),J56&gt;=1,J56&lt;=12,ISNUMBER(M56),M56=INT(M56),M56&gt;=1,M56&lt;=7,ISNUMBER(N56),N56=INT(N56),N56&gt;=1,N56&lt;=5,MONTH(DATE(Übersicht!$B$4,J56,1)+MOD(M56-WEEKDAY(DATE(Übersicht!$B$4,J56,1),2),7)+7*(N56-1))=J56,K56="",L56=""),DATE(Übersicht!$B$4,J56,1)+MOD(M56-WEEKDAY(DATE(Übersicht!$B$4,J56,1),2),7)+7*(N56-1),NA()),IF(I56="nthWeekdayOffsetDays",IF(AND(ISNUMBER(J56),J56=INT(J56),J56&gt;=1,J56&lt;=12,ISNUMBER(M56),M56=INT(M56),M56&gt;=1,M56&lt;=7,ISNUMBER(N56),N56=INT(N56),N56&gt;=1,N56&lt;=5,MONTH(DATE(Übersicht!$B$4,J56,1)+MOD(M56-WEEKDAY(DATE(Übersicht!$B$4,J56,1),2),7)+7*(N56-1))=J56,K56="",ISNUMBER(L56),L56=INT(L56),L56&gt;=-366,L56&lt;=366),DATE(Übersicht!$B$4,J56,1)+MOD(M56-WEEKDAY(DATE(Übersicht!$B$4,J56,1),2),7)+7*(N56-1)+L56,NA()),NA())))),NA())</f>
        <v>46980</v>
      </c>
      <c r="X56" s="15">
        <f t="shared" si="0"/>
        <v>46980</v>
      </c>
      <c r="Y56" s="11" t="s">
        <v>814</v>
      </c>
      <c r="Z56" s="11" t="s">
        <v>837</v>
      </c>
      <c r="AA56" s="26" t="s">
        <v>768</v>
      </c>
    </row>
    <row r="57" spans="1:27" ht="38" customHeight="1">
      <c r="A57" s="10" t="s">
        <v>114</v>
      </c>
      <c r="B57" s="10" t="s">
        <v>67</v>
      </c>
      <c r="C57" s="10" t="s">
        <v>836</v>
      </c>
      <c r="D57" s="24" t="s">
        <v>821</v>
      </c>
      <c r="E57" s="24" t="s">
        <v>822</v>
      </c>
      <c r="F57" s="25"/>
      <c r="G57" s="25"/>
      <c r="H57" s="10" t="s">
        <v>812</v>
      </c>
      <c r="I57" s="10" t="s">
        <v>762</v>
      </c>
      <c r="J57" s="28">
        <v>11</v>
      </c>
      <c r="K57" s="28">
        <v>1</v>
      </c>
      <c r="L57" s="24"/>
      <c r="M57" s="24"/>
      <c r="N57" s="24"/>
      <c r="O57" s="29">
        <v>46023</v>
      </c>
      <c r="P57" s="29"/>
      <c r="Q57" s="24">
        <v>100</v>
      </c>
      <c r="R57" s="24" t="s">
        <v>69</v>
      </c>
      <c r="S57" s="10"/>
      <c r="T57" s="10" t="s">
        <v>764</v>
      </c>
      <c r="U57" s="10"/>
      <c r="V57" s="10" t="s">
        <v>813</v>
      </c>
      <c r="W57" s="14">
        <f>IF(AND(ISNUMBER(Übersicht!$B$4),Übersicht!$B$4=INT(Übersicht!$B$4),Übersicht!$B$4&gt;=2026,Übersicht!$B$4&lt;=2028),IF(I57="fixedMonthDay",IF(AND(ISNUMBER(J57),J57=INT(J57),J57&gt;=1,J57&lt;=12,ISNUMBER(K57),K57=INT(K57),K57&gt;=1,K57&lt;=31,MONTH(DATE(Übersicht!$B$4,J57,K57))=J57,DAY(DATE(Übersicht!$B$4,J57,K57))=K57,L57="",M57="",N57=""),DATE(Übersicht!$B$4,J57,K57),NA()),IF(I57="easterOffsetDays",IF(AND(ISNUMBER(L57),L57=INT(L57),L57&gt;=-366,L57&lt;=366,J57="",K57="",M57="",N57=""),$AD$23+L57,NA()),IF(I57="nthWeekdayOfMonth",IF(AND(ISNUMBER(J57),J57=INT(J57),J57&gt;=1,J57&lt;=12,ISNUMBER(M57),M57=INT(M57),M57&gt;=1,M57&lt;=7,ISNUMBER(N57),N57=INT(N57),N57&gt;=1,N57&lt;=5,MONTH(DATE(Übersicht!$B$4,J57,1)+MOD(M57-WEEKDAY(DATE(Übersicht!$B$4,J57,1),2),7)+7*(N57-1))=J57,K57="",L57=""),DATE(Übersicht!$B$4,J57,1)+MOD(M57-WEEKDAY(DATE(Übersicht!$B$4,J57,1),2),7)+7*(N57-1),NA()),IF(I57="nthWeekdayOffsetDays",IF(AND(ISNUMBER(J57),J57=INT(J57),J57&gt;=1,J57&lt;=12,ISNUMBER(M57),M57=INT(M57),M57&gt;=1,M57&lt;=7,ISNUMBER(N57),N57=INT(N57),N57&gt;=1,N57&lt;=5,MONTH(DATE(Übersicht!$B$4,J57,1)+MOD(M57-WEEKDAY(DATE(Übersicht!$B$4,J57,1),2),7)+7*(N57-1))=J57,K57="",ISNUMBER(L57),L57=INT(L57),L57&gt;=-366,L57&lt;=366),DATE(Übersicht!$B$4,J57,1)+MOD(M57-WEEKDAY(DATE(Übersicht!$B$4,J57,1),2),7)+7*(N57-1)+L57,NA()),NA())))),NA())</f>
        <v>47058</v>
      </c>
      <c r="X57" s="14">
        <f t="shared" si="0"/>
        <v>47058</v>
      </c>
      <c r="Y57" s="10" t="s">
        <v>814</v>
      </c>
      <c r="Z57" s="10" t="s">
        <v>837</v>
      </c>
      <c r="AA57" s="24" t="s">
        <v>768</v>
      </c>
    </row>
    <row r="58" spans="1:27" ht="38" customHeight="1">
      <c r="A58" s="11" t="s">
        <v>115</v>
      </c>
      <c r="B58" s="11" t="s">
        <v>67</v>
      </c>
      <c r="C58" s="11" t="s">
        <v>836</v>
      </c>
      <c r="D58" s="26" t="s">
        <v>803</v>
      </c>
      <c r="E58" s="26" t="s">
        <v>804</v>
      </c>
      <c r="F58" s="27"/>
      <c r="G58" s="27"/>
      <c r="H58" s="11" t="s">
        <v>812</v>
      </c>
      <c r="I58" s="11" t="s">
        <v>762</v>
      </c>
      <c r="J58" s="30">
        <v>12</v>
      </c>
      <c r="K58" s="30">
        <v>25</v>
      </c>
      <c r="L58" s="26"/>
      <c r="M58" s="26"/>
      <c r="N58" s="26"/>
      <c r="O58" s="31">
        <v>46023</v>
      </c>
      <c r="P58" s="31"/>
      <c r="Q58" s="26">
        <v>100</v>
      </c>
      <c r="R58" s="26" t="s">
        <v>69</v>
      </c>
      <c r="S58" s="11"/>
      <c r="T58" s="11" t="s">
        <v>764</v>
      </c>
      <c r="U58" s="11"/>
      <c r="V58" s="11" t="s">
        <v>813</v>
      </c>
      <c r="W58" s="15">
        <f>IF(AND(ISNUMBER(Übersicht!$B$4),Übersicht!$B$4=INT(Übersicht!$B$4),Übersicht!$B$4&gt;=2026,Übersicht!$B$4&lt;=2028),IF(I58="fixedMonthDay",IF(AND(ISNUMBER(J58),J58=INT(J58),J58&gt;=1,J58&lt;=12,ISNUMBER(K58),K58=INT(K58),K58&gt;=1,K58&lt;=31,MONTH(DATE(Übersicht!$B$4,J58,K58))=J58,DAY(DATE(Übersicht!$B$4,J58,K58))=K58,L58="",M58="",N58=""),DATE(Übersicht!$B$4,J58,K58),NA()),IF(I58="easterOffsetDays",IF(AND(ISNUMBER(L58),L58=INT(L58),L58&gt;=-366,L58&lt;=366,J58="",K58="",M58="",N58=""),$AD$23+L58,NA()),IF(I58="nthWeekdayOfMonth",IF(AND(ISNUMBER(J58),J58=INT(J58),J58&gt;=1,J58&lt;=12,ISNUMBER(M58),M58=INT(M58),M58&gt;=1,M58&lt;=7,ISNUMBER(N58),N58=INT(N58),N58&gt;=1,N58&lt;=5,MONTH(DATE(Übersicht!$B$4,J58,1)+MOD(M58-WEEKDAY(DATE(Übersicht!$B$4,J58,1),2),7)+7*(N58-1))=J58,K58="",L58=""),DATE(Übersicht!$B$4,J58,1)+MOD(M58-WEEKDAY(DATE(Übersicht!$B$4,J58,1),2),7)+7*(N58-1),NA()),IF(I58="nthWeekdayOffsetDays",IF(AND(ISNUMBER(J58),J58=INT(J58),J58&gt;=1,J58&lt;=12,ISNUMBER(M58),M58=INT(M58),M58&gt;=1,M58&lt;=7,ISNUMBER(N58),N58=INT(N58),N58&gt;=1,N58&lt;=5,MONTH(DATE(Übersicht!$B$4,J58,1)+MOD(M58-WEEKDAY(DATE(Übersicht!$B$4,J58,1),2),7)+7*(N58-1))=J58,K58="",ISNUMBER(L58),L58=INT(L58),L58&gt;=-366,L58&lt;=366),DATE(Übersicht!$B$4,J58,1)+MOD(M58-WEEKDAY(DATE(Übersicht!$B$4,J58,1),2),7)+7*(N58-1)+L58,NA()),NA())))),NA())</f>
        <v>47112</v>
      </c>
      <c r="X58" s="15">
        <f t="shared" si="0"/>
        <v>47112</v>
      </c>
      <c r="Y58" s="11" t="s">
        <v>814</v>
      </c>
      <c r="Z58" s="11" t="s">
        <v>837</v>
      </c>
      <c r="AA58" s="26" t="s">
        <v>768</v>
      </c>
    </row>
    <row r="59" spans="1:27" ht="38" customHeight="1">
      <c r="A59" s="10" t="s">
        <v>116</v>
      </c>
      <c r="B59" s="10" t="s">
        <v>67</v>
      </c>
      <c r="C59" s="10" t="s">
        <v>836</v>
      </c>
      <c r="D59" s="24" t="s">
        <v>838</v>
      </c>
      <c r="E59" s="24" t="s">
        <v>839</v>
      </c>
      <c r="F59" s="25"/>
      <c r="G59" s="25"/>
      <c r="H59" s="10" t="s">
        <v>812</v>
      </c>
      <c r="I59" s="10" t="s">
        <v>762</v>
      </c>
      <c r="J59" s="28">
        <v>12</v>
      </c>
      <c r="K59" s="28">
        <v>8</v>
      </c>
      <c r="L59" s="24"/>
      <c r="M59" s="24"/>
      <c r="N59" s="24"/>
      <c r="O59" s="29">
        <v>46023</v>
      </c>
      <c r="P59" s="29"/>
      <c r="Q59" s="24">
        <v>100</v>
      </c>
      <c r="R59" s="24" t="s">
        <v>69</v>
      </c>
      <c r="S59" s="10"/>
      <c r="T59" s="10" t="s">
        <v>764</v>
      </c>
      <c r="U59" s="10"/>
      <c r="V59" s="10" t="s">
        <v>813</v>
      </c>
      <c r="W59" s="14">
        <f>IF(AND(ISNUMBER(Übersicht!$B$4),Übersicht!$B$4=INT(Übersicht!$B$4),Übersicht!$B$4&gt;=2026,Übersicht!$B$4&lt;=2028),IF(I59="fixedMonthDay",IF(AND(ISNUMBER(J59),J59=INT(J59),J59&gt;=1,J59&lt;=12,ISNUMBER(K59),K59=INT(K59),K59&gt;=1,K59&lt;=31,MONTH(DATE(Übersicht!$B$4,J59,K59))=J59,DAY(DATE(Übersicht!$B$4,J59,K59))=K59,L59="",M59="",N59=""),DATE(Übersicht!$B$4,J59,K59),NA()),IF(I59="easterOffsetDays",IF(AND(ISNUMBER(L59),L59=INT(L59),L59&gt;=-366,L59&lt;=366,J59="",K59="",M59="",N59=""),$AD$23+L59,NA()),IF(I59="nthWeekdayOfMonth",IF(AND(ISNUMBER(J59),J59=INT(J59),J59&gt;=1,J59&lt;=12,ISNUMBER(M59),M59=INT(M59),M59&gt;=1,M59&lt;=7,ISNUMBER(N59),N59=INT(N59),N59&gt;=1,N59&lt;=5,MONTH(DATE(Übersicht!$B$4,J59,1)+MOD(M59-WEEKDAY(DATE(Übersicht!$B$4,J59,1),2),7)+7*(N59-1))=J59,K59="",L59=""),DATE(Übersicht!$B$4,J59,1)+MOD(M59-WEEKDAY(DATE(Übersicht!$B$4,J59,1),2),7)+7*(N59-1),NA()),IF(I59="nthWeekdayOffsetDays",IF(AND(ISNUMBER(J59),J59=INT(J59),J59&gt;=1,J59&lt;=12,ISNUMBER(M59),M59=INT(M59),M59&gt;=1,M59&lt;=7,ISNUMBER(N59),N59=INT(N59),N59&gt;=1,N59&lt;=5,MONTH(DATE(Übersicht!$B$4,J59,1)+MOD(M59-WEEKDAY(DATE(Übersicht!$B$4,J59,1),2),7)+7*(N59-1))=J59,K59="",ISNUMBER(L59),L59=INT(L59),L59&gt;=-366,L59&lt;=366),DATE(Übersicht!$B$4,J59,1)+MOD(M59-WEEKDAY(DATE(Übersicht!$B$4,J59,1),2),7)+7*(N59-1)+L59,NA()),NA())))),NA())</f>
        <v>47095</v>
      </c>
      <c r="X59" s="14">
        <f t="shared" si="0"/>
        <v>47095</v>
      </c>
      <c r="Y59" s="10" t="s">
        <v>814</v>
      </c>
      <c r="Z59" s="10" t="s">
        <v>837</v>
      </c>
      <c r="AA59" s="24" t="s">
        <v>768</v>
      </c>
    </row>
    <row r="60" spans="1:27" ht="38" customHeight="1">
      <c r="A60" s="11" t="s">
        <v>118</v>
      </c>
      <c r="B60" s="11" t="s">
        <v>67</v>
      </c>
      <c r="C60" s="11" t="s">
        <v>840</v>
      </c>
      <c r="D60" s="26" t="s">
        <v>771</v>
      </c>
      <c r="E60" s="26" t="s">
        <v>772</v>
      </c>
      <c r="F60" s="27"/>
      <c r="G60" s="27"/>
      <c r="H60" s="11" t="s">
        <v>812</v>
      </c>
      <c r="I60" s="11" t="s">
        <v>762</v>
      </c>
      <c r="J60" s="30">
        <v>1</v>
      </c>
      <c r="K60" s="30">
        <v>1</v>
      </c>
      <c r="L60" s="26"/>
      <c r="M60" s="26"/>
      <c r="N60" s="26"/>
      <c r="O60" s="31">
        <v>46023</v>
      </c>
      <c r="P60" s="31"/>
      <c r="Q60" s="26">
        <v>100</v>
      </c>
      <c r="R60" s="26" t="s">
        <v>69</v>
      </c>
      <c r="S60" s="11"/>
      <c r="T60" s="11" t="s">
        <v>764</v>
      </c>
      <c r="U60" s="11"/>
      <c r="V60" s="11" t="s">
        <v>813</v>
      </c>
      <c r="W60" s="15">
        <f>IF(AND(ISNUMBER(Übersicht!$B$4),Übersicht!$B$4=INT(Übersicht!$B$4),Übersicht!$B$4&gt;=2026,Übersicht!$B$4&lt;=2028),IF(I60="fixedMonthDay",IF(AND(ISNUMBER(J60),J60=INT(J60),J60&gt;=1,J60&lt;=12,ISNUMBER(K60),K60=INT(K60),K60&gt;=1,K60&lt;=31,MONTH(DATE(Übersicht!$B$4,J60,K60))=J60,DAY(DATE(Übersicht!$B$4,J60,K60))=K60,L60="",M60="",N60=""),DATE(Übersicht!$B$4,J60,K60),NA()),IF(I60="easterOffsetDays",IF(AND(ISNUMBER(L60),L60=INT(L60),L60&gt;=-366,L60&lt;=366,J60="",K60="",M60="",N60=""),$AD$23+L60,NA()),IF(I60="nthWeekdayOfMonth",IF(AND(ISNUMBER(J60),J60=INT(J60),J60&gt;=1,J60&lt;=12,ISNUMBER(M60),M60=INT(M60),M60&gt;=1,M60&lt;=7,ISNUMBER(N60),N60=INT(N60),N60&gt;=1,N60&lt;=5,MONTH(DATE(Übersicht!$B$4,J60,1)+MOD(M60-WEEKDAY(DATE(Übersicht!$B$4,J60,1),2),7)+7*(N60-1))=J60,K60="",L60=""),DATE(Übersicht!$B$4,J60,1)+MOD(M60-WEEKDAY(DATE(Übersicht!$B$4,J60,1),2),7)+7*(N60-1),NA()),IF(I60="nthWeekdayOffsetDays",IF(AND(ISNUMBER(J60),J60=INT(J60),J60&gt;=1,J60&lt;=12,ISNUMBER(M60),M60=INT(M60),M60&gt;=1,M60&lt;=7,ISNUMBER(N60),N60=INT(N60),N60&gt;=1,N60&lt;=5,MONTH(DATE(Übersicht!$B$4,J60,1)+MOD(M60-WEEKDAY(DATE(Übersicht!$B$4,J60,1),2),7)+7*(N60-1))=J60,K60="",ISNUMBER(L60),L60=INT(L60),L60&gt;=-366,L60&lt;=366),DATE(Übersicht!$B$4,J60,1)+MOD(M60-WEEKDAY(DATE(Übersicht!$B$4,J60,1),2),7)+7*(N60-1)+L60,NA()),NA())))),NA())</f>
        <v>46753</v>
      </c>
      <c r="X60" s="15">
        <f t="shared" si="0"/>
        <v>46753</v>
      </c>
      <c r="Y60" s="11" t="s">
        <v>814</v>
      </c>
      <c r="Z60" s="11" t="s">
        <v>841</v>
      </c>
      <c r="AA60" s="26" t="s">
        <v>768</v>
      </c>
    </row>
    <row r="61" spans="1:27" ht="38" customHeight="1">
      <c r="A61" s="10" t="s">
        <v>119</v>
      </c>
      <c r="B61" s="10" t="s">
        <v>67</v>
      </c>
      <c r="C61" s="10" t="s">
        <v>840</v>
      </c>
      <c r="D61" s="24" t="s">
        <v>779</v>
      </c>
      <c r="E61" s="24" t="s">
        <v>780</v>
      </c>
      <c r="F61" s="25"/>
      <c r="G61" s="25"/>
      <c r="H61" s="10" t="s">
        <v>812</v>
      </c>
      <c r="I61" s="10" t="s">
        <v>781</v>
      </c>
      <c r="J61" s="28"/>
      <c r="K61" s="28"/>
      <c r="L61" s="24">
        <v>-2</v>
      </c>
      <c r="M61" s="24"/>
      <c r="N61" s="24"/>
      <c r="O61" s="29">
        <v>46023</v>
      </c>
      <c r="P61" s="29"/>
      <c r="Q61" s="24">
        <v>100</v>
      </c>
      <c r="R61" s="24" t="s">
        <v>69</v>
      </c>
      <c r="S61" s="10"/>
      <c r="T61" s="10" t="s">
        <v>764</v>
      </c>
      <c r="U61" s="10"/>
      <c r="V61" s="10" t="s">
        <v>813</v>
      </c>
      <c r="W61" s="14">
        <f>IF(AND(ISNUMBER(Übersicht!$B$4),Übersicht!$B$4=INT(Übersicht!$B$4),Übersicht!$B$4&gt;=2026,Übersicht!$B$4&lt;=2028),IF(I61="fixedMonthDay",IF(AND(ISNUMBER(J61),J61=INT(J61),J61&gt;=1,J61&lt;=12,ISNUMBER(K61),K61=INT(K61),K61&gt;=1,K61&lt;=31,MONTH(DATE(Übersicht!$B$4,J61,K61))=J61,DAY(DATE(Übersicht!$B$4,J61,K61))=K61,L61="",M61="",N61=""),DATE(Übersicht!$B$4,J61,K61),NA()),IF(I61="easterOffsetDays",IF(AND(ISNUMBER(L61),L61=INT(L61),L61&gt;=-366,L61&lt;=366,J61="",K61="",M61="",N61=""),$AD$23+L61,NA()),IF(I61="nthWeekdayOfMonth",IF(AND(ISNUMBER(J61),J61=INT(J61),J61&gt;=1,J61&lt;=12,ISNUMBER(M61),M61=INT(M61),M61&gt;=1,M61&lt;=7,ISNUMBER(N61),N61=INT(N61),N61&gt;=1,N61&lt;=5,MONTH(DATE(Übersicht!$B$4,J61,1)+MOD(M61-WEEKDAY(DATE(Übersicht!$B$4,J61,1),2),7)+7*(N61-1))=J61,K61="",L61=""),DATE(Übersicht!$B$4,J61,1)+MOD(M61-WEEKDAY(DATE(Übersicht!$B$4,J61,1),2),7)+7*(N61-1),NA()),IF(I61="nthWeekdayOffsetDays",IF(AND(ISNUMBER(J61),J61=INT(J61),J61&gt;=1,J61&lt;=12,ISNUMBER(M61),M61=INT(M61),M61&gt;=1,M61&lt;=7,ISNUMBER(N61),N61=INT(N61),N61&gt;=1,N61&lt;=5,MONTH(DATE(Übersicht!$B$4,J61,1)+MOD(M61-WEEKDAY(DATE(Übersicht!$B$4,J61,1),2),7)+7*(N61-1))=J61,K61="",ISNUMBER(L61),L61=INT(L61),L61&gt;=-366,L61&lt;=366),DATE(Übersicht!$B$4,J61,1)+MOD(M61-WEEKDAY(DATE(Übersicht!$B$4,J61,1),2),7)+7*(N61-1)+L61,NA()),NA())))),NA())</f>
        <v>46857</v>
      </c>
      <c r="X61" s="14">
        <f t="shared" si="0"/>
        <v>46857</v>
      </c>
      <c r="Y61" s="10" t="s">
        <v>814</v>
      </c>
      <c r="Z61" s="10" t="s">
        <v>841</v>
      </c>
      <c r="AA61" s="24" t="s">
        <v>768</v>
      </c>
    </row>
    <row r="62" spans="1:27" ht="38" customHeight="1">
      <c r="A62" s="11" t="s">
        <v>120</v>
      </c>
      <c r="B62" s="11" t="s">
        <v>67</v>
      </c>
      <c r="C62" s="11" t="s">
        <v>840</v>
      </c>
      <c r="D62" s="26" t="s">
        <v>790</v>
      </c>
      <c r="E62" s="26" t="s">
        <v>791</v>
      </c>
      <c r="F62" s="27"/>
      <c r="G62" s="27"/>
      <c r="H62" s="11" t="s">
        <v>812</v>
      </c>
      <c r="I62" s="11" t="s">
        <v>781</v>
      </c>
      <c r="J62" s="30"/>
      <c r="K62" s="30"/>
      <c r="L62" s="26">
        <v>39</v>
      </c>
      <c r="M62" s="26"/>
      <c r="N62" s="26"/>
      <c r="O62" s="31">
        <v>46023</v>
      </c>
      <c r="P62" s="31"/>
      <c r="Q62" s="26">
        <v>100</v>
      </c>
      <c r="R62" s="26" t="s">
        <v>69</v>
      </c>
      <c r="S62" s="11"/>
      <c r="T62" s="11" t="s">
        <v>764</v>
      </c>
      <c r="U62" s="11"/>
      <c r="V62" s="11" t="s">
        <v>813</v>
      </c>
      <c r="W62" s="15">
        <f>IF(AND(ISNUMBER(Übersicht!$B$4),Übersicht!$B$4=INT(Übersicht!$B$4),Übersicht!$B$4&gt;=2026,Übersicht!$B$4&lt;=2028),IF(I62="fixedMonthDay",IF(AND(ISNUMBER(J62),J62=INT(J62),J62&gt;=1,J62&lt;=12,ISNUMBER(K62),K62=INT(K62),K62&gt;=1,K62&lt;=31,MONTH(DATE(Übersicht!$B$4,J62,K62))=J62,DAY(DATE(Übersicht!$B$4,J62,K62))=K62,L62="",M62="",N62=""),DATE(Übersicht!$B$4,J62,K62),NA()),IF(I62="easterOffsetDays",IF(AND(ISNUMBER(L62),L62=INT(L62),L62&gt;=-366,L62&lt;=366,J62="",K62="",M62="",N62=""),$AD$23+L62,NA()),IF(I62="nthWeekdayOfMonth",IF(AND(ISNUMBER(J62),J62=INT(J62),J62&gt;=1,J62&lt;=12,ISNUMBER(M62),M62=INT(M62),M62&gt;=1,M62&lt;=7,ISNUMBER(N62),N62=INT(N62),N62&gt;=1,N62&lt;=5,MONTH(DATE(Übersicht!$B$4,J62,1)+MOD(M62-WEEKDAY(DATE(Übersicht!$B$4,J62,1),2),7)+7*(N62-1))=J62,K62="",L62=""),DATE(Übersicht!$B$4,J62,1)+MOD(M62-WEEKDAY(DATE(Übersicht!$B$4,J62,1),2),7)+7*(N62-1),NA()),IF(I62="nthWeekdayOffsetDays",IF(AND(ISNUMBER(J62),J62=INT(J62),J62&gt;=1,J62&lt;=12,ISNUMBER(M62),M62=INT(M62),M62&gt;=1,M62&lt;=7,ISNUMBER(N62),N62=INT(N62),N62&gt;=1,N62&lt;=5,MONTH(DATE(Übersicht!$B$4,J62,1)+MOD(M62-WEEKDAY(DATE(Übersicht!$B$4,J62,1),2),7)+7*(N62-1))=J62,K62="",ISNUMBER(L62),L62=INT(L62),L62&gt;=-366,L62&lt;=366),DATE(Übersicht!$B$4,J62,1)+MOD(M62-WEEKDAY(DATE(Übersicht!$B$4,J62,1),2),7)+7*(N62-1)+L62,NA()),NA())))),NA())</f>
        <v>46898</v>
      </c>
      <c r="X62" s="15">
        <f t="shared" si="0"/>
        <v>46898</v>
      </c>
      <c r="Y62" s="11" t="s">
        <v>814</v>
      </c>
      <c r="Z62" s="11" t="s">
        <v>841</v>
      </c>
      <c r="AA62" s="26" t="s">
        <v>768</v>
      </c>
    </row>
    <row r="63" spans="1:27" ht="38" customHeight="1">
      <c r="A63" s="10" t="s">
        <v>121</v>
      </c>
      <c r="B63" s="10" t="s">
        <v>67</v>
      </c>
      <c r="C63" s="10" t="s">
        <v>840</v>
      </c>
      <c r="D63" s="24" t="s">
        <v>810</v>
      </c>
      <c r="E63" s="24" t="s">
        <v>811</v>
      </c>
      <c r="F63" s="25"/>
      <c r="G63" s="25"/>
      <c r="H63" s="10" t="s">
        <v>812</v>
      </c>
      <c r="I63" s="10" t="s">
        <v>781</v>
      </c>
      <c r="J63" s="28"/>
      <c r="K63" s="28"/>
      <c r="L63" s="24">
        <v>60</v>
      </c>
      <c r="M63" s="24"/>
      <c r="N63" s="24"/>
      <c r="O63" s="29">
        <v>46023</v>
      </c>
      <c r="P63" s="29"/>
      <c r="Q63" s="24">
        <v>100</v>
      </c>
      <c r="R63" s="24" t="s">
        <v>69</v>
      </c>
      <c r="S63" s="10"/>
      <c r="T63" s="10" t="s">
        <v>764</v>
      </c>
      <c r="U63" s="10"/>
      <c r="V63" s="10" t="s">
        <v>813</v>
      </c>
      <c r="W63" s="14">
        <f>IF(AND(ISNUMBER(Übersicht!$B$4),Übersicht!$B$4=INT(Übersicht!$B$4),Übersicht!$B$4&gt;=2026,Übersicht!$B$4&lt;=2028),IF(I63="fixedMonthDay",IF(AND(ISNUMBER(J63),J63=INT(J63),J63&gt;=1,J63&lt;=12,ISNUMBER(K63),K63=INT(K63),K63&gt;=1,K63&lt;=31,MONTH(DATE(Übersicht!$B$4,J63,K63))=J63,DAY(DATE(Übersicht!$B$4,J63,K63))=K63,L63="",M63="",N63=""),DATE(Übersicht!$B$4,J63,K63),NA()),IF(I63="easterOffsetDays",IF(AND(ISNUMBER(L63),L63=INT(L63),L63&gt;=-366,L63&lt;=366,J63="",K63="",M63="",N63=""),$AD$23+L63,NA()),IF(I63="nthWeekdayOfMonth",IF(AND(ISNUMBER(J63),J63=INT(J63),J63&gt;=1,J63&lt;=12,ISNUMBER(M63),M63=INT(M63),M63&gt;=1,M63&lt;=7,ISNUMBER(N63),N63=INT(N63),N63&gt;=1,N63&lt;=5,MONTH(DATE(Übersicht!$B$4,J63,1)+MOD(M63-WEEKDAY(DATE(Übersicht!$B$4,J63,1),2),7)+7*(N63-1))=J63,K63="",L63=""),DATE(Übersicht!$B$4,J63,1)+MOD(M63-WEEKDAY(DATE(Übersicht!$B$4,J63,1),2),7)+7*(N63-1),NA()),IF(I63="nthWeekdayOffsetDays",IF(AND(ISNUMBER(J63),J63=INT(J63),J63&gt;=1,J63&lt;=12,ISNUMBER(M63),M63=INT(M63),M63&gt;=1,M63&lt;=7,ISNUMBER(N63),N63=INT(N63),N63&gt;=1,N63&lt;=5,MONTH(DATE(Übersicht!$B$4,J63,1)+MOD(M63-WEEKDAY(DATE(Übersicht!$B$4,J63,1),2),7)+7*(N63-1))=J63,K63="",ISNUMBER(L63),L63=INT(L63),L63&gt;=-366,L63&lt;=366),DATE(Übersicht!$B$4,J63,1)+MOD(M63-WEEKDAY(DATE(Übersicht!$B$4,J63,1),2),7)+7*(N63-1)+L63,NA()),NA())))),NA())</f>
        <v>46919</v>
      </c>
      <c r="X63" s="14">
        <f t="shared" si="0"/>
        <v>46919</v>
      </c>
      <c r="Y63" s="10" t="s">
        <v>814</v>
      </c>
      <c r="Z63" s="10" t="s">
        <v>841</v>
      </c>
      <c r="AA63" s="24" t="s">
        <v>768</v>
      </c>
    </row>
    <row r="64" spans="1:27" ht="38" customHeight="1">
      <c r="A64" s="11" t="s">
        <v>122</v>
      </c>
      <c r="B64" s="11" t="s">
        <v>67</v>
      </c>
      <c r="C64" s="11" t="s">
        <v>840</v>
      </c>
      <c r="D64" s="26" t="s">
        <v>834</v>
      </c>
      <c r="E64" s="26" t="s">
        <v>835</v>
      </c>
      <c r="F64" s="27"/>
      <c r="G64" s="27"/>
      <c r="H64" s="11" t="s">
        <v>812</v>
      </c>
      <c r="I64" s="11" t="s">
        <v>762</v>
      </c>
      <c r="J64" s="30">
        <v>8</v>
      </c>
      <c r="K64" s="30">
        <v>15</v>
      </c>
      <c r="L64" s="26"/>
      <c r="M64" s="26"/>
      <c r="N64" s="26"/>
      <c r="O64" s="31">
        <v>46023</v>
      </c>
      <c r="P64" s="31"/>
      <c r="Q64" s="26">
        <v>100</v>
      </c>
      <c r="R64" s="26" t="s">
        <v>69</v>
      </c>
      <c r="S64" s="11"/>
      <c r="T64" s="11" t="s">
        <v>764</v>
      </c>
      <c r="U64" s="11"/>
      <c r="V64" s="11" t="s">
        <v>813</v>
      </c>
      <c r="W64" s="15">
        <f>IF(AND(ISNUMBER(Übersicht!$B$4),Übersicht!$B$4=INT(Übersicht!$B$4),Übersicht!$B$4&gt;=2026,Übersicht!$B$4&lt;=2028),IF(I64="fixedMonthDay",IF(AND(ISNUMBER(J64),J64=INT(J64),J64&gt;=1,J64&lt;=12,ISNUMBER(K64),K64=INT(K64),K64&gt;=1,K64&lt;=31,MONTH(DATE(Übersicht!$B$4,J64,K64))=J64,DAY(DATE(Übersicht!$B$4,J64,K64))=K64,L64="",M64="",N64=""),DATE(Übersicht!$B$4,J64,K64),NA()),IF(I64="easterOffsetDays",IF(AND(ISNUMBER(L64),L64=INT(L64),L64&gt;=-366,L64&lt;=366,J64="",K64="",M64="",N64=""),$AD$23+L64,NA()),IF(I64="nthWeekdayOfMonth",IF(AND(ISNUMBER(J64),J64=INT(J64),J64&gt;=1,J64&lt;=12,ISNUMBER(M64),M64=INT(M64),M64&gt;=1,M64&lt;=7,ISNUMBER(N64),N64=INT(N64),N64&gt;=1,N64&lt;=5,MONTH(DATE(Übersicht!$B$4,J64,1)+MOD(M64-WEEKDAY(DATE(Übersicht!$B$4,J64,1),2),7)+7*(N64-1))=J64,K64="",L64=""),DATE(Übersicht!$B$4,J64,1)+MOD(M64-WEEKDAY(DATE(Übersicht!$B$4,J64,1),2),7)+7*(N64-1),NA()),IF(I64="nthWeekdayOffsetDays",IF(AND(ISNUMBER(J64),J64=INT(J64),J64&gt;=1,J64&lt;=12,ISNUMBER(M64),M64=INT(M64),M64&gt;=1,M64&lt;=7,ISNUMBER(N64),N64=INT(N64),N64&gt;=1,N64&lt;=5,MONTH(DATE(Übersicht!$B$4,J64,1)+MOD(M64-WEEKDAY(DATE(Übersicht!$B$4,J64,1),2),7)+7*(N64-1))=J64,K64="",ISNUMBER(L64),L64=INT(L64),L64&gt;=-366,L64&lt;=366),DATE(Übersicht!$B$4,J64,1)+MOD(M64-WEEKDAY(DATE(Übersicht!$B$4,J64,1),2),7)+7*(N64-1)+L64,NA()),NA())))),NA())</f>
        <v>46980</v>
      </c>
      <c r="X64" s="15">
        <f t="shared" si="0"/>
        <v>46980</v>
      </c>
      <c r="Y64" s="11" t="s">
        <v>814</v>
      </c>
      <c r="Z64" s="11" t="s">
        <v>841</v>
      </c>
      <c r="AA64" s="26" t="s">
        <v>768</v>
      </c>
    </row>
    <row r="65" spans="1:27" ht="38" customHeight="1">
      <c r="A65" s="10" t="s">
        <v>123</v>
      </c>
      <c r="B65" s="10" t="s">
        <v>67</v>
      </c>
      <c r="C65" s="10" t="s">
        <v>840</v>
      </c>
      <c r="D65" s="24" t="s">
        <v>821</v>
      </c>
      <c r="E65" s="24" t="s">
        <v>822</v>
      </c>
      <c r="F65" s="25"/>
      <c r="G65" s="25"/>
      <c r="H65" s="10" t="s">
        <v>812</v>
      </c>
      <c r="I65" s="10" t="s">
        <v>762</v>
      </c>
      <c r="J65" s="28">
        <v>11</v>
      </c>
      <c r="K65" s="28">
        <v>1</v>
      </c>
      <c r="L65" s="24"/>
      <c r="M65" s="24"/>
      <c r="N65" s="24"/>
      <c r="O65" s="29">
        <v>46023</v>
      </c>
      <c r="P65" s="29"/>
      <c r="Q65" s="24">
        <v>100</v>
      </c>
      <c r="R65" s="24" t="s">
        <v>69</v>
      </c>
      <c r="S65" s="10"/>
      <c r="T65" s="10" t="s">
        <v>764</v>
      </c>
      <c r="U65" s="10"/>
      <c r="V65" s="10" t="s">
        <v>813</v>
      </c>
      <c r="W65" s="14">
        <f>IF(AND(ISNUMBER(Übersicht!$B$4),Übersicht!$B$4=INT(Übersicht!$B$4),Übersicht!$B$4&gt;=2026,Übersicht!$B$4&lt;=2028),IF(I65="fixedMonthDay",IF(AND(ISNUMBER(J65),J65=INT(J65),J65&gt;=1,J65&lt;=12,ISNUMBER(K65),K65=INT(K65),K65&gt;=1,K65&lt;=31,MONTH(DATE(Übersicht!$B$4,J65,K65))=J65,DAY(DATE(Übersicht!$B$4,J65,K65))=K65,L65="",M65="",N65=""),DATE(Übersicht!$B$4,J65,K65),NA()),IF(I65="easterOffsetDays",IF(AND(ISNUMBER(L65),L65=INT(L65),L65&gt;=-366,L65&lt;=366,J65="",K65="",M65="",N65=""),$AD$23+L65,NA()),IF(I65="nthWeekdayOfMonth",IF(AND(ISNUMBER(J65),J65=INT(J65),J65&gt;=1,J65&lt;=12,ISNUMBER(M65),M65=INT(M65),M65&gt;=1,M65&lt;=7,ISNUMBER(N65),N65=INT(N65),N65&gt;=1,N65&lt;=5,MONTH(DATE(Übersicht!$B$4,J65,1)+MOD(M65-WEEKDAY(DATE(Übersicht!$B$4,J65,1),2),7)+7*(N65-1))=J65,K65="",L65=""),DATE(Übersicht!$B$4,J65,1)+MOD(M65-WEEKDAY(DATE(Übersicht!$B$4,J65,1),2),7)+7*(N65-1),NA()),IF(I65="nthWeekdayOffsetDays",IF(AND(ISNUMBER(J65),J65=INT(J65),J65&gt;=1,J65&lt;=12,ISNUMBER(M65),M65=INT(M65),M65&gt;=1,M65&lt;=7,ISNUMBER(N65),N65=INT(N65),N65&gt;=1,N65&lt;=5,MONTH(DATE(Übersicht!$B$4,J65,1)+MOD(M65-WEEKDAY(DATE(Übersicht!$B$4,J65,1),2),7)+7*(N65-1))=J65,K65="",ISNUMBER(L65),L65=INT(L65),L65&gt;=-366,L65&lt;=366),DATE(Übersicht!$B$4,J65,1)+MOD(M65-WEEKDAY(DATE(Übersicht!$B$4,J65,1),2),7)+7*(N65-1)+L65,NA()),NA())))),NA())</f>
        <v>47058</v>
      </c>
      <c r="X65" s="14">
        <f t="shared" si="0"/>
        <v>47058</v>
      </c>
      <c r="Y65" s="10" t="s">
        <v>814</v>
      </c>
      <c r="Z65" s="10" t="s">
        <v>841</v>
      </c>
      <c r="AA65" s="24" t="s">
        <v>768</v>
      </c>
    </row>
    <row r="66" spans="1:27" ht="38" customHeight="1">
      <c r="A66" s="11" t="s">
        <v>124</v>
      </c>
      <c r="B66" s="11" t="s">
        <v>67</v>
      </c>
      <c r="C66" s="11" t="s">
        <v>840</v>
      </c>
      <c r="D66" s="26" t="s">
        <v>803</v>
      </c>
      <c r="E66" s="26" t="s">
        <v>804</v>
      </c>
      <c r="F66" s="27"/>
      <c r="G66" s="27"/>
      <c r="H66" s="11" t="s">
        <v>812</v>
      </c>
      <c r="I66" s="11" t="s">
        <v>762</v>
      </c>
      <c r="J66" s="30">
        <v>12</v>
      </c>
      <c r="K66" s="30">
        <v>25</v>
      </c>
      <c r="L66" s="26"/>
      <c r="M66" s="26"/>
      <c r="N66" s="26"/>
      <c r="O66" s="31">
        <v>46023</v>
      </c>
      <c r="P66" s="31"/>
      <c r="Q66" s="26">
        <v>100</v>
      </c>
      <c r="R66" s="26" t="s">
        <v>69</v>
      </c>
      <c r="S66" s="11"/>
      <c r="T66" s="11" t="s">
        <v>764</v>
      </c>
      <c r="U66" s="11"/>
      <c r="V66" s="11" t="s">
        <v>813</v>
      </c>
      <c r="W66" s="15">
        <f>IF(AND(ISNUMBER(Übersicht!$B$4),Übersicht!$B$4=INT(Übersicht!$B$4),Übersicht!$B$4&gt;=2026,Übersicht!$B$4&lt;=2028),IF(I66="fixedMonthDay",IF(AND(ISNUMBER(J66),J66=INT(J66),J66&gt;=1,J66&lt;=12,ISNUMBER(K66),K66=INT(K66),K66&gt;=1,K66&lt;=31,MONTH(DATE(Übersicht!$B$4,J66,K66))=J66,DAY(DATE(Übersicht!$B$4,J66,K66))=K66,L66="",M66="",N66=""),DATE(Übersicht!$B$4,J66,K66),NA()),IF(I66="easterOffsetDays",IF(AND(ISNUMBER(L66),L66=INT(L66),L66&gt;=-366,L66&lt;=366,J66="",K66="",M66="",N66=""),$AD$23+L66,NA()),IF(I66="nthWeekdayOfMonth",IF(AND(ISNUMBER(J66),J66=INT(J66),J66&gt;=1,J66&lt;=12,ISNUMBER(M66),M66=INT(M66),M66&gt;=1,M66&lt;=7,ISNUMBER(N66),N66=INT(N66),N66&gt;=1,N66&lt;=5,MONTH(DATE(Übersicht!$B$4,J66,1)+MOD(M66-WEEKDAY(DATE(Übersicht!$B$4,J66,1),2),7)+7*(N66-1))=J66,K66="",L66=""),DATE(Übersicht!$B$4,J66,1)+MOD(M66-WEEKDAY(DATE(Übersicht!$B$4,J66,1),2),7)+7*(N66-1),NA()),IF(I66="nthWeekdayOffsetDays",IF(AND(ISNUMBER(J66),J66=INT(J66),J66&gt;=1,J66&lt;=12,ISNUMBER(M66),M66=INT(M66),M66&gt;=1,M66&lt;=7,ISNUMBER(N66),N66=INT(N66),N66&gt;=1,N66&lt;=5,MONTH(DATE(Übersicht!$B$4,J66,1)+MOD(M66-WEEKDAY(DATE(Übersicht!$B$4,J66,1),2),7)+7*(N66-1))=J66,K66="",ISNUMBER(L66),L66=INT(L66),L66&gt;=-366,L66&lt;=366),DATE(Übersicht!$B$4,J66,1)+MOD(M66-WEEKDAY(DATE(Übersicht!$B$4,J66,1),2),7)+7*(N66-1)+L66,NA()),NA())))),NA())</f>
        <v>47112</v>
      </c>
      <c r="X66" s="15">
        <f t="shared" si="0"/>
        <v>47112</v>
      </c>
      <c r="Y66" s="11" t="s">
        <v>814</v>
      </c>
      <c r="Z66" s="11" t="s">
        <v>841</v>
      </c>
      <c r="AA66" s="26" t="s">
        <v>768</v>
      </c>
    </row>
    <row r="67" spans="1:27" ht="38" customHeight="1">
      <c r="A67" s="10" t="s">
        <v>125</v>
      </c>
      <c r="B67" s="10" t="s">
        <v>67</v>
      </c>
      <c r="C67" s="10" t="s">
        <v>840</v>
      </c>
      <c r="D67" s="24" t="s">
        <v>838</v>
      </c>
      <c r="E67" s="24" t="s">
        <v>839</v>
      </c>
      <c r="F67" s="25"/>
      <c r="G67" s="25"/>
      <c r="H67" s="10" t="s">
        <v>812</v>
      </c>
      <c r="I67" s="10" t="s">
        <v>762</v>
      </c>
      <c r="J67" s="28">
        <v>12</v>
      </c>
      <c r="K67" s="28">
        <v>8</v>
      </c>
      <c r="L67" s="24"/>
      <c r="M67" s="24"/>
      <c r="N67" s="24"/>
      <c r="O67" s="29">
        <v>46023</v>
      </c>
      <c r="P67" s="29"/>
      <c r="Q67" s="24">
        <v>100</v>
      </c>
      <c r="R67" s="24" t="s">
        <v>69</v>
      </c>
      <c r="S67" s="10"/>
      <c r="T67" s="10" t="s">
        <v>764</v>
      </c>
      <c r="U67" s="10"/>
      <c r="V67" s="10" t="s">
        <v>813</v>
      </c>
      <c r="W67" s="14">
        <f>IF(AND(ISNUMBER(Übersicht!$B$4),Übersicht!$B$4=INT(Übersicht!$B$4),Übersicht!$B$4&gt;=2026,Übersicht!$B$4&lt;=2028),IF(I67="fixedMonthDay",IF(AND(ISNUMBER(J67),J67=INT(J67),J67&gt;=1,J67&lt;=12,ISNUMBER(K67),K67=INT(K67),K67&gt;=1,K67&lt;=31,MONTH(DATE(Übersicht!$B$4,J67,K67))=J67,DAY(DATE(Übersicht!$B$4,J67,K67))=K67,L67="",M67="",N67=""),DATE(Übersicht!$B$4,J67,K67),NA()),IF(I67="easterOffsetDays",IF(AND(ISNUMBER(L67),L67=INT(L67),L67&gt;=-366,L67&lt;=366,J67="",K67="",M67="",N67=""),$AD$23+L67,NA()),IF(I67="nthWeekdayOfMonth",IF(AND(ISNUMBER(J67),J67=INT(J67),J67&gt;=1,J67&lt;=12,ISNUMBER(M67),M67=INT(M67),M67&gt;=1,M67&lt;=7,ISNUMBER(N67),N67=INT(N67),N67&gt;=1,N67&lt;=5,MONTH(DATE(Übersicht!$B$4,J67,1)+MOD(M67-WEEKDAY(DATE(Übersicht!$B$4,J67,1),2),7)+7*(N67-1))=J67,K67="",L67=""),DATE(Übersicht!$B$4,J67,1)+MOD(M67-WEEKDAY(DATE(Übersicht!$B$4,J67,1),2),7)+7*(N67-1),NA()),IF(I67="nthWeekdayOffsetDays",IF(AND(ISNUMBER(J67),J67=INT(J67),J67&gt;=1,J67&lt;=12,ISNUMBER(M67),M67=INT(M67),M67&gt;=1,M67&lt;=7,ISNUMBER(N67),N67=INT(N67),N67&gt;=1,N67&lt;=5,MONTH(DATE(Übersicht!$B$4,J67,1)+MOD(M67-WEEKDAY(DATE(Übersicht!$B$4,J67,1),2),7)+7*(N67-1))=J67,K67="",ISNUMBER(L67),L67=INT(L67),L67&gt;=-366,L67&lt;=366),DATE(Übersicht!$B$4,J67,1)+MOD(M67-WEEKDAY(DATE(Übersicht!$B$4,J67,1),2),7)+7*(N67-1)+L67,NA()),NA())))),NA())</f>
        <v>47095</v>
      </c>
      <c r="X67" s="14">
        <f t="shared" si="0"/>
        <v>47095</v>
      </c>
      <c r="Y67" s="10" t="s">
        <v>814</v>
      </c>
      <c r="Z67" s="10" t="s">
        <v>841</v>
      </c>
      <c r="AA67" s="24" t="s">
        <v>768</v>
      </c>
    </row>
    <row r="68" spans="1:27" ht="38" customHeight="1">
      <c r="A68" s="11" t="s">
        <v>127</v>
      </c>
      <c r="B68" s="11" t="s">
        <v>67</v>
      </c>
      <c r="C68" s="11" t="s">
        <v>842</v>
      </c>
      <c r="D68" s="26" t="s">
        <v>771</v>
      </c>
      <c r="E68" s="26" t="s">
        <v>772</v>
      </c>
      <c r="F68" s="27"/>
      <c r="G68" s="27"/>
      <c r="H68" s="11" t="s">
        <v>812</v>
      </c>
      <c r="I68" s="11" t="s">
        <v>762</v>
      </c>
      <c r="J68" s="30">
        <v>1</v>
      </c>
      <c r="K68" s="30">
        <v>1</v>
      </c>
      <c r="L68" s="26"/>
      <c r="M68" s="26"/>
      <c r="N68" s="26"/>
      <c r="O68" s="31">
        <v>46023</v>
      </c>
      <c r="P68" s="31"/>
      <c r="Q68" s="26">
        <v>100</v>
      </c>
      <c r="R68" s="26" t="s">
        <v>69</v>
      </c>
      <c r="S68" s="11"/>
      <c r="T68" s="11" t="s">
        <v>764</v>
      </c>
      <c r="U68" s="11"/>
      <c r="V68" s="11" t="s">
        <v>813</v>
      </c>
      <c r="W68" s="15">
        <f>IF(AND(ISNUMBER(Übersicht!$B$4),Übersicht!$B$4=INT(Übersicht!$B$4),Übersicht!$B$4&gt;=2026,Übersicht!$B$4&lt;=2028),IF(I68="fixedMonthDay",IF(AND(ISNUMBER(J68),J68=INT(J68),J68&gt;=1,J68&lt;=12,ISNUMBER(K68),K68=INT(K68),K68&gt;=1,K68&lt;=31,MONTH(DATE(Übersicht!$B$4,J68,K68))=J68,DAY(DATE(Übersicht!$B$4,J68,K68))=K68,L68="",M68="",N68=""),DATE(Übersicht!$B$4,J68,K68),NA()),IF(I68="easterOffsetDays",IF(AND(ISNUMBER(L68),L68=INT(L68),L68&gt;=-366,L68&lt;=366,J68="",K68="",M68="",N68=""),$AD$23+L68,NA()),IF(I68="nthWeekdayOfMonth",IF(AND(ISNUMBER(J68),J68=INT(J68),J68&gt;=1,J68&lt;=12,ISNUMBER(M68),M68=INT(M68),M68&gt;=1,M68&lt;=7,ISNUMBER(N68),N68=INT(N68),N68&gt;=1,N68&lt;=5,MONTH(DATE(Übersicht!$B$4,J68,1)+MOD(M68-WEEKDAY(DATE(Übersicht!$B$4,J68,1),2),7)+7*(N68-1))=J68,K68="",L68=""),DATE(Übersicht!$B$4,J68,1)+MOD(M68-WEEKDAY(DATE(Übersicht!$B$4,J68,1),2),7)+7*(N68-1),NA()),IF(I68="nthWeekdayOffsetDays",IF(AND(ISNUMBER(J68),J68=INT(J68),J68&gt;=1,J68&lt;=12,ISNUMBER(M68),M68=INT(M68),M68&gt;=1,M68&lt;=7,ISNUMBER(N68),N68=INT(N68),N68&gt;=1,N68&lt;=5,MONTH(DATE(Übersicht!$B$4,J68,1)+MOD(M68-WEEKDAY(DATE(Übersicht!$B$4,J68,1),2),7)+7*(N68-1))=J68,K68="",ISNUMBER(L68),L68=INT(L68),L68&gt;=-366,L68&lt;=366),DATE(Übersicht!$B$4,J68,1)+MOD(M68-WEEKDAY(DATE(Übersicht!$B$4,J68,1),2),7)+7*(N68-1)+L68,NA()),NA())))),NA())</f>
        <v>46753</v>
      </c>
      <c r="X68" s="15">
        <f t="shared" si="0"/>
        <v>46753</v>
      </c>
      <c r="Y68" s="11" t="s">
        <v>814</v>
      </c>
      <c r="Z68" s="11" t="s">
        <v>843</v>
      </c>
      <c r="AA68" s="26" t="s">
        <v>768</v>
      </c>
    </row>
    <row r="69" spans="1:27" ht="38" customHeight="1">
      <c r="A69" s="10" t="s">
        <v>128</v>
      </c>
      <c r="B69" s="10" t="s">
        <v>67</v>
      </c>
      <c r="C69" s="10" t="s">
        <v>842</v>
      </c>
      <c r="D69" s="24" t="s">
        <v>779</v>
      </c>
      <c r="E69" s="24" t="s">
        <v>780</v>
      </c>
      <c r="F69" s="25"/>
      <c r="G69" s="25"/>
      <c r="H69" s="10" t="s">
        <v>812</v>
      </c>
      <c r="I69" s="10" t="s">
        <v>781</v>
      </c>
      <c r="J69" s="28"/>
      <c r="K69" s="28"/>
      <c r="L69" s="24">
        <v>-2</v>
      </c>
      <c r="M69" s="24"/>
      <c r="N69" s="24"/>
      <c r="O69" s="29">
        <v>46023</v>
      </c>
      <c r="P69" s="29"/>
      <c r="Q69" s="24">
        <v>100</v>
      </c>
      <c r="R69" s="24" t="s">
        <v>69</v>
      </c>
      <c r="S69" s="10"/>
      <c r="T69" s="10" t="s">
        <v>764</v>
      </c>
      <c r="U69" s="10"/>
      <c r="V69" s="10" t="s">
        <v>813</v>
      </c>
      <c r="W69" s="14">
        <f>IF(AND(ISNUMBER(Übersicht!$B$4),Übersicht!$B$4=INT(Übersicht!$B$4),Übersicht!$B$4&gt;=2026,Übersicht!$B$4&lt;=2028),IF(I69="fixedMonthDay",IF(AND(ISNUMBER(J69),J69=INT(J69),J69&gt;=1,J69&lt;=12,ISNUMBER(K69),K69=INT(K69),K69&gt;=1,K69&lt;=31,MONTH(DATE(Übersicht!$B$4,J69,K69))=J69,DAY(DATE(Übersicht!$B$4,J69,K69))=K69,L69="",M69="",N69=""),DATE(Übersicht!$B$4,J69,K69),NA()),IF(I69="easterOffsetDays",IF(AND(ISNUMBER(L69),L69=INT(L69),L69&gt;=-366,L69&lt;=366,J69="",K69="",M69="",N69=""),$AD$23+L69,NA()),IF(I69="nthWeekdayOfMonth",IF(AND(ISNUMBER(J69),J69=INT(J69),J69&gt;=1,J69&lt;=12,ISNUMBER(M69),M69=INT(M69),M69&gt;=1,M69&lt;=7,ISNUMBER(N69),N69=INT(N69),N69&gt;=1,N69&lt;=5,MONTH(DATE(Übersicht!$B$4,J69,1)+MOD(M69-WEEKDAY(DATE(Übersicht!$B$4,J69,1),2),7)+7*(N69-1))=J69,K69="",L69=""),DATE(Übersicht!$B$4,J69,1)+MOD(M69-WEEKDAY(DATE(Übersicht!$B$4,J69,1),2),7)+7*(N69-1),NA()),IF(I69="nthWeekdayOffsetDays",IF(AND(ISNUMBER(J69),J69=INT(J69),J69&gt;=1,J69&lt;=12,ISNUMBER(M69),M69=INT(M69),M69&gt;=1,M69&lt;=7,ISNUMBER(N69),N69=INT(N69),N69&gt;=1,N69&lt;=5,MONTH(DATE(Übersicht!$B$4,J69,1)+MOD(M69-WEEKDAY(DATE(Übersicht!$B$4,J69,1),2),7)+7*(N69-1))=J69,K69="",ISNUMBER(L69),L69=INT(L69),L69&gt;=-366,L69&lt;=366),DATE(Übersicht!$B$4,J69,1)+MOD(M69-WEEKDAY(DATE(Übersicht!$B$4,J69,1),2),7)+7*(N69-1)+L69,NA()),NA())))),NA())</f>
        <v>46857</v>
      </c>
      <c r="X69" s="14">
        <f t="shared" si="0"/>
        <v>46857</v>
      </c>
      <c r="Y69" s="10" t="s">
        <v>814</v>
      </c>
      <c r="Z69" s="10" t="s">
        <v>843</v>
      </c>
      <c r="AA69" s="24" t="s">
        <v>768</v>
      </c>
    </row>
    <row r="70" spans="1:27" ht="38" customHeight="1">
      <c r="A70" s="11" t="s">
        <v>129</v>
      </c>
      <c r="B70" s="11" t="s">
        <v>67</v>
      </c>
      <c r="C70" s="11" t="s">
        <v>842</v>
      </c>
      <c r="D70" s="26" t="s">
        <v>787</v>
      </c>
      <c r="E70" s="26" t="s">
        <v>788</v>
      </c>
      <c r="F70" s="27"/>
      <c r="G70" s="27"/>
      <c r="H70" s="11" t="s">
        <v>812</v>
      </c>
      <c r="I70" s="11" t="s">
        <v>781</v>
      </c>
      <c r="J70" s="30"/>
      <c r="K70" s="30"/>
      <c r="L70" s="26">
        <v>1</v>
      </c>
      <c r="M70" s="26"/>
      <c r="N70" s="26"/>
      <c r="O70" s="31">
        <v>46023</v>
      </c>
      <c r="P70" s="31"/>
      <c r="Q70" s="26">
        <v>100</v>
      </c>
      <c r="R70" s="26" t="s">
        <v>69</v>
      </c>
      <c r="S70" s="11"/>
      <c r="T70" s="11" t="s">
        <v>764</v>
      </c>
      <c r="U70" s="11"/>
      <c r="V70" s="11" t="s">
        <v>813</v>
      </c>
      <c r="W70" s="15">
        <f>IF(AND(ISNUMBER(Übersicht!$B$4),Übersicht!$B$4=INT(Übersicht!$B$4),Übersicht!$B$4&gt;=2026,Übersicht!$B$4&lt;=2028),IF(I70="fixedMonthDay",IF(AND(ISNUMBER(J70),J70=INT(J70),J70&gt;=1,J70&lt;=12,ISNUMBER(K70),K70=INT(K70),K70&gt;=1,K70&lt;=31,MONTH(DATE(Übersicht!$B$4,J70,K70))=J70,DAY(DATE(Übersicht!$B$4,J70,K70))=K70,L70="",M70="",N70=""),DATE(Übersicht!$B$4,J70,K70),NA()),IF(I70="easterOffsetDays",IF(AND(ISNUMBER(L70),L70=INT(L70),L70&gt;=-366,L70&lt;=366,J70="",K70="",M70="",N70=""),$AD$23+L70,NA()),IF(I70="nthWeekdayOfMonth",IF(AND(ISNUMBER(J70),J70=INT(J70),J70&gt;=1,J70&lt;=12,ISNUMBER(M70),M70=INT(M70),M70&gt;=1,M70&lt;=7,ISNUMBER(N70),N70=INT(N70),N70&gt;=1,N70&lt;=5,MONTH(DATE(Übersicht!$B$4,J70,1)+MOD(M70-WEEKDAY(DATE(Übersicht!$B$4,J70,1),2),7)+7*(N70-1))=J70,K70="",L70=""),DATE(Übersicht!$B$4,J70,1)+MOD(M70-WEEKDAY(DATE(Übersicht!$B$4,J70,1),2),7)+7*(N70-1),NA()),IF(I70="nthWeekdayOffsetDays",IF(AND(ISNUMBER(J70),J70=INT(J70),J70&gt;=1,J70&lt;=12,ISNUMBER(M70),M70=INT(M70),M70&gt;=1,M70&lt;=7,ISNUMBER(N70),N70=INT(N70),N70&gt;=1,N70&lt;=5,MONTH(DATE(Übersicht!$B$4,J70,1)+MOD(M70-WEEKDAY(DATE(Übersicht!$B$4,J70,1),2),7)+7*(N70-1))=J70,K70="",ISNUMBER(L70),L70=INT(L70),L70&gt;=-366,L70&lt;=366),DATE(Übersicht!$B$4,J70,1)+MOD(M70-WEEKDAY(DATE(Übersicht!$B$4,J70,1),2),7)+7*(N70-1)+L70,NA()),NA())))),NA())</f>
        <v>46860</v>
      </c>
      <c r="X70" s="15">
        <f t="shared" si="0"/>
        <v>46860</v>
      </c>
      <c r="Y70" s="11" t="s">
        <v>814</v>
      </c>
      <c r="Z70" s="11" t="s">
        <v>843</v>
      </c>
      <c r="AA70" s="26" t="s">
        <v>768</v>
      </c>
    </row>
    <row r="71" spans="1:27" ht="38" customHeight="1">
      <c r="A71" s="10" t="s">
        <v>130</v>
      </c>
      <c r="B71" s="10" t="s">
        <v>67</v>
      </c>
      <c r="C71" s="10" t="s">
        <v>842</v>
      </c>
      <c r="D71" s="24" t="s">
        <v>790</v>
      </c>
      <c r="E71" s="24" t="s">
        <v>791</v>
      </c>
      <c r="F71" s="25"/>
      <c r="G71" s="25"/>
      <c r="H71" s="10" t="s">
        <v>812</v>
      </c>
      <c r="I71" s="10" t="s">
        <v>781</v>
      </c>
      <c r="J71" s="28"/>
      <c r="K71" s="28"/>
      <c r="L71" s="24">
        <v>39</v>
      </c>
      <c r="M71" s="24"/>
      <c r="N71" s="24"/>
      <c r="O71" s="29">
        <v>46023</v>
      </c>
      <c r="P71" s="29"/>
      <c r="Q71" s="24">
        <v>100</v>
      </c>
      <c r="R71" s="24" t="s">
        <v>69</v>
      </c>
      <c r="S71" s="10"/>
      <c r="T71" s="10" t="s">
        <v>764</v>
      </c>
      <c r="U71" s="10"/>
      <c r="V71" s="10" t="s">
        <v>813</v>
      </c>
      <c r="W71" s="14">
        <f>IF(AND(ISNUMBER(Übersicht!$B$4),Übersicht!$B$4=INT(Übersicht!$B$4),Übersicht!$B$4&gt;=2026,Übersicht!$B$4&lt;=2028),IF(I71="fixedMonthDay",IF(AND(ISNUMBER(J71),J71=INT(J71),J71&gt;=1,J71&lt;=12,ISNUMBER(K71),K71=INT(K71),K71&gt;=1,K71&lt;=31,MONTH(DATE(Übersicht!$B$4,J71,K71))=J71,DAY(DATE(Übersicht!$B$4,J71,K71))=K71,L71="",M71="",N71=""),DATE(Übersicht!$B$4,J71,K71),NA()),IF(I71="easterOffsetDays",IF(AND(ISNUMBER(L71),L71=INT(L71),L71&gt;=-366,L71&lt;=366,J71="",K71="",M71="",N71=""),$AD$23+L71,NA()),IF(I71="nthWeekdayOfMonth",IF(AND(ISNUMBER(J71),J71=INT(J71),J71&gt;=1,J71&lt;=12,ISNUMBER(M71),M71=INT(M71),M71&gt;=1,M71&lt;=7,ISNUMBER(N71),N71=INT(N71),N71&gt;=1,N71&lt;=5,MONTH(DATE(Übersicht!$B$4,J71,1)+MOD(M71-WEEKDAY(DATE(Übersicht!$B$4,J71,1),2),7)+7*(N71-1))=J71,K71="",L71=""),DATE(Übersicht!$B$4,J71,1)+MOD(M71-WEEKDAY(DATE(Übersicht!$B$4,J71,1),2),7)+7*(N71-1),NA()),IF(I71="nthWeekdayOffsetDays",IF(AND(ISNUMBER(J71),J71=INT(J71),J71&gt;=1,J71&lt;=12,ISNUMBER(M71),M71=INT(M71),M71&gt;=1,M71&lt;=7,ISNUMBER(N71),N71=INT(N71),N71&gt;=1,N71&lt;=5,MONTH(DATE(Übersicht!$B$4,J71,1)+MOD(M71-WEEKDAY(DATE(Übersicht!$B$4,J71,1),2),7)+7*(N71-1))=J71,K71="",ISNUMBER(L71),L71=INT(L71),L71&gt;=-366,L71&lt;=366),DATE(Übersicht!$B$4,J71,1)+MOD(M71-WEEKDAY(DATE(Übersicht!$B$4,J71,1),2),7)+7*(N71-1)+L71,NA()),NA())))),NA())</f>
        <v>46898</v>
      </c>
      <c r="X71" s="14">
        <f t="shared" ref="X71:X134" si="1">IF(AND(ISNUMBER(O71),O71=INT(O71),O71&gt;=-115780,O71&lt;=2958465,OR(P71="",AND(ISNUMBER(P71),P71=INT(P71),P71&gt;=-115780,P71&lt;=2958465,P71&gt;=O71)),OR(AA71="Ganztägig",AA71="Ab 12.00 Uhr")),IF(AND(W71&gt;=O71,OR(P71="",W71&lt;=P71)),W71,"Ausserhalb Geltung"),NA())</f>
        <v>46898</v>
      </c>
      <c r="Y71" s="10" t="s">
        <v>814</v>
      </c>
      <c r="Z71" s="10" t="s">
        <v>843</v>
      </c>
      <c r="AA71" s="24" t="s">
        <v>768</v>
      </c>
    </row>
    <row r="72" spans="1:27" ht="38" customHeight="1">
      <c r="A72" s="11" t="s">
        <v>131</v>
      </c>
      <c r="B72" s="11" t="s">
        <v>67</v>
      </c>
      <c r="C72" s="11" t="s">
        <v>842</v>
      </c>
      <c r="D72" s="26" t="s">
        <v>796</v>
      </c>
      <c r="E72" s="26" t="s">
        <v>797</v>
      </c>
      <c r="F72" s="27"/>
      <c r="G72" s="27"/>
      <c r="H72" s="11" t="s">
        <v>812</v>
      </c>
      <c r="I72" s="11" t="s">
        <v>781</v>
      </c>
      <c r="J72" s="30"/>
      <c r="K72" s="30"/>
      <c r="L72" s="26">
        <v>50</v>
      </c>
      <c r="M72" s="26"/>
      <c r="N72" s="26"/>
      <c r="O72" s="31">
        <v>46023</v>
      </c>
      <c r="P72" s="31"/>
      <c r="Q72" s="26">
        <v>100</v>
      </c>
      <c r="R72" s="26" t="s">
        <v>69</v>
      </c>
      <c r="S72" s="11"/>
      <c r="T72" s="11" t="s">
        <v>764</v>
      </c>
      <c r="U72" s="11"/>
      <c r="V72" s="11" t="s">
        <v>813</v>
      </c>
      <c r="W72" s="15">
        <f>IF(AND(ISNUMBER(Übersicht!$B$4),Übersicht!$B$4=INT(Übersicht!$B$4),Übersicht!$B$4&gt;=2026,Übersicht!$B$4&lt;=2028),IF(I72="fixedMonthDay",IF(AND(ISNUMBER(J72),J72=INT(J72),J72&gt;=1,J72&lt;=12,ISNUMBER(K72),K72=INT(K72),K72&gt;=1,K72&lt;=31,MONTH(DATE(Übersicht!$B$4,J72,K72))=J72,DAY(DATE(Übersicht!$B$4,J72,K72))=K72,L72="",M72="",N72=""),DATE(Übersicht!$B$4,J72,K72),NA()),IF(I72="easterOffsetDays",IF(AND(ISNUMBER(L72),L72=INT(L72),L72&gt;=-366,L72&lt;=366,J72="",K72="",M72="",N72=""),$AD$23+L72,NA()),IF(I72="nthWeekdayOfMonth",IF(AND(ISNUMBER(J72),J72=INT(J72),J72&gt;=1,J72&lt;=12,ISNUMBER(M72),M72=INT(M72),M72&gt;=1,M72&lt;=7,ISNUMBER(N72),N72=INT(N72),N72&gt;=1,N72&lt;=5,MONTH(DATE(Übersicht!$B$4,J72,1)+MOD(M72-WEEKDAY(DATE(Übersicht!$B$4,J72,1),2),7)+7*(N72-1))=J72,K72="",L72=""),DATE(Übersicht!$B$4,J72,1)+MOD(M72-WEEKDAY(DATE(Übersicht!$B$4,J72,1),2),7)+7*(N72-1),NA()),IF(I72="nthWeekdayOffsetDays",IF(AND(ISNUMBER(J72),J72=INT(J72),J72&gt;=1,J72&lt;=12,ISNUMBER(M72),M72=INT(M72),M72&gt;=1,M72&lt;=7,ISNUMBER(N72),N72=INT(N72),N72&gt;=1,N72&lt;=5,MONTH(DATE(Übersicht!$B$4,J72,1)+MOD(M72-WEEKDAY(DATE(Übersicht!$B$4,J72,1),2),7)+7*(N72-1))=J72,K72="",ISNUMBER(L72),L72=INT(L72),L72&gt;=-366,L72&lt;=366),DATE(Übersicht!$B$4,J72,1)+MOD(M72-WEEKDAY(DATE(Übersicht!$B$4,J72,1),2),7)+7*(N72-1)+L72,NA()),NA())))),NA())</f>
        <v>46909</v>
      </c>
      <c r="X72" s="15">
        <f t="shared" si="1"/>
        <v>46909</v>
      </c>
      <c r="Y72" s="11" t="s">
        <v>814</v>
      </c>
      <c r="Z72" s="11" t="s">
        <v>843</v>
      </c>
      <c r="AA72" s="26" t="s">
        <v>768</v>
      </c>
    </row>
    <row r="73" spans="1:27" ht="38" customHeight="1">
      <c r="A73" s="10" t="s">
        <v>132</v>
      </c>
      <c r="B73" s="10" t="s">
        <v>67</v>
      </c>
      <c r="C73" s="10" t="s">
        <v>842</v>
      </c>
      <c r="D73" s="24" t="s">
        <v>803</v>
      </c>
      <c r="E73" s="24" t="s">
        <v>804</v>
      </c>
      <c r="F73" s="25"/>
      <c r="G73" s="25"/>
      <c r="H73" s="10" t="s">
        <v>812</v>
      </c>
      <c r="I73" s="10" t="s">
        <v>762</v>
      </c>
      <c r="J73" s="28">
        <v>12</v>
      </c>
      <c r="K73" s="28">
        <v>25</v>
      </c>
      <c r="L73" s="24"/>
      <c r="M73" s="24"/>
      <c r="N73" s="24"/>
      <c r="O73" s="29">
        <v>46023</v>
      </c>
      <c r="P73" s="29"/>
      <c r="Q73" s="24">
        <v>100</v>
      </c>
      <c r="R73" s="24" t="s">
        <v>69</v>
      </c>
      <c r="S73" s="10"/>
      <c r="T73" s="10" t="s">
        <v>764</v>
      </c>
      <c r="U73" s="10"/>
      <c r="V73" s="10" t="s">
        <v>813</v>
      </c>
      <c r="W73" s="14">
        <f>IF(AND(ISNUMBER(Übersicht!$B$4),Übersicht!$B$4=INT(Übersicht!$B$4),Übersicht!$B$4&gt;=2026,Übersicht!$B$4&lt;=2028),IF(I73="fixedMonthDay",IF(AND(ISNUMBER(J73),J73=INT(J73),J73&gt;=1,J73&lt;=12,ISNUMBER(K73),K73=INT(K73),K73&gt;=1,K73&lt;=31,MONTH(DATE(Übersicht!$B$4,J73,K73))=J73,DAY(DATE(Übersicht!$B$4,J73,K73))=K73,L73="",M73="",N73=""),DATE(Übersicht!$B$4,J73,K73),NA()),IF(I73="easterOffsetDays",IF(AND(ISNUMBER(L73),L73=INT(L73),L73&gt;=-366,L73&lt;=366,J73="",K73="",M73="",N73=""),$AD$23+L73,NA()),IF(I73="nthWeekdayOfMonth",IF(AND(ISNUMBER(J73),J73=INT(J73),J73&gt;=1,J73&lt;=12,ISNUMBER(M73),M73=INT(M73),M73&gt;=1,M73&lt;=7,ISNUMBER(N73),N73=INT(N73),N73&gt;=1,N73&lt;=5,MONTH(DATE(Übersicht!$B$4,J73,1)+MOD(M73-WEEKDAY(DATE(Übersicht!$B$4,J73,1),2),7)+7*(N73-1))=J73,K73="",L73=""),DATE(Übersicht!$B$4,J73,1)+MOD(M73-WEEKDAY(DATE(Übersicht!$B$4,J73,1),2),7)+7*(N73-1),NA()),IF(I73="nthWeekdayOffsetDays",IF(AND(ISNUMBER(J73),J73=INT(J73),J73&gt;=1,J73&lt;=12,ISNUMBER(M73),M73=INT(M73),M73&gt;=1,M73&lt;=7,ISNUMBER(N73),N73=INT(N73),N73&gt;=1,N73&lt;=5,MONTH(DATE(Übersicht!$B$4,J73,1)+MOD(M73-WEEKDAY(DATE(Übersicht!$B$4,J73,1),2),7)+7*(N73-1))=J73,K73="",ISNUMBER(L73),L73=INT(L73),L73&gt;=-366,L73&lt;=366),DATE(Übersicht!$B$4,J73,1)+MOD(M73-WEEKDAY(DATE(Übersicht!$B$4,J73,1),2),7)+7*(N73-1)+L73,NA()),NA())))),NA())</f>
        <v>47112</v>
      </c>
      <c r="X73" s="14">
        <f t="shared" si="1"/>
        <v>47112</v>
      </c>
      <c r="Y73" s="10" t="s">
        <v>814</v>
      </c>
      <c r="Z73" s="10" t="s">
        <v>843</v>
      </c>
      <c r="AA73" s="24" t="s">
        <v>768</v>
      </c>
    </row>
    <row r="74" spans="1:27" ht="38" customHeight="1">
      <c r="A74" s="11" t="s">
        <v>133</v>
      </c>
      <c r="B74" s="11" t="s">
        <v>67</v>
      </c>
      <c r="C74" s="11" t="s">
        <v>842</v>
      </c>
      <c r="D74" s="26" t="s">
        <v>806</v>
      </c>
      <c r="E74" s="26" t="s">
        <v>807</v>
      </c>
      <c r="F74" s="27"/>
      <c r="G74" s="27"/>
      <c r="H74" s="11" t="s">
        <v>812</v>
      </c>
      <c r="I74" s="11" t="s">
        <v>762</v>
      </c>
      <c r="J74" s="30">
        <v>12</v>
      </c>
      <c r="K74" s="30">
        <v>26</v>
      </c>
      <c r="L74" s="26"/>
      <c r="M74" s="26"/>
      <c r="N74" s="26"/>
      <c r="O74" s="31">
        <v>46023</v>
      </c>
      <c r="P74" s="31"/>
      <c r="Q74" s="26">
        <v>100</v>
      </c>
      <c r="R74" s="26" t="s">
        <v>69</v>
      </c>
      <c r="S74" s="11"/>
      <c r="T74" s="11" t="s">
        <v>764</v>
      </c>
      <c r="U74" s="11"/>
      <c r="V74" s="11" t="s">
        <v>813</v>
      </c>
      <c r="W74" s="15">
        <f>IF(AND(ISNUMBER(Übersicht!$B$4),Übersicht!$B$4=INT(Übersicht!$B$4),Übersicht!$B$4&gt;=2026,Übersicht!$B$4&lt;=2028),IF(I74="fixedMonthDay",IF(AND(ISNUMBER(J74),J74=INT(J74),J74&gt;=1,J74&lt;=12,ISNUMBER(K74),K74=INT(K74),K74&gt;=1,K74&lt;=31,MONTH(DATE(Übersicht!$B$4,J74,K74))=J74,DAY(DATE(Übersicht!$B$4,J74,K74))=K74,L74="",M74="",N74=""),DATE(Übersicht!$B$4,J74,K74),NA()),IF(I74="easterOffsetDays",IF(AND(ISNUMBER(L74),L74=INT(L74),L74&gt;=-366,L74&lt;=366,J74="",K74="",M74="",N74=""),$AD$23+L74,NA()),IF(I74="nthWeekdayOfMonth",IF(AND(ISNUMBER(J74),J74=INT(J74),J74&gt;=1,J74&lt;=12,ISNUMBER(M74),M74=INT(M74),M74&gt;=1,M74&lt;=7,ISNUMBER(N74),N74=INT(N74),N74&gt;=1,N74&lt;=5,MONTH(DATE(Übersicht!$B$4,J74,1)+MOD(M74-WEEKDAY(DATE(Übersicht!$B$4,J74,1),2),7)+7*(N74-1))=J74,K74="",L74=""),DATE(Übersicht!$B$4,J74,1)+MOD(M74-WEEKDAY(DATE(Übersicht!$B$4,J74,1),2),7)+7*(N74-1),NA()),IF(I74="nthWeekdayOffsetDays",IF(AND(ISNUMBER(J74),J74=INT(J74),J74&gt;=1,J74&lt;=12,ISNUMBER(M74),M74=INT(M74),M74&gt;=1,M74&lt;=7,ISNUMBER(N74),N74=INT(N74),N74&gt;=1,N74&lt;=5,MONTH(DATE(Übersicht!$B$4,J74,1)+MOD(M74-WEEKDAY(DATE(Übersicht!$B$4,J74,1),2),7)+7*(N74-1))=J74,K74="",ISNUMBER(L74),L74=INT(L74),L74&gt;=-366,L74&lt;=366),DATE(Übersicht!$B$4,J74,1)+MOD(M74-WEEKDAY(DATE(Übersicht!$B$4,J74,1),2),7)+7*(N74-1)+L74,NA()),NA())))),NA())</f>
        <v>47113</v>
      </c>
      <c r="X74" s="15">
        <f t="shared" si="1"/>
        <v>47113</v>
      </c>
      <c r="Y74" s="11" t="s">
        <v>814</v>
      </c>
      <c r="Z74" s="11" t="s">
        <v>843</v>
      </c>
      <c r="AA74" s="26" t="s">
        <v>768</v>
      </c>
    </row>
    <row r="75" spans="1:27" ht="38" customHeight="1">
      <c r="A75" s="10" t="s">
        <v>134</v>
      </c>
      <c r="B75" s="10" t="s">
        <v>67</v>
      </c>
      <c r="C75" s="10" t="s">
        <v>842</v>
      </c>
      <c r="D75" s="24" t="s">
        <v>821</v>
      </c>
      <c r="E75" s="24" t="s">
        <v>822</v>
      </c>
      <c r="F75" s="25"/>
      <c r="G75" s="25"/>
      <c r="H75" s="10" t="s">
        <v>812</v>
      </c>
      <c r="I75" s="10" t="s">
        <v>762</v>
      </c>
      <c r="J75" s="28">
        <v>11</v>
      </c>
      <c r="K75" s="28">
        <v>1</v>
      </c>
      <c r="L75" s="24"/>
      <c r="M75" s="24"/>
      <c r="N75" s="24"/>
      <c r="O75" s="29">
        <v>46023</v>
      </c>
      <c r="P75" s="29"/>
      <c r="Q75" s="24">
        <v>100</v>
      </c>
      <c r="R75" s="24" t="s">
        <v>69</v>
      </c>
      <c r="S75" s="10"/>
      <c r="T75" s="10" t="s">
        <v>764</v>
      </c>
      <c r="U75" s="10"/>
      <c r="V75" s="10" t="s">
        <v>813</v>
      </c>
      <c r="W75" s="14">
        <f>IF(AND(ISNUMBER(Übersicht!$B$4),Übersicht!$B$4=INT(Übersicht!$B$4),Übersicht!$B$4&gt;=2026,Übersicht!$B$4&lt;=2028),IF(I75="fixedMonthDay",IF(AND(ISNUMBER(J75),J75=INT(J75),J75&gt;=1,J75&lt;=12,ISNUMBER(K75),K75=INT(K75),K75&gt;=1,K75&lt;=31,MONTH(DATE(Übersicht!$B$4,J75,K75))=J75,DAY(DATE(Übersicht!$B$4,J75,K75))=K75,L75="",M75="",N75=""),DATE(Übersicht!$B$4,J75,K75),NA()),IF(I75="easterOffsetDays",IF(AND(ISNUMBER(L75),L75=INT(L75),L75&gt;=-366,L75&lt;=366,J75="",K75="",M75="",N75=""),$AD$23+L75,NA()),IF(I75="nthWeekdayOfMonth",IF(AND(ISNUMBER(J75),J75=INT(J75),J75&gt;=1,J75&lt;=12,ISNUMBER(M75),M75=INT(M75),M75&gt;=1,M75&lt;=7,ISNUMBER(N75),N75=INT(N75),N75&gt;=1,N75&lt;=5,MONTH(DATE(Übersicht!$B$4,J75,1)+MOD(M75-WEEKDAY(DATE(Übersicht!$B$4,J75,1),2),7)+7*(N75-1))=J75,K75="",L75=""),DATE(Übersicht!$B$4,J75,1)+MOD(M75-WEEKDAY(DATE(Übersicht!$B$4,J75,1),2),7)+7*(N75-1),NA()),IF(I75="nthWeekdayOffsetDays",IF(AND(ISNUMBER(J75),J75=INT(J75),J75&gt;=1,J75&lt;=12,ISNUMBER(M75),M75=INT(M75),M75&gt;=1,M75&lt;=7,ISNUMBER(N75),N75=INT(N75),N75&gt;=1,N75&lt;=5,MONTH(DATE(Übersicht!$B$4,J75,1)+MOD(M75-WEEKDAY(DATE(Übersicht!$B$4,J75,1),2),7)+7*(N75-1))=J75,K75="",ISNUMBER(L75),L75=INT(L75),L75&gt;=-366,L75&lt;=366),DATE(Übersicht!$B$4,J75,1)+MOD(M75-WEEKDAY(DATE(Übersicht!$B$4,J75,1),2),7)+7*(N75-1)+L75,NA()),NA())))),NA())</f>
        <v>47058</v>
      </c>
      <c r="X75" s="14">
        <f t="shared" si="1"/>
        <v>47058</v>
      </c>
      <c r="Y75" s="10" t="s">
        <v>814</v>
      </c>
      <c r="Z75" s="10" t="s">
        <v>843</v>
      </c>
      <c r="AA75" s="24" t="s">
        <v>768</v>
      </c>
    </row>
    <row r="76" spans="1:27" ht="38" customHeight="1">
      <c r="A76" s="11" t="s">
        <v>136</v>
      </c>
      <c r="B76" s="11" t="s">
        <v>67</v>
      </c>
      <c r="C76" s="11" t="s">
        <v>844</v>
      </c>
      <c r="D76" s="26" t="s">
        <v>771</v>
      </c>
      <c r="E76" s="26" t="s">
        <v>772</v>
      </c>
      <c r="F76" s="27"/>
      <c r="G76" s="27"/>
      <c r="H76" s="11" t="s">
        <v>812</v>
      </c>
      <c r="I76" s="11" t="s">
        <v>762</v>
      </c>
      <c r="J76" s="30">
        <v>1</v>
      </c>
      <c r="K76" s="30">
        <v>1</v>
      </c>
      <c r="L76" s="26"/>
      <c r="M76" s="26"/>
      <c r="N76" s="26"/>
      <c r="O76" s="31">
        <v>46023</v>
      </c>
      <c r="P76" s="31"/>
      <c r="Q76" s="26">
        <v>100</v>
      </c>
      <c r="R76" s="26" t="s">
        <v>69</v>
      </c>
      <c r="S76" s="11"/>
      <c r="T76" s="11" t="s">
        <v>764</v>
      </c>
      <c r="U76" s="11"/>
      <c r="V76" s="11" t="s">
        <v>813</v>
      </c>
      <c r="W76" s="15">
        <f>IF(AND(ISNUMBER(Übersicht!$B$4),Übersicht!$B$4=INT(Übersicht!$B$4),Übersicht!$B$4&gt;=2026,Übersicht!$B$4&lt;=2028),IF(I76="fixedMonthDay",IF(AND(ISNUMBER(J76),J76=INT(J76),J76&gt;=1,J76&lt;=12,ISNUMBER(K76),K76=INT(K76),K76&gt;=1,K76&lt;=31,MONTH(DATE(Übersicht!$B$4,J76,K76))=J76,DAY(DATE(Übersicht!$B$4,J76,K76))=K76,L76="",M76="",N76=""),DATE(Übersicht!$B$4,J76,K76),NA()),IF(I76="easterOffsetDays",IF(AND(ISNUMBER(L76),L76=INT(L76),L76&gt;=-366,L76&lt;=366,J76="",K76="",M76="",N76=""),$AD$23+L76,NA()),IF(I76="nthWeekdayOfMonth",IF(AND(ISNUMBER(J76),J76=INT(J76),J76&gt;=1,J76&lt;=12,ISNUMBER(M76),M76=INT(M76),M76&gt;=1,M76&lt;=7,ISNUMBER(N76),N76=INT(N76),N76&gt;=1,N76&lt;=5,MONTH(DATE(Übersicht!$B$4,J76,1)+MOD(M76-WEEKDAY(DATE(Übersicht!$B$4,J76,1),2),7)+7*(N76-1))=J76,K76="",L76=""),DATE(Übersicht!$B$4,J76,1)+MOD(M76-WEEKDAY(DATE(Übersicht!$B$4,J76,1),2),7)+7*(N76-1),NA()),IF(I76="nthWeekdayOffsetDays",IF(AND(ISNUMBER(J76),J76=INT(J76),J76&gt;=1,J76&lt;=12,ISNUMBER(M76),M76=INT(M76),M76&gt;=1,M76&lt;=7,ISNUMBER(N76),N76=INT(N76),N76&gt;=1,N76&lt;=5,MONTH(DATE(Übersicht!$B$4,J76,1)+MOD(M76-WEEKDAY(DATE(Übersicht!$B$4,J76,1),2),7)+7*(N76-1))=J76,K76="",ISNUMBER(L76),L76=INT(L76),L76&gt;=-366,L76&lt;=366),DATE(Übersicht!$B$4,J76,1)+MOD(M76-WEEKDAY(DATE(Übersicht!$B$4,J76,1),2),7)+7*(N76-1)+L76,NA()),NA())))),NA())</f>
        <v>46753</v>
      </c>
      <c r="X76" s="15">
        <f t="shared" si="1"/>
        <v>46753</v>
      </c>
      <c r="Y76" s="11" t="s">
        <v>814</v>
      </c>
      <c r="Z76" s="11" t="s">
        <v>845</v>
      </c>
      <c r="AA76" s="26" t="s">
        <v>768</v>
      </c>
    </row>
    <row r="77" spans="1:27" ht="38" customHeight="1">
      <c r="A77" s="10" t="s">
        <v>137</v>
      </c>
      <c r="B77" s="10" t="s">
        <v>67</v>
      </c>
      <c r="C77" s="10" t="s">
        <v>844</v>
      </c>
      <c r="D77" s="24" t="s">
        <v>776</v>
      </c>
      <c r="E77" s="24" t="s">
        <v>777</v>
      </c>
      <c r="F77" s="25"/>
      <c r="G77" s="25"/>
      <c r="H77" s="10" t="s">
        <v>812</v>
      </c>
      <c r="I77" s="10" t="s">
        <v>762</v>
      </c>
      <c r="J77" s="28">
        <v>1</v>
      </c>
      <c r="K77" s="28">
        <v>2</v>
      </c>
      <c r="L77" s="24"/>
      <c r="M77" s="24"/>
      <c r="N77" s="24"/>
      <c r="O77" s="29">
        <v>46023</v>
      </c>
      <c r="P77" s="29"/>
      <c r="Q77" s="24">
        <v>100</v>
      </c>
      <c r="R77" s="24" t="s">
        <v>69</v>
      </c>
      <c r="S77" s="10"/>
      <c r="T77" s="10" t="s">
        <v>764</v>
      </c>
      <c r="U77" s="10"/>
      <c r="V77" s="10" t="s">
        <v>813</v>
      </c>
      <c r="W77" s="14">
        <f>IF(AND(ISNUMBER(Übersicht!$B$4),Übersicht!$B$4=INT(Übersicht!$B$4),Übersicht!$B$4&gt;=2026,Übersicht!$B$4&lt;=2028),IF(I77="fixedMonthDay",IF(AND(ISNUMBER(J77),J77=INT(J77),J77&gt;=1,J77&lt;=12,ISNUMBER(K77),K77=INT(K77),K77&gt;=1,K77&lt;=31,MONTH(DATE(Übersicht!$B$4,J77,K77))=J77,DAY(DATE(Übersicht!$B$4,J77,K77))=K77,L77="",M77="",N77=""),DATE(Übersicht!$B$4,J77,K77),NA()),IF(I77="easterOffsetDays",IF(AND(ISNUMBER(L77),L77=INT(L77),L77&gt;=-366,L77&lt;=366,J77="",K77="",M77="",N77=""),$AD$23+L77,NA()),IF(I77="nthWeekdayOfMonth",IF(AND(ISNUMBER(J77),J77=INT(J77),J77&gt;=1,J77&lt;=12,ISNUMBER(M77),M77=INT(M77),M77&gt;=1,M77&lt;=7,ISNUMBER(N77),N77=INT(N77),N77&gt;=1,N77&lt;=5,MONTH(DATE(Übersicht!$B$4,J77,1)+MOD(M77-WEEKDAY(DATE(Übersicht!$B$4,J77,1),2),7)+7*(N77-1))=J77,K77="",L77=""),DATE(Übersicht!$B$4,J77,1)+MOD(M77-WEEKDAY(DATE(Übersicht!$B$4,J77,1),2),7)+7*(N77-1),NA()),IF(I77="nthWeekdayOffsetDays",IF(AND(ISNUMBER(J77),J77=INT(J77),J77&gt;=1,J77&lt;=12,ISNUMBER(M77),M77=INT(M77),M77&gt;=1,M77&lt;=7,ISNUMBER(N77),N77=INT(N77),N77&gt;=1,N77&lt;=5,MONTH(DATE(Übersicht!$B$4,J77,1)+MOD(M77-WEEKDAY(DATE(Übersicht!$B$4,J77,1),2),7)+7*(N77-1))=J77,K77="",ISNUMBER(L77),L77=INT(L77),L77&gt;=-366,L77&lt;=366),DATE(Übersicht!$B$4,J77,1)+MOD(M77-WEEKDAY(DATE(Übersicht!$B$4,J77,1),2),7)+7*(N77-1)+L77,NA()),NA())))),NA())</f>
        <v>46754</v>
      </c>
      <c r="X77" s="14">
        <f t="shared" si="1"/>
        <v>46754</v>
      </c>
      <c r="Y77" s="10" t="s">
        <v>814</v>
      </c>
      <c r="Z77" s="10" t="s">
        <v>845</v>
      </c>
      <c r="AA77" s="24" t="s">
        <v>768</v>
      </c>
    </row>
    <row r="78" spans="1:27" ht="38" customHeight="1">
      <c r="A78" s="11" t="s">
        <v>138</v>
      </c>
      <c r="B78" s="11" t="s">
        <v>67</v>
      </c>
      <c r="C78" s="11" t="s">
        <v>844</v>
      </c>
      <c r="D78" s="26" t="s">
        <v>779</v>
      </c>
      <c r="E78" s="26" t="s">
        <v>780</v>
      </c>
      <c r="F78" s="27"/>
      <c r="G78" s="27"/>
      <c r="H78" s="11" t="s">
        <v>812</v>
      </c>
      <c r="I78" s="11" t="s">
        <v>781</v>
      </c>
      <c r="J78" s="30"/>
      <c r="K78" s="30"/>
      <c r="L78" s="26">
        <v>-2</v>
      </c>
      <c r="M78" s="26"/>
      <c r="N78" s="26"/>
      <c r="O78" s="31">
        <v>46023</v>
      </c>
      <c r="P78" s="31"/>
      <c r="Q78" s="26">
        <v>100</v>
      </c>
      <c r="R78" s="26" t="s">
        <v>69</v>
      </c>
      <c r="S78" s="11"/>
      <c r="T78" s="11" t="s">
        <v>764</v>
      </c>
      <c r="U78" s="11"/>
      <c r="V78" s="11" t="s">
        <v>813</v>
      </c>
      <c r="W78" s="15">
        <f>IF(AND(ISNUMBER(Übersicht!$B$4),Übersicht!$B$4=INT(Übersicht!$B$4),Übersicht!$B$4&gt;=2026,Übersicht!$B$4&lt;=2028),IF(I78="fixedMonthDay",IF(AND(ISNUMBER(J78),J78=INT(J78),J78&gt;=1,J78&lt;=12,ISNUMBER(K78),K78=INT(K78),K78&gt;=1,K78&lt;=31,MONTH(DATE(Übersicht!$B$4,J78,K78))=J78,DAY(DATE(Übersicht!$B$4,J78,K78))=K78,L78="",M78="",N78=""),DATE(Übersicht!$B$4,J78,K78),NA()),IF(I78="easterOffsetDays",IF(AND(ISNUMBER(L78),L78=INT(L78),L78&gt;=-366,L78&lt;=366,J78="",K78="",M78="",N78=""),$AD$23+L78,NA()),IF(I78="nthWeekdayOfMonth",IF(AND(ISNUMBER(J78),J78=INT(J78),J78&gt;=1,J78&lt;=12,ISNUMBER(M78),M78=INT(M78),M78&gt;=1,M78&lt;=7,ISNUMBER(N78),N78=INT(N78),N78&gt;=1,N78&lt;=5,MONTH(DATE(Übersicht!$B$4,J78,1)+MOD(M78-WEEKDAY(DATE(Übersicht!$B$4,J78,1),2),7)+7*(N78-1))=J78,K78="",L78=""),DATE(Übersicht!$B$4,J78,1)+MOD(M78-WEEKDAY(DATE(Übersicht!$B$4,J78,1),2),7)+7*(N78-1),NA()),IF(I78="nthWeekdayOffsetDays",IF(AND(ISNUMBER(J78),J78=INT(J78),J78&gt;=1,J78&lt;=12,ISNUMBER(M78),M78=INT(M78),M78&gt;=1,M78&lt;=7,ISNUMBER(N78),N78=INT(N78),N78&gt;=1,N78&lt;=5,MONTH(DATE(Übersicht!$B$4,J78,1)+MOD(M78-WEEKDAY(DATE(Übersicht!$B$4,J78,1),2),7)+7*(N78-1))=J78,K78="",ISNUMBER(L78),L78=INT(L78),L78&gt;=-366,L78&lt;=366),DATE(Übersicht!$B$4,J78,1)+MOD(M78-WEEKDAY(DATE(Übersicht!$B$4,J78,1),2),7)+7*(N78-1)+L78,NA()),NA())))),NA())</f>
        <v>46857</v>
      </c>
      <c r="X78" s="15">
        <f t="shared" si="1"/>
        <v>46857</v>
      </c>
      <c r="Y78" s="11" t="s">
        <v>814</v>
      </c>
      <c r="Z78" s="11" t="s">
        <v>845</v>
      </c>
      <c r="AA78" s="26" t="s">
        <v>768</v>
      </c>
    </row>
    <row r="79" spans="1:27" ht="38" customHeight="1">
      <c r="A79" s="10" t="s">
        <v>139</v>
      </c>
      <c r="B79" s="10" t="s">
        <v>67</v>
      </c>
      <c r="C79" s="10" t="s">
        <v>844</v>
      </c>
      <c r="D79" s="24" t="s">
        <v>790</v>
      </c>
      <c r="E79" s="24" t="s">
        <v>791</v>
      </c>
      <c r="F79" s="25"/>
      <c r="G79" s="25"/>
      <c r="H79" s="10" t="s">
        <v>812</v>
      </c>
      <c r="I79" s="10" t="s">
        <v>781</v>
      </c>
      <c r="J79" s="28"/>
      <c r="K79" s="28"/>
      <c r="L79" s="24">
        <v>39</v>
      </c>
      <c r="M79" s="24"/>
      <c r="N79" s="24"/>
      <c r="O79" s="29">
        <v>46023</v>
      </c>
      <c r="P79" s="29"/>
      <c r="Q79" s="24">
        <v>100</v>
      </c>
      <c r="R79" s="24" t="s">
        <v>69</v>
      </c>
      <c r="S79" s="10"/>
      <c r="T79" s="10" t="s">
        <v>764</v>
      </c>
      <c r="U79" s="10"/>
      <c r="V79" s="10" t="s">
        <v>813</v>
      </c>
      <c r="W79" s="14">
        <f>IF(AND(ISNUMBER(Übersicht!$B$4),Übersicht!$B$4=INT(Übersicht!$B$4),Übersicht!$B$4&gt;=2026,Übersicht!$B$4&lt;=2028),IF(I79="fixedMonthDay",IF(AND(ISNUMBER(J79),J79=INT(J79),J79&gt;=1,J79&lt;=12,ISNUMBER(K79),K79=INT(K79),K79&gt;=1,K79&lt;=31,MONTH(DATE(Übersicht!$B$4,J79,K79))=J79,DAY(DATE(Übersicht!$B$4,J79,K79))=K79,L79="",M79="",N79=""),DATE(Übersicht!$B$4,J79,K79),NA()),IF(I79="easterOffsetDays",IF(AND(ISNUMBER(L79),L79=INT(L79),L79&gt;=-366,L79&lt;=366,J79="",K79="",M79="",N79=""),$AD$23+L79,NA()),IF(I79="nthWeekdayOfMonth",IF(AND(ISNUMBER(J79),J79=INT(J79),J79&gt;=1,J79&lt;=12,ISNUMBER(M79),M79=INT(M79),M79&gt;=1,M79&lt;=7,ISNUMBER(N79),N79=INT(N79),N79&gt;=1,N79&lt;=5,MONTH(DATE(Übersicht!$B$4,J79,1)+MOD(M79-WEEKDAY(DATE(Übersicht!$B$4,J79,1),2),7)+7*(N79-1))=J79,K79="",L79=""),DATE(Übersicht!$B$4,J79,1)+MOD(M79-WEEKDAY(DATE(Übersicht!$B$4,J79,1),2),7)+7*(N79-1),NA()),IF(I79="nthWeekdayOffsetDays",IF(AND(ISNUMBER(J79),J79=INT(J79),J79&gt;=1,J79&lt;=12,ISNUMBER(M79),M79=INT(M79),M79&gt;=1,M79&lt;=7,ISNUMBER(N79),N79=INT(N79),N79&gt;=1,N79&lt;=5,MONTH(DATE(Übersicht!$B$4,J79,1)+MOD(M79-WEEKDAY(DATE(Übersicht!$B$4,J79,1),2),7)+7*(N79-1))=J79,K79="",ISNUMBER(L79),L79=INT(L79),L79&gt;=-366,L79&lt;=366),DATE(Übersicht!$B$4,J79,1)+MOD(M79-WEEKDAY(DATE(Übersicht!$B$4,J79,1),2),7)+7*(N79-1)+L79,NA()),NA())))),NA())</f>
        <v>46898</v>
      </c>
      <c r="X79" s="14">
        <f t="shared" si="1"/>
        <v>46898</v>
      </c>
      <c r="Y79" s="10" t="s">
        <v>814</v>
      </c>
      <c r="Z79" s="10" t="s">
        <v>845</v>
      </c>
      <c r="AA79" s="24" t="s">
        <v>768</v>
      </c>
    </row>
    <row r="80" spans="1:27" ht="38" customHeight="1">
      <c r="A80" s="11" t="s">
        <v>140</v>
      </c>
      <c r="B80" s="11" t="s">
        <v>67</v>
      </c>
      <c r="C80" s="11" t="s">
        <v>844</v>
      </c>
      <c r="D80" s="26" t="s">
        <v>810</v>
      </c>
      <c r="E80" s="26" t="s">
        <v>811</v>
      </c>
      <c r="F80" s="27"/>
      <c r="G80" s="27"/>
      <c r="H80" s="11" t="s">
        <v>812</v>
      </c>
      <c r="I80" s="11" t="s">
        <v>781</v>
      </c>
      <c r="J80" s="30"/>
      <c r="K80" s="30"/>
      <c r="L80" s="26">
        <v>60</v>
      </c>
      <c r="M80" s="26"/>
      <c r="N80" s="26"/>
      <c r="O80" s="31">
        <v>46023</v>
      </c>
      <c r="P80" s="31"/>
      <c r="Q80" s="26">
        <v>100</v>
      </c>
      <c r="R80" s="26" t="s">
        <v>69</v>
      </c>
      <c r="S80" s="11"/>
      <c r="T80" s="11" t="s">
        <v>764</v>
      </c>
      <c r="U80" s="11"/>
      <c r="V80" s="11" t="s">
        <v>813</v>
      </c>
      <c r="W80" s="15">
        <f>IF(AND(ISNUMBER(Übersicht!$B$4),Übersicht!$B$4=INT(Übersicht!$B$4),Übersicht!$B$4&gt;=2026,Übersicht!$B$4&lt;=2028),IF(I80="fixedMonthDay",IF(AND(ISNUMBER(J80),J80=INT(J80),J80&gt;=1,J80&lt;=12,ISNUMBER(K80),K80=INT(K80),K80&gt;=1,K80&lt;=31,MONTH(DATE(Übersicht!$B$4,J80,K80))=J80,DAY(DATE(Übersicht!$B$4,J80,K80))=K80,L80="",M80="",N80=""),DATE(Übersicht!$B$4,J80,K80),NA()),IF(I80="easterOffsetDays",IF(AND(ISNUMBER(L80),L80=INT(L80),L80&gt;=-366,L80&lt;=366,J80="",K80="",M80="",N80=""),$AD$23+L80,NA()),IF(I80="nthWeekdayOfMonth",IF(AND(ISNUMBER(J80),J80=INT(J80),J80&gt;=1,J80&lt;=12,ISNUMBER(M80),M80=INT(M80),M80&gt;=1,M80&lt;=7,ISNUMBER(N80),N80=INT(N80),N80&gt;=1,N80&lt;=5,MONTH(DATE(Übersicht!$B$4,J80,1)+MOD(M80-WEEKDAY(DATE(Übersicht!$B$4,J80,1),2),7)+7*(N80-1))=J80,K80="",L80=""),DATE(Übersicht!$B$4,J80,1)+MOD(M80-WEEKDAY(DATE(Übersicht!$B$4,J80,1),2),7)+7*(N80-1),NA()),IF(I80="nthWeekdayOffsetDays",IF(AND(ISNUMBER(J80),J80=INT(J80),J80&gt;=1,J80&lt;=12,ISNUMBER(M80),M80=INT(M80),M80&gt;=1,M80&lt;=7,ISNUMBER(N80),N80=INT(N80),N80&gt;=1,N80&lt;=5,MONTH(DATE(Übersicht!$B$4,J80,1)+MOD(M80-WEEKDAY(DATE(Übersicht!$B$4,J80,1),2),7)+7*(N80-1))=J80,K80="",ISNUMBER(L80),L80=INT(L80),L80&gt;=-366,L80&lt;=366),DATE(Übersicht!$B$4,J80,1)+MOD(M80-WEEKDAY(DATE(Übersicht!$B$4,J80,1),2),7)+7*(N80-1)+L80,NA()),NA())))),NA())</f>
        <v>46919</v>
      </c>
      <c r="X80" s="15">
        <f t="shared" si="1"/>
        <v>46919</v>
      </c>
      <c r="Y80" s="11" t="s">
        <v>814</v>
      </c>
      <c r="Z80" s="11" t="s">
        <v>845</v>
      </c>
      <c r="AA80" s="26" t="s">
        <v>768</v>
      </c>
    </row>
    <row r="81" spans="1:27" ht="38" customHeight="1">
      <c r="A81" s="10" t="s">
        <v>141</v>
      </c>
      <c r="B81" s="10" t="s">
        <v>67</v>
      </c>
      <c r="C81" s="10" t="s">
        <v>844</v>
      </c>
      <c r="D81" s="24" t="s">
        <v>821</v>
      </c>
      <c r="E81" s="24" t="s">
        <v>822</v>
      </c>
      <c r="F81" s="25"/>
      <c r="G81" s="25"/>
      <c r="H81" s="10" t="s">
        <v>812</v>
      </c>
      <c r="I81" s="10" t="s">
        <v>762</v>
      </c>
      <c r="J81" s="28">
        <v>11</v>
      </c>
      <c r="K81" s="28">
        <v>1</v>
      </c>
      <c r="L81" s="24"/>
      <c r="M81" s="24"/>
      <c r="N81" s="24"/>
      <c r="O81" s="29">
        <v>46023</v>
      </c>
      <c r="P81" s="29"/>
      <c r="Q81" s="24">
        <v>100</v>
      </c>
      <c r="R81" s="24" t="s">
        <v>69</v>
      </c>
      <c r="S81" s="10"/>
      <c r="T81" s="10" t="s">
        <v>764</v>
      </c>
      <c r="U81" s="10"/>
      <c r="V81" s="10" t="s">
        <v>813</v>
      </c>
      <c r="W81" s="14">
        <f>IF(AND(ISNUMBER(Übersicht!$B$4),Übersicht!$B$4=INT(Übersicht!$B$4),Übersicht!$B$4&gt;=2026,Übersicht!$B$4&lt;=2028),IF(I81="fixedMonthDay",IF(AND(ISNUMBER(J81),J81=INT(J81),J81&gt;=1,J81&lt;=12,ISNUMBER(K81),K81=INT(K81),K81&gt;=1,K81&lt;=31,MONTH(DATE(Übersicht!$B$4,J81,K81))=J81,DAY(DATE(Übersicht!$B$4,J81,K81))=K81,L81="",M81="",N81=""),DATE(Übersicht!$B$4,J81,K81),NA()),IF(I81="easterOffsetDays",IF(AND(ISNUMBER(L81),L81=INT(L81),L81&gt;=-366,L81&lt;=366,J81="",K81="",M81="",N81=""),$AD$23+L81,NA()),IF(I81="nthWeekdayOfMonth",IF(AND(ISNUMBER(J81),J81=INT(J81),J81&gt;=1,J81&lt;=12,ISNUMBER(M81),M81=INT(M81),M81&gt;=1,M81&lt;=7,ISNUMBER(N81),N81=INT(N81),N81&gt;=1,N81&lt;=5,MONTH(DATE(Übersicht!$B$4,J81,1)+MOD(M81-WEEKDAY(DATE(Übersicht!$B$4,J81,1),2),7)+7*(N81-1))=J81,K81="",L81=""),DATE(Übersicht!$B$4,J81,1)+MOD(M81-WEEKDAY(DATE(Übersicht!$B$4,J81,1),2),7)+7*(N81-1),NA()),IF(I81="nthWeekdayOffsetDays",IF(AND(ISNUMBER(J81),J81=INT(J81),J81&gt;=1,J81&lt;=12,ISNUMBER(M81),M81=INT(M81),M81&gt;=1,M81&lt;=7,ISNUMBER(N81),N81=INT(N81),N81&gt;=1,N81&lt;=5,MONTH(DATE(Übersicht!$B$4,J81,1)+MOD(M81-WEEKDAY(DATE(Übersicht!$B$4,J81,1),2),7)+7*(N81-1))=J81,K81="",ISNUMBER(L81),L81=INT(L81),L81&gt;=-366,L81&lt;=366),DATE(Übersicht!$B$4,J81,1)+MOD(M81-WEEKDAY(DATE(Übersicht!$B$4,J81,1),2),7)+7*(N81-1)+L81,NA()),NA())))),NA())</f>
        <v>47058</v>
      </c>
      <c r="X81" s="14">
        <f t="shared" si="1"/>
        <v>47058</v>
      </c>
      <c r="Y81" s="10" t="s">
        <v>814</v>
      </c>
      <c r="Z81" s="10" t="s">
        <v>845</v>
      </c>
      <c r="AA81" s="24" t="s">
        <v>768</v>
      </c>
    </row>
    <row r="82" spans="1:27" ht="38" customHeight="1">
      <c r="A82" s="11" t="s">
        <v>142</v>
      </c>
      <c r="B82" s="11" t="s">
        <v>67</v>
      </c>
      <c r="C82" s="11" t="s">
        <v>844</v>
      </c>
      <c r="D82" s="26" t="s">
        <v>803</v>
      </c>
      <c r="E82" s="26" t="s">
        <v>804</v>
      </c>
      <c r="F82" s="27"/>
      <c r="G82" s="27"/>
      <c r="H82" s="11" t="s">
        <v>812</v>
      </c>
      <c r="I82" s="11" t="s">
        <v>762</v>
      </c>
      <c r="J82" s="30">
        <v>12</v>
      </c>
      <c r="K82" s="30">
        <v>25</v>
      </c>
      <c r="L82" s="26"/>
      <c r="M82" s="26"/>
      <c r="N82" s="26"/>
      <c r="O82" s="31">
        <v>46023</v>
      </c>
      <c r="P82" s="31"/>
      <c r="Q82" s="26">
        <v>100</v>
      </c>
      <c r="R82" s="26" t="s">
        <v>69</v>
      </c>
      <c r="S82" s="11"/>
      <c r="T82" s="11" t="s">
        <v>764</v>
      </c>
      <c r="U82" s="11"/>
      <c r="V82" s="11" t="s">
        <v>813</v>
      </c>
      <c r="W82" s="15">
        <f>IF(AND(ISNUMBER(Übersicht!$B$4),Übersicht!$B$4=INT(Übersicht!$B$4),Übersicht!$B$4&gt;=2026,Übersicht!$B$4&lt;=2028),IF(I82="fixedMonthDay",IF(AND(ISNUMBER(J82),J82=INT(J82),J82&gt;=1,J82&lt;=12,ISNUMBER(K82),K82=INT(K82),K82&gt;=1,K82&lt;=31,MONTH(DATE(Übersicht!$B$4,J82,K82))=J82,DAY(DATE(Übersicht!$B$4,J82,K82))=K82,L82="",M82="",N82=""),DATE(Übersicht!$B$4,J82,K82),NA()),IF(I82="easterOffsetDays",IF(AND(ISNUMBER(L82),L82=INT(L82),L82&gt;=-366,L82&lt;=366,J82="",K82="",M82="",N82=""),$AD$23+L82,NA()),IF(I82="nthWeekdayOfMonth",IF(AND(ISNUMBER(J82),J82=INT(J82),J82&gt;=1,J82&lt;=12,ISNUMBER(M82),M82=INT(M82),M82&gt;=1,M82&lt;=7,ISNUMBER(N82),N82=INT(N82),N82&gt;=1,N82&lt;=5,MONTH(DATE(Übersicht!$B$4,J82,1)+MOD(M82-WEEKDAY(DATE(Übersicht!$B$4,J82,1),2),7)+7*(N82-1))=J82,K82="",L82=""),DATE(Übersicht!$B$4,J82,1)+MOD(M82-WEEKDAY(DATE(Übersicht!$B$4,J82,1),2),7)+7*(N82-1),NA()),IF(I82="nthWeekdayOffsetDays",IF(AND(ISNUMBER(J82),J82=INT(J82),J82&gt;=1,J82&lt;=12,ISNUMBER(M82),M82=INT(M82),M82&gt;=1,M82&lt;=7,ISNUMBER(N82),N82=INT(N82),N82&gt;=1,N82&lt;=5,MONTH(DATE(Übersicht!$B$4,J82,1)+MOD(M82-WEEKDAY(DATE(Übersicht!$B$4,J82,1),2),7)+7*(N82-1))=J82,K82="",ISNUMBER(L82),L82=INT(L82),L82&gt;=-366,L82&lt;=366),DATE(Übersicht!$B$4,J82,1)+MOD(M82-WEEKDAY(DATE(Übersicht!$B$4,J82,1),2),7)+7*(N82-1)+L82,NA()),NA())))),NA())</f>
        <v>47112</v>
      </c>
      <c r="X82" s="15">
        <f t="shared" si="1"/>
        <v>47112</v>
      </c>
      <c r="Y82" s="11" t="s">
        <v>814</v>
      </c>
      <c r="Z82" s="11" t="s">
        <v>845</v>
      </c>
      <c r="AA82" s="26" t="s">
        <v>768</v>
      </c>
    </row>
    <row r="83" spans="1:27" ht="38" customHeight="1">
      <c r="A83" s="10" t="s">
        <v>143</v>
      </c>
      <c r="B83" s="10" t="s">
        <v>67</v>
      </c>
      <c r="C83" s="10" t="s">
        <v>844</v>
      </c>
      <c r="D83" s="24" t="s">
        <v>806</v>
      </c>
      <c r="E83" s="24" t="s">
        <v>807</v>
      </c>
      <c r="F83" s="25"/>
      <c r="G83" s="25"/>
      <c r="H83" s="10" t="s">
        <v>812</v>
      </c>
      <c r="I83" s="10" t="s">
        <v>762</v>
      </c>
      <c r="J83" s="28">
        <v>12</v>
      </c>
      <c r="K83" s="28">
        <v>26</v>
      </c>
      <c r="L83" s="24"/>
      <c r="M83" s="24"/>
      <c r="N83" s="24"/>
      <c r="O83" s="29">
        <v>46023</v>
      </c>
      <c r="P83" s="29"/>
      <c r="Q83" s="24">
        <v>100</v>
      </c>
      <c r="R83" s="24" t="s">
        <v>69</v>
      </c>
      <c r="S83" s="10"/>
      <c r="T83" s="10" t="s">
        <v>764</v>
      </c>
      <c r="U83" s="10"/>
      <c r="V83" s="10" t="s">
        <v>813</v>
      </c>
      <c r="W83" s="14">
        <f>IF(AND(ISNUMBER(Übersicht!$B$4),Übersicht!$B$4=INT(Übersicht!$B$4),Übersicht!$B$4&gt;=2026,Übersicht!$B$4&lt;=2028),IF(I83="fixedMonthDay",IF(AND(ISNUMBER(J83),J83=INT(J83),J83&gt;=1,J83&lt;=12,ISNUMBER(K83),K83=INT(K83),K83&gt;=1,K83&lt;=31,MONTH(DATE(Übersicht!$B$4,J83,K83))=J83,DAY(DATE(Übersicht!$B$4,J83,K83))=K83,L83="",M83="",N83=""),DATE(Übersicht!$B$4,J83,K83),NA()),IF(I83="easterOffsetDays",IF(AND(ISNUMBER(L83),L83=INT(L83),L83&gt;=-366,L83&lt;=366,J83="",K83="",M83="",N83=""),$AD$23+L83,NA()),IF(I83="nthWeekdayOfMonth",IF(AND(ISNUMBER(J83),J83=INT(J83),J83&gt;=1,J83&lt;=12,ISNUMBER(M83),M83=INT(M83),M83&gt;=1,M83&lt;=7,ISNUMBER(N83),N83=INT(N83),N83&gt;=1,N83&lt;=5,MONTH(DATE(Übersicht!$B$4,J83,1)+MOD(M83-WEEKDAY(DATE(Übersicht!$B$4,J83,1),2),7)+7*(N83-1))=J83,K83="",L83=""),DATE(Übersicht!$B$4,J83,1)+MOD(M83-WEEKDAY(DATE(Übersicht!$B$4,J83,1),2),7)+7*(N83-1),NA()),IF(I83="nthWeekdayOffsetDays",IF(AND(ISNUMBER(J83),J83=INT(J83),J83&gt;=1,J83&lt;=12,ISNUMBER(M83),M83=INT(M83),M83&gt;=1,M83&lt;=7,ISNUMBER(N83),N83=INT(N83),N83&gt;=1,N83&lt;=5,MONTH(DATE(Übersicht!$B$4,J83,1)+MOD(M83-WEEKDAY(DATE(Übersicht!$B$4,J83,1),2),7)+7*(N83-1))=J83,K83="",ISNUMBER(L83),L83=INT(L83),L83&gt;=-366,L83&lt;=366),DATE(Übersicht!$B$4,J83,1)+MOD(M83-WEEKDAY(DATE(Übersicht!$B$4,J83,1),2),7)+7*(N83-1)+L83,NA()),NA())))),NA())</f>
        <v>47113</v>
      </c>
      <c r="X83" s="14">
        <f t="shared" si="1"/>
        <v>47113</v>
      </c>
      <c r="Y83" s="10" t="s">
        <v>814</v>
      </c>
      <c r="Z83" s="10" t="s">
        <v>845</v>
      </c>
      <c r="AA83" s="24" t="s">
        <v>768</v>
      </c>
    </row>
    <row r="84" spans="1:27" ht="38" customHeight="1">
      <c r="A84" s="11" t="s">
        <v>144</v>
      </c>
      <c r="B84" s="11" t="s">
        <v>67</v>
      </c>
      <c r="C84" s="11" t="s">
        <v>820</v>
      </c>
      <c r="D84" s="26" t="s">
        <v>771</v>
      </c>
      <c r="E84" s="26" t="s">
        <v>772</v>
      </c>
      <c r="F84" s="27"/>
      <c r="G84" s="27"/>
      <c r="H84" s="11" t="s">
        <v>823</v>
      </c>
      <c r="I84" s="11" t="s">
        <v>762</v>
      </c>
      <c r="J84" s="30">
        <v>1</v>
      </c>
      <c r="K84" s="30">
        <v>1</v>
      </c>
      <c r="L84" s="26"/>
      <c r="M84" s="26"/>
      <c r="N84" s="26"/>
      <c r="O84" s="31">
        <v>46023</v>
      </c>
      <c r="P84" s="31"/>
      <c r="Q84" s="26">
        <v>100</v>
      </c>
      <c r="R84" s="26" t="s">
        <v>69</v>
      </c>
      <c r="S84" s="11"/>
      <c r="T84" s="11" t="s">
        <v>764</v>
      </c>
      <c r="U84" s="11"/>
      <c r="V84" s="11" t="s">
        <v>824</v>
      </c>
      <c r="W84" s="15">
        <f>IF(AND(ISNUMBER(Übersicht!$B$4),Übersicht!$B$4=INT(Übersicht!$B$4),Übersicht!$B$4&gt;=2026,Übersicht!$B$4&lt;=2028),IF(I84="fixedMonthDay",IF(AND(ISNUMBER(J84),J84=INT(J84),J84&gt;=1,J84&lt;=12,ISNUMBER(K84),K84=INT(K84),K84&gt;=1,K84&lt;=31,MONTH(DATE(Übersicht!$B$4,J84,K84))=J84,DAY(DATE(Übersicht!$B$4,J84,K84))=K84,L84="",M84="",N84=""),DATE(Übersicht!$B$4,J84,K84),NA()),IF(I84="easterOffsetDays",IF(AND(ISNUMBER(L84),L84=INT(L84),L84&gt;=-366,L84&lt;=366,J84="",K84="",M84="",N84=""),$AD$23+L84,NA()),IF(I84="nthWeekdayOfMonth",IF(AND(ISNUMBER(J84),J84=INT(J84),J84&gt;=1,J84&lt;=12,ISNUMBER(M84),M84=INT(M84),M84&gt;=1,M84&lt;=7,ISNUMBER(N84),N84=INT(N84),N84&gt;=1,N84&lt;=5,MONTH(DATE(Übersicht!$B$4,J84,1)+MOD(M84-WEEKDAY(DATE(Übersicht!$B$4,J84,1),2),7)+7*(N84-1))=J84,K84="",L84=""),DATE(Übersicht!$B$4,J84,1)+MOD(M84-WEEKDAY(DATE(Übersicht!$B$4,J84,1),2),7)+7*(N84-1),NA()),IF(I84="nthWeekdayOffsetDays",IF(AND(ISNUMBER(J84),J84=INT(J84),J84&gt;=1,J84&lt;=12,ISNUMBER(M84),M84=INT(M84),M84&gt;=1,M84&lt;=7,ISNUMBER(N84),N84=INT(N84),N84&gt;=1,N84&lt;=5,MONTH(DATE(Übersicht!$B$4,J84,1)+MOD(M84-WEEKDAY(DATE(Übersicht!$B$4,J84,1),2),7)+7*(N84-1))=J84,K84="",ISNUMBER(L84),L84=INT(L84),L84&gt;=-366,L84&lt;=366),DATE(Übersicht!$B$4,J84,1)+MOD(M84-WEEKDAY(DATE(Übersicht!$B$4,J84,1),2),7)+7*(N84-1)+L84,NA()),NA())))),NA())</f>
        <v>46753</v>
      </c>
      <c r="X84" s="15">
        <f t="shared" si="1"/>
        <v>46753</v>
      </c>
      <c r="Y84" s="11" t="s">
        <v>825</v>
      </c>
      <c r="Z84" s="11" t="s">
        <v>826</v>
      </c>
      <c r="AA84" s="26" t="s">
        <v>768</v>
      </c>
    </row>
    <row r="85" spans="1:27" ht="38" customHeight="1">
      <c r="A85" s="10" t="s">
        <v>145</v>
      </c>
      <c r="B85" s="10" t="s">
        <v>67</v>
      </c>
      <c r="C85" s="10" t="s">
        <v>820</v>
      </c>
      <c r="D85" s="24" t="s">
        <v>776</v>
      </c>
      <c r="E85" s="24" t="s">
        <v>777</v>
      </c>
      <c r="F85" s="25"/>
      <c r="G85" s="25"/>
      <c r="H85" s="10" t="s">
        <v>823</v>
      </c>
      <c r="I85" s="10" t="s">
        <v>762</v>
      </c>
      <c r="J85" s="28">
        <v>1</v>
      </c>
      <c r="K85" s="28">
        <v>2</v>
      </c>
      <c r="L85" s="24"/>
      <c r="M85" s="24"/>
      <c r="N85" s="24"/>
      <c r="O85" s="29">
        <v>46023</v>
      </c>
      <c r="P85" s="29"/>
      <c r="Q85" s="24">
        <v>100</v>
      </c>
      <c r="R85" s="24" t="s">
        <v>69</v>
      </c>
      <c r="S85" s="10"/>
      <c r="T85" s="10" t="s">
        <v>764</v>
      </c>
      <c r="U85" s="10"/>
      <c r="V85" s="10" t="s">
        <v>824</v>
      </c>
      <c r="W85" s="14">
        <f>IF(AND(ISNUMBER(Übersicht!$B$4),Übersicht!$B$4=INT(Übersicht!$B$4),Übersicht!$B$4&gt;=2026,Übersicht!$B$4&lt;=2028),IF(I85="fixedMonthDay",IF(AND(ISNUMBER(J85),J85=INT(J85),J85&gt;=1,J85&lt;=12,ISNUMBER(K85),K85=INT(K85),K85&gt;=1,K85&lt;=31,MONTH(DATE(Übersicht!$B$4,J85,K85))=J85,DAY(DATE(Übersicht!$B$4,J85,K85))=K85,L85="",M85="",N85=""),DATE(Übersicht!$B$4,J85,K85),NA()),IF(I85="easterOffsetDays",IF(AND(ISNUMBER(L85),L85=INT(L85),L85&gt;=-366,L85&lt;=366,J85="",K85="",M85="",N85=""),$AD$23+L85,NA()),IF(I85="nthWeekdayOfMonth",IF(AND(ISNUMBER(J85),J85=INT(J85),J85&gt;=1,J85&lt;=12,ISNUMBER(M85),M85=INT(M85),M85&gt;=1,M85&lt;=7,ISNUMBER(N85),N85=INT(N85),N85&gt;=1,N85&lt;=5,MONTH(DATE(Übersicht!$B$4,J85,1)+MOD(M85-WEEKDAY(DATE(Übersicht!$B$4,J85,1),2),7)+7*(N85-1))=J85,K85="",L85=""),DATE(Übersicht!$B$4,J85,1)+MOD(M85-WEEKDAY(DATE(Übersicht!$B$4,J85,1),2),7)+7*(N85-1),NA()),IF(I85="nthWeekdayOffsetDays",IF(AND(ISNUMBER(J85),J85=INT(J85),J85&gt;=1,J85&lt;=12,ISNUMBER(M85),M85=INT(M85),M85&gt;=1,M85&lt;=7,ISNUMBER(N85),N85=INT(N85),N85&gt;=1,N85&lt;=5,MONTH(DATE(Übersicht!$B$4,J85,1)+MOD(M85-WEEKDAY(DATE(Übersicht!$B$4,J85,1),2),7)+7*(N85-1))=J85,K85="",ISNUMBER(L85),L85=INT(L85),L85&gt;=-366,L85&lt;=366),DATE(Übersicht!$B$4,J85,1)+MOD(M85-WEEKDAY(DATE(Übersicht!$B$4,J85,1),2),7)+7*(N85-1)+L85,NA()),NA())))),NA())</f>
        <v>46754</v>
      </c>
      <c r="X85" s="14">
        <f t="shared" si="1"/>
        <v>46754</v>
      </c>
      <c r="Y85" s="10" t="s">
        <v>825</v>
      </c>
      <c r="Z85" s="10" t="s">
        <v>826</v>
      </c>
      <c r="AA85" s="24" t="s">
        <v>768</v>
      </c>
    </row>
    <row r="86" spans="1:27" ht="38" customHeight="1">
      <c r="A86" s="11" t="s">
        <v>146</v>
      </c>
      <c r="B86" s="11" t="s">
        <v>67</v>
      </c>
      <c r="C86" s="11" t="s">
        <v>820</v>
      </c>
      <c r="D86" s="26" t="s">
        <v>779</v>
      </c>
      <c r="E86" s="26" t="s">
        <v>780</v>
      </c>
      <c r="F86" s="27"/>
      <c r="G86" s="27"/>
      <c r="H86" s="11" t="s">
        <v>823</v>
      </c>
      <c r="I86" s="11" t="s">
        <v>781</v>
      </c>
      <c r="J86" s="30"/>
      <c r="K86" s="30"/>
      <c r="L86" s="26">
        <v>-2</v>
      </c>
      <c r="M86" s="26"/>
      <c r="N86" s="26"/>
      <c r="O86" s="31">
        <v>46023</v>
      </c>
      <c r="P86" s="31"/>
      <c r="Q86" s="26">
        <v>100</v>
      </c>
      <c r="R86" s="26" t="s">
        <v>69</v>
      </c>
      <c r="S86" s="11"/>
      <c r="T86" s="11" t="s">
        <v>764</v>
      </c>
      <c r="U86" s="11"/>
      <c r="V86" s="11" t="s">
        <v>824</v>
      </c>
      <c r="W86" s="15">
        <f>IF(AND(ISNUMBER(Übersicht!$B$4),Übersicht!$B$4=INT(Übersicht!$B$4),Übersicht!$B$4&gt;=2026,Übersicht!$B$4&lt;=2028),IF(I86="fixedMonthDay",IF(AND(ISNUMBER(J86),J86=INT(J86),J86&gt;=1,J86&lt;=12,ISNUMBER(K86),K86=INT(K86),K86&gt;=1,K86&lt;=31,MONTH(DATE(Übersicht!$B$4,J86,K86))=J86,DAY(DATE(Übersicht!$B$4,J86,K86))=K86,L86="",M86="",N86=""),DATE(Übersicht!$B$4,J86,K86),NA()),IF(I86="easterOffsetDays",IF(AND(ISNUMBER(L86),L86=INT(L86),L86&gt;=-366,L86&lt;=366,J86="",K86="",M86="",N86=""),$AD$23+L86,NA()),IF(I86="nthWeekdayOfMonth",IF(AND(ISNUMBER(J86),J86=INT(J86),J86&gt;=1,J86&lt;=12,ISNUMBER(M86),M86=INT(M86),M86&gt;=1,M86&lt;=7,ISNUMBER(N86),N86=INT(N86),N86&gt;=1,N86&lt;=5,MONTH(DATE(Übersicht!$B$4,J86,1)+MOD(M86-WEEKDAY(DATE(Übersicht!$B$4,J86,1),2),7)+7*(N86-1))=J86,K86="",L86=""),DATE(Übersicht!$B$4,J86,1)+MOD(M86-WEEKDAY(DATE(Übersicht!$B$4,J86,1),2),7)+7*(N86-1),NA()),IF(I86="nthWeekdayOffsetDays",IF(AND(ISNUMBER(J86),J86=INT(J86),J86&gt;=1,J86&lt;=12,ISNUMBER(M86),M86=INT(M86),M86&gt;=1,M86&lt;=7,ISNUMBER(N86),N86=INT(N86),N86&gt;=1,N86&lt;=5,MONTH(DATE(Übersicht!$B$4,J86,1)+MOD(M86-WEEKDAY(DATE(Übersicht!$B$4,J86,1),2),7)+7*(N86-1))=J86,K86="",ISNUMBER(L86),L86=INT(L86),L86&gt;=-366,L86&lt;=366),DATE(Übersicht!$B$4,J86,1)+MOD(M86-WEEKDAY(DATE(Übersicht!$B$4,J86,1),2),7)+7*(N86-1)+L86,NA()),NA())))),NA())</f>
        <v>46857</v>
      </c>
      <c r="X86" s="15">
        <f t="shared" si="1"/>
        <v>46857</v>
      </c>
      <c r="Y86" s="11" t="s">
        <v>825</v>
      </c>
      <c r="Z86" s="11" t="s">
        <v>826</v>
      </c>
      <c r="AA86" s="26" t="s">
        <v>768</v>
      </c>
    </row>
    <row r="87" spans="1:27" ht="38" customHeight="1">
      <c r="A87" s="10" t="s">
        <v>147</v>
      </c>
      <c r="B87" s="10" t="s">
        <v>67</v>
      </c>
      <c r="C87" s="10" t="s">
        <v>820</v>
      </c>
      <c r="D87" s="24" t="s">
        <v>787</v>
      </c>
      <c r="E87" s="24" t="s">
        <v>788</v>
      </c>
      <c r="F87" s="25"/>
      <c r="G87" s="25"/>
      <c r="H87" s="10" t="s">
        <v>823</v>
      </c>
      <c r="I87" s="10" t="s">
        <v>781</v>
      </c>
      <c r="J87" s="28"/>
      <c r="K87" s="28"/>
      <c r="L87" s="24">
        <v>1</v>
      </c>
      <c r="M87" s="24"/>
      <c r="N87" s="24"/>
      <c r="O87" s="29">
        <v>46023</v>
      </c>
      <c r="P87" s="29"/>
      <c r="Q87" s="24">
        <v>100</v>
      </c>
      <c r="R87" s="24" t="s">
        <v>69</v>
      </c>
      <c r="S87" s="10"/>
      <c r="T87" s="10" t="s">
        <v>764</v>
      </c>
      <c r="U87" s="10"/>
      <c r="V87" s="10" t="s">
        <v>824</v>
      </c>
      <c r="W87" s="14">
        <f>IF(AND(ISNUMBER(Übersicht!$B$4),Übersicht!$B$4=INT(Übersicht!$B$4),Übersicht!$B$4&gt;=2026,Übersicht!$B$4&lt;=2028),IF(I87="fixedMonthDay",IF(AND(ISNUMBER(J87),J87=INT(J87),J87&gt;=1,J87&lt;=12,ISNUMBER(K87),K87=INT(K87),K87&gt;=1,K87&lt;=31,MONTH(DATE(Übersicht!$B$4,J87,K87))=J87,DAY(DATE(Übersicht!$B$4,J87,K87))=K87,L87="",M87="",N87=""),DATE(Übersicht!$B$4,J87,K87),NA()),IF(I87="easterOffsetDays",IF(AND(ISNUMBER(L87),L87=INT(L87),L87&gt;=-366,L87&lt;=366,J87="",K87="",M87="",N87=""),$AD$23+L87,NA()),IF(I87="nthWeekdayOfMonth",IF(AND(ISNUMBER(J87),J87=INT(J87),J87&gt;=1,J87&lt;=12,ISNUMBER(M87),M87=INT(M87),M87&gt;=1,M87&lt;=7,ISNUMBER(N87),N87=INT(N87),N87&gt;=1,N87&lt;=5,MONTH(DATE(Übersicht!$B$4,J87,1)+MOD(M87-WEEKDAY(DATE(Übersicht!$B$4,J87,1),2),7)+7*(N87-1))=J87,K87="",L87=""),DATE(Übersicht!$B$4,J87,1)+MOD(M87-WEEKDAY(DATE(Übersicht!$B$4,J87,1),2),7)+7*(N87-1),NA()),IF(I87="nthWeekdayOffsetDays",IF(AND(ISNUMBER(J87),J87=INT(J87),J87&gt;=1,J87&lt;=12,ISNUMBER(M87),M87=INT(M87),M87&gt;=1,M87&lt;=7,ISNUMBER(N87),N87=INT(N87),N87&gt;=1,N87&lt;=5,MONTH(DATE(Übersicht!$B$4,J87,1)+MOD(M87-WEEKDAY(DATE(Übersicht!$B$4,J87,1),2),7)+7*(N87-1))=J87,K87="",ISNUMBER(L87),L87=INT(L87),L87&gt;=-366,L87&lt;=366),DATE(Übersicht!$B$4,J87,1)+MOD(M87-WEEKDAY(DATE(Übersicht!$B$4,J87,1),2),7)+7*(N87-1)+L87,NA()),NA())))),NA())</f>
        <v>46860</v>
      </c>
      <c r="X87" s="14">
        <f t="shared" si="1"/>
        <v>46860</v>
      </c>
      <c r="Y87" s="10" t="s">
        <v>825</v>
      </c>
      <c r="Z87" s="10" t="s">
        <v>826</v>
      </c>
      <c r="AA87" s="24" t="s">
        <v>768</v>
      </c>
    </row>
    <row r="88" spans="1:27" ht="38" customHeight="1">
      <c r="A88" s="11" t="s">
        <v>148</v>
      </c>
      <c r="B88" s="11" t="s">
        <v>67</v>
      </c>
      <c r="C88" s="11" t="s">
        <v>820</v>
      </c>
      <c r="D88" s="26" t="s">
        <v>846</v>
      </c>
      <c r="E88" s="26" t="s">
        <v>847</v>
      </c>
      <c r="F88" s="27"/>
      <c r="G88" s="27"/>
      <c r="H88" s="11" t="s">
        <v>823</v>
      </c>
      <c r="I88" s="11" t="s">
        <v>762</v>
      </c>
      <c r="J88" s="30">
        <v>5</v>
      </c>
      <c r="K88" s="30">
        <v>1</v>
      </c>
      <c r="L88" s="26"/>
      <c r="M88" s="26"/>
      <c r="N88" s="26"/>
      <c r="O88" s="31">
        <v>46023</v>
      </c>
      <c r="P88" s="31"/>
      <c r="Q88" s="26">
        <v>100</v>
      </c>
      <c r="R88" s="26" t="s">
        <v>69</v>
      </c>
      <c r="S88" s="11"/>
      <c r="T88" s="11" t="s">
        <v>764</v>
      </c>
      <c r="U88" s="11"/>
      <c r="V88" s="11" t="s">
        <v>824</v>
      </c>
      <c r="W88" s="15">
        <f>IF(AND(ISNUMBER(Übersicht!$B$4),Übersicht!$B$4=INT(Übersicht!$B$4),Übersicht!$B$4&gt;=2026,Übersicht!$B$4&lt;=2028),IF(I88="fixedMonthDay",IF(AND(ISNUMBER(J88),J88=INT(J88),J88&gt;=1,J88&lt;=12,ISNUMBER(K88),K88=INT(K88),K88&gt;=1,K88&lt;=31,MONTH(DATE(Übersicht!$B$4,J88,K88))=J88,DAY(DATE(Übersicht!$B$4,J88,K88))=K88,L88="",M88="",N88=""),DATE(Übersicht!$B$4,J88,K88),NA()),IF(I88="easterOffsetDays",IF(AND(ISNUMBER(L88),L88=INT(L88),L88&gt;=-366,L88&lt;=366,J88="",K88="",M88="",N88=""),$AD$23+L88,NA()),IF(I88="nthWeekdayOfMonth",IF(AND(ISNUMBER(J88),J88=INT(J88),J88&gt;=1,J88&lt;=12,ISNUMBER(M88),M88=INT(M88),M88&gt;=1,M88&lt;=7,ISNUMBER(N88),N88=INT(N88),N88&gt;=1,N88&lt;=5,MONTH(DATE(Übersicht!$B$4,J88,1)+MOD(M88-WEEKDAY(DATE(Übersicht!$B$4,J88,1),2),7)+7*(N88-1))=J88,K88="",L88=""),DATE(Übersicht!$B$4,J88,1)+MOD(M88-WEEKDAY(DATE(Übersicht!$B$4,J88,1),2),7)+7*(N88-1),NA()),IF(I88="nthWeekdayOffsetDays",IF(AND(ISNUMBER(J88),J88=INT(J88),J88&gt;=1,J88&lt;=12,ISNUMBER(M88),M88=INT(M88),M88&gt;=1,M88&lt;=7,ISNUMBER(N88),N88=INT(N88),N88&gt;=1,N88&lt;=5,MONTH(DATE(Übersicht!$B$4,J88,1)+MOD(M88-WEEKDAY(DATE(Übersicht!$B$4,J88,1),2),7)+7*(N88-1))=J88,K88="",ISNUMBER(L88),L88=INT(L88),L88&gt;=-366,L88&lt;=366),DATE(Übersicht!$B$4,J88,1)+MOD(M88-WEEKDAY(DATE(Übersicht!$B$4,J88,1),2),7)+7*(N88-1)+L88,NA()),NA())))),NA())</f>
        <v>46874</v>
      </c>
      <c r="X88" s="15">
        <f t="shared" si="1"/>
        <v>46874</v>
      </c>
      <c r="Y88" s="11" t="s">
        <v>825</v>
      </c>
      <c r="Z88" s="11" t="s">
        <v>826</v>
      </c>
      <c r="AA88" s="26" t="s">
        <v>768</v>
      </c>
    </row>
    <row r="89" spans="1:27" ht="38" customHeight="1">
      <c r="A89" s="10" t="s">
        <v>149</v>
      </c>
      <c r="B89" s="10" t="s">
        <v>67</v>
      </c>
      <c r="C89" s="10" t="s">
        <v>820</v>
      </c>
      <c r="D89" s="24" t="s">
        <v>790</v>
      </c>
      <c r="E89" s="24" t="s">
        <v>791</v>
      </c>
      <c r="F89" s="25"/>
      <c r="G89" s="25"/>
      <c r="H89" s="10" t="s">
        <v>823</v>
      </c>
      <c r="I89" s="10" t="s">
        <v>781</v>
      </c>
      <c r="J89" s="28"/>
      <c r="K89" s="28"/>
      <c r="L89" s="24">
        <v>39</v>
      </c>
      <c r="M89" s="24"/>
      <c r="N89" s="24"/>
      <c r="O89" s="29">
        <v>46023</v>
      </c>
      <c r="P89" s="29"/>
      <c r="Q89" s="24">
        <v>100</v>
      </c>
      <c r="R89" s="24" t="s">
        <v>69</v>
      </c>
      <c r="S89" s="10"/>
      <c r="T89" s="10" t="s">
        <v>764</v>
      </c>
      <c r="U89" s="10"/>
      <c r="V89" s="10" t="s">
        <v>824</v>
      </c>
      <c r="W89" s="14">
        <f>IF(AND(ISNUMBER(Übersicht!$B$4),Übersicht!$B$4=INT(Übersicht!$B$4),Übersicht!$B$4&gt;=2026,Übersicht!$B$4&lt;=2028),IF(I89="fixedMonthDay",IF(AND(ISNUMBER(J89),J89=INT(J89),J89&gt;=1,J89&lt;=12,ISNUMBER(K89),K89=INT(K89),K89&gt;=1,K89&lt;=31,MONTH(DATE(Übersicht!$B$4,J89,K89))=J89,DAY(DATE(Übersicht!$B$4,J89,K89))=K89,L89="",M89="",N89=""),DATE(Übersicht!$B$4,J89,K89),NA()),IF(I89="easterOffsetDays",IF(AND(ISNUMBER(L89),L89=INT(L89),L89&gt;=-366,L89&lt;=366,J89="",K89="",M89="",N89=""),$AD$23+L89,NA()),IF(I89="nthWeekdayOfMonth",IF(AND(ISNUMBER(J89),J89=INT(J89),J89&gt;=1,J89&lt;=12,ISNUMBER(M89),M89=INT(M89),M89&gt;=1,M89&lt;=7,ISNUMBER(N89),N89=INT(N89),N89&gt;=1,N89&lt;=5,MONTH(DATE(Übersicht!$B$4,J89,1)+MOD(M89-WEEKDAY(DATE(Übersicht!$B$4,J89,1),2),7)+7*(N89-1))=J89,K89="",L89=""),DATE(Übersicht!$B$4,J89,1)+MOD(M89-WEEKDAY(DATE(Übersicht!$B$4,J89,1),2),7)+7*(N89-1),NA()),IF(I89="nthWeekdayOffsetDays",IF(AND(ISNUMBER(J89),J89=INT(J89),J89&gt;=1,J89&lt;=12,ISNUMBER(M89),M89=INT(M89),M89&gt;=1,M89&lt;=7,ISNUMBER(N89),N89=INT(N89),N89&gt;=1,N89&lt;=5,MONTH(DATE(Übersicht!$B$4,J89,1)+MOD(M89-WEEKDAY(DATE(Übersicht!$B$4,J89,1),2),7)+7*(N89-1))=J89,K89="",ISNUMBER(L89),L89=INT(L89),L89&gt;=-366,L89&lt;=366),DATE(Übersicht!$B$4,J89,1)+MOD(M89-WEEKDAY(DATE(Übersicht!$B$4,J89,1),2),7)+7*(N89-1)+L89,NA()),NA())))),NA())</f>
        <v>46898</v>
      </c>
      <c r="X89" s="14">
        <f t="shared" si="1"/>
        <v>46898</v>
      </c>
      <c r="Y89" s="10" t="s">
        <v>825</v>
      </c>
      <c r="Z89" s="10" t="s">
        <v>826</v>
      </c>
      <c r="AA89" s="24" t="s">
        <v>768</v>
      </c>
    </row>
    <row r="90" spans="1:27" ht="38" customHeight="1">
      <c r="A90" s="11" t="s">
        <v>150</v>
      </c>
      <c r="B90" s="11" t="s">
        <v>67</v>
      </c>
      <c r="C90" s="11" t="s">
        <v>820</v>
      </c>
      <c r="D90" s="26" t="s">
        <v>796</v>
      </c>
      <c r="E90" s="26" t="s">
        <v>797</v>
      </c>
      <c r="F90" s="27"/>
      <c r="G90" s="27"/>
      <c r="H90" s="11" t="s">
        <v>823</v>
      </c>
      <c r="I90" s="11" t="s">
        <v>781</v>
      </c>
      <c r="J90" s="30"/>
      <c r="K90" s="30"/>
      <c r="L90" s="26">
        <v>50</v>
      </c>
      <c r="M90" s="26"/>
      <c r="N90" s="26"/>
      <c r="O90" s="31">
        <v>46023</v>
      </c>
      <c r="P90" s="31"/>
      <c r="Q90" s="26">
        <v>100</v>
      </c>
      <c r="R90" s="26" t="s">
        <v>69</v>
      </c>
      <c r="S90" s="11"/>
      <c r="T90" s="11" t="s">
        <v>764</v>
      </c>
      <c r="U90" s="11"/>
      <c r="V90" s="11" t="s">
        <v>824</v>
      </c>
      <c r="W90" s="15">
        <f>IF(AND(ISNUMBER(Übersicht!$B$4),Übersicht!$B$4=INT(Übersicht!$B$4),Übersicht!$B$4&gt;=2026,Übersicht!$B$4&lt;=2028),IF(I90="fixedMonthDay",IF(AND(ISNUMBER(J90),J90=INT(J90),J90&gt;=1,J90&lt;=12,ISNUMBER(K90),K90=INT(K90),K90&gt;=1,K90&lt;=31,MONTH(DATE(Übersicht!$B$4,J90,K90))=J90,DAY(DATE(Übersicht!$B$4,J90,K90))=K90,L90="",M90="",N90=""),DATE(Übersicht!$B$4,J90,K90),NA()),IF(I90="easterOffsetDays",IF(AND(ISNUMBER(L90),L90=INT(L90),L90&gt;=-366,L90&lt;=366,J90="",K90="",M90="",N90=""),$AD$23+L90,NA()),IF(I90="nthWeekdayOfMonth",IF(AND(ISNUMBER(J90),J90=INT(J90),J90&gt;=1,J90&lt;=12,ISNUMBER(M90),M90=INT(M90),M90&gt;=1,M90&lt;=7,ISNUMBER(N90),N90=INT(N90),N90&gt;=1,N90&lt;=5,MONTH(DATE(Übersicht!$B$4,J90,1)+MOD(M90-WEEKDAY(DATE(Übersicht!$B$4,J90,1),2),7)+7*(N90-1))=J90,K90="",L90=""),DATE(Übersicht!$B$4,J90,1)+MOD(M90-WEEKDAY(DATE(Übersicht!$B$4,J90,1),2),7)+7*(N90-1),NA()),IF(I90="nthWeekdayOffsetDays",IF(AND(ISNUMBER(J90),J90=INT(J90),J90&gt;=1,J90&lt;=12,ISNUMBER(M90),M90=INT(M90),M90&gt;=1,M90&lt;=7,ISNUMBER(N90),N90=INT(N90),N90&gt;=1,N90&lt;=5,MONTH(DATE(Übersicht!$B$4,J90,1)+MOD(M90-WEEKDAY(DATE(Übersicht!$B$4,J90,1),2),7)+7*(N90-1))=J90,K90="",ISNUMBER(L90),L90=INT(L90),L90&gt;=-366,L90&lt;=366),DATE(Übersicht!$B$4,J90,1)+MOD(M90-WEEKDAY(DATE(Übersicht!$B$4,J90,1),2),7)+7*(N90-1)+L90,NA()),NA())))),NA())</f>
        <v>46909</v>
      </c>
      <c r="X90" s="15">
        <f t="shared" si="1"/>
        <v>46909</v>
      </c>
      <c r="Y90" s="11" t="s">
        <v>825</v>
      </c>
      <c r="Z90" s="11" t="s">
        <v>826</v>
      </c>
      <c r="AA90" s="26" t="s">
        <v>768</v>
      </c>
    </row>
    <row r="91" spans="1:27" ht="38" customHeight="1">
      <c r="A91" s="10" t="s">
        <v>151</v>
      </c>
      <c r="B91" s="10" t="s">
        <v>67</v>
      </c>
      <c r="C91" s="10" t="s">
        <v>820</v>
      </c>
      <c r="D91" s="24" t="s">
        <v>810</v>
      </c>
      <c r="E91" s="24" t="s">
        <v>811</v>
      </c>
      <c r="F91" s="25"/>
      <c r="G91" s="25"/>
      <c r="H91" s="10" t="s">
        <v>823</v>
      </c>
      <c r="I91" s="10" t="s">
        <v>781</v>
      </c>
      <c r="J91" s="28"/>
      <c r="K91" s="28"/>
      <c r="L91" s="24">
        <v>60</v>
      </c>
      <c r="M91" s="24"/>
      <c r="N91" s="24"/>
      <c r="O91" s="29">
        <v>46023</v>
      </c>
      <c r="P91" s="29"/>
      <c r="Q91" s="24">
        <v>100</v>
      </c>
      <c r="R91" s="24" t="s">
        <v>69</v>
      </c>
      <c r="S91" s="10"/>
      <c r="T91" s="10" t="s">
        <v>764</v>
      </c>
      <c r="U91" s="10"/>
      <c r="V91" s="10" t="s">
        <v>824</v>
      </c>
      <c r="W91" s="14">
        <f>IF(AND(ISNUMBER(Übersicht!$B$4),Übersicht!$B$4=INT(Übersicht!$B$4),Übersicht!$B$4&gt;=2026,Übersicht!$B$4&lt;=2028),IF(I91="fixedMonthDay",IF(AND(ISNUMBER(J91),J91=INT(J91),J91&gt;=1,J91&lt;=12,ISNUMBER(K91),K91=INT(K91),K91&gt;=1,K91&lt;=31,MONTH(DATE(Übersicht!$B$4,J91,K91))=J91,DAY(DATE(Übersicht!$B$4,J91,K91))=K91,L91="",M91="",N91=""),DATE(Übersicht!$B$4,J91,K91),NA()),IF(I91="easterOffsetDays",IF(AND(ISNUMBER(L91),L91=INT(L91),L91&gt;=-366,L91&lt;=366,J91="",K91="",M91="",N91=""),$AD$23+L91,NA()),IF(I91="nthWeekdayOfMonth",IF(AND(ISNUMBER(J91),J91=INT(J91),J91&gt;=1,J91&lt;=12,ISNUMBER(M91),M91=INT(M91),M91&gt;=1,M91&lt;=7,ISNUMBER(N91),N91=INT(N91),N91&gt;=1,N91&lt;=5,MONTH(DATE(Übersicht!$B$4,J91,1)+MOD(M91-WEEKDAY(DATE(Übersicht!$B$4,J91,1),2),7)+7*(N91-1))=J91,K91="",L91=""),DATE(Übersicht!$B$4,J91,1)+MOD(M91-WEEKDAY(DATE(Übersicht!$B$4,J91,1),2),7)+7*(N91-1),NA()),IF(I91="nthWeekdayOffsetDays",IF(AND(ISNUMBER(J91),J91=INT(J91),J91&gt;=1,J91&lt;=12,ISNUMBER(M91),M91=INT(M91),M91&gt;=1,M91&lt;=7,ISNUMBER(N91),N91=INT(N91),N91&gt;=1,N91&lt;=5,MONTH(DATE(Übersicht!$B$4,J91,1)+MOD(M91-WEEKDAY(DATE(Übersicht!$B$4,J91,1),2),7)+7*(N91-1))=J91,K91="",ISNUMBER(L91),L91=INT(L91),L91&gt;=-366,L91&lt;=366),DATE(Übersicht!$B$4,J91,1)+MOD(M91-WEEKDAY(DATE(Übersicht!$B$4,J91,1),2),7)+7*(N91-1)+L91,NA()),NA())))),NA())</f>
        <v>46919</v>
      </c>
      <c r="X91" s="14">
        <f t="shared" si="1"/>
        <v>46919</v>
      </c>
      <c r="Y91" s="10" t="s">
        <v>825</v>
      </c>
      <c r="Z91" s="10" t="s">
        <v>826</v>
      </c>
      <c r="AA91" s="24" t="s">
        <v>768</v>
      </c>
    </row>
    <row r="92" spans="1:27" ht="38" customHeight="1">
      <c r="A92" s="11" t="s">
        <v>152</v>
      </c>
      <c r="B92" s="11" t="s">
        <v>67</v>
      </c>
      <c r="C92" s="11" t="s">
        <v>820</v>
      </c>
      <c r="D92" s="26" t="s">
        <v>759</v>
      </c>
      <c r="E92" s="26" t="s">
        <v>760</v>
      </c>
      <c r="F92" s="27"/>
      <c r="G92" s="27"/>
      <c r="H92" s="11" t="s">
        <v>823</v>
      </c>
      <c r="I92" s="11" t="s">
        <v>762</v>
      </c>
      <c r="J92" s="30">
        <v>8</v>
      </c>
      <c r="K92" s="30">
        <v>1</v>
      </c>
      <c r="L92" s="26"/>
      <c r="M92" s="26"/>
      <c r="N92" s="26"/>
      <c r="O92" s="31">
        <v>46023</v>
      </c>
      <c r="P92" s="31"/>
      <c r="Q92" s="26">
        <v>100</v>
      </c>
      <c r="R92" s="26" t="s">
        <v>69</v>
      </c>
      <c r="S92" s="11"/>
      <c r="T92" s="11" t="s">
        <v>764</v>
      </c>
      <c r="U92" s="11"/>
      <c r="V92" s="11" t="s">
        <v>824</v>
      </c>
      <c r="W92" s="15">
        <f>IF(AND(ISNUMBER(Übersicht!$B$4),Übersicht!$B$4=INT(Übersicht!$B$4),Übersicht!$B$4&gt;=2026,Übersicht!$B$4&lt;=2028),IF(I92="fixedMonthDay",IF(AND(ISNUMBER(J92),J92=INT(J92),J92&gt;=1,J92&lt;=12,ISNUMBER(K92),K92=INT(K92),K92&gt;=1,K92&lt;=31,MONTH(DATE(Übersicht!$B$4,J92,K92))=J92,DAY(DATE(Übersicht!$B$4,J92,K92))=K92,L92="",M92="",N92=""),DATE(Übersicht!$B$4,J92,K92),NA()),IF(I92="easterOffsetDays",IF(AND(ISNUMBER(L92),L92=INT(L92),L92&gt;=-366,L92&lt;=366,J92="",K92="",M92="",N92=""),$AD$23+L92,NA()),IF(I92="nthWeekdayOfMonth",IF(AND(ISNUMBER(J92),J92=INT(J92),J92&gt;=1,J92&lt;=12,ISNUMBER(M92),M92=INT(M92),M92&gt;=1,M92&lt;=7,ISNUMBER(N92),N92=INT(N92),N92&gt;=1,N92&lt;=5,MONTH(DATE(Übersicht!$B$4,J92,1)+MOD(M92-WEEKDAY(DATE(Übersicht!$B$4,J92,1),2),7)+7*(N92-1))=J92,K92="",L92=""),DATE(Übersicht!$B$4,J92,1)+MOD(M92-WEEKDAY(DATE(Übersicht!$B$4,J92,1),2),7)+7*(N92-1),NA()),IF(I92="nthWeekdayOffsetDays",IF(AND(ISNUMBER(J92),J92=INT(J92),J92&gt;=1,J92&lt;=12,ISNUMBER(M92),M92=INT(M92),M92&gt;=1,M92&lt;=7,ISNUMBER(N92),N92=INT(N92),N92&gt;=1,N92&lt;=5,MONTH(DATE(Übersicht!$B$4,J92,1)+MOD(M92-WEEKDAY(DATE(Übersicht!$B$4,J92,1),2),7)+7*(N92-1))=J92,K92="",ISNUMBER(L92),L92=INT(L92),L92&gt;=-366,L92&lt;=366),DATE(Übersicht!$B$4,J92,1)+MOD(M92-WEEKDAY(DATE(Übersicht!$B$4,J92,1),2),7)+7*(N92-1)+L92,NA()),NA())))),NA())</f>
        <v>46966</v>
      </c>
      <c r="X92" s="15">
        <f t="shared" si="1"/>
        <v>46966</v>
      </c>
      <c r="Y92" s="11" t="s">
        <v>825</v>
      </c>
      <c r="Z92" s="11" t="s">
        <v>826</v>
      </c>
      <c r="AA92" s="26" t="s">
        <v>768</v>
      </c>
    </row>
    <row r="93" spans="1:27" ht="38" customHeight="1">
      <c r="A93" s="10" t="s">
        <v>153</v>
      </c>
      <c r="B93" s="10" t="s">
        <v>67</v>
      </c>
      <c r="C93" s="10" t="s">
        <v>820</v>
      </c>
      <c r="D93" s="24" t="s">
        <v>834</v>
      </c>
      <c r="E93" s="24" t="s">
        <v>835</v>
      </c>
      <c r="F93" s="25"/>
      <c r="G93" s="25"/>
      <c r="H93" s="10" t="s">
        <v>823</v>
      </c>
      <c r="I93" s="10" t="s">
        <v>762</v>
      </c>
      <c r="J93" s="28">
        <v>8</v>
      </c>
      <c r="K93" s="28">
        <v>15</v>
      </c>
      <c r="L93" s="24"/>
      <c r="M93" s="24"/>
      <c r="N93" s="24"/>
      <c r="O93" s="29">
        <v>46023</v>
      </c>
      <c r="P93" s="29"/>
      <c r="Q93" s="24">
        <v>100</v>
      </c>
      <c r="R93" s="24" t="s">
        <v>69</v>
      </c>
      <c r="S93" s="10"/>
      <c r="T93" s="10" t="s">
        <v>764</v>
      </c>
      <c r="U93" s="10"/>
      <c r="V93" s="10" t="s">
        <v>824</v>
      </c>
      <c r="W93" s="14">
        <f>IF(AND(ISNUMBER(Übersicht!$B$4),Übersicht!$B$4=INT(Übersicht!$B$4),Übersicht!$B$4&gt;=2026,Übersicht!$B$4&lt;=2028),IF(I93="fixedMonthDay",IF(AND(ISNUMBER(J93),J93=INT(J93),J93&gt;=1,J93&lt;=12,ISNUMBER(K93),K93=INT(K93),K93&gt;=1,K93&lt;=31,MONTH(DATE(Übersicht!$B$4,J93,K93))=J93,DAY(DATE(Übersicht!$B$4,J93,K93))=K93,L93="",M93="",N93=""),DATE(Übersicht!$B$4,J93,K93),NA()),IF(I93="easterOffsetDays",IF(AND(ISNUMBER(L93),L93=INT(L93),L93&gt;=-366,L93&lt;=366,J93="",K93="",M93="",N93=""),$AD$23+L93,NA()),IF(I93="nthWeekdayOfMonth",IF(AND(ISNUMBER(J93),J93=INT(J93),J93&gt;=1,J93&lt;=12,ISNUMBER(M93),M93=INT(M93),M93&gt;=1,M93&lt;=7,ISNUMBER(N93),N93=INT(N93),N93&gt;=1,N93&lt;=5,MONTH(DATE(Übersicht!$B$4,J93,1)+MOD(M93-WEEKDAY(DATE(Übersicht!$B$4,J93,1),2),7)+7*(N93-1))=J93,K93="",L93=""),DATE(Übersicht!$B$4,J93,1)+MOD(M93-WEEKDAY(DATE(Übersicht!$B$4,J93,1),2),7)+7*(N93-1),NA()),IF(I93="nthWeekdayOffsetDays",IF(AND(ISNUMBER(J93),J93=INT(J93),J93&gt;=1,J93&lt;=12,ISNUMBER(M93),M93=INT(M93),M93&gt;=1,M93&lt;=7,ISNUMBER(N93),N93=INT(N93),N93&gt;=1,N93&lt;=5,MONTH(DATE(Übersicht!$B$4,J93,1)+MOD(M93-WEEKDAY(DATE(Übersicht!$B$4,J93,1),2),7)+7*(N93-1))=J93,K93="",ISNUMBER(L93),L93=INT(L93),L93&gt;=-366,L93&lt;=366),DATE(Übersicht!$B$4,J93,1)+MOD(M93-WEEKDAY(DATE(Übersicht!$B$4,J93,1),2),7)+7*(N93-1)+L93,NA()),NA())))),NA())</f>
        <v>46980</v>
      </c>
      <c r="X93" s="14">
        <f t="shared" si="1"/>
        <v>46980</v>
      </c>
      <c r="Y93" s="10" t="s">
        <v>825</v>
      </c>
      <c r="Z93" s="10" t="s">
        <v>826</v>
      </c>
      <c r="AA93" s="24" t="s">
        <v>768</v>
      </c>
    </row>
    <row r="94" spans="1:27" ht="38" customHeight="1">
      <c r="A94" s="11" t="s">
        <v>154</v>
      </c>
      <c r="B94" s="11" t="s">
        <v>67</v>
      </c>
      <c r="C94" s="11" t="s">
        <v>820</v>
      </c>
      <c r="D94" s="26" t="s">
        <v>838</v>
      </c>
      <c r="E94" s="26" t="s">
        <v>839</v>
      </c>
      <c r="F94" s="27"/>
      <c r="G94" s="27"/>
      <c r="H94" s="11" t="s">
        <v>823</v>
      </c>
      <c r="I94" s="11" t="s">
        <v>762</v>
      </c>
      <c r="J94" s="30">
        <v>12</v>
      </c>
      <c r="K94" s="30">
        <v>8</v>
      </c>
      <c r="L94" s="26"/>
      <c r="M94" s="26"/>
      <c r="N94" s="26"/>
      <c r="O94" s="31">
        <v>46023</v>
      </c>
      <c r="P94" s="31"/>
      <c r="Q94" s="26">
        <v>100</v>
      </c>
      <c r="R94" s="26" t="s">
        <v>69</v>
      </c>
      <c r="S94" s="11"/>
      <c r="T94" s="11" t="s">
        <v>764</v>
      </c>
      <c r="U94" s="11"/>
      <c r="V94" s="11" t="s">
        <v>824</v>
      </c>
      <c r="W94" s="15">
        <f>IF(AND(ISNUMBER(Übersicht!$B$4),Übersicht!$B$4=INT(Übersicht!$B$4),Übersicht!$B$4&gt;=2026,Übersicht!$B$4&lt;=2028),IF(I94="fixedMonthDay",IF(AND(ISNUMBER(J94),J94=INT(J94),J94&gt;=1,J94&lt;=12,ISNUMBER(K94),K94=INT(K94),K94&gt;=1,K94&lt;=31,MONTH(DATE(Übersicht!$B$4,J94,K94))=J94,DAY(DATE(Übersicht!$B$4,J94,K94))=K94,L94="",M94="",N94=""),DATE(Übersicht!$B$4,J94,K94),NA()),IF(I94="easterOffsetDays",IF(AND(ISNUMBER(L94),L94=INT(L94),L94&gt;=-366,L94&lt;=366,J94="",K94="",M94="",N94=""),$AD$23+L94,NA()),IF(I94="nthWeekdayOfMonth",IF(AND(ISNUMBER(J94),J94=INT(J94),J94&gt;=1,J94&lt;=12,ISNUMBER(M94),M94=INT(M94),M94&gt;=1,M94&lt;=7,ISNUMBER(N94),N94=INT(N94),N94&gt;=1,N94&lt;=5,MONTH(DATE(Übersicht!$B$4,J94,1)+MOD(M94-WEEKDAY(DATE(Übersicht!$B$4,J94,1),2),7)+7*(N94-1))=J94,K94="",L94=""),DATE(Übersicht!$B$4,J94,1)+MOD(M94-WEEKDAY(DATE(Übersicht!$B$4,J94,1),2),7)+7*(N94-1),NA()),IF(I94="nthWeekdayOffsetDays",IF(AND(ISNUMBER(J94),J94=INT(J94),J94&gt;=1,J94&lt;=12,ISNUMBER(M94),M94=INT(M94),M94&gt;=1,M94&lt;=7,ISNUMBER(N94),N94=INT(N94),N94&gt;=1,N94&lt;=5,MONTH(DATE(Übersicht!$B$4,J94,1)+MOD(M94-WEEKDAY(DATE(Übersicht!$B$4,J94,1),2),7)+7*(N94-1))=J94,K94="",ISNUMBER(L94),L94=INT(L94),L94&gt;=-366,L94&lt;=366),DATE(Übersicht!$B$4,J94,1)+MOD(M94-WEEKDAY(DATE(Übersicht!$B$4,J94,1),2),7)+7*(N94-1)+L94,NA()),NA())))),NA())</f>
        <v>47095</v>
      </c>
      <c r="X94" s="15">
        <f t="shared" si="1"/>
        <v>47095</v>
      </c>
      <c r="Y94" s="11" t="s">
        <v>825</v>
      </c>
      <c r="Z94" s="11" t="s">
        <v>826</v>
      </c>
      <c r="AA94" s="26" t="s">
        <v>768</v>
      </c>
    </row>
    <row r="95" spans="1:27" ht="38" customHeight="1">
      <c r="A95" s="10" t="s">
        <v>155</v>
      </c>
      <c r="B95" s="10" t="s">
        <v>67</v>
      </c>
      <c r="C95" s="10" t="s">
        <v>820</v>
      </c>
      <c r="D95" s="24" t="s">
        <v>803</v>
      </c>
      <c r="E95" s="24" t="s">
        <v>804</v>
      </c>
      <c r="F95" s="25"/>
      <c r="G95" s="25"/>
      <c r="H95" s="10" t="s">
        <v>823</v>
      </c>
      <c r="I95" s="10" t="s">
        <v>762</v>
      </c>
      <c r="J95" s="28">
        <v>12</v>
      </c>
      <c r="K95" s="28">
        <v>25</v>
      </c>
      <c r="L95" s="24"/>
      <c r="M95" s="24"/>
      <c r="N95" s="24"/>
      <c r="O95" s="29">
        <v>46023</v>
      </c>
      <c r="P95" s="29"/>
      <c r="Q95" s="24">
        <v>100</v>
      </c>
      <c r="R95" s="24" t="s">
        <v>69</v>
      </c>
      <c r="S95" s="10"/>
      <c r="T95" s="10" t="s">
        <v>764</v>
      </c>
      <c r="U95" s="10"/>
      <c r="V95" s="10" t="s">
        <v>824</v>
      </c>
      <c r="W95" s="14">
        <f>IF(AND(ISNUMBER(Übersicht!$B$4),Übersicht!$B$4=INT(Übersicht!$B$4),Übersicht!$B$4&gt;=2026,Übersicht!$B$4&lt;=2028),IF(I95="fixedMonthDay",IF(AND(ISNUMBER(J95),J95=INT(J95),J95&gt;=1,J95&lt;=12,ISNUMBER(K95),K95=INT(K95),K95&gt;=1,K95&lt;=31,MONTH(DATE(Übersicht!$B$4,J95,K95))=J95,DAY(DATE(Übersicht!$B$4,J95,K95))=K95,L95="",M95="",N95=""),DATE(Übersicht!$B$4,J95,K95),NA()),IF(I95="easterOffsetDays",IF(AND(ISNUMBER(L95),L95=INT(L95),L95&gt;=-366,L95&lt;=366,J95="",K95="",M95="",N95=""),$AD$23+L95,NA()),IF(I95="nthWeekdayOfMonth",IF(AND(ISNUMBER(J95),J95=INT(J95),J95&gt;=1,J95&lt;=12,ISNUMBER(M95),M95=INT(M95),M95&gt;=1,M95&lt;=7,ISNUMBER(N95),N95=INT(N95),N95&gt;=1,N95&lt;=5,MONTH(DATE(Übersicht!$B$4,J95,1)+MOD(M95-WEEKDAY(DATE(Übersicht!$B$4,J95,1),2),7)+7*(N95-1))=J95,K95="",L95=""),DATE(Übersicht!$B$4,J95,1)+MOD(M95-WEEKDAY(DATE(Übersicht!$B$4,J95,1),2),7)+7*(N95-1),NA()),IF(I95="nthWeekdayOffsetDays",IF(AND(ISNUMBER(J95),J95=INT(J95),J95&gt;=1,J95&lt;=12,ISNUMBER(M95),M95=INT(M95),M95&gt;=1,M95&lt;=7,ISNUMBER(N95),N95=INT(N95),N95&gt;=1,N95&lt;=5,MONTH(DATE(Übersicht!$B$4,J95,1)+MOD(M95-WEEKDAY(DATE(Übersicht!$B$4,J95,1),2),7)+7*(N95-1))=J95,K95="",ISNUMBER(L95),L95=INT(L95),L95&gt;=-366,L95&lt;=366),DATE(Übersicht!$B$4,J95,1)+MOD(M95-WEEKDAY(DATE(Übersicht!$B$4,J95,1),2),7)+7*(N95-1)+L95,NA()),NA())))),NA())</f>
        <v>47112</v>
      </c>
      <c r="X95" s="14">
        <f t="shared" si="1"/>
        <v>47112</v>
      </c>
      <c r="Y95" s="10" t="s">
        <v>825</v>
      </c>
      <c r="Z95" s="10" t="s">
        <v>826</v>
      </c>
      <c r="AA95" s="24" t="s">
        <v>768</v>
      </c>
    </row>
    <row r="96" spans="1:27" ht="38" customHeight="1">
      <c r="A96" s="11" t="s">
        <v>156</v>
      </c>
      <c r="B96" s="11" t="s">
        <v>67</v>
      </c>
      <c r="C96" s="11" t="s">
        <v>820</v>
      </c>
      <c r="D96" s="26" t="s">
        <v>806</v>
      </c>
      <c r="E96" s="26" t="s">
        <v>807</v>
      </c>
      <c r="F96" s="27"/>
      <c r="G96" s="27"/>
      <c r="H96" s="11" t="s">
        <v>823</v>
      </c>
      <c r="I96" s="11" t="s">
        <v>762</v>
      </c>
      <c r="J96" s="30">
        <v>12</v>
      </c>
      <c r="K96" s="30">
        <v>26</v>
      </c>
      <c r="L96" s="26"/>
      <c r="M96" s="26"/>
      <c r="N96" s="26"/>
      <c r="O96" s="31">
        <v>46023</v>
      </c>
      <c r="P96" s="31"/>
      <c r="Q96" s="26">
        <v>100</v>
      </c>
      <c r="R96" s="26" t="s">
        <v>69</v>
      </c>
      <c r="S96" s="11"/>
      <c r="T96" s="11" t="s">
        <v>764</v>
      </c>
      <c r="U96" s="11"/>
      <c r="V96" s="11" t="s">
        <v>824</v>
      </c>
      <c r="W96" s="15">
        <f>IF(AND(ISNUMBER(Übersicht!$B$4),Übersicht!$B$4=INT(Übersicht!$B$4),Übersicht!$B$4&gt;=2026,Übersicht!$B$4&lt;=2028),IF(I96="fixedMonthDay",IF(AND(ISNUMBER(J96),J96=INT(J96),J96&gt;=1,J96&lt;=12,ISNUMBER(K96),K96=INT(K96),K96&gt;=1,K96&lt;=31,MONTH(DATE(Übersicht!$B$4,J96,K96))=J96,DAY(DATE(Übersicht!$B$4,J96,K96))=K96,L96="",M96="",N96=""),DATE(Übersicht!$B$4,J96,K96),NA()),IF(I96="easterOffsetDays",IF(AND(ISNUMBER(L96),L96=INT(L96),L96&gt;=-366,L96&lt;=366,J96="",K96="",M96="",N96=""),$AD$23+L96,NA()),IF(I96="nthWeekdayOfMonth",IF(AND(ISNUMBER(J96),J96=INT(J96),J96&gt;=1,J96&lt;=12,ISNUMBER(M96),M96=INT(M96),M96&gt;=1,M96&lt;=7,ISNUMBER(N96),N96=INT(N96),N96&gt;=1,N96&lt;=5,MONTH(DATE(Übersicht!$B$4,J96,1)+MOD(M96-WEEKDAY(DATE(Übersicht!$B$4,J96,1),2),7)+7*(N96-1))=J96,K96="",L96=""),DATE(Übersicht!$B$4,J96,1)+MOD(M96-WEEKDAY(DATE(Übersicht!$B$4,J96,1),2),7)+7*(N96-1),NA()),IF(I96="nthWeekdayOffsetDays",IF(AND(ISNUMBER(J96),J96=INT(J96),J96&gt;=1,J96&lt;=12,ISNUMBER(M96),M96=INT(M96),M96&gt;=1,M96&lt;=7,ISNUMBER(N96),N96=INT(N96),N96&gt;=1,N96&lt;=5,MONTH(DATE(Übersicht!$B$4,J96,1)+MOD(M96-WEEKDAY(DATE(Übersicht!$B$4,J96,1),2),7)+7*(N96-1))=J96,K96="",ISNUMBER(L96),L96=INT(L96),L96&gt;=-366,L96&lt;=366),DATE(Übersicht!$B$4,J96,1)+MOD(M96-WEEKDAY(DATE(Übersicht!$B$4,J96,1),2),7)+7*(N96-1)+L96,NA()),NA())))),NA())</f>
        <v>47113</v>
      </c>
      <c r="X96" s="15">
        <f t="shared" si="1"/>
        <v>47113</v>
      </c>
      <c r="Y96" s="11" t="s">
        <v>825</v>
      </c>
      <c r="Z96" s="11" t="s">
        <v>826</v>
      </c>
      <c r="AA96" s="26" t="s">
        <v>768</v>
      </c>
    </row>
    <row r="97" spans="1:27" ht="42" customHeight="1">
      <c r="A97" s="10" t="s">
        <v>159</v>
      </c>
      <c r="B97" s="10" t="s">
        <v>157</v>
      </c>
      <c r="C97" s="10" t="s">
        <v>848</v>
      </c>
      <c r="D97" s="24" t="s">
        <v>771</v>
      </c>
      <c r="E97" s="24" t="s">
        <v>772</v>
      </c>
      <c r="F97" s="25" t="s">
        <v>849</v>
      </c>
      <c r="G97" s="25" t="s">
        <v>850</v>
      </c>
      <c r="H97" s="10" t="s">
        <v>761</v>
      </c>
      <c r="I97" s="10" t="s">
        <v>762</v>
      </c>
      <c r="J97" s="28">
        <v>1</v>
      </c>
      <c r="K97" s="28">
        <v>1</v>
      </c>
      <c r="L97" s="24"/>
      <c r="M97" s="24"/>
      <c r="N97" s="24"/>
      <c r="O97" s="29">
        <v>46023</v>
      </c>
      <c r="P97" s="29"/>
      <c r="Q97" s="24">
        <v>100</v>
      </c>
      <c r="R97" s="24" t="s">
        <v>69</v>
      </c>
      <c r="S97" s="10"/>
      <c r="T97" s="10" t="s">
        <v>764</v>
      </c>
      <c r="U97" s="10"/>
      <c r="V97" s="10" t="s">
        <v>824</v>
      </c>
      <c r="W97" s="14">
        <f>IF(AND(ISNUMBER(Übersicht!$B$4),Übersicht!$B$4=INT(Übersicht!$B$4),Übersicht!$B$4&gt;=2026,Übersicht!$B$4&lt;=2028),IF(I97="fixedMonthDay",IF(AND(ISNUMBER(J97),J97=INT(J97),J97&gt;=1,J97&lt;=12,ISNUMBER(K97),K97=INT(K97),K97&gt;=1,K97&lt;=31,MONTH(DATE(Übersicht!$B$4,J97,K97))=J97,DAY(DATE(Übersicht!$B$4,J97,K97))=K97,L97="",M97="",N97=""),DATE(Übersicht!$B$4,J97,K97),NA()),IF(I97="easterOffsetDays",IF(AND(ISNUMBER(L97),L97=INT(L97),L97&gt;=-366,L97&lt;=366,J97="",K97="",M97="",N97=""),$AD$23+L97,NA()),IF(I97="nthWeekdayOfMonth",IF(AND(ISNUMBER(J97),J97=INT(J97),J97&gt;=1,J97&lt;=12,ISNUMBER(M97),M97=INT(M97),M97&gt;=1,M97&lt;=7,ISNUMBER(N97),N97=INT(N97),N97&gt;=1,N97&lt;=5,MONTH(DATE(Übersicht!$B$4,J97,1)+MOD(M97-WEEKDAY(DATE(Übersicht!$B$4,J97,1),2),7)+7*(N97-1))=J97,K97="",L97=""),DATE(Übersicht!$B$4,J97,1)+MOD(M97-WEEKDAY(DATE(Übersicht!$B$4,J97,1),2),7)+7*(N97-1),NA()),IF(I97="nthWeekdayOffsetDays",IF(AND(ISNUMBER(J97),J97=INT(J97),J97&gt;=1,J97&lt;=12,ISNUMBER(M97),M97=INT(M97),M97&gt;=1,M97&lt;=7,ISNUMBER(N97),N97=INT(N97),N97&gt;=1,N97&lt;=5,MONTH(DATE(Übersicht!$B$4,J97,1)+MOD(M97-WEEKDAY(DATE(Übersicht!$B$4,J97,1),2),7)+7*(N97-1))=J97,K97="",ISNUMBER(L97),L97=INT(L97),L97&gt;=-366,L97&lt;=366),DATE(Übersicht!$B$4,J97,1)+MOD(M97-WEEKDAY(DATE(Übersicht!$B$4,J97,1),2),7)+7*(N97-1)+L97,NA()),NA())))),NA())</f>
        <v>46753</v>
      </c>
      <c r="X97" s="14">
        <f t="shared" si="1"/>
        <v>46753</v>
      </c>
      <c r="Y97" s="10" t="s">
        <v>851</v>
      </c>
      <c r="Z97" s="10" t="s">
        <v>767</v>
      </c>
      <c r="AA97" s="24" t="s">
        <v>768</v>
      </c>
    </row>
    <row r="98" spans="1:27" ht="42" customHeight="1">
      <c r="A98" s="11" t="s">
        <v>161</v>
      </c>
      <c r="B98" s="11" t="s">
        <v>157</v>
      </c>
      <c r="C98" s="11" t="s">
        <v>848</v>
      </c>
      <c r="D98" s="26" t="s">
        <v>852</v>
      </c>
      <c r="E98" s="26" t="s">
        <v>853</v>
      </c>
      <c r="F98" s="27" t="s">
        <v>854</v>
      </c>
      <c r="G98" s="27" t="s">
        <v>855</v>
      </c>
      <c r="H98" s="11" t="s">
        <v>761</v>
      </c>
      <c r="I98" s="11" t="s">
        <v>762</v>
      </c>
      <c r="J98" s="30">
        <v>1</v>
      </c>
      <c r="K98" s="30">
        <v>6</v>
      </c>
      <c r="L98" s="26"/>
      <c r="M98" s="26"/>
      <c r="N98" s="26"/>
      <c r="O98" s="31">
        <v>46023</v>
      </c>
      <c r="P98" s="31"/>
      <c r="Q98" s="26">
        <v>100</v>
      </c>
      <c r="R98" s="26" t="s">
        <v>69</v>
      </c>
      <c r="S98" s="11"/>
      <c r="T98" s="11" t="s">
        <v>764</v>
      </c>
      <c r="U98" s="11"/>
      <c r="V98" s="11" t="s">
        <v>824</v>
      </c>
      <c r="W98" s="15">
        <f>IF(AND(ISNUMBER(Übersicht!$B$4),Übersicht!$B$4=INT(Übersicht!$B$4),Übersicht!$B$4&gt;=2026,Übersicht!$B$4&lt;=2028),IF(I98="fixedMonthDay",IF(AND(ISNUMBER(J98),J98=INT(J98),J98&gt;=1,J98&lt;=12,ISNUMBER(K98),K98=INT(K98),K98&gt;=1,K98&lt;=31,MONTH(DATE(Übersicht!$B$4,J98,K98))=J98,DAY(DATE(Übersicht!$B$4,J98,K98))=K98,L98="",M98="",N98=""),DATE(Übersicht!$B$4,J98,K98),NA()),IF(I98="easterOffsetDays",IF(AND(ISNUMBER(L98),L98=INT(L98),L98&gt;=-366,L98&lt;=366,J98="",K98="",M98="",N98=""),$AD$23+L98,NA()),IF(I98="nthWeekdayOfMonth",IF(AND(ISNUMBER(J98),J98=INT(J98),J98&gt;=1,J98&lt;=12,ISNUMBER(M98),M98=INT(M98),M98&gt;=1,M98&lt;=7,ISNUMBER(N98),N98=INT(N98),N98&gt;=1,N98&lt;=5,MONTH(DATE(Übersicht!$B$4,J98,1)+MOD(M98-WEEKDAY(DATE(Übersicht!$B$4,J98,1),2),7)+7*(N98-1))=J98,K98="",L98=""),DATE(Übersicht!$B$4,J98,1)+MOD(M98-WEEKDAY(DATE(Übersicht!$B$4,J98,1),2),7)+7*(N98-1),NA()),IF(I98="nthWeekdayOffsetDays",IF(AND(ISNUMBER(J98),J98=INT(J98),J98&gt;=1,J98&lt;=12,ISNUMBER(M98),M98=INT(M98),M98&gt;=1,M98&lt;=7,ISNUMBER(N98),N98=INT(N98),N98&gt;=1,N98&lt;=5,MONTH(DATE(Übersicht!$B$4,J98,1)+MOD(M98-WEEKDAY(DATE(Übersicht!$B$4,J98,1),2),7)+7*(N98-1))=J98,K98="",ISNUMBER(L98),L98=INT(L98),L98&gt;=-366,L98&lt;=366),DATE(Übersicht!$B$4,J98,1)+MOD(M98-WEEKDAY(DATE(Übersicht!$B$4,J98,1),2),7)+7*(N98-1)+L98,NA()),NA())))),NA())</f>
        <v>46758</v>
      </c>
      <c r="X98" s="15">
        <f t="shared" si="1"/>
        <v>46758</v>
      </c>
      <c r="Y98" s="11" t="s">
        <v>851</v>
      </c>
      <c r="Z98" s="11" t="s">
        <v>767</v>
      </c>
      <c r="AA98" s="26" t="s">
        <v>768</v>
      </c>
    </row>
    <row r="99" spans="1:27" ht="42" customHeight="1">
      <c r="A99" s="10" t="s">
        <v>163</v>
      </c>
      <c r="B99" s="10" t="s">
        <v>157</v>
      </c>
      <c r="C99" s="10" t="s">
        <v>848</v>
      </c>
      <c r="D99" s="24" t="s">
        <v>856</v>
      </c>
      <c r="E99" s="24" t="s">
        <v>857</v>
      </c>
      <c r="F99" s="25" t="s">
        <v>858</v>
      </c>
      <c r="G99" s="25" t="s">
        <v>859</v>
      </c>
      <c r="H99" s="10" t="s">
        <v>761</v>
      </c>
      <c r="I99" s="10" t="s">
        <v>762</v>
      </c>
      <c r="J99" s="28">
        <v>3</v>
      </c>
      <c r="K99" s="28">
        <v>19</v>
      </c>
      <c r="L99" s="24"/>
      <c r="M99" s="24"/>
      <c r="N99" s="24"/>
      <c r="O99" s="29">
        <v>46023</v>
      </c>
      <c r="P99" s="29"/>
      <c r="Q99" s="24">
        <v>100</v>
      </c>
      <c r="R99" s="24" t="s">
        <v>69</v>
      </c>
      <c r="S99" s="10"/>
      <c r="T99" s="10" t="s">
        <v>764</v>
      </c>
      <c r="U99" s="10"/>
      <c r="V99" s="10" t="s">
        <v>824</v>
      </c>
      <c r="W99" s="14">
        <f>IF(AND(ISNUMBER(Übersicht!$B$4),Übersicht!$B$4=INT(Übersicht!$B$4),Übersicht!$B$4&gt;=2026,Übersicht!$B$4&lt;=2028),IF(I99="fixedMonthDay",IF(AND(ISNUMBER(J99),J99=INT(J99),J99&gt;=1,J99&lt;=12,ISNUMBER(K99),K99=INT(K99),K99&gt;=1,K99&lt;=31,MONTH(DATE(Übersicht!$B$4,J99,K99))=J99,DAY(DATE(Übersicht!$B$4,J99,K99))=K99,L99="",M99="",N99=""),DATE(Übersicht!$B$4,J99,K99),NA()),IF(I99="easterOffsetDays",IF(AND(ISNUMBER(L99),L99=INT(L99),L99&gt;=-366,L99&lt;=366,J99="",K99="",M99="",N99=""),$AD$23+L99,NA()),IF(I99="nthWeekdayOfMonth",IF(AND(ISNUMBER(J99),J99=INT(J99),J99&gt;=1,J99&lt;=12,ISNUMBER(M99),M99=INT(M99),M99&gt;=1,M99&lt;=7,ISNUMBER(N99),N99=INT(N99),N99&gt;=1,N99&lt;=5,MONTH(DATE(Übersicht!$B$4,J99,1)+MOD(M99-WEEKDAY(DATE(Übersicht!$B$4,J99,1),2),7)+7*(N99-1))=J99,K99="",L99=""),DATE(Übersicht!$B$4,J99,1)+MOD(M99-WEEKDAY(DATE(Übersicht!$B$4,J99,1),2),7)+7*(N99-1),NA()),IF(I99="nthWeekdayOffsetDays",IF(AND(ISNUMBER(J99),J99=INT(J99),J99&gt;=1,J99&lt;=12,ISNUMBER(M99),M99=INT(M99),M99&gt;=1,M99&lt;=7,ISNUMBER(N99),N99=INT(N99),N99&gt;=1,N99&lt;=5,MONTH(DATE(Übersicht!$B$4,J99,1)+MOD(M99-WEEKDAY(DATE(Übersicht!$B$4,J99,1),2),7)+7*(N99-1))=J99,K99="",ISNUMBER(L99),L99=INT(L99),L99&gt;=-366,L99&lt;=366),DATE(Übersicht!$B$4,J99,1)+MOD(M99-WEEKDAY(DATE(Übersicht!$B$4,J99,1),2),7)+7*(N99-1)+L99,NA()),NA())))),NA())</f>
        <v>46831</v>
      </c>
      <c r="X99" s="14">
        <f t="shared" si="1"/>
        <v>46831</v>
      </c>
      <c r="Y99" s="10" t="s">
        <v>851</v>
      </c>
      <c r="Z99" s="10" t="s">
        <v>767</v>
      </c>
      <c r="AA99" s="24" t="s">
        <v>768</v>
      </c>
    </row>
    <row r="100" spans="1:27" ht="42" customHeight="1">
      <c r="A100" s="11" t="s">
        <v>164</v>
      </c>
      <c r="B100" s="11" t="s">
        <v>157</v>
      </c>
      <c r="C100" s="11" t="s">
        <v>848</v>
      </c>
      <c r="D100" s="26" t="s">
        <v>787</v>
      </c>
      <c r="E100" s="26" t="s">
        <v>788</v>
      </c>
      <c r="F100" s="27" t="s">
        <v>860</v>
      </c>
      <c r="G100" s="27" t="s">
        <v>861</v>
      </c>
      <c r="H100" s="11" t="s">
        <v>761</v>
      </c>
      <c r="I100" s="11" t="s">
        <v>781</v>
      </c>
      <c r="J100" s="30"/>
      <c r="K100" s="30"/>
      <c r="L100" s="26">
        <v>1</v>
      </c>
      <c r="M100" s="26"/>
      <c r="N100" s="26"/>
      <c r="O100" s="31">
        <v>46023</v>
      </c>
      <c r="P100" s="31"/>
      <c r="Q100" s="26">
        <v>100</v>
      </c>
      <c r="R100" s="26" t="s">
        <v>69</v>
      </c>
      <c r="S100" s="11"/>
      <c r="T100" s="11" t="s">
        <v>764</v>
      </c>
      <c r="U100" s="11"/>
      <c r="V100" s="11" t="s">
        <v>824</v>
      </c>
      <c r="W100" s="15">
        <f>IF(AND(ISNUMBER(Übersicht!$B$4),Übersicht!$B$4=INT(Übersicht!$B$4),Übersicht!$B$4&gt;=2026,Übersicht!$B$4&lt;=2028),IF(I100="fixedMonthDay",IF(AND(ISNUMBER(J100),J100=INT(J100),J100&gt;=1,J100&lt;=12,ISNUMBER(K100),K100=INT(K100),K100&gt;=1,K100&lt;=31,MONTH(DATE(Übersicht!$B$4,J100,K100))=J100,DAY(DATE(Übersicht!$B$4,J100,K100))=K100,L100="",M100="",N100=""),DATE(Übersicht!$B$4,J100,K100),NA()),IF(I100="easterOffsetDays",IF(AND(ISNUMBER(L100),L100=INT(L100),L100&gt;=-366,L100&lt;=366,J100="",K100="",M100="",N100=""),$AD$23+L100,NA()),IF(I100="nthWeekdayOfMonth",IF(AND(ISNUMBER(J100),J100=INT(J100),J100&gt;=1,J100&lt;=12,ISNUMBER(M100),M100=INT(M100),M100&gt;=1,M100&lt;=7,ISNUMBER(N100),N100=INT(N100),N100&gt;=1,N100&lt;=5,MONTH(DATE(Übersicht!$B$4,J100,1)+MOD(M100-WEEKDAY(DATE(Übersicht!$B$4,J100,1),2),7)+7*(N100-1))=J100,K100="",L100=""),DATE(Übersicht!$B$4,J100,1)+MOD(M100-WEEKDAY(DATE(Übersicht!$B$4,J100,1),2),7)+7*(N100-1),NA()),IF(I100="nthWeekdayOffsetDays",IF(AND(ISNUMBER(J100),J100=INT(J100),J100&gt;=1,J100&lt;=12,ISNUMBER(M100),M100=INT(M100),M100&gt;=1,M100&lt;=7,ISNUMBER(N100),N100=INT(N100),N100&gt;=1,N100&lt;=5,MONTH(DATE(Übersicht!$B$4,J100,1)+MOD(M100-WEEKDAY(DATE(Übersicht!$B$4,J100,1),2),7)+7*(N100-1))=J100,K100="",ISNUMBER(L100),L100=INT(L100),L100&gt;=-366,L100&lt;=366),DATE(Übersicht!$B$4,J100,1)+MOD(M100-WEEKDAY(DATE(Übersicht!$B$4,J100,1),2),7)+7*(N100-1)+L100,NA()),NA())))),NA())</f>
        <v>46860</v>
      </c>
      <c r="X100" s="15">
        <f t="shared" si="1"/>
        <v>46860</v>
      </c>
      <c r="Y100" s="11" t="s">
        <v>851</v>
      </c>
      <c r="Z100" s="11" t="s">
        <v>767</v>
      </c>
      <c r="AA100" s="26" t="s">
        <v>768</v>
      </c>
    </row>
    <row r="101" spans="1:27" ht="42" customHeight="1">
      <c r="A101" s="10" t="s">
        <v>165</v>
      </c>
      <c r="B101" s="10" t="s">
        <v>157</v>
      </c>
      <c r="C101" s="10" t="s">
        <v>848</v>
      </c>
      <c r="D101" s="24" t="s">
        <v>846</v>
      </c>
      <c r="E101" s="24" t="s">
        <v>847</v>
      </c>
      <c r="F101" s="25" t="s">
        <v>862</v>
      </c>
      <c r="G101" s="25" t="s">
        <v>863</v>
      </c>
      <c r="H101" s="10" t="s">
        <v>761</v>
      </c>
      <c r="I101" s="10" t="s">
        <v>762</v>
      </c>
      <c r="J101" s="28">
        <v>5</v>
      </c>
      <c r="K101" s="28">
        <v>1</v>
      </c>
      <c r="L101" s="24"/>
      <c r="M101" s="24"/>
      <c r="N101" s="24"/>
      <c r="O101" s="29">
        <v>46023</v>
      </c>
      <c r="P101" s="29"/>
      <c r="Q101" s="24">
        <v>100</v>
      </c>
      <c r="R101" s="24" t="s">
        <v>69</v>
      </c>
      <c r="S101" s="10"/>
      <c r="T101" s="10" t="s">
        <v>764</v>
      </c>
      <c r="U101" s="10"/>
      <c r="V101" s="10" t="s">
        <v>824</v>
      </c>
      <c r="W101" s="14">
        <f>IF(AND(ISNUMBER(Übersicht!$B$4),Übersicht!$B$4=INT(Übersicht!$B$4),Übersicht!$B$4&gt;=2026,Übersicht!$B$4&lt;=2028),IF(I101="fixedMonthDay",IF(AND(ISNUMBER(J101),J101=INT(J101),J101&gt;=1,J101&lt;=12,ISNUMBER(K101),K101=INT(K101),K101&gt;=1,K101&lt;=31,MONTH(DATE(Übersicht!$B$4,J101,K101))=J101,DAY(DATE(Übersicht!$B$4,J101,K101))=K101,L101="",M101="",N101=""),DATE(Übersicht!$B$4,J101,K101),NA()),IF(I101="easterOffsetDays",IF(AND(ISNUMBER(L101),L101=INT(L101),L101&gt;=-366,L101&lt;=366,J101="",K101="",M101="",N101=""),$AD$23+L101,NA()),IF(I101="nthWeekdayOfMonth",IF(AND(ISNUMBER(J101),J101=INT(J101),J101&gt;=1,J101&lt;=12,ISNUMBER(M101),M101=INT(M101),M101&gt;=1,M101&lt;=7,ISNUMBER(N101),N101=INT(N101),N101&gt;=1,N101&lt;=5,MONTH(DATE(Übersicht!$B$4,J101,1)+MOD(M101-WEEKDAY(DATE(Übersicht!$B$4,J101,1),2),7)+7*(N101-1))=J101,K101="",L101=""),DATE(Übersicht!$B$4,J101,1)+MOD(M101-WEEKDAY(DATE(Übersicht!$B$4,J101,1),2),7)+7*(N101-1),NA()),IF(I101="nthWeekdayOffsetDays",IF(AND(ISNUMBER(J101),J101=INT(J101),J101&gt;=1,J101&lt;=12,ISNUMBER(M101),M101=INT(M101),M101&gt;=1,M101&lt;=7,ISNUMBER(N101),N101=INT(N101),N101&gt;=1,N101&lt;=5,MONTH(DATE(Übersicht!$B$4,J101,1)+MOD(M101-WEEKDAY(DATE(Übersicht!$B$4,J101,1),2),7)+7*(N101-1))=J101,K101="",ISNUMBER(L101),L101=INT(L101),L101&gt;=-366,L101&lt;=366),DATE(Übersicht!$B$4,J101,1)+MOD(M101-WEEKDAY(DATE(Übersicht!$B$4,J101,1),2),7)+7*(N101-1)+L101,NA()),NA())))),NA())</f>
        <v>46874</v>
      </c>
      <c r="X101" s="14">
        <f t="shared" si="1"/>
        <v>46874</v>
      </c>
      <c r="Y101" s="10" t="s">
        <v>851</v>
      </c>
      <c r="Z101" s="10" t="s">
        <v>767</v>
      </c>
      <c r="AA101" s="24" t="s">
        <v>768</v>
      </c>
    </row>
    <row r="102" spans="1:27" ht="42" customHeight="1">
      <c r="A102" s="11" t="s">
        <v>166</v>
      </c>
      <c r="B102" s="11" t="s">
        <v>157</v>
      </c>
      <c r="C102" s="11" t="s">
        <v>848</v>
      </c>
      <c r="D102" s="26" t="s">
        <v>790</v>
      </c>
      <c r="E102" s="26" t="s">
        <v>791</v>
      </c>
      <c r="F102" s="27" t="s">
        <v>864</v>
      </c>
      <c r="G102" s="27" t="s">
        <v>865</v>
      </c>
      <c r="H102" s="11" t="s">
        <v>761</v>
      </c>
      <c r="I102" s="11" t="s">
        <v>781</v>
      </c>
      <c r="J102" s="30"/>
      <c r="K102" s="30"/>
      <c r="L102" s="26">
        <v>39</v>
      </c>
      <c r="M102" s="26"/>
      <c r="N102" s="26"/>
      <c r="O102" s="31">
        <v>46023</v>
      </c>
      <c r="P102" s="31"/>
      <c r="Q102" s="26">
        <v>100</v>
      </c>
      <c r="R102" s="26" t="s">
        <v>69</v>
      </c>
      <c r="S102" s="11"/>
      <c r="T102" s="11" t="s">
        <v>764</v>
      </c>
      <c r="U102" s="11"/>
      <c r="V102" s="11" t="s">
        <v>824</v>
      </c>
      <c r="W102" s="15">
        <f>IF(AND(ISNUMBER(Übersicht!$B$4),Übersicht!$B$4=INT(Übersicht!$B$4),Übersicht!$B$4&gt;=2026,Übersicht!$B$4&lt;=2028),IF(I102="fixedMonthDay",IF(AND(ISNUMBER(J102),J102=INT(J102),J102&gt;=1,J102&lt;=12,ISNUMBER(K102),K102=INT(K102),K102&gt;=1,K102&lt;=31,MONTH(DATE(Übersicht!$B$4,J102,K102))=J102,DAY(DATE(Übersicht!$B$4,J102,K102))=K102,L102="",M102="",N102=""),DATE(Übersicht!$B$4,J102,K102),NA()),IF(I102="easterOffsetDays",IF(AND(ISNUMBER(L102),L102=INT(L102),L102&gt;=-366,L102&lt;=366,J102="",K102="",M102="",N102=""),$AD$23+L102,NA()),IF(I102="nthWeekdayOfMonth",IF(AND(ISNUMBER(J102),J102=INT(J102),J102&gt;=1,J102&lt;=12,ISNUMBER(M102),M102=INT(M102),M102&gt;=1,M102&lt;=7,ISNUMBER(N102),N102=INT(N102),N102&gt;=1,N102&lt;=5,MONTH(DATE(Übersicht!$B$4,J102,1)+MOD(M102-WEEKDAY(DATE(Übersicht!$B$4,J102,1),2),7)+7*(N102-1))=J102,K102="",L102=""),DATE(Übersicht!$B$4,J102,1)+MOD(M102-WEEKDAY(DATE(Übersicht!$B$4,J102,1),2),7)+7*(N102-1),NA()),IF(I102="nthWeekdayOffsetDays",IF(AND(ISNUMBER(J102),J102=INT(J102),J102&gt;=1,J102&lt;=12,ISNUMBER(M102),M102=INT(M102),M102&gt;=1,M102&lt;=7,ISNUMBER(N102),N102=INT(N102),N102&gt;=1,N102&lt;=5,MONTH(DATE(Übersicht!$B$4,J102,1)+MOD(M102-WEEKDAY(DATE(Übersicht!$B$4,J102,1),2),7)+7*(N102-1))=J102,K102="",ISNUMBER(L102),L102=INT(L102),L102&gt;=-366,L102&lt;=366),DATE(Übersicht!$B$4,J102,1)+MOD(M102-WEEKDAY(DATE(Übersicht!$B$4,J102,1),2),7)+7*(N102-1)+L102,NA()),NA())))),NA())</f>
        <v>46898</v>
      </c>
      <c r="X102" s="15">
        <f t="shared" si="1"/>
        <v>46898</v>
      </c>
      <c r="Y102" s="11" t="s">
        <v>851</v>
      </c>
      <c r="Z102" s="11" t="s">
        <v>767</v>
      </c>
      <c r="AA102" s="26" t="s">
        <v>768</v>
      </c>
    </row>
    <row r="103" spans="1:27" ht="42" customHeight="1">
      <c r="A103" s="10" t="s">
        <v>167</v>
      </c>
      <c r="B103" s="10" t="s">
        <v>157</v>
      </c>
      <c r="C103" s="10" t="s">
        <v>848</v>
      </c>
      <c r="D103" s="24" t="s">
        <v>796</v>
      </c>
      <c r="E103" s="24" t="s">
        <v>797</v>
      </c>
      <c r="F103" s="25" t="s">
        <v>866</v>
      </c>
      <c r="G103" s="25" t="s">
        <v>867</v>
      </c>
      <c r="H103" s="10" t="s">
        <v>761</v>
      </c>
      <c r="I103" s="10" t="s">
        <v>781</v>
      </c>
      <c r="J103" s="28"/>
      <c r="K103" s="28"/>
      <c r="L103" s="24">
        <v>50</v>
      </c>
      <c r="M103" s="24"/>
      <c r="N103" s="24"/>
      <c r="O103" s="29">
        <v>46023</v>
      </c>
      <c r="P103" s="29"/>
      <c r="Q103" s="24">
        <v>100</v>
      </c>
      <c r="R103" s="24" t="s">
        <v>69</v>
      </c>
      <c r="S103" s="10"/>
      <c r="T103" s="10" t="s">
        <v>764</v>
      </c>
      <c r="U103" s="10"/>
      <c r="V103" s="10" t="s">
        <v>824</v>
      </c>
      <c r="W103" s="14">
        <f>IF(AND(ISNUMBER(Übersicht!$B$4),Übersicht!$B$4=INT(Übersicht!$B$4),Übersicht!$B$4&gt;=2026,Übersicht!$B$4&lt;=2028),IF(I103="fixedMonthDay",IF(AND(ISNUMBER(J103),J103=INT(J103),J103&gt;=1,J103&lt;=12,ISNUMBER(K103),K103=INT(K103),K103&gt;=1,K103&lt;=31,MONTH(DATE(Übersicht!$B$4,J103,K103))=J103,DAY(DATE(Übersicht!$B$4,J103,K103))=K103,L103="",M103="",N103=""),DATE(Übersicht!$B$4,J103,K103),NA()),IF(I103="easterOffsetDays",IF(AND(ISNUMBER(L103),L103=INT(L103),L103&gt;=-366,L103&lt;=366,J103="",K103="",M103="",N103=""),$AD$23+L103,NA()),IF(I103="nthWeekdayOfMonth",IF(AND(ISNUMBER(J103),J103=INT(J103),J103&gt;=1,J103&lt;=12,ISNUMBER(M103),M103=INT(M103),M103&gt;=1,M103&lt;=7,ISNUMBER(N103),N103=INT(N103),N103&gt;=1,N103&lt;=5,MONTH(DATE(Übersicht!$B$4,J103,1)+MOD(M103-WEEKDAY(DATE(Übersicht!$B$4,J103,1),2),7)+7*(N103-1))=J103,K103="",L103=""),DATE(Übersicht!$B$4,J103,1)+MOD(M103-WEEKDAY(DATE(Übersicht!$B$4,J103,1),2),7)+7*(N103-1),NA()),IF(I103="nthWeekdayOffsetDays",IF(AND(ISNUMBER(J103),J103=INT(J103),J103&gt;=1,J103&lt;=12,ISNUMBER(M103),M103=INT(M103),M103&gt;=1,M103&lt;=7,ISNUMBER(N103),N103=INT(N103),N103&gt;=1,N103&lt;=5,MONTH(DATE(Übersicht!$B$4,J103,1)+MOD(M103-WEEKDAY(DATE(Übersicht!$B$4,J103,1),2),7)+7*(N103-1))=J103,K103="",ISNUMBER(L103),L103=INT(L103),L103&gt;=-366,L103&lt;=366),DATE(Übersicht!$B$4,J103,1)+MOD(M103-WEEKDAY(DATE(Übersicht!$B$4,J103,1),2),7)+7*(N103-1)+L103,NA()),NA())))),NA())</f>
        <v>46909</v>
      </c>
      <c r="X103" s="14">
        <f t="shared" si="1"/>
        <v>46909</v>
      </c>
      <c r="Y103" s="10" t="s">
        <v>851</v>
      </c>
      <c r="Z103" s="10" t="s">
        <v>767</v>
      </c>
      <c r="AA103" s="24" t="s">
        <v>768</v>
      </c>
    </row>
    <row r="104" spans="1:27" ht="42" customHeight="1">
      <c r="A104" s="11" t="s">
        <v>168</v>
      </c>
      <c r="B104" s="11" t="s">
        <v>157</v>
      </c>
      <c r="C104" s="11" t="s">
        <v>848</v>
      </c>
      <c r="D104" s="26" t="s">
        <v>810</v>
      </c>
      <c r="E104" s="26" t="s">
        <v>811</v>
      </c>
      <c r="F104" s="27" t="s">
        <v>868</v>
      </c>
      <c r="G104" s="27" t="s">
        <v>869</v>
      </c>
      <c r="H104" s="11" t="s">
        <v>761</v>
      </c>
      <c r="I104" s="11" t="s">
        <v>781</v>
      </c>
      <c r="J104" s="30"/>
      <c r="K104" s="30"/>
      <c r="L104" s="26">
        <v>60</v>
      </c>
      <c r="M104" s="26"/>
      <c r="N104" s="26"/>
      <c r="O104" s="31">
        <v>46023</v>
      </c>
      <c r="P104" s="31"/>
      <c r="Q104" s="26">
        <v>100</v>
      </c>
      <c r="R104" s="26" t="s">
        <v>69</v>
      </c>
      <c r="S104" s="11"/>
      <c r="T104" s="11" t="s">
        <v>764</v>
      </c>
      <c r="U104" s="11"/>
      <c r="V104" s="11" t="s">
        <v>824</v>
      </c>
      <c r="W104" s="15">
        <f>IF(AND(ISNUMBER(Übersicht!$B$4),Übersicht!$B$4=INT(Übersicht!$B$4),Übersicht!$B$4&gt;=2026,Übersicht!$B$4&lt;=2028),IF(I104="fixedMonthDay",IF(AND(ISNUMBER(J104),J104=INT(J104),J104&gt;=1,J104&lt;=12,ISNUMBER(K104),K104=INT(K104),K104&gt;=1,K104&lt;=31,MONTH(DATE(Übersicht!$B$4,J104,K104))=J104,DAY(DATE(Übersicht!$B$4,J104,K104))=K104,L104="",M104="",N104=""),DATE(Übersicht!$B$4,J104,K104),NA()),IF(I104="easterOffsetDays",IF(AND(ISNUMBER(L104),L104=INT(L104),L104&gt;=-366,L104&lt;=366,J104="",K104="",M104="",N104=""),$AD$23+L104,NA()),IF(I104="nthWeekdayOfMonth",IF(AND(ISNUMBER(J104),J104=INT(J104),J104&gt;=1,J104&lt;=12,ISNUMBER(M104),M104=INT(M104),M104&gt;=1,M104&lt;=7,ISNUMBER(N104),N104=INT(N104),N104&gt;=1,N104&lt;=5,MONTH(DATE(Übersicht!$B$4,J104,1)+MOD(M104-WEEKDAY(DATE(Übersicht!$B$4,J104,1),2),7)+7*(N104-1))=J104,K104="",L104=""),DATE(Übersicht!$B$4,J104,1)+MOD(M104-WEEKDAY(DATE(Übersicht!$B$4,J104,1),2),7)+7*(N104-1),NA()),IF(I104="nthWeekdayOffsetDays",IF(AND(ISNUMBER(J104),J104=INT(J104),J104&gt;=1,J104&lt;=12,ISNUMBER(M104),M104=INT(M104),M104&gt;=1,M104&lt;=7,ISNUMBER(N104),N104=INT(N104),N104&gt;=1,N104&lt;=5,MONTH(DATE(Übersicht!$B$4,J104,1)+MOD(M104-WEEKDAY(DATE(Übersicht!$B$4,J104,1),2),7)+7*(N104-1))=J104,K104="",ISNUMBER(L104),L104=INT(L104),L104&gt;=-366,L104&lt;=366),DATE(Übersicht!$B$4,J104,1)+MOD(M104-WEEKDAY(DATE(Übersicht!$B$4,J104,1),2),7)+7*(N104-1)+L104,NA()),NA())))),NA())</f>
        <v>46919</v>
      </c>
      <c r="X104" s="15">
        <f t="shared" si="1"/>
        <v>46919</v>
      </c>
      <c r="Y104" s="11" t="s">
        <v>851</v>
      </c>
      <c r="Z104" s="11" t="s">
        <v>767</v>
      </c>
      <c r="AA104" s="26" t="s">
        <v>768</v>
      </c>
    </row>
    <row r="105" spans="1:27" ht="42" customHeight="1">
      <c r="A105" s="10" t="s">
        <v>169</v>
      </c>
      <c r="B105" s="10" t="s">
        <v>157</v>
      </c>
      <c r="C105" s="10" t="s">
        <v>848</v>
      </c>
      <c r="D105" s="24" t="s">
        <v>870</v>
      </c>
      <c r="E105" s="24" t="s">
        <v>871</v>
      </c>
      <c r="F105" s="25" t="s">
        <v>872</v>
      </c>
      <c r="G105" s="25" t="s">
        <v>873</v>
      </c>
      <c r="H105" s="10" t="s">
        <v>761</v>
      </c>
      <c r="I105" s="10" t="s">
        <v>762</v>
      </c>
      <c r="J105" s="28">
        <v>6</v>
      </c>
      <c r="K105" s="28">
        <v>29</v>
      </c>
      <c r="L105" s="24"/>
      <c r="M105" s="24"/>
      <c r="N105" s="24"/>
      <c r="O105" s="29">
        <v>46023</v>
      </c>
      <c r="P105" s="29"/>
      <c r="Q105" s="24">
        <v>100</v>
      </c>
      <c r="R105" s="24" t="s">
        <v>69</v>
      </c>
      <c r="S105" s="10"/>
      <c r="T105" s="10" t="s">
        <v>764</v>
      </c>
      <c r="U105" s="10"/>
      <c r="V105" s="10" t="s">
        <v>824</v>
      </c>
      <c r="W105" s="14">
        <f>IF(AND(ISNUMBER(Übersicht!$B$4),Übersicht!$B$4=INT(Übersicht!$B$4),Übersicht!$B$4&gt;=2026,Übersicht!$B$4&lt;=2028),IF(I105="fixedMonthDay",IF(AND(ISNUMBER(J105),J105=INT(J105),J105&gt;=1,J105&lt;=12,ISNUMBER(K105),K105=INT(K105),K105&gt;=1,K105&lt;=31,MONTH(DATE(Übersicht!$B$4,J105,K105))=J105,DAY(DATE(Übersicht!$B$4,J105,K105))=K105,L105="",M105="",N105=""),DATE(Übersicht!$B$4,J105,K105),NA()),IF(I105="easterOffsetDays",IF(AND(ISNUMBER(L105),L105=INT(L105),L105&gt;=-366,L105&lt;=366,J105="",K105="",M105="",N105=""),$AD$23+L105,NA()),IF(I105="nthWeekdayOfMonth",IF(AND(ISNUMBER(J105),J105=INT(J105),J105&gt;=1,J105&lt;=12,ISNUMBER(M105),M105=INT(M105),M105&gt;=1,M105&lt;=7,ISNUMBER(N105),N105=INT(N105),N105&gt;=1,N105&lt;=5,MONTH(DATE(Übersicht!$B$4,J105,1)+MOD(M105-WEEKDAY(DATE(Übersicht!$B$4,J105,1),2),7)+7*(N105-1))=J105,K105="",L105=""),DATE(Übersicht!$B$4,J105,1)+MOD(M105-WEEKDAY(DATE(Übersicht!$B$4,J105,1),2),7)+7*(N105-1),NA()),IF(I105="nthWeekdayOffsetDays",IF(AND(ISNUMBER(J105),J105=INT(J105),J105&gt;=1,J105&lt;=12,ISNUMBER(M105),M105=INT(M105),M105&gt;=1,M105&lt;=7,ISNUMBER(N105),N105=INT(N105),N105&gt;=1,N105&lt;=5,MONTH(DATE(Übersicht!$B$4,J105,1)+MOD(M105-WEEKDAY(DATE(Übersicht!$B$4,J105,1),2),7)+7*(N105-1))=J105,K105="",ISNUMBER(L105),L105=INT(L105),L105&gt;=-366,L105&lt;=366),DATE(Übersicht!$B$4,J105,1)+MOD(M105-WEEKDAY(DATE(Übersicht!$B$4,J105,1),2),7)+7*(N105-1)+L105,NA()),NA())))),NA())</f>
        <v>46933</v>
      </c>
      <c r="X105" s="14">
        <f t="shared" si="1"/>
        <v>46933</v>
      </c>
      <c r="Y105" s="10" t="s">
        <v>851</v>
      </c>
      <c r="Z105" s="10" t="s">
        <v>767</v>
      </c>
      <c r="AA105" s="24" t="s">
        <v>768</v>
      </c>
    </row>
    <row r="106" spans="1:27" ht="42" customHeight="1">
      <c r="A106" s="11" t="s">
        <v>170</v>
      </c>
      <c r="B106" s="11" t="s">
        <v>157</v>
      </c>
      <c r="C106" s="11" t="s">
        <v>848</v>
      </c>
      <c r="D106" s="26" t="s">
        <v>759</v>
      </c>
      <c r="E106" s="26" t="s">
        <v>760</v>
      </c>
      <c r="F106" s="27" t="s">
        <v>874</v>
      </c>
      <c r="G106" s="27" t="s">
        <v>875</v>
      </c>
      <c r="H106" s="11" t="s">
        <v>761</v>
      </c>
      <c r="I106" s="11" t="s">
        <v>762</v>
      </c>
      <c r="J106" s="30">
        <v>8</v>
      </c>
      <c r="K106" s="30">
        <v>1</v>
      </c>
      <c r="L106" s="26"/>
      <c r="M106" s="26"/>
      <c r="N106" s="26"/>
      <c r="O106" s="31">
        <v>46023</v>
      </c>
      <c r="P106" s="31"/>
      <c r="Q106" s="26">
        <v>100</v>
      </c>
      <c r="R106" s="26" t="s">
        <v>69</v>
      </c>
      <c r="S106" s="11"/>
      <c r="T106" s="11" t="s">
        <v>764</v>
      </c>
      <c r="U106" s="11"/>
      <c r="V106" s="11" t="s">
        <v>824</v>
      </c>
      <c r="W106" s="15">
        <f>IF(AND(ISNUMBER(Übersicht!$B$4),Übersicht!$B$4=INT(Übersicht!$B$4),Übersicht!$B$4&gt;=2026,Übersicht!$B$4&lt;=2028),IF(I106="fixedMonthDay",IF(AND(ISNUMBER(J106),J106=INT(J106),J106&gt;=1,J106&lt;=12,ISNUMBER(K106),K106=INT(K106),K106&gt;=1,K106&lt;=31,MONTH(DATE(Übersicht!$B$4,J106,K106))=J106,DAY(DATE(Übersicht!$B$4,J106,K106))=K106,L106="",M106="",N106=""),DATE(Übersicht!$B$4,J106,K106),NA()),IF(I106="easterOffsetDays",IF(AND(ISNUMBER(L106),L106=INT(L106),L106&gt;=-366,L106&lt;=366,J106="",K106="",M106="",N106=""),$AD$23+L106,NA()),IF(I106="nthWeekdayOfMonth",IF(AND(ISNUMBER(J106),J106=INT(J106),J106&gt;=1,J106&lt;=12,ISNUMBER(M106),M106=INT(M106),M106&gt;=1,M106&lt;=7,ISNUMBER(N106),N106=INT(N106),N106&gt;=1,N106&lt;=5,MONTH(DATE(Übersicht!$B$4,J106,1)+MOD(M106-WEEKDAY(DATE(Übersicht!$B$4,J106,1),2),7)+7*(N106-1))=J106,K106="",L106=""),DATE(Übersicht!$B$4,J106,1)+MOD(M106-WEEKDAY(DATE(Übersicht!$B$4,J106,1),2),7)+7*(N106-1),NA()),IF(I106="nthWeekdayOffsetDays",IF(AND(ISNUMBER(J106),J106=INT(J106),J106&gt;=1,J106&lt;=12,ISNUMBER(M106),M106=INT(M106),M106&gt;=1,M106&lt;=7,ISNUMBER(N106),N106=INT(N106),N106&gt;=1,N106&lt;=5,MONTH(DATE(Übersicht!$B$4,J106,1)+MOD(M106-WEEKDAY(DATE(Übersicht!$B$4,J106,1),2),7)+7*(N106-1))=J106,K106="",ISNUMBER(L106),L106=INT(L106),L106&gt;=-366,L106&lt;=366),DATE(Übersicht!$B$4,J106,1)+MOD(M106-WEEKDAY(DATE(Übersicht!$B$4,J106,1),2),7)+7*(N106-1)+L106,NA()),NA())))),NA())</f>
        <v>46966</v>
      </c>
      <c r="X106" s="15">
        <f t="shared" si="1"/>
        <v>46966</v>
      </c>
      <c r="Y106" s="11" t="s">
        <v>851</v>
      </c>
      <c r="Z106" s="11" t="s">
        <v>767</v>
      </c>
      <c r="AA106" s="26" t="s">
        <v>768</v>
      </c>
    </row>
    <row r="107" spans="1:27" ht="42" customHeight="1">
      <c r="A107" s="10" t="s">
        <v>171</v>
      </c>
      <c r="B107" s="10" t="s">
        <v>157</v>
      </c>
      <c r="C107" s="10" t="s">
        <v>848</v>
      </c>
      <c r="D107" s="24" t="s">
        <v>834</v>
      </c>
      <c r="E107" s="24" t="s">
        <v>835</v>
      </c>
      <c r="F107" s="25" t="s">
        <v>876</v>
      </c>
      <c r="G107" s="25" t="s">
        <v>877</v>
      </c>
      <c r="H107" s="10" t="s">
        <v>761</v>
      </c>
      <c r="I107" s="10" t="s">
        <v>762</v>
      </c>
      <c r="J107" s="28">
        <v>8</v>
      </c>
      <c r="K107" s="28">
        <v>15</v>
      </c>
      <c r="L107" s="24"/>
      <c r="M107" s="24"/>
      <c r="N107" s="24"/>
      <c r="O107" s="29">
        <v>46023</v>
      </c>
      <c r="P107" s="29"/>
      <c r="Q107" s="24">
        <v>100</v>
      </c>
      <c r="R107" s="24" t="s">
        <v>69</v>
      </c>
      <c r="S107" s="10"/>
      <c r="T107" s="10" t="s">
        <v>764</v>
      </c>
      <c r="U107" s="10"/>
      <c r="V107" s="10" t="s">
        <v>824</v>
      </c>
      <c r="W107" s="14">
        <f>IF(AND(ISNUMBER(Übersicht!$B$4),Übersicht!$B$4=INT(Übersicht!$B$4),Übersicht!$B$4&gt;=2026,Übersicht!$B$4&lt;=2028),IF(I107="fixedMonthDay",IF(AND(ISNUMBER(J107),J107=INT(J107),J107&gt;=1,J107&lt;=12,ISNUMBER(K107),K107=INT(K107),K107&gt;=1,K107&lt;=31,MONTH(DATE(Übersicht!$B$4,J107,K107))=J107,DAY(DATE(Übersicht!$B$4,J107,K107))=K107,L107="",M107="",N107=""),DATE(Übersicht!$B$4,J107,K107),NA()),IF(I107="easterOffsetDays",IF(AND(ISNUMBER(L107),L107=INT(L107),L107&gt;=-366,L107&lt;=366,J107="",K107="",M107="",N107=""),$AD$23+L107,NA()),IF(I107="nthWeekdayOfMonth",IF(AND(ISNUMBER(J107),J107=INT(J107),J107&gt;=1,J107&lt;=12,ISNUMBER(M107),M107=INT(M107),M107&gt;=1,M107&lt;=7,ISNUMBER(N107),N107=INT(N107),N107&gt;=1,N107&lt;=5,MONTH(DATE(Übersicht!$B$4,J107,1)+MOD(M107-WEEKDAY(DATE(Übersicht!$B$4,J107,1),2),7)+7*(N107-1))=J107,K107="",L107=""),DATE(Übersicht!$B$4,J107,1)+MOD(M107-WEEKDAY(DATE(Übersicht!$B$4,J107,1),2),7)+7*(N107-1),NA()),IF(I107="nthWeekdayOffsetDays",IF(AND(ISNUMBER(J107),J107=INT(J107),J107&gt;=1,J107&lt;=12,ISNUMBER(M107),M107=INT(M107),M107&gt;=1,M107&lt;=7,ISNUMBER(N107),N107=INT(N107),N107&gt;=1,N107&lt;=5,MONTH(DATE(Übersicht!$B$4,J107,1)+MOD(M107-WEEKDAY(DATE(Übersicht!$B$4,J107,1),2),7)+7*(N107-1))=J107,K107="",ISNUMBER(L107),L107=INT(L107),L107&gt;=-366,L107&lt;=366),DATE(Übersicht!$B$4,J107,1)+MOD(M107-WEEKDAY(DATE(Übersicht!$B$4,J107,1),2),7)+7*(N107-1)+L107,NA()),NA())))),NA())</f>
        <v>46980</v>
      </c>
      <c r="X107" s="14">
        <f t="shared" si="1"/>
        <v>46980</v>
      </c>
      <c r="Y107" s="10" t="s">
        <v>851</v>
      </c>
      <c r="Z107" s="10" t="s">
        <v>767</v>
      </c>
      <c r="AA107" s="24" t="s">
        <v>768</v>
      </c>
    </row>
    <row r="108" spans="1:27" ht="42" customHeight="1">
      <c r="A108" s="11" t="s">
        <v>172</v>
      </c>
      <c r="B108" s="11" t="s">
        <v>157</v>
      </c>
      <c r="C108" s="11" t="s">
        <v>848</v>
      </c>
      <c r="D108" s="26" t="s">
        <v>821</v>
      </c>
      <c r="E108" s="26" t="s">
        <v>822</v>
      </c>
      <c r="F108" s="27" t="s">
        <v>878</v>
      </c>
      <c r="G108" s="27" t="s">
        <v>879</v>
      </c>
      <c r="H108" s="11" t="s">
        <v>761</v>
      </c>
      <c r="I108" s="11" t="s">
        <v>762</v>
      </c>
      <c r="J108" s="30">
        <v>11</v>
      </c>
      <c r="K108" s="30">
        <v>1</v>
      </c>
      <c r="L108" s="26"/>
      <c r="M108" s="26"/>
      <c r="N108" s="26"/>
      <c r="O108" s="31">
        <v>46023</v>
      </c>
      <c r="P108" s="31"/>
      <c r="Q108" s="26">
        <v>100</v>
      </c>
      <c r="R108" s="26" t="s">
        <v>69</v>
      </c>
      <c r="S108" s="11"/>
      <c r="T108" s="11" t="s">
        <v>764</v>
      </c>
      <c r="U108" s="11"/>
      <c r="V108" s="11" t="s">
        <v>824</v>
      </c>
      <c r="W108" s="15">
        <f>IF(AND(ISNUMBER(Übersicht!$B$4),Übersicht!$B$4=INT(Übersicht!$B$4),Übersicht!$B$4&gt;=2026,Übersicht!$B$4&lt;=2028),IF(I108="fixedMonthDay",IF(AND(ISNUMBER(J108),J108=INT(J108),J108&gt;=1,J108&lt;=12,ISNUMBER(K108),K108=INT(K108),K108&gt;=1,K108&lt;=31,MONTH(DATE(Übersicht!$B$4,J108,K108))=J108,DAY(DATE(Übersicht!$B$4,J108,K108))=K108,L108="",M108="",N108=""),DATE(Übersicht!$B$4,J108,K108),NA()),IF(I108="easterOffsetDays",IF(AND(ISNUMBER(L108),L108=INT(L108),L108&gt;=-366,L108&lt;=366,J108="",K108="",M108="",N108=""),$AD$23+L108,NA()),IF(I108="nthWeekdayOfMonth",IF(AND(ISNUMBER(J108),J108=INT(J108),J108&gt;=1,J108&lt;=12,ISNUMBER(M108),M108=INT(M108),M108&gt;=1,M108&lt;=7,ISNUMBER(N108),N108=INT(N108),N108&gt;=1,N108&lt;=5,MONTH(DATE(Übersicht!$B$4,J108,1)+MOD(M108-WEEKDAY(DATE(Übersicht!$B$4,J108,1),2),7)+7*(N108-1))=J108,K108="",L108=""),DATE(Übersicht!$B$4,J108,1)+MOD(M108-WEEKDAY(DATE(Übersicht!$B$4,J108,1),2),7)+7*(N108-1),NA()),IF(I108="nthWeekdayOffsetDays",IF(AND(ISNUMBER(J108),J108=INT(J108),J108&gt;=1,J108&lt;=12,ISNUMBER(M108),M108=INT(M108),M108&gt;=1,M108&lt;=7,ISNUMBER(N108),N108=INT(N108),N108&gt;=1,N108&lt;=5,MONTH(DATE(Übersicht!$B$4,J108,1)+MOD(M108-WEEKDAY(DATE(Übersicht!$B$4,J108,1),2),7)+7*(N108-1))=J108,K108="",ISNUMBER(L108),L108=INT(L108),L108&gt;=-366,L108&lt;=366),DATE(Übersicht!$B$4,J108,1)+MOD(M108-WEEKDAY(DATE(Übersicht!$B$4,J108,1),2),7)+7*(N108-1)+L108,NA()),NA())))),NA())</f>
        <v>47058</v>
      </c>
      <c r="X108" s="15">
        <f t="shared" si="1"/>
        <v>47058</v>
      </c>
      <c r="Y108" s="11" t="s">
        <v>851</v>
      </c>
      <c r="Z108" s="11" t="s">
        <v>767</v>
      </c>
      <c r="AA108" s="26" t="s">
        <v>768</v>
      </c>
    </row>
    <row r="109" spans="1:27" ht="42" customHeight="1">
      <c r="A109" s="10" t="s">
        <v>173</v>
      </c>
      <c r="B109" s="10" t="s">
        <v>157</v>
      </c>
      <c r="C109" s="10" t="s">
        <v>848</v>
      </c>
      <c r="D109" s="24" t="s">
        <v>838</v>
      </c>
      <c r="E109" s="24" t="s">
        <v>839</v>
      </c>
      <c r="F109" s="25" t="s">
        <v>880</v>
      </c>
      <c r="G109" s="25" t="s">
        <v>881</v>
      </c>
      <c r="H109" s="10" t="s">
        <v>761</v>
      </c>
      <c r="I109" s="10" t="s">
        <v>762</v>
      </c>
      <c r="J109" s="28">
        <v>12</v>
      </c>
      <c r="K109" s="28">
        <v>8</v>
      </c>
      <c r="L109" s="24"/>
      <c r="M109" s="24"/>
      <c r="N109" s="24"/>
      <c r="O109" s="29">
        <v>46023</v>
      </c>
      <c r="P109" s="29"/>
      <c r="Q109" s="24">
        <v>100</v>
      </c>
      <c r="R109" s="24" t="s">
        <v>69</v>
      </c>
      <c r="S109" s="10"/>
      <c r="T109" s="10" t="s">
        <v>764</v>
      </c>
      <c r="U109" s="10"/>
      <c r="V109" s="10" t="s">
        <v>824</v>
      </c>
      <c r="W109" s="14">
        <f>IF(AND(ISNUMBER(Übersicht!$B$4),Übersicht!$B$4=INT(Übersicht!$B$4),Übersicht!$B$4&gt;=2026,Übersicht!$B$4&lt;=2028),IF(I109="fixedMonthDay",IF(AND(ISNUMBER(J109),J109=INT(J109),J109&gt;=1,J109&lt;=12,ISNUMBER(K109),K109=INT(K109),K109&gt;=1,K109&lt;=31,MONTH(DATE(Übersicht!$B$4,J109,K109))=J109,DAY(DATE(Übersicht!$B$4,J109,K109))=K109,L109="",M109="",N109=""),DATE(Übersicht!$B$4,J109,K109),NA()),IF(I109="easterOffsetDays",IF(AND(ISNUMBER(L109),L109=INT(L109),L109&gt;=-366,L109&lt;=366,J109="",K109="",M109="",N109=""),$AD$23+L109,NA()),IF(I109="nthWeekdayOfMonth",IF(AND(ISNUMBER(J109),J109=INT(J109),J109&gt;=1,J109&lt;=12,ISNUMBER(M109),M109=INT(M109),M109&gt;=1,M109&lt;=7,ISNUMBER(N109),N109=INT(N109),N109&gt;=1,N109&lt;=5,MONTH(DATE(Übersicht!$B$4,J109,1)+MOD(M109-WEEKDAY(DATE(Übersicht!$B$4,J109,1),2),7)+7*(N109-1))=J109,K109="",L109=""),DATE(Übersicht!$B$4,J109,1)+MOD(M109-WEEKDAY(DATE(Übersicht!$B$4,J109,1),2),7)+7*(N109-1),NA()),IF(I109="nthWeekdayOffsetDays",IF(AND(ISNUMBER(J109),J109=INT(J109),J109&gt;=1,J109&lt;=12,ISNUMBER(M109),M109=INT(M109),M109&gt;=1,M109&lt;=7,ISNUMBER(N109),N109=INT(N109),N109&gt;=1,N109&lt;=5,MONTH(DATE(Übersicht!$B$4,J109,1)+MOD(M109-WEEKDAY(DATE(Übersicht!$B$4,J109,1),2),7)+7*(N109-1))=J109,K109="",ISNUMBER(L109),L109=INT(L109),L109&gt;=-366,L109&lt;=366),DATE(Übersicht!$B$4,J109,1)+MOD(M109-WEEKDAY(DATE(Übersicht!$B$4,J109,1),2),7)+7*(N109-1)+L109,NA()),NA())))),NA())</f>
        <v>47095</v>
      </c>
      <c r="X109" s="14">
        <f t="shared" si="1"/>
        <v>47095</v>
      </c>
      <c r="Y109" s="10" t="s">
        <v>851</v>
      </c>
      <c r="Z109" s="10" t="s">
        <v>767</v>
      </c>
      <c r="AA109" s="24" t="s">
        <v>768</v>
      </c>
    </row>
    <row r="110" spans="1:27" ht="42" customHeight="1">
      <c r="A110" s="11" t="s">
        <v>174</v>
      </c>
      <c r="B110" s="11" t="s">
        <v>157</v>
      </c>
      <c r="C110" s="11" t="s">
        <v>848</v>
      </c>
      <c r="D110" s="26" t="s">
        <v>803</v>
      </c>
      <c r="E110" s="26" t="s">
        <v>804</v>
      </c>
      <c r="F110" s="27" t="s">
        <v>882</v>
      </c>
      <c r="G110" s="27" t="s">
        <v>883</v>
      </c>
      <c r="H110" s="11" t="s">
        <v>761</v>
      </c>
      <c r="I110" s="11" t="s">
        <v>762</v>
      </c>
      <c r="J110" s="30">
        <v>12</v>
      </c>
      <c r="K110" s="30">
        <v>25</v>
      </c>
      <c r="L110" s="26"/>
      <c r="M110" s="26"/>
      <c r="N110" s="26"/>
      <c r="O110" s="31">
        <v>46023</v>
      </c>
      <c r="P110" s="31"/>
      <c r="Q110" s="26">
        <v>100</v>
      </c>
      <c r="R110" s="26" t="s">
        <v>69</v>
      </c>
      <c r="S110" s="11"/>
      <c r="T110" s="11" t="s">
        <v>764</v>
      </c>
      <c r="U110" s="11"/>
      <c r="V110" s="11" t="s">
        <v>824</v>
      </c>
      <c r="W110" s="15">
        <f>IF(AND(ISNUMBER(Übersicht!$B$4),Übersicht!$B$4=INT(Übersicht!$B$4),Übersicht!$B$4&gt;=2026,Übersicht!$B$4&lt;=2028),IF(I110="fixedMonthDay",IF(AND(ISNUMBER(J110),J110=INT(J110),J110&gt;=1,J110&lt;=12,ISNUMBER(K110),K110=INT(K110),K110&gt;=1,K110&lt;=31,MONTH(DATE(Übersicht!$B$4,J110,K110))=J110,DAY(DATE(Übersicht!$B$4,J110,K110))=K110,L110="",M110="",N110=""),DATE(Übersicht!$B$4,J110,K110),NA()),IF(I110="easterOffsetDays",IF(AND(ISNUMBER(L110),L110=INT(L110),L110&gt;=-366,L110&lt;=366,J110="",K110="",M110="",N110=""),$AD$23+L110,NA()),IF(I110="nthWeekdayOfMonth",IF(AND(ISNUMBER(J110),J110=INT(J110),J110&gt;=1,J110&lt;=12,ISNUMBER(M110),M110=INT(M110),M110&gt;=1,M110&lt;=7,ISNUMBER(N110),N110=INT(N110),N110&gt;=1,N110&lt;=5,MONTH(DATE(Übersicht!$B$4,J110,1)+MOD(M110-WEEKDAY(DATE(Übersicht!$B$4,J110,1),2),7)+7*(N110-1))=J110,K110="",L110=""),DATE(Übersicht!$B$4,J110,1)+MOD(M110-WEEKDAY(DATE(Übersicht!$B$4,J110,1),2),7)+7*(N110-1),NA()),IF(I110="nthWeekdayOffsetDays",IF(AND(ISNUMBER(J110),J110=INT(J110),J110&gt;=1,J110&lt;=12,ISNUMBER(M110),M110=INT(M110),M110&gt;=1,M110&lt;=7,ISNUMBER(N110),N110=INT(N110),N110&gt;=1,N110&lt;=5,MONTH(DATE(Übersicht!$B$4,J110,1)+MOD(M110-WEEKDAY(DATE(Übersicht!$B$4,J110,1),2),7)+7*(N110-1))=J110,K110="",ISNUMBER(L110),L110=INT(L110),L110&gt;=-366,L110&lt;=366),DATE(Übersicht!$B$4,J110,1)+MOD(M110-WEEKDAY(DATE(Übersicht!$B$4,J110,1),2),7)+7*(N110-1)+L110,NA()),NA())))),NA())</f>
        <v>47112</v>
      </c>
      <c r="X110" s="15">
        <f t="shared" si="1"/>
        <v>47112</v>
      </c>
      <c r="Y110" s="11" t="s">
        <v>851</v>
      </c>
      <c r="Z110" s="11" t="s">
        <v>767</v>
      </c>
      <c r="AA110" s="26" t="s">
        <v>768</v>
      </c>
    </row>
    <row r="111" spans="1:27" ht="42" customHeight="1">
      <c r="A111" s="10" t="s">
        <v>175</v>
      </c>
      <c r="B111" s="10" t="s">
        <v>157</v>
      </c>
      <c r="C111" s="10" t="s">
        <v>848</v>
      </c>
      <c r="D111" s="24" t="s">
        <v>806</v>
      </c>
      <c r="E111" s="24" t="s">
        <v>807</v>
      </c>
      <c r="F111" s="25" t="s">
        <v>884</v>
      </c>
      <c r="G111" s="25" t="s">
        <v>885</v>
      </c>
      <c r="H111" s="10" t="s">
        <v>761</v>
      </c>
      <c r="I111" s="10" t="s">
        <v>762</v>
      </c>
      <c r="J111" s="28">
        <v>12</v>
      </c>
      <c r="K111" s="28">
        <v>26</v>
      </c>
      <c r="L111" s="24"/>
      <c r="M111" s="24"/>
      <c r="N111" s="24"/>
      <c r="O111" s="29">
        <v>46023</v>
      </c>
      <c r="P111" s="29"/>
      <c r="Q111" s="24">
        <v>100</v>
      </c>
      <c r="R111" s="24" t="s">
        <v>69</v>
      </c>
      <c r="S111" s="10"/>
      <c r="T111" s="10" t="s">
        <v>764</v>
      </c>
      <c r="U111" s="10"/>
      <c r="V111" s="10" t="s">
        <v>824</v>
      </c>
      <c r="W111" s="14">
        <f>IF(AND(ISNUMBER(Übersicht!$B$4),Übersicht!$B$4=INT(Übersicht!$B$4),Übersicht!$B$4&gt;=2026,Übersicht!$B$4&lt;=2028),IF(I111="fixedMonthDay",IF(AND(ISNUMBER(J111),J111=INT(J111),J111&gt;=1,J111&lt;=12,ISNUMBER(K111),K111=INT(K111),K111&gt;=1,K111&lt;=31,MONTH(DATE(Übersicht!$B$4,J111,K111))=J111,DAY(DATE(Übersicht!$B$4,J111,K111))=K111,L111="",M111="",N111=""),DATE(Übersicht!$B$4,J111,K111),NA()),IF(I111="easterOffsetDays",IF(AND(ISNUMBER(L111),L111=INT(L111),L111&gt;=-366,L111&lt;=366,J111="",K111="",M111="",N111=""),$AD$23+L111,NA()),IF(I111="nthWeekdayOfMonth",IF(AND(ISNUMBER(J111),J111=INT(J111),J111&gt;=1,J111&lt;=12,ISNUMBER(M111),M111=INT(M111),M111&gt;=1,M111&lt;=7,ISNUMBER(N111),N111=INT(N111),N111&gt;=1,N111&lt;=5,MONTH(DATE(Übersicht!$B$4,J111,1)+MOD(M111-WEEKDAY(DATE(Übersicht!$B$4,J111,1),2),7)+7*(N111-1))=J111,K111="",L111=""),DATE(Übersicht!$B$4,J111,1)+MOD(M111-WEEKDAY(DATE(Übersicht!$B$4,J111,1),2),7)+7*(N111-1),NA()),IF(I111="nthWeekdayOffsetDays",IF(AND(ISNUMBER(J111),J111=INT(J111),J111&gt;=1,J111&lt;=12,ISNUMBER(M111),M111=INT(M111),M111&gt;=1,M111&lt;=7,ISNUMBER(N111),N111=INT(N111),N111&gt;=1,N111&lt;=5,MONTH(DATE(Übersicht!$B$4,J111,1)+MOD(M111-WEEKDAY(DATE(Übersicht!$B$4,J111,1),2),7)+7*(N111-1))=J111,K111="",ISNUMBER(L111),L111=INT(L111),L111&gt;=-366,L111&lt;=366),DATE(Übersicht!$B$4,J111,1)+MOD(M111-WEEKDAY(DATE(Übersicht!$B$4,J111,1),2),7)+7*(N111-1)+L111,NA()),NA())))),NA())</f>
        <v>47113</v>
      </c>
      <c r="X111" s="14">
        <f t="shared" si="1"/>
        <v>47113</v>
      </c>
      <c r="Y111" s="10" t="s">
        <v>851</v>
      </c>
      <c r="Z111" s="10" t="s">
        <v>767</v>
      </c>
      <c r="AA111" s="24" t="s">
        <v>768</v>
      </c>
    </row>
    <row r="112" spans="1:27" ht="42" customHeight="1">
      <c r="A112" s="11" t="s">
        <v>178</v>
      </c>
      <c r="B112" s="11" t="s">
        <v>176</v>
      </c>
      <c r="C112" s="11" t="s">
        <v>886</v>
      </c>
      <c r="D112" s="26" t="s">
        <v>771</v>
      </c>
      <c r="E112" s="26" t="s">
        <v>772</v>
      </c>
      <c r="F112" s="27" t="s">
        <v>887</v>
      </c>
      <c r="G112" s="27" t="s">
        <v>850</v>
      </c>
      <c r="H112" s="11" t="s">
        <v>761</v>
      </c>
      <c r="I112" s="11" t="s">
        <v>762</v>
      </c>
      <c r="J112" s="30">
        <v>1</v>
      </c>
      <c r="K112" s="30">
        <v>1</v>
      </c>
      <c r="L112" s="26"/>
      <c r="M112" s="26"/>
      <c r="N112" s="26"/>
      <c r="O112" s="31">
        <v>46023</v>
      </c>
      <c r="P112" s="31"/>
      <c r="Q112" s="26">
        <v>100</v>
      </c>
      <c r="R112" s="26" t="s">
        <v>69</v>
      </c>
      <c r="S112" s="11"/>
      <c r="T112" s="11" t="s">
        <v>764</v>
      </c>
      <c r="U112" s="11"/>
      <c r="V112" s="11" t="s">
        <v>824</v>
      </c>
      <c r="W112" s="15">
        <f>IF(AND(ISNUMBER(Übersicht!$B$4),Übersicht!$B$4=INT(Übersicht!$B$4),Übersicht!$B$4&gt;=2026,Übersicht!$B$4&lt;=2028),IF(I112="fixedMonthDay",IF(AND(ISNUMBER(J112),J112=INT(J112),J112&gt;=1,J112&lt;=12,ISNUMBER(K112),K112=INT(K112),K112&gt;=1,K112&lt;=31,MONTH(DATE(Übersicht!$B$4,J112,K112))=J112,DAY(DATE(Übersicht!$B$4,J112,K112))=K112,L112="",M112="",N112=""),DATE(Übersicht!$B$4,J112,K112),NA()),IF(I112="easterOffsetDays",IF(AND(ISNUMBER(L112),L112=INT(L112),L112&gt;=-366,L112&lt;=366,J112="",K112="",M112="",N112=""),$AD$23+L112,NA()),IF(I112="nthWeekdayOfMonth",IF(AND(ISNUMBER(J112),J112=INT(J112),J112&gt;=1,J112&lt;=12,ISNUMBER(M112),M112=INT(M112),M112&gt;=1,M112&lt;=7,ISNUMBER(N112),N112=INT(N112),N112&gt;=1,N112&lt;=5,MONTH(DATE(Übersicht!$B$4,J112,1)+MOD(M112-WEEKDAY(DATE(Übersicht!$B$4,J112,1),2),7)+7*(N112-1))=J112,K112="",L112=""),DATE(Übersicht!$B$4,J112,1)+MOD(M112-WEEKDAY(DATE(Übersicht!$B$4,J112,1),2),7)+7*(N112-1),NA()),IF(I112="nthWeekdayOffsetDays",IF(AND(ISNUMBER(J112),J112=INT(J112),J112&gt;=1,J112&lt;=12,ISNUMBER(M112),M112=INT(M112),M112&gt;=1,M112&lt;=7,ISNUMBER(N112),N112=INT(N112),N112&gt;=1,N112&lt;=5,MONTH(DATE(Übersicht!$B$4,J112,1)+MOD(M112-WEEKDAY(DATE(Übersicht!$B$4,J112,1),2),7)+7*(N112-1))=J112,K112="",ISNUMBER(L112),L112=INT(L112),L112&gt;=-366,L112&lt;=366),DATE(Übersicht!$B$4,J112,1)+MOD(M112-WEEKDAY(DATE(Übersicht!$B$4,J112,1),2),7)+7*(N112-1)+L112,NA()),NA())))),NA())</f>
        <v>46753</v>
      </c>
      <c r="X112" s="15">
        <f t="shared" si="1"/>
        <v>46753</v>
      </c>
      <c r="Y112" s="11" t="s">
        <v>888</v>
      </c>
      <c r="Z112" s="11" t="s">
        <v>782</v>
      </c>
      <c r="AA112" s="26" t="s">
        <v>768</v>
      </c>
    </row>
    <row r="113" spans="1:27" ht="42" customHeight="1">
      <c r="A113" s="10" t="s">
        <v>180</v>
      </c>
      <c r="B113" s="10" t="s">
        <v>176</v>
      </c>
      <c r="C113" s="10" t="s">
        <v>886</v>
      </c>
      <c r="D113" s="24" t="s">
        <v>779</v>
      </c>
      <c r="E113" s="24" t="s">
        <v>780</v>
      </c>
      <c r="F113" s="25" t="s">
        <v>889</v>
      </c>
      <c r="G113" s="25" t="s">
        <v>890</v>
      </c>
      <c r="H113" s="10" t="s">
        <v>761</v>
      </c>
      <c r="I113" s="10" t="s">
        <v>781</v>
      </c>
      <c r="J113" s="28"/>
      <c r="K113" s="28"/>
      <c r="L113" s="24">
        <v>-2</v>
      </c>
      <c r="M113" s="24"/>
      <c r="N113" s="24"/>
      <c r="O113" s="29">
        <v>46023</v>
      </c>
      <c r="P113" s="29"/>
      <c r="Q113" s="24">
        <v>100</v>
      </c>
      <c r="R113" s="24" t="s">
        <v>69</v>
      </c>
      <c r="S113" s="10"/>
      <c r="T113" s="10" t="s">
        <v>764</v>
      </c>
      <c r="U113" s="10"/>
      <c r="V113" s="10" t="s">
        <v>824</v>
      </c>
      <c r="W113" s="14">
        <f>IF(AND(ISNUMBER(Übersicht!$B$4),Übersicht!$B$4=INT(Übersicht!$B$4),Übersicht!$B$4&gt;=2026,Übersicht!$B$4&lt;=2028),IF(I113="fixedMonthDay",IF(AND(ISNUMBER(J113),J113=INT(J113),J113&gt;=1,J113&lt;=12,ISNUMBER(K113),K113=INT(K113),K113&gt;=1,K113&lt;=31,MONTH(DATE(Übersicht!$B$4,J113,K113))=J113,DAY(DATE(Übersicht!$B$4,J113,K113))=K113,L113="",M113="",N113=""),DATE(Übersicht!$B$4,J113,K113),NA()),IF(I113="easterOffsetDays",IF(AND(ISNUMBER(L113),L113=INT(L113),L113&gt;=-366,L113&lt;=366,J113="",K113="",M113="",N113=""),$AD$23+L113,NA()),IF(I113="nthWeekdayOfMonth",IF(AND(ISNUMBER(J113),J113=INT(J113),J113&gt;=1,J113&lt;=12,ISNUMBER(M113),M113=INT(M113),M113&gt;=1,M113&lt;=7,ISNUMBER(N113),N113=INT(N113),N113&gt;=1,N113&lt;=5,MONTH(DATE(Übersicht!$B$4,J113,1)+MOD(M113-WEEKDAY(DATE(Übersicht!$B$4,J113,1),2),7)+7*(N113-1))=J113,K113="",L113=""),DATE(Übersicht!$B$4,J113,1)+MOD(M113-WEEKDAY(DATE(Übersicht!$B$4,J113,1),2),7)+7*(N113-1),NA()),IF(I113="nthWeekdayOffsetDays",IF(AND(ISNUMBER(J113),J113=INT(J113),J113&gt;=1,J113&lt;=12,ISNUMBER(M113),M113=INT(M113),M113&gt;=1,M113&lt;=7,ISNUMBER(N113),N113=INT(N113),N113&gt;=1,N113&lt;=5,MONTH(DATE(Übersicht!$B$4,J113,1)+MOD(M113-WEEKDAY(DATE(Übersicht!$B$4,J113,1),2),7)+7*(N113-1))=J113,K113="",ISNUMBER(L113),L113=INT(L113),L113&gt;=-366,L113&lt;=366),DATE(Übersicht!$B$4,J113,1)+MOD(M113-WEEKDAY(DATE(Übersicht!$B$4,J113,1),2),7)+7*(N113-1)+L113,NA()),NA())))),NA())</f>
        <v>46857</v>
      </c>
      <c r="X113" s="14">
        <f t="shared" si="1"/>
        <v>46857</v>
      </c>
      <c r="Y113" s="10" t="s">
        <v>888</v>
      </c>
      <c r="Z113" s="10" t="s">
        <v>891</v>
      </c>
      <c r="AA113" s="24" t="s">
        <v>768</v>
      </c>
    </row>
    <row r="114" spans="1:27" ht="42" customHeight="1">
      <c r="A114" s="11" t="s">
        <v>181</v>
      </c>
      <c r="B114" s="11" t="s">
        <v>176</v>
      </c>
      <c r="C114" s="11" t="s">
        <v>886</v>
      </c>
      <c r="D114" s="26" t="s">
        <v>831</v>
      </c>
      <c r="E114" s="26" t="s">
        <v>785</v>
      </c>
      <c r="F114" s="27" t="s">
        <v>892</v>
      </c>
      <c r="G114" s="27" t="s">
        <v>893</v>
      </c>
      <c r="H114" s="11" t="s">
        <v>761</v>
      </c>
      <c r="I114" s="11" t="s">
        <v>781</v>
      </c>
      <c r="J114" s="30"/>
      <c r="K114" s="30"/>
      <c r="L114" s="26">
        <v>0</v>
      </c>
      <c r="M114" s="26"/>
      <c r="N114" s="26"/>
      <c r="O114" s="31">
        <v>46023</v>
      </c>
      <c r="P114" s="31"/>
      <c r="Q114" s="26">
        <v>100</v>
      </c>
      <c r="R114" s="26" t="s">
        <v>69</v>
      </c>
      <c r="S114" s="11"/>
      <c r="T114" s="11" t="s">
        <v>764</v>
      </c>
      <c r="U114" s="11"/>
      <c r="V114" s="11" t="s">
        <v>824</v>
      </c>
      <c r="W114" s="15">
        <f>IF(AND(ISNUMBER(Übersicht!$B$4),Übersicht!$B$4=INT(Übersicht!$B$4),Übersicht!$B$4&gt;=2026,Übersicht!$B$4&lt;=2028),IF(I114="fixedMonthDay",IF(AND(ISNUMBER(J114),J114=INT(J114),J114&gt;=1,J114&lt;=12,ISNUMBER(K114),K114=INT(K114),K114&gt;=1,K114&lt;=31,MONTH(DATE(Übersicht!$B$4,J114,K114))=J114,DAY(DATE(Übersicht!$B$4,J114,K114))=K114,L114="",M114="",N114=""),DATE(Übersicht!$B$4,J114,K114),NA()),IF(I114="easterOffsetDays",IF(AND(ISNUMBER(L114),L114=INT(L114),L114&gt;=-366,L114&lt;=366,J114="",K114="",M114="",N114=""),$AD$23+L114,NA()),IF(I114="nthWeekdayOfMonth",IF(AND(ISNUMBER(J114),J114=INT(J114),J114&gt;=1,J114&lt;=12,ISNUMBER(M114),M114=INT(M114),M114&gt;=1,M114&lt;=7,ISNUMBER(N114),N114=INT(N114),N114&gt;=1,N114&lt;=5,MONTH(DATE(Übersicht!$B$4,J114,1)+MOD(M114-WEEKDAY(DATE(Übersicht!$B$4,J114,1),2),7)+7*(N114-1))=J114,K114="",L114=""),DATE(Übersicht!$B$4,J114,1)+MOD(M114-WEEKDAY(DATE(Übersicht!$B$4,J114,1),2),7)+7*(N114-1),NA()),IF(I114="nthWeekdayOffsetDays",IF(AND(ISNUMBER(J114),J114=INT(J114),J114&gt;=1,J114&lt;=12,ISNUMBER(M114),M114=INT(M114),M114&gt;=1,M114&lt;=7,ISNUMBER(N114),N114=INT(N114),N114&gt;=1,N114&lt;=5,MONTH(DATE(Übersicht!$B$4,J114,1)+MOD(M114-WEEKDAY(DATE(Übersicht!$B$4,J114,1),2),7)+7*(N114-1))=J114,K114="",ISNUMBER(L114),L114=INT(L114),L114&gt;=-366,L114&lt;=366),DATE(Übersicht!$B$4,J114,1)+MOD(M114-WEEKDAY(DATE(Übersicht!$B$4,J114,1),2),7)+7*(N114-1)+L114,NA()),NA())))),NA())</f>
        <v>46859</v>
      </c>
      <c r="X114" s="15">
        <f t="shared" si="1"/>
        <v>46859</v>
      </c>
      <c r="Y114" s="11" t="s">
        <v>888</v>
      </c>
      <c r="Z114" s="11" t="s">
        <v>894</v>
      </c>
      <c r="AA114" s="26" t="s">
        <v>768</v>
      </c>
    </row>
    <row r="115" spans="1:27" ht="42" customHeight="1">
      <c r="A115" s="10" t="s">
        <v>182</v>
      </c>
      <c r="B115" s="10" t="s">
        <v>176</v>
      </c>
      <c r="C115" s="10" t="s">
        <v>886</v>
      </c>
      <c r="D115" s="24" t="s">
        <v>787</v>
      </c>
      <c r="E115" s="24" t="s">
        <v>788</v>
      </c>
      <c r="F115" s="25" t="s">
        <v>860</v>
      </c>
      <c r="G115" s="25" t="s">
        <v>861</v>
      </c>
      <c r="H115" s="10" t="s">
        <v>761</v>
      </c>
      <c r="I115" s="10" t="s">
        <v>781</v>
      </c>
      <c r="J115" s="28"/>
      <c r="K115" s="28"/>
      <c r="L115" s="24">
        <v>1</v>
      </c>
      <c r="M115" s="24"/>
      <c r="N115" s="24"/>
      <c r="O115" s="29">
        <v>46023</v>
      </c>
      <c r="P115" s="29"/>
      <c r="Q115" s="24">
        <v>100</v>
      </c>
      <c r="R115" s="24" t="s">
        <v>69</v>
      </c>
      <c r="S115" s="10"/>
      <c r="T115" s="10" t="s">
        <v>764</v>
      </c>
      <c r="U115" s="10"/>
      <c r="V115" s="10" t="s">
        <v>824</v>
      </c>
      <c r="W115" s="14">
        <f>IF(AND(ISNUMBER(Übersicht!$B$4),Übersicht!$B$4=INT(Übersicht!$B$4),Übersicht!$B$4&gt;=2026,Übersicht!$B$4&lt;=2028),IF(I115="fixedMonthDay",IF(AND(ISNUMBER(J115),J115=INT(J115),J115&gt;=1,J115&lt;=12,ISNUMBER(K115),K115=INT(K115),K115&gt;=1,K115&lt;=31,MONTH(DATE(Übersicht!$B$4,J115,K115))=J115,DAY(DATE(Übersicht!$B$4,J115,K115))=K115,L115="",M115="",N115=""),DATE(Übersicht!$B$4,J115,K115),NA()),IF(I115="easterOffsetDays",IF(AND(ISNUMBER(L115),L115=INT(L115),L115&gt;=-366,L115&lt;=366,J115="",K115="",M115="",N115=""),$AD$23+L115,NA()),IF(I115="nthWeekdayOfMonth",IF(AND(ISNUMBER(J115),J115=INT(J115),J115&gt;=1,J115&lt;=12,ISNUMBER(M115),M115=INT(M115),M115&gt;=1,M115&lt;=7,ISNUMBER(N115),N115=INT(N115),N115&gt;=1,N115&lt;=5,MONTH(DATE(Übersicht!$B$4,J115,1)+MOD(M115-WEEKDAY(DATE(Übersicht!$B$4,J115,1),2),7)+7*(N115-1))=J115,K115="",L115=""),DATE(Übersicht!$B$4,J115,1)+MOD(M115-WEEKDAY(DATE(Übersicht!$B$4,J115,1),2),7)+7*(N115-1),NA()),IF(I115="nthWeekdayOffsetDays",IF(AND(ISNUMBER(J115),J115=INT(J115),J115&gt;=1,J115&lt;=12,ISNUMBER(M115),M115=INT(M115),M115&gt;=1,M115&lt;=7,ISNUMBER(N115),N115=INT(N115),N115&gt;=1,N115&lt;=5,MONTH(DATE(Übersicht!$B$4,J115,1)+MOD(M115-WEEKDAY(DATE(Übersicht!$B$4,J115,1),2),7)+7*(N115-1))=J115,K115="",ISNUMBER(L115),L115=INT(L115),L115&gt;=-366,L115&lt;=366),DATE(Übersicht!$B$4,J115,1)+MOD(M115-WEEKDAY(DATE(Übersicht!$B$4,J115,1),2),7)+7*(N115-1)+L115,NA()),NA())))),NA())</f>
        <v>46860</v>
      </c>
      <c r="X115" s="14">
        <f t="shared" si="1"/>
        <v>46860</v>
      </c>
      <c r="Y115" s="10" t="s">
        <v>888</v>
      </c>
      <c r="Z115" s="10" t="s">
        <v>782</v>
      </c>
      <c r="AA115" s="24" t="s">
        <v>768</v>
      </c>
    </row>
    <row r="116" spans="1:27" ht="42" customHeight="1">
      <c r="A116" s="11" t="s">
        <v>183</v>
      </c>
      <c r="B116" s="11" t="s">
        <v>176</v>
      </c>
      <c r="C116" s="11" t="s">
        <v>886</v>
      </c>
      <c r="D116" s="26" t="s">
        <v>790</v>
      </c>
      <c r="E116" s="26" t="s">
        <v>791</v>
      </c>
      <c r="F116" s="27" t="s">
        <v>864</v>
      </c>
      <c r="G116" s="27" t="s">
        <v>865</v>
      </c>
      <c r="H116" s="11" t="s">
        <v>761</v>
      </c>
      <c r="I116" s="11" t="s">
        <v>781</v>
      </c>
      <c r="J116" s="30"/>
      <c r="K116" s="30"/>
      <c r="L116" s="26">
        <v>39</v>
      </c>
      <c r="M116" s="26"/>
      <c r="N116" s="26"/>
      <c r="O116" s="31">
        <v>46023</v>
      </c>
      <c r="P116" s="31"/>
      <c r="Q116" s="26">
        <v>100</v>
      </c>
      <c r="R116" s="26" t="s">
        <v>69</v>
      </c>
      <c r="S116" s="11"/>
      <c r="T116" s="11" t="s">
        <v>764</v>
      </c>
      <c r="U116" s="11"/>
      <c r="V116" s="11" t="s">
        <v>824</v>
      </c>
      <c r="W116" s="15">
        <f>IF(AND(ISNUMBER(Übersicht!$B$4),Übersicht!$B$4=INT(Übersicht!$B$4),Übersicht!$B$4&gt;=2026,Übersicht!$B$4&lt;=2028),IF(I116="fixedMonthDay",IF(AND(ISNUMBER(J116),J116=INT(J116),J116&gt;=1,J116&lt;=12,ISNUMBER(K116),K116=INT(K116),K116&gt;=1,K116&lt;=31,MONTH(DATE(Übersicht!$B$4,J116,K116))=J116,DAY(DATE(Übersicht!$B$4,J116,K116))=K116,L116="",M116="",N116=""),DATE(Übersicht!$B$4,J116,K116),NA()),IF(I116="easterOffsetDays",IF(AND(ISNUMBER(L116),L116=INT(L116),L116&gt;=-366,L116&lt;=366,J116="",K116="",M116="",N116=""),$AD$23+L116,NA()),IF(I116="nthWeekdayOfMonth",IF(AND(ISNUMBER(J116),J116=INT(J116),J116&gt;=1,J116&lt;=12,ISNUMBER(M116),M116=INT(M116),M116&gt;=1,M116&lt;=7,ISNUMBER(N116),N116=INT(N116),N116&gt;=1,N116&lt;=5,MONTH(DATE(Übersicht!$B$4,J116,1)+MOD(M116-WEEKDAY(DATE(Übersicht!$B$4,J116,1),2),7)+7*(N116-1))=J116,K116="",L116=""),DATE(Übersicht!$B$4,J116,1)+MOD(M116-WEEKDAY(DATE(Übersicht!$B$4,J116,1),2),7)+7*(N116-1),NA()),IF(I116="nthWeekdayOffsetDays",IF(AND(ISNUMBER(J116),J116=INT(J116),J116&gt;=1,J116&lt;=12,ISNUMBER(M116),M116=INT(M116),M116&gt;=1,M116&lt;=7,ISNUMBER(N116),N116=INT(N116),N116&gt;=1,N116&lt;=5,MONTH(DATE(Übersicht!$B$4,J116,1)+MOD(M116-WEEKDAY(DATE(Übersicht!$B$4,J116,1),2),7)+7*(N116-1))=J116,K116="",ISNUMBER(L116),L116=INT(L116),L116&gt;=-366,L116&lt;=366),DATE(Übersicht!$B$4,J116,1)+MOD(M116-WEEKDAY(DATE(Übersicht!$B$4,J116,1),2),7)+7*(N116-1)+L116,NA()),NA())))),NA())</f>
        <v>46898</v>
      </c>
      <c r="X116" s="15">
        <f t="shared" si="1"/>
        <v>46898</v>
      </c>
      <c r="Y116" s="11" t="s">
        <v>888</v>
      </c>
      <c r="Z116" s="11" t="s">
        <v>782</v>
      </c>
      <c r="AA116" s="26" t="s">
        <v>768</v>
      </c>
    </row>
    <row r="117" spans="1:27" ht="42" customHeight="1">
      <c r="A117" s="10" t="s">
        <v>184</v>
      </c>
      <c r="B117" s="10" t="s">
        <v>176</v>
      </c>
      <c r="C117" s="10" t="s">
        <v>886</v>
      </c>
      <c r="D117" s="24" t="s">
        <v>895</v>
      </c>
      <c r="E117" s="24" t="s">
        <v>794</v>
      </c>
      <c r="F117" s="25" t="s">
        <v>896</v>
      </c>
      <c r="G117" s="25" t="s">
        <v>897</v>
      </c>
      <c r="H117" s="10" t="s">
        <v>761</v>
      </c>
      <c r="I117" s="10" t="s">
        <v>781</v>
      </c>
      <c r="J117" s="28"/>
      <c r="K117" s="28"/>
      <c r="L117" s="24">
        <v>49</v>
      </c>
      <c r="M117" s="24"/>
      <c r="N117" s="24"/>
      <c r="O117" s="29">
        <v>46023</v>
      </c>
      <c r="P117" s="29"/>
      <c r="Q117" s="24">
        <v>100</v>
      </c>
      <c r="R117" s="24" t="s">
        <v>69</v>
      </c>
      <c r="S117" s="10"/>
      <c r="T117" s="10" t="s">
        <v>764</v>
      </c>
      <c r="U117" s="10"/>
      <c r="V117" s="10" t="s">
        <v>824</v>
      </c>
      <c r="W117" s="14">
        <f>IF(AND(ISNUMBER(Übersicht!$B$4),Übersicht!$B$4=INT(Übersicht!$B$4),Übersicht!$B$4&gt;=2026,Übersicht!$B$4&lt;=2028),IF(I117="fixedMonthDay",IF(AND(ISNUMBER(J117),J117=INT(J117),J117&gt;=1,J117&lt;=12,ISNUMBER(K117),K117=INT(K117),K117&gt;=1,K117&lt;=31,MONTH(DATE(Übersicht!$B$4,J117,K117))=J117,DAY(DATE(Übersicht!$B$4,J117,K117))=K117,L117="",M117="",N117=""),DATE(Übersicht!$B$4,J117,K117),NA()),IF(I117="easterOffsetDays",IF(AND(ISNUMBER(L117),L117=INT(L117),L117&gt;=-366,L117&lt;=366,J117="",K117="",M117="",N117=""),$AD$23+L117,NA()),IF(I117="nthWeekdayOfMonth",IF(AND(ISNUMBER(J117),J117=INT(J117),J117&gt;=1,J117&lt;=12,ISNUMBER(M117),M117=INT(M117),M117&gt;=1,M117&lt;=7,ISNUMBER(N117),N117=INT(N117),N117&gt;=1,N117&lt;=5,MONTH(DATE(Übersicht!$B$4,J117,1)+MOD(M117-WEEKDAY(DATE(Übersicht!$B$4,J117,1),2),7)+7*(N117-1))=J117,K117="",L117=""),DATE(Übersicht!$B$4,J117,1)+MOD(M117-WEEKDAY(DATE(Übersicht!$B$4,J117,1),2),7)+7*(N117-1),NA()),IF(I117="nthWeekdayOffsetDays",IF(AND(ISNUMBER(J117),J117=INT(J117),J117&gt;=1,J117&lt;=12,ISNUMBER(M117),M117=INT(M117),M117&gt;=1,M117&lt;=7,ISNUMBER(N117),N117=INT(N117),N117&gt;=1,N117&lt;=5,MONTH(DATE(Übersicht!$B$4,J117,1)+MOD(M117-WEEKDAY(DATE(Übersicht!$B$4,J117,1),2),7)+7*(N117-1))=J117,K117="",ISNUMBER(L117),L117=INT(L117),L117&gt;=-366,L117&lt;=366),DATE(Übersicht!$B$4,J117,1)+MOD(M117-WEEKDAY(DATE(Übersicht!$B$4,J117,1),2),7)+7*(N117-1)+L117,NA()),NA())))),NA())</f>
        <v>46908</v>
      </c>
      <c r="X117" s="14">
        <f t="shared" si="1"/>
        <v>46908</v>
      </c>
      <c r="Y117" s="10" t="s">
        <v>888</v>
      </c>
      <c r="Z117" s="10" t="s">
        <v>894</v>
      </c>
      <c r="AA117" s="24" t="s">
        <v>768</v>
      </c>
    </row>
    <row r="118" spans="1:27" ht="42" customHeight="1">
      <c r="A118" s="11" t="s">
        <v>185</v>
      </c>
      <c r="B118" s="11" t="s">
        <v>176</v>
      </c>
      <c r="C118" s="11" t="s">
        <v>886</v>
      </c>
      <c r="D118" s="26" t="s">
        <v>796</v>
      </c>
      <c r="E118" s="26" t="s">
        <v>797</v>
      </c>
      <c r="F118" s="27" t="s">
        <v>866</v>
      </c>
      <c r="G118" s="27" t="s">
        <v>867</v>
      </c>
      <c r="H118" s="11" t="s">
        <v>761</v>
      </c>
      <c r="I118" s="11" t="s">
        <v>781</v>
      </c>
      <c r="J118" s="30"/>
      <c r="K118" s="30"/>
      <c r="L118" s="26">
        <v>50</v>
      </c>
      <c r="M118" s="26"/>
      <c r="N118" s="26"/>
      <c r="O118" s="31">
        <v>46023</v>
      </c>
      <c r="P118" s="31"/>
      <c r="Q118" s="26">
        <v>100</v>
      </c>
      <c r="R118" s="26" t="s">
        <v>69</v>
      </c>
      <c r="S118" s="11"/>
      <c r="T118" s="11" t="s">
        <v>764</v>
      </c>
      <c r="U118" s="11"/>
      <c r="V118" s="11" t="s">
        <v>824</v>
      </c>
      <c r="W118" s="15">
        <f>IF(AND(ISNUMBER(Übersicht!$B$4),Übersicht!$B$4=INT(Übersicht!$B$4),Übersicht!$B$4&gt;=2026,Übersicht!$B$4&lt;=2028),IF(I118="fixedMonthDay",IF(AND(ISNUMBER(J118),J118=INT(J118),J118&gt;=1,J118&lt;=12,ISNUMBER(K118),K118=INT(K118),K118&gt;=1,K118&lt;=31,MONTH(DATE(Übersicht!$B$4,J118,K118))=J118,DAY(DATE(Übersicht!$B$4,J118,K118))=K118,L118="",M118="",N118=""),DATE(Übersicht!$B$4,J118,K118),NA()),IF(I118="easterOffsetDays",IF(AND(ISNUMBER(L118),L118=INT(L118),L118&gt;=-366,L118&lt;=366,J118="",K118="",M118="",N118=""),$AD$23+L118,NA()),IF(I118="nthWeekdayOfMonth",IF(AND(ISNUMBER(J118),J118=INT(J118),J118&gt;=1,J118&lt;=12,ISNUMBER(M118),M118=INT(M118),M118&gt;=1,M118&lt;=7,ISNUMBER(N118),N118=INT(N118),N118&gt;=1,N118&lt;=5,MONTH(DATE(Übersicht!$B$4,J118,1)+MOD(M118-WEEKDAY(DATE(Übersicht!$B$4,J118,1),2),7)+7*(N118-1))=J118,K118="",L118=""),DATE(Übersicht!$B$4,J118,1)+MOD(M118-WEEKDAY(DATE(Übersicht!$B$4,J118,1),2),7)+7*(N118-1),NA()),IF(I118="nthWeekdayOffsetDays",IF(AND(ISNUMBER(J118),J118=INT(J118),J118&gt;=1,J118&lt;=12,ISNUMBER(M118),M118=INT(M118),M118&gt;=1,M118&lt;=7,ISNUMBER(N118),N118=INT(N118),N118&gt;=1,N118&lt;=5,MONTH(DATE(Übersicht!$B$4,J118,1)+MOD(M118-WEEKDAY(DATE(Übersicht!$B$4,J118,1),2),7)+7*(N118-1))=J118,K118="",ISNUMBER(L118),L118=INT(L118),L118&gt;=-366,L118&lt;=366),DATE(Übersicht!$B$4,J118,1)+MOD(M118-WEEKDAY(DATE(Übersicht!$B$4,J118,1),2),7)+7*(N118-1)+L118,NA()),NA())))),NA())</f>
        <v>46909</v>
      </c>
      <c r="X118" s="15">
        <f t="shared" si="1"/>
        <v>46909</v>
      </c>
      <c r="Y118" s="11" t="s">
        <v>888</v>
      </c>
      <c r="Z118" s="11" t="s">
        <v>782</v>
      </c>
      <c r="AA118" s="26" t="s">
        <v>768</v>
      </c>
    </row>
    <row r="119" spans="1:27" ht="42" customHeight="1">
      <c r="A119" s="10" t="s">
        <v>186</v>
      </c>
      <c r="B119" s="10" t="s">
        <v>176</v>
      </c>
      <c r="C119" s="10" t="s">
        <v>886</v>
      </c>
      <c r="D119" s="24" t="s">
        <v>759</v>
      </c>
      <c r="E119" s="24" t="s">
        <v>760</v>
      </c>
      <c r="F119" s="25" t="s">
        <v>874</v>
      </c>
      <c r="G119" s="25" t="s">
        <v>875</v>
      </c>
      <c r="H119" s="10" t="s">
        <v>761</v>
      </c>
      <c r="I119" s="10" t="s">
        <v>762</v>
      </c>
      <c r="J119" s="28">
        <v>8</v>
      </c>
      <c r="K119" s="28">
        <v>1</v>
      </c>
      <c r="L119" s="24"/>
      <c r="M119" s="24"/>
      <c r="N119" s="24"/>
      <c r="O119" s="29">
        <v>46023</v>
      </c>
      <c r="P119" s="29"/>
      <c r="Q119" s="24">
        <v>100</v>
      </c>
      <c r="R119" s="24" t="s">
        <v>69</v>
      </c>
      <c r="S119" s="10"/>
      <c r="T119" s="10" t="s">
        <v>764</v>
      </c>
      <c r="U119" s="10"/>
      <c r="V119" s="10" t="s">
        <v>824</v>
      </c>
      <c r="W119" s="14">
        <f>IF(AND(ISNUMBER(Übersicht!$B$4),Übersicht!$B$4=INT(Übersicht!$B$4),Übersicht!$B$4&gt;=2026,Übersicht!$B$4&lt;=2028),IF(I119="fixedMonthDay",IF(AND(ISNUMBER(J119),J119=INT(J119),J119&gt;=1,J119&lt;=12,ISNUMBER(K119),K119=INT(K119),K119&gt;=1,K119&lt;=31,MONTH(DATE(Übersicht!$B$4,J119,K119))=J119,DAY(DATE(Übersicht!$B$4,J119,K119))=K119,L119="",M119="",N119=""),DATE(Übersicht!$B$4,J119,K119),NA()),IF(I119="easterOffsetDays",IF(AND(ISNUMBER(L119),L119=INT(L119),L119&gt;=-366,L119&lt;=366,J119="",K119="",M119="",N119=""),$AD$23+L119,NA()),IF(I119="nthWeekdayOfMonth",IF(AND(ISNUMBER(J119),J119=INT(J119),J119&gt;=1,J119&lt;=12,ISNUMBER(M119),M119=INT(M119),M119&gt;=1,M119&lt;=7,ISNUMBER(N119),N119=INT(N119),N119&gt;=1,N119&lt;=5,MONTH(DATE(Übersicht!$B$4,J119,1)+MOD(M119-WEEKDAY(DATE(Übersicht!$B$4,J119,1),2),7)+7*(N119-1))=J119,K119="",L119=""),DATE(Übersicht!$B$4,J119,1)+MOD(M119-WEEKDAY(DATE(Übersicht!$B$4,J119,1),2),7)+7*(N119-1),NA()),IF(I119="nthWeekdayOffsetDays",IF(AND(ISNUMBER(J119),J119=INT(J119),J119&gt;=1,J119&lt;=12,ISNUMBER(M119),M119=INT(M119),M119&gt;=1,M119&lt;=7,ISNUMBER(N119),N119=INT(N119),N119&gt;=1,N119&lt;=5,MONTH(DATE(Übersicht!$B$4,J119,1)+MOD(M119-WEEKDAY(DATE(Übersicht!$B$4,J119,1),2),7)+7*(N119-1))=J119,K119="",ISNUMBER(L119),L119=INT(L119),L119&gt;=-366,L119&lt;=366),DATE(Übersicht!$B$4,J119,1)+MOD(M119-WEEKDAY(DATE(Übersicht!$B$4,J119,1),2),7)+7*(N119-1)+L119,NA()),NA())))),NA())</f>
        <v>46966</v>
      </c>
      <c r="X119" s="14">
        <f t="shared" si="1"/>
        <v>46966</v>
      </c>
      <c r="Y119" s="10" t="s">
        <v>766</v>
      </c>
      <c r="Z119" s="10" t="s">
        <v>767</v>
      </c>
      <c r="AA119" s="24" t="s">
        <v>768</v>
      </c>
    </row>
    <row r="120" spans="1:27" ht="42" customHeight="1">
      <c r="A120" s="11" t="s">
        <v>187</v>
      </c>
      <c r="B120" s="11" t="s">
        <v>176</v>
      </c>
      <c r="C120" s="11" t="s">
        <v>886</v>
      </c>
      <c r="D120" s="26" t="s">
        <v>898</v>
      </c>
      <c r="E120" s="26" t="s">
        <v>800</v>
      </c>
      <c r="F120" s="27" t="s">
        <v>899</v>
      </c>
      <c r="G120" s="27" t="s">
        <v>900</v>
      </c>
      <c r="H120" s="11" t="s">
        <v>761</v>
      </c>
      <c r="I120" s="11" t="s">
        <v>801</v>
      </c>
      <c r="J120" s="30">
        <v>9</v>
      </c>
      <c r="K120" s="30"/>
      <c r="L120" s="26"/>
      <c r="M120" s="26">
        <v>7</v>
      </c>
      <c r="N120" s="26">
        <v>3</v>
      </c>
      <c r="O120" s="31">
        <v>46023</v>
      </c>
      <c r="P120" s="31"/>
      <c r="Q120" s="26">
        <v>100</v>
      </c>
      <c r="R120" s="26" t="s">
        <v>69</v>
      </c>
      <c r="S120" s="11"/>
      <c r="T120" s="11" t="s">
        <v>764</v>
      </c>
      <c r="U120" s="11"/>
      <c r="V120" s="11" t="s">
        <v>824</v>
      </c>
      <c r="W120" s="15">
        <f>IF(AND(ISNUMBER(Übersicht!$B$4),Übersicht!$B$4=INT(Übersicht!$B$4),Übersicht!$B$4&gt;=2026,Übersicht!$B$4&lt;=2028),IF(I120="fixedMonthDay",IF(AND(ISNUMBER(J120),J120=INT(J120),J120&gt;=1,J120&lt;=12,ISNUMBER(K120),K120=INT(K120),K120&gt;=1,K120&lt;=31,MONTH(DATE(Übersicht!$B$4,J120,K120))=J120,DAY(DATE(Übersicht!$B$4,J120,K120))=K120,L120="",M120="",N120=""),DATE(Übersicht!$B$4,J120,K120),NA()),IF(I120="easterOffsetDays",IF(AND(ISNUMBER(L120),L120=INT(L120),L120&gt;=-366,L120&lt;=366,J120="",K120="",M120="",N120=""),$AD$23+L120,NA()),IF(I120="nthWeekdayOfMonth",IF(AND(ISNUMBER(J120),J120=INT(J120),J120&gt;=1,J120&lt;=12,ISNUMBER(M120),M120=INT(M120),M120&gt;=1,M120&lt;=7,ISNUMBER(N120),N120=INT(N120),N120&gt;=1,N120&lt;=5,MONTH(DATE(Übersicht!$B$4,J120,1)+MOD(M120-WEEKDAY(DATE(Übersicht!$B$4,J120,1),2),7)+7*(N120-1))=J120,K120="",L120=""),DATE(Übersicht!$B$4,J120,1)+MOD(M120-WEEKDAY(DATE(Übersicht!$B$4,J120,1),2),7)+7*(N120-1),NA()),IF(I120="nthWeekdayOffsetDays",IF(AND(ISNUMBER(J120),J120=INT(J120),J120&gt;=1,J120&lt;=12,ISNUMBER(M120),M120=INT(M120),M120&gt;=1,M120&lt;=7,ISNUMBER(N120),N120=INT(N120),N120&gt;=1,N120&lt;=5,MONTH(DATE(Übersicht!$B$4,J120,1)+MOD(M120-WEEKDAY(DATE(Übersicht!$B$4,J120,1),2),7)+7*(N120-1))=J120,K120="",ISNUMBER(L120),L120=INT(L120),L120&gt;=-366,L120&lt;=366),DATE(Übersicht!$B$4,J120,1)+MOD(M120-WEEKDAY(DATE(Übersicht!$B$4,J120,1),2),7)+7*(N120-1)+L120,NA()),NA())))),NA())</f>
        <v>47013</v>
      </c>
      <c r="X120" s="15">
        <f t="shared" si="1"/>
        <v>47013</v>
      </c>
      <c r="Y120" s="11" t="s">
        <v>888</v>
      </c>
      <c r="Z120" s="11" t="s">
        <v>894</v>
      </c>
      <c r="AA120" s="26" t="s">
        <v>768</v>
      </c>
    </row>
    <row r="121" spans="1:27" ht="42" customHeight="1">
      <c r="A121" s="10" t="s">
        <v>188</v>
      </c>
      <c r="B121" s="10" t="s">
        <v>176</v>
      </c>
      <c r="C121" s="10" t="s">
        <v>886</v>
      </c>
      <c r="D121" s="24" t="s">
        <v>901</v>
      </c>
      <c r="E121" s="24" t="s">
        <v>804</v>
      </c>
      <c r="F121" s="25" t="s">
        <v>882</v>
      </c>
      <c r="G121" s="25" t="s">
        <v>883</v>
      </c>
      <c r="H121" s="10" t="s">
        <v>761</v>
      </c>
      <c r="I121" s="10" t="s">
        <v>762</v>
      </c>
      <c r="J121" s="28">
        <v>12</v>
      </c>
      <c r="K121" s="28">
        <v>25</v>
      </c>
      <c r="L121" s="24"/>
      <c r="M121" s="24"/>
      <c r="N121" s="24"/>
      <c r="O121" s="29">
        <v>46023</v>
      </c>
      <c r="P121" s="29"/>
      <c r="Q121" s="24">
        <v>100</v>
      </c>
      <c r="R121" s="24" t="s">
        <v>69</v>
      </c>
      <c r="S121" s="10"/>
      <c r="T121" s="10" t="s">
        <v>764</v>
      </c>
      <c r="U121" s="10"/>
      <c r="V121" s="10" t="s">
        <v>824</v>
      </c>
      <c r="W121" s="14">
        <f>IF(AND(ISNUMBER(Übersicht!$B$4),Übersicht!$B$4=INT(Übersicht!$B$4),Übersicht!$B$4&gt;=2026,Übersicht!$B$4&lt;=2028),IF(I121="fixedMonthDay",IF(AND(ISNUMBER(J121),J121=INT(J121),J121&gt;=1,J121&lt;=12,ISNUMBER(K121),K121=INT(K121),K121&gt;=1,K121&lt;=31,MONTH(DATE(Übersicht!$B$4,J121,K121))=J121,DAY(DATE(Übersicht!$B$4,J121,K121))=K121,L121="",M121="",N121=""),DATE(Übersicht!$B$4,J121,K121),NA()),IF(I121="easterOffsetDays",IF(AND(ISNUMBER(L121),L121=INT(L121),L121&gt;=-366,L121&lt;=366,J121="",K121="",M121="",N121=""),$AD$23+L121,NA()),IF(I121="nthWeekdayOfMonth",IF(AND(ISNUMBER(J121),J121=INT(J121),J121&gt;=1,J121&lt;=12,ISNUMBER(M121),M121=INT(M121),M121&gt;=1,M121&lt;=7,ISNUMBER(N121),N121=INT(N121),N121&gt;=1,N121&lt;=5,MONTH(DATE(Übersicht!$B$4,J121,1)+MOD(M121-WEEKDAY(DATE(Übersicht!$B$4,J121,1),2),7)+7*(N121-1))=J121,K121="",L121=""),DATE(Übersicht!$B$4,J121,1)+MOD(M121-WEEKDAY(DATE(Übersicht!$B$4,J121,1),2),7)+7*(N121-1),NA()),IF(I121="nthWeekdayOffsetDays",IF(AND(ISNUMBER(J121),J121=INT(J121),J121&gt;=1,J121&lt;=12,ISNUMBER(M121),M121=INT(M121),M121&gt;=1,M121&lt;=7,ISNUMBER(N121),N121=INT(N121),N121&gt;=1,N121&lt;=5,MONTH(DATE(Übersicht!$B$4,J121,1)+MOD(M121-WEEKDAY(DATE(Übersicht!$B$4,J121,1),2),7)+7*(N121-1))=J121,K121="",ISNUMBER(L121),L121=INT(L121),L121&gt;=-366,L121&lt;=366),DATE(Übersicht!$B$4,J121,1)+MOD(M121-WEEKDAY(DATE(Übersicht!$B$4,J121,1),2),7)+7*(N121-1)+L121,NA()),NA())))),NA())</f>
        <v>47112</v>
      </c>
      <c r="X121" s="14">
        <f t="shared" si="1"/>
        <v>47112</v>
      </c>
      <c r="Y121" s="10" t="s">
        <v>888</v>
      </c>
      <c r="Z121" s="10" t="s">
        <v>891</v>
      </c>
      <c r="AA121" s="24" t="s">
        <v>768</v>
      </c>
    </row>
    <row r="122" spans="1:27" ht="42" customHeight="1">
      <c r="A122" s="11" t="s">
        <v>189</v>
      </c>
      <c r="B122" s="11" t="s">
        <v>176</v>
      </c>
      <c r="C122" s="11" t="s">
        <v>886</v>
      </c>
      <c r="D122" s="26" t="s">
        <v>902</v>
      </c>
      <c r="E122" s="26" t="s">
        <v>807</v>
      </c>
      <c r="F122" s="27" t="s">
        <v>884</v>
      </c>
      <c r="G122" s="27" t="s">
        <v>885</v>
      </c>
      <c r="H122" s="11" t="s">
        <v>761</v>
      </c>
      <c r="I122" s="11" t="s">
        <v>762</v>
      </c>
      <c r="J122" s="30">
        <v>12</v>
      </c>
      <c r="K122" s="30">
        <v>26</v>
      </c>
      <c r="L122" s="26"/>
      <c r="M122" s="26"/>
      <c r="N122" s="26"/>
      <c r="O122" s="31">
        <v>46023</v>
      </c>
      <c r="P122" s="31"/>
      <c r="Q122" s="26">
        <v>100</v>
      </c>
      <c r="R122" s="26" t="s">
        <v>69</v>
      </c>
      <c r="S122" s="11"/>
      <c r="T122" s="11" t="s">
        <v>764</v>
      </c>
      <c r="U122" s="11"/>
      <c r="V122" s="11" t="s">
        <v>824</v>
      </c>
      <c r="W122" s="15">
        <f>IF(AND(ISNUMBER(Übersicht!$B$4),Übersicht!$B$4=INT(Übersicht!$B$4),Übersicht!$B$4&gt;=2026,Übersicht!$B$4&lt;=2028),IF(I122="fixedMonthDay",IF(AND(ISNUMBER(J122),J122=INT(J122),J122&gt;=1,J122&lt;=12,ISNUMBER(K122),K122=INT(K122),K122&gt;=1,K122&lt;=31,MONTH(DATE(Übersicht!$B$4,J122,K122))=J122,DAY(DATE(Übersicht!$B$4,J122,K122))=K122,L122="",M122="",N122=""),DATE(Übersicht!$B$4,J122,K122),NA()),IF(I122="easterOffsetDays",IF(AND(ISNUMBER(L122),L122=INT(L122),L122&gt;=-366,L122&lt;=366,J122="",K122="",M122="",N122=""),$AD$23+L122,NA()),IF(I122="nthWeekdayOfMonth",IF(AND(ISNUMBER(J122),J122=INT(J122),J122&gt;=1,J122&lt;=12,ISNUMBER(M122),M122=INT(M122),M122&gt;=1,M122&lt;=7,ISNUMBER(N122),N122=INT(N122),N122&gt;=1,N122&lt;=5,MONTH(DATE(Übersicht!$B$4,J122,1)+MOD(M122-WEEKDAY(DATE(Übersicht!$B$4,J122,1),2),7)+7*(N122-1))=J122,K122="",L122=""),DATE(Übersicht!$B$4,J122,1)+MOD(M122-WEEKDAY(DATE(Übersicht!$B$4,J122,1),2),7)+7*(N122-1),NA()),IF(I122="nthWeekdayOffsetDays",IF(AND(ISNUMBER(J122),J122=INT(J122),J122&gt;=1,J122&lt;=12,ISNUMBER(M122),M122=INT(M122),M122&gt;=1,M122&lt;=7,ISNUMBER(N122),N122=INT(N122),N122&gt;=1,N122&lt;=5,MONTH(DATE(Übersicht!$B$4,J122,1)+MOD(M122-WEEKDAY(DATE(Übersicht!$B$4,J122,1),2),7)+7*(N122-1))=J122,K122="",ISNUMBER(L122),L122=INT(L122),L122&gt;=-366,L122&lt;=366),DATE(Übersicht!$B$4,J122,1)+MOD(M122-WEEKDAY(DATE(Übersicht!$B$4,J122,1),2),7)+7*(N122-1)+L122,NA()),NA())))),NA())</f>
        <v>47113</v>
      </c>
      <c r="X122" s="15">
        <f t="shared" si="1"/>
        <v>47113</v>
      </c>
      <c r="Y122" s="11" t="s">
        <v>888</v>
      </c>
      <c r="Z122" s="11" t="s">
        <v>782</v>
      </c>
      <c r="AA122" s="26" t="s">
        <v>768</v>
      </c>
    </row>
    <row r="123" spans="1:27" ht="44" customHeight="1">
      <c r="A123" s="10" t="s">
        <v>192</v>
      </c>
      <c r="B123" s="10" t="s">
        <v>190</v>
      </c>
      <c r="C123" s="10" t="s">
        <v>903</v>
      </c>
      <c r="D123" s="24" t="s">
        <v>771</v>
      </c>
      <c r="E123" s="24" t="s">
        <v>772</v>
      </c>
      <c r="F123" s="25" t="s">
        <v>849</v>
      </c>
      <c r="G123" s="25" t="s">
        <v>850</v>
      </c>
      <c r="H123" s="10" t="s">
        <v>761</v>
      </c>
      <c r="I123" s="10" t="s">
        <v>762</v>
      </c>
      <c r="J123" s="28">
        <v>1</v>
      </c>
      <c r="K123" s="28">
        <v>1</v>
      </c>
      <c r="L123" s="24"/>
      <c r="M123" s="24"/>
      <c r="N123" s="24"/>
      <c r="O123" s="29">
        <v>46023</v>
      </c>
      <c r="P123" s="29"/>
      <c r="Q123" s="24">
        <v>100</v>
      </c>
      <c r="R123" s="24" t="s">
        <v>69</v>
      </c>
      <c r="S123" s="10"/>
      <c r="T123" s="10" t="s">
        <v>764</v>
      </c>
      <c r="U123" s="10"/>
      <c r="V123" s="10" t="s">
        <v>824</v>
      </c>
      <c r="W123" s="14">
        <f>IF(AND(ISNUMBER(Übersicht!$B$4),Übersicht!$B$4=INT(Übersicht!$B$4),Übersicht!$B$4&gt;=2026,Übersicht!$B$4&lt;=2028),IF(I123="fixedMonthDay",IF(AND(ISNUMBER(J123),J123=INT(J123),J123&gt;=1,J123&lt;=12,ISNUMBER(K123),K123=INT(K123),K123&gt;=1,K123&lt;=31,MONTH(DATE(Übersicht!$B$4,J123,K123))=J123,DAY(DATE(Übersicht!$B$4,J123,K123))=K123,L123="",M123="",N123=""),DATE(Übersicht!$B$4,J123,K123),NA()),IF(I123="easterOffsetDays",IF(AND(ISNUMBER(L123),L123=INT(L123),L123&gt;=-366,L123&lt;=366,J123="",K123="",M123="",N123=""),$AD$23+L123,NA()),IF(I123="nthWeekdayOfMonth",IF(AND(ISNUMBER(J123),J123=INT(J123),J123&gt;=1,J123&lt;=12,ISNUMBER(M123),M123=INT(M123),M123&gt;=1,M123&lt;=7,ISNUMBER(N123),N123=INT(N123),N123&gt;=1,N123&lt;=5,MONTH(DATE(Übersicht!$B$4,J123,1)+MOD(M123-WEEKDAY(DATE(Übersicht!$B$4,J123,1),2),7)+7*(N123-1))=J123,K123="",L123=""),DATE(Übersicht!$B$4,J123,1)+MOD(M123-WEEKDAY(DATE(Übersicht!$B$4,J123,1),2),7)+7*(N123-1),NA()),IF(I123="nthWeekdayOffsetDays",IF(AND(ISNUMBER(J123),J123=INT(J123),J123&gt;=1,J123&lt;=12,ISNUMBER(M123),M123=INT(M123),M123&gt;=1,M123&lt;=7,ISNUMBER(N123),N123=INT(N123),N123&gt;=1,N123&lt;=5,MONTH(DATE(Übersicht!$B$4,J123,1)+MOD(M123-WEEKDAY(DATE(Übersicht!$B$4,J123,1),2),7)+7*(N123-1))=J123,K123="",ISNUMBER(L123),L123=INT(L123),L123&gt;=-366,L123&lt;=366),DATE(Übersicht!$B$4,J123,1)+MOD(M123-WEEKDAY(DATE(Übersicht!$B$4,J123,1),2),7)+7*(N123-1)+L123,NA()),NA())))),NA())</f>
        <v>46753</v>
      </c>
      <c r="X123" s="14">
        <f t="shared" si="1"/>
        <v>46753</v>
      </c>
      <c r="Y123" s="10" t="s">
        <v>904</v>
      </c>
      <c r="Z123" s="10" t="s">
        <v>767</v>
      </c>
      <c r="AA123" s="24" t="s">
        <v>768</v>
      </c>
    </row>
    <row r="124" spans="1:27" ht="44" customHeight="1">
      <c r="A124" s="11" t="s">
        <v>194</v>
      </c>
      <c r="B124" s="11" t="s">
        <v>190</v>
      </c>
      <c r="C124" s="11" t="s">
        <v>903</v>
      </c>
      <c r="D124" s="26" t="s">
        <v>856</v>
      </c>
      <c r="E124" s="26" t="s">
        <v>857</v>
      </c>
      <c r="F124" s="27" t="s">
        <v>858</v>
      </c>
      <c r="G124" s="27" t="s">
        <v>859</v>
      </c>
      <c r="H124" s="11" t="s">
        <v>761</v>
      </c>
      <c r="I124" s="11" t="s">
        <v>762</v>
      </c>
      <c r="J124" s="30">
        <v>3</v>
      </c>
      <c r="K124" s="30">
        <v>19</v>
      </c>
      <c r="L124" s="26"/>
      <c r="M124" s="26"/>
      <c r="N124" s="26"/>
      <c r="O124" s="31">
        <v>46023</v>
      </c>
      <c r="P124" s="31"/>
      <c r="Q124" s="26">
        <v>100</v>
      </c>
      <c r="R124" s="26" t="s">
        <v>69</v>
      </c>
      <c r="S124" s="11"/>
      <c r="T124" s="11" t="s">
        <v>764</v>
      </c>
      <c r="U124" s="11"/>
      <c r="V124" s="11" t="s">
        <v>824</v>
      </c>
      <c r="W124" s="15">
        <f>IF(AND(ISNUMBER(Übersicht!$B$4),Übersicht!$B$4=INT(Übersicht!$B$4),Übersicht!$B$4&gt;=2026,Übersicht!$B$4&lt;=2028),IF(I124="fixedMonthDay",IF(AND(ISNUMBER(J124),J124=INT(J124),J124&gt;=1,J124&lt;=12,ISNUMBER(K124),K124=INT(K124),K124&gt;=1,K124&lt;=31,MONTH(DATE(Übersicht!$B$4,J124,K124))=J124,DAY(DATE(Übersicht!$B$4,J124,K124))=K124,L124="",M124="",N124=""),DATE(Übersicht!$B$4,J124,K124),NA()),IF(I124="easterOffsetDays",IF(AND(ISNUMBER(L124),L124=INT(L124),L124&gt;=-366,L124&lt;=366,J124="",K124="",M124="",N124=""),$AD$23+L124,NA()),IF(I124="nthWeekdayOfMonth",IF(AND(ISNUMBER(J124),J124=INT(J124),J124&gt;=1,J124&lt;=12,ISNUMBER(M124),M124=INT(M124),M124&gt;=1,M124&lt;=7,ISNUMBER(N124),N124=INT(N124),N124&gt;=1,N124&lt;=5,MONTH(DATE(Übersicht!$B$4,J124,1)+MOD(M124-WEEKDAY(DATE(Übersicht!$B$4,J124,1),2),7)+7*(N124-1))=J124,K124="",L124=""),DATE(Übersicht!$B$4,J124,1)+MOD(M124-WEEKDAY(DATE(Übersicht!$B$4,J124,1),2),7)+7*(N124-1),NA()),IF(I124="nthWeekdayOffsetDays",IF(AND(ISNUMBER(J124),J124=INT(J124),J124&gt;=1,J124&lt;=12,ISNUMBER(M124),M124=INT(M124),M124&gt;=1,M124&lt;=7,ISNUMBER(N124),N124=INT(N124),N124&gt;=1,N124&lt;=5,MONTH(DATE(Übersicht!$B$4,J124,1)+MOD(M124-WEEKDAY(DATE(Übersicht!$B$4,J124,1),2),7)+7*(N124-1))=J124,K124="",ISNUMBER(L124),L124=INT(L124),L124&gt;=-366,L124&lt;=366),DATE(Übersicht!$B$4,J124,1)+MOD(M124-WEEKDAY(DATE(Übersicht!$B$4,J124,1),2),7)+7*(N124-1)+L124,NA()),NA())))),NA())</f>
        <v>46831</v>
      </c>
      <c r="X124" s="15">
        <f t="shared" si="1"/>
        <v>46831</v>
      </c>
      <c r="Y124" s="11" t="s">
        <v>904</v>
      </c>
      <c r="Z124" s="11" t="s">
        <v>767</v>
      </c>
      <c r="AA124" s="26" t="s">
        <v>768</v>
      </c>
    </row>
    <row r="125" spans="1:27" ht="44" customHeight="1">
      <c r="A125" s="10" t="s">
        <v>195</v>
      </c>
      <c r="B125" s="10" t="s">
        <v>190</v>
      </c>
      <c r="C125" s="10" t="s">
        <v>903</v>
      </c>
      <c r="D125" s="24" t="s">
        <v>790</v>
      </c>
      <c r="E125" s="24" t="s">
        <v>791</v>
      </c>
      <c r="F125" s="25" t="s">
        <v>864</v>
      </c>
      <c r="G125" s="25" t="s">
        <v>865</v>
      </c>
      <c r="H125" s="10" t="s">
        <v>761</v>
      </c>
      <c r="I125" s="10" t="s">
        <v>781</v>
      </c>
      <c r="J125" s="28"/>
      <c r="K125" s="28"/>
      <c r="L125" s="24">
        <v>39</v>
      </c>
      <c r="M125" s="24"/>
      <c r="N125" s="24"/>
      <c r="O125" s="29">
        <v>46023</v>
      </c>
      <c r="P125" s="29"/>
      <c r="Q125" s="24">
        <v>100</v>
      </c>
      <c r="R125" s="24" t="s">
        <v>69</v>
      </c>
      <c r="S125" s="10"/>
      <c r="T125" s="10" t="s">
        <v>764</v>
      </c>
      <c r="U125" s="10"/>
      <c r="V125" s="10" t="s">
        <v>824</v>
      </c>
      <c r="W125" s="14">
        <f>IF(AND(ISNUMBER(Übersicht!$B$4),Übersicht!$B$4=INT(Übersicht!$B$4),Übersicht!$B$4&gt;=2026,Übersicht!$B$4&lt;=2028),IF(I125="fixedMonthDay",IF(AND(ISNUMBER(J125),J125=INT(J125),J125&gt;=1,J125&lt;=12,ISNUMBER(K125),K125=INT(K125),K125&gt;=1,K125&lt;=31,MONTH(DATE(Übersicht!$B$4,J125,K125))=J125,DAY(DATE(Übersicht!$B$4,J125,K125))=K125,L125="",M125="",N125=""),DATE(Übersicht!$B$4,J125,K125),NA()),IF(I125="easterOffsetDays",IF(AND(ISNUMBER(L125),L125=INT(L125),L125&gt;=-366,L125&lt;=366,J125="",K125="",M125="",N125=""),$AD$23+L125,NA()),IF(I125="nthWeekdayOfMonth",IF(AND(ISNUMBER(J125),J125=INT(J125),J125&gt;=1,J125&lt;=12,ISNUMBER(M125),M125=INT(M125),M125&gt;=1,M125&lt;=7,ISNUMBER(N125),N125=INT(N125),N125&gt;=1,N125&lt;=5,MONTH(DATE(Übersicht!$B$4,J125,1)+MOD(M125-WEEKDAY(DATE(Übersicht!$B$4,J125,1),2),7)+7*(N125-1))=J125,K125="",L125=""),DATE(Übersicht!$B$4,J125,1)+MOD(M125-WEEKDAY(DATE(Übersicht!$B$4,J125,1),2),7)+7*(N125-1),NA()),IF(I125="nthWeekdayOffsetDays",IF(AND(ISNUMBER(J125),J125=INT(J125),J125&gt;=1,J125&lt;=12,ISNUMBER(M125),M125=INT(M125),M125&gt;=1,M125&lt;=7,ISNUMBER(N125),N125=INT(N125),N125&gt;=1,N125&lt;=5,MONTH(DATE(Übersicht!$B$4,J125,1)+MOD(M125-WEEKDAY(DATE(Übersicht!$B$4,J125,1),2),7)+7*(N125-1))=J125,K125="",ISNUMBER(L125),L125=INT(L125),L125&gt;=-366,L125&lt;=366),DATE(Übersicht!$B$4,J125,1)+MOD(M125-WEEKDAY(DATE(Übersicht!$B$4,J125,1),2),7)+7*(N125-1)+L125,NA()),NA())))),NA())</f>
        <v>46898</v>
      </c>
      <c r="X125" s="14">
        <f t="shared" si="1"/>
        <v>46898</v>
      </c>
      <c r="Y125" s="10" t="s">
        <v>904</v>
      </c>
      <c r="Z125" s="10" t="s">
        <v>767</v>
      </c>
      <c r="AA125" s="24" t="s">
        <v>768</v>
      </c>
    </row>
    <row r="126" spans="1:27" ht="44" customHeight="1">
      <c r="A126" s="11" t="s">
        <v>196</v>
      </c>
      <c r="B126" s="11" t="s">
        <v>190</v>
      </c>
      <c r="C126" s="11" t="s">
        <v>903</v>
      </c>
      <c r="D126" s="26" t="s">
        <v>810</v>
      </c>
      <c r="E126" s="26" t="s">
        <v>811</v>
      </c>
      <c r="F126" s="27" t="s">
        <v>868</v>
      </c>
      <c r="G126" s="27" t="s">
        <v>869</v>
      </c>
      <c r="H126" s="11" t="s">
        <v>761</v>
      </c>
      <c r="I126" s="11" t="s">
        <v>781</v>
      </c>
      <c r="J126" s="30"/>
      <c r="K126" s="30"/>
      <c r="L126" s="26">
        <v>60</v>
      </c>
      <c r="M126" s="26"/>
      <c r="N126" s="26"/>
      <c r="O126" s="31">
        <v>46023</v>
      </c>
      <c r="P126" s="31"/>
      <c r="Q126" s="26">
        <v>100</v>
      </c>
      <c r="R126" s="26" t="s">
        <v>69</v>
      </c>
      <c r="S126" s="11"/>
      <c r="T126" s="11" t="s">
        <v>764</v>
      </c>
      <c r="U126" s="11"/>
      <c r="V126" s="11" t="s">
        <v>824</v>
      </c>
      <c r="W126" s="15">
        <f>IF(AND(ISNUMBER(Übersicht!$B$4),Übersicht!$B$4=INT(Übersicht!$B$4),Übersicht!$B$4&gt;=2026,Übersicht!$B$4&lt;=2028),IF(I126="fixedMonthDay",IF(AND(ISNUMBER(J126),J126=INT(J126),J126&gt;=1,J126&lt;=12,ISNUMBER(K126),K126=INT(K126),K126&gt;=1,K126&lt;=31,MONTH(DATE(Übersicht!$B$4,J126,K126))=J126,DAY(DATE(Übersicht!$B$4,J126,K126))=K126,L126="",M126="",N126=""),DATE(Übersicht!$B$4,J126,K126),NA()),IF(I126="easterOffsetDays",IF(AND(ISNUMBER(L126),L126=INT(L126),L126&gt;=-366,L126&lt;=366,J126="",K126="",M126="",N126=""),$AD$23+L126,NA()),IF(I126="nthWeekdayOfMonth",IF(AND(ISNUMBER(J126),J126=INT(J126),J126&gt;=1,J126&lt;=12,ISNUMBER(M126),M126=INT(M126),M126&gt;=1,M126&lt;=7,ISNUMBER(N126),N126=INT(N126),N126&gt;=1,N126&lt;=5,MONTH(DATE(Übersicht!$B$4,J126,1)+MOD(M126-WEEKDAY(DATE(Übersicht!$B$4,J126,1),2),7)+7*(N126-1))=J126,K126="",L126=""),DATE(Übersicht!$B$4,J126,1)+MOD(M126-WEEKDAY(DATE(Übersicht!$B$4,J126,1),2),7)+7*(N126-1),NA()),IF(I126="nthWeekdayOffsetDays",IF(AND(ISNUMBER(J126),J126=INT(J126),J126&gt;=1,J126&lt;=12,ISNUMBER(M126),M126=INT(M126),M126&gt;=1,M126&lt;=7,ISNUMBER(N126),N126=INT(N126),N126&gt;=1,N126&lt;=5,MONTH(DATE(Übersicht!$B$4,J126,1)+MOD(M126-WEEKDAY(DATE(Übersicht!$B$4,J126,1),2),7)+7*(N126-1))=J126,K126="",ISNUMBER(L126),L126=INT(L126),L126&gt;=-366,L126&lt;=366),DATE(Übersicht!$B$4,J126,1)+MOD(M126-WEEKDAY(DATE(Übersicht!$B$4,J126,1),2),7)+7*(N126-1)+L126,NA()),NA())))),NA())</f>
        <v>46919</v>
      </c>
      <c r="X126" s="15">
        <f t="shared" si="1"/>
        <v>46919</v>
      </c>
      <c r="Y126" s="11" t="s">
        <v>904</v>
      </c>
      <c r="Z126" s="11" t="s">
        <v>767</v>
      </c>
      <c r="AA126" s="26" t="s">
        <v>768</v>
      </c>
    </row>
    <row r="127" spans="1:27" ht="44" customHeight="1">
      <c r="A127" s="10" t="s">
        <v>197</v>
      </c>
      <c r="B127" s="10" t="s">
        <v>190</v>
      </c>
      <c r="C127" s="10" t="s">
        <v>903</v>
      </c>
      <c r="D127" s="24" t="s">
        <v>759</v>
      </c>
      <c r="E127" s="24" t="s">
        <v>760</v>
      </c>
      <c r="F127" s="25" t="s">
        <v>874</v>
      </c>
      <c r="G127" s="25" t="s">
        <v>875</v>
      </c>
      <c r="H127" s="10" t="s">
        <v>761</v>
      </c>
      <c r="I127" s="10" t="s">
        <v>762</v>
      </c>
      <c r="J127" s="28">
        <v>8</v>
      </c>
      <c r="K127" s="28">
        <v>1</v>
      </c>
      <c r="L127" s="24"/>
      <c r="M127" s="24"/>
      <c r="N127" s="24"/>
      <c r="O127" s="29">
        <v>46023</v>
      </c>
      <c r="P127" s="29"/>
      <c r="Q127" s="24">
        <v>100</v>
      </c>
      <c r="R127" s="24" t="s">
        <v>69</v>
      </c>
      <c r="S127" s="10"/>
      <c r="T127" s="10" t="s">
        <v>764</v>
      </c>
      <c r="U127" s="10"/>
      <c r="V127" s="10" t="s">
        <v>824</v>
      </c>
      <c r="W127" s="14">
        <f>IF(AND(ISNUMBER(Übersicht!$B$4),Übersicht!$B$4=INT(Übersicht!$B$4),Übersicht!$B$4&gt;=2026,Übersicht!$B$4&lt;=2028),IF(I127="fixedMonthDay",IF(AND(ISNUMBER(J127),J127=INT(J127),J127&gt;=1,J127&lt;=12,ISNUMBER(K127),K127=INT(K127),K127&gt;=1,K127&lt;=31,MONTH(DATE(Übersicht!$B$4,J127,K127))=J127,DAY(DATE(Übersicht!$B$4,J127,K127))=K127,L127="",M127="",N127=""),DATE(Übersicht!$B$4,J127,K127),NA()),IF(I127="easterOffsetDays",IF(AND(ISNUMBER(L127),L127=INT(L127),L127&gt;=-366,L127&lt;=366,J127="",K127="",M127="",N127=""),$AD$23+L127,NA()),IF(I127="nthWeekdayOfMonth",IF(AND(ISNUMBER(J127),J127=INT(J127),J127&gt;=1,J127&lt;=12,ISNUMBER(M127),M127=INT(M127),M127&gt;=1,M127&lt;=7,ISNUMBER(N127),N127=INT(N127),N127&gt;=1,N127&lt;=5,MONTH(DATE(Übersicht!$B$4,J127,1)+MOD(M127-WEEKDAY(DATE(Übersicht!$B$4,J127,1),2),7)+7*(N127-1))=J127,K127="",L127=""),DATE(Übersicht!$B$4,J127,1)+MOD(M127-WEEKDAY(DATE(Übersicht!$B$4,J127,1),2),7)+7*(N127-1),NA()),IF(I127="nthWeekdayOffsetDays",IF(AND(ISNUMBER(J127),J127=INT(J127),J127&gt;=1,J127&lt;=12,ISNUMBER(M127),M127=INT(M127),M127&gt;=1,M127&lt;=7,ISNUMBER(N127),N127=INT(N127),N127&gt;=1,N127&lt;=5,MONTH(DATE(Übersicht!$B$4,J127,1)+MOD(M127-WEEKDAY(DATE(Übersicht!$B$4,J127,1),2),7)+7*(N127-1))=J127,K127="",ISNUMBER(L127),L127=INT(L127),L127&gt;=-366,L127&lt;=366),DATE(Übersicht!$B$4,J127,1)+MOD(M127-WEEKDAY(DATE(Übersicht!$B$4,J127,1),2),7)+7*(N127-1)+L127,NA()),NA())))),NA())</f>
        <v>46966</v>
      </c>
      <c r="X127" s="14">
        <f t="shared" si="1"/>
        <v>46966</v>
      </c>
      <c r="Y127" s="10" t="s">
        <v>766</v>
      </c>
      <c r="Z127" s="10" t="s">
        <v>767</v>
      </c>
      <c r="AA127" s="24" t="s">
        <v>768</v>
      </c>
    </row>
    <row r="128" spans="1:27" ht="44" customHeight="1">
      <c r="A128" s="11" t="s">
        <v>198</v>
      </c>
      <c r="B128" s="11" t="s">
        <v>190</v>
      </c>
      <c r="C128" s="11" t="s">
        <v>903</v>
      </c>
      <c r="D128" s="26" t="s">
        <v>834</v>
      </c>
      <c r="E128" s="26" t="s">
        <v>835</v>
      </c>
      <c r="F128" s="27" t="s">
        <v>876</v>
      </c>
      <c r="G128" s="27" t="s">
        <v>877</v>
      </c>
      <c r="H128" s="11" t="s">
        <v>761</v>
      </c>
      <c r="I128" s="11" t="s">
        <v>762</v>
      </c>
      <c r="J128" s="30">
        <v>8</v>
      </c>
      <c r="K128" s="30">
        <v>15</v>
      </c>
      <c r="L128" s="26"/>
      <c r="M128" s="26"/>
      <c r="N128" s="26"/>
      <c r="O128" s="31">
        <v>46023</v>
      </c>
      <c r="P128" s="31"/>
      <c r="Q128" s="26">
        <v>100</v>
      </c>
      <c r="R128" s="26" t="s">
        <v>69</v>
      </c>
      <c r="S128" s="11"/>
      <c r="T128" s="11" t="s">
        <v>764</v>
      </c>
      <c r="U128" s="11"/>
      <c r="V128" s="11" t="s">
        <v>824</v>
      </c>
      <c r="W128" s="15">
        <f>IF(AND(ISNUMBER(Übersicht!$B$4),Übersicht!$B$4=INT(Übersicht!$B$4),Übersicht!$B$4&gt;=2026,Übersicht!$B$4&lt;=2028),IF(I128="fixedMonthDay",IF(AND(ISNUMBER(J128),J128=INT(J128),J128&gt;=1,J128&lt;=12,ISNUMBER(K128),K128=INT(K128),K128&gt;=1,K128&lt;=31,MONTH(DATE(Übersicht!$B$4,J128,K128))=J128,DAY(DATE(Übersicht!$B$4,J128,K128))=K128,L128="",M128="",N128=""),DATE(Übersicht!$B$4,J128,K128),NA()),IF(I128="easterOffsetDays",IF(AND(ISNUMBER(L128),L128=INT(L128),L128&gt;=-366,L128&lt;=366,J128="",K128="",M128="",N128=""),$AD$23+L128,NA()),IF(I128="nthWeekdayOfMonth",IF(AND(ISNUMBER(J128),J128=INT(J128),J128&gt;=1,J128&lt;=12,ISNUMBER(M128),M128=INT(M128),M128&gt;=1,M128&lt;=7,ISNUMBER(N128),N128=INT(N128),N128&gt;=1,N128&lt;=5,MONTH(DATE(Übersicht!$B$4,J128,1)+MOD(M128-WEEKDAY(DATE(Übersicht!$B$4,J128,1),2),7)+7*(N128-1))=J128,K128="",L128=""),DATE(Übersicht!$B$4,J128,1)+MOD(M128-WEEKDAY(DATE(Übersicht!$B$4,J128,1),2),7)+7*(N128-1),NA()),IF(I128="nthWeekdayOffsetDays",IF(AND(ISNUMBER(J128),J128=INT(J128),J128&gt;=1,J128&lt;=12,ISNUMBER(M128),M128=INT(M128),M128&gt;=1,M128&lt;=7,ISNUMBER(N128),N128=INT(N128),N128&gt;=1,N128&lt;=5,MONTH(DATE(Übersicht!$B$4,J128,1)+MOD(M128-WEEKDAY(DATE(Übersicht!$B$4,J128,1),2),7)+7*(N128-1))=J128,K128="",ISNUMBER(L128),L128=INT(L128),L128&gt;=-366,L128&lt;=366),DATE(Übersicht!$B$4,J128,1)+MOD(M128-WEEKDAY(DATE(Übersicht!$B$4,J128,1),2),7)+7*(N128-1)+L128,NA()),NA())))),NA())</f>
        <v>46980</v>
      </c>
      <c r="X128" s="15">
        <f t="shared" si="1"/>
        <v>46980</v>
      </c>
      <c r="Y128" s="11" t="s">
        <v>904</v>
      </c>
      <c r="Z128" s="11" t="s">
        <v>767</v>
      </c>
      <c r="AA128" s="26" t="s">
        <v>768</v>
      </c>
    </row>
    <row r="129" spans="1:27" ht="44" customHeight="1">
      <c r="A129" s="10" t="s">
        <v>199</v>
      </c>
      <c r="B129" s="10" t="s">
        <v>190</v>
      </c>
      <c r="C129" s="10" t="s">
        <v>903</v>
      </c>
      <c r="D129" s="24" t="s">
        <v>821</v>
      </c>
      <c r="E129" s="24" t="s">
        <v>822</v>
      </c>
      <c r="F129" s="25" t="s">
        <v>878</v>
      </c>
      <c r="G129" s="25" t="s">
        <v>879</v>
      </c>
      <c r="H129" s="10" t="s">
        <v>761</v>
      </c>
      <c r="I129" s="10" t="s">
        <v>762</v>
      </c>
      <c r="J129" s="28">
        <v>11</v>
      </c>
      <c r="K129" s="28">
        <v>1</v>
      </c>
      <c r="L129" s="24"/>
      <c r="M129" s="24"/>
      <c r="N129" s="24"/>
      <c r="O129" s="29">
        <v>46023</v>
      </c>
      <c r="P129" s="29"/>
      <c r="Q129" s="24">
        <v>100</v>
      </c>
      <c r="R129" s="24" t="s">
        <v>69</v>
      </c>
      <c r="S129" s="10"/>
      <c r="T129" s="10" t="s">
        <v>764</v>
      </c>
      <c r="U129" s="10"/>
      <c r="V129" s="10" t="s">
        <v>824</v>
      </c>
      <c r="W129" s="14">
        <f>IF(AND(ISNUMBER(Übersicht!$B$4),Übersicht!$B$4=INT(Übersicht!$B$4),Übersicht!$B$4&gt;=2026,Übersicht!$B$4&lt;=2028),IF(I129="fixedMonthDay",IF(AND(ISNUMBER(J129),J129=INT(J129),J129&gt;=1,J129&lt;=12,ISNUMBER(K129),K129=INT(K129),K129&gt;=1,K129&lt;=31,MONTH(DATE(Übersicht!$B$4,J129,K129))=J129,DAY(DATE(Übersicht!$B$4,J129,K129))=K129,L129="",M129="",N129=""),DATE(Übersicht!$B$4,J129,K129),NA()),IF(I129="easterOffsetDays",IF(AND(ISNUMBER(L129),L129=INT(L129),L129&gt;=-366,L129&lt;=366,J129="",K129="",M129="",N129=""),$AD$23+L129,NA()),IF(I129="nthWeekdayOfMonth",IF(AND(ISNUMBER(J129),J129=INT(J129),J129&gt;=1,J129&lt;=12,ISNUMBER(M129),M129=INT(M129),M129&gt;=1,M129&lt;=7,ISNUMBER(N129),N129=INT(N129),N129&gt;=1,N129&lt;=5,MONTH(DATE(Übersicht!$B$4,J129,1)+MOD(M129-WEEKDAY(DATE(Übersicht!$B$4,J129,1),2),7)+7*(N129-1))=J129,K129="",L129=""),DATE(Übersicht!$B$4,J129,1)+MOD(M129-WEEKDAY(DATE(Übersicht!$B$4,J129,1),2),7)+7*(N129-1),NA()),IF(I129="nthWeekdayOffsetDays",IF(AND(ISNUMBER(J129),J129=INT(J129),J129&gt;=1,J129&lt;=12,ISNUMBER(M129),M129=INT(M129),M129&gt;=1,M129&lt;=7,ISNUMBER(N129),N129=INT(N129),N129&gt;=1,N129&lt;=5,MONTH(DATE(Übersicht!$B$4,J129,1)+MOD(M129-WEEKDAY(DATE(Übersicht!$B$4,J129,1),2),7)+7*(N129-1))=J129,K129="",ISNUMBER(L129),L129=INT(L129),L129&gt;=-366,L129&lt;=366),DATE(Übersicht!$B$4,J129,1)+MOD(M129-WEEKDAY(DATE(Übersicht!$B$4,J129,1),2),7)+7*(N129-1)+L129,NA()),NA())))),NA())</f>
        <v>47058</v>
      </c>
      <c r="X129" s="14">
        <f t="shared" si="1"/>
        <v>47058</v>
      </c>
      <c r="Y129" s="10" t="s">
        <v>904</v>
      </c>
      <c r="Z129" s="10" t="s">
        <v>767</v>
      </c>
      <c r="AA129" s="24" t="s">
        <v>768</v>
      </c>
    </row>
    <row r="130" spans="1:27" ht="44" customHeight="1">
      <c r="A130" s="11" t="s">
        <v>200</v>
      </c>
      <c r="B130" s="11" t="s">
        <v>190</v>
      </c>
      <c r="C130" s="11" t="s">
        <v>903</v>
      </c>
      <c r="D130" s="26" t="s">
        <v>838</v>
      </c>
      <c r="E130" s="26" t="s">
        <v>839</v>
      </c>
      <c r="F130" s="27" t="s">
        <v>880</v>
      </c>
      <c r="G130" s="27" t="s">
        <v>881</v>
      </c>
      <c r="H130" s="11" t="s">
        <v>761</v>
      </c>
      <c r="I130" s="11" t="s">
        <v>762</v>
      </c>
      <c r="J130" s="30">
        <v>12</v>
      </c>
      <c r="K130" s="30">
        <v>8</v>
      </c>
      <c r="L130" s="26"/>
      <c r="M130" s="26"/>
      <c r="N130" s="26"/>
      <c r="O130" s="31">
        <v>46023</v>
      </c>
      <c r="P130" s="31"/>
      <c r="Q130" s="26">
        <v>100</v>
      </c>
      <c r="R130" s="26" t="s">
        <v>69</v>
      </c>
      <c r="S130" s="11"/>
      <c r="T130" s="11" t="s">
        <v>764</v>
      </c>
      <c r="U130" s="11"/>
      <c r="V130" s="11" t="s">
        <v>824</v>
      </c>
      <c r="W130" s="15">
        <f>IF(AND(ISNUMBER(Übersicht!$B$4),Übersicht!$B$4=INT(Übersicht!$B$4),Übersicht!$B$4&gt;=2026,Übersicht!$B$4&lt;=2028),IF(I130="fixedMonthDay",IF(AND(ISNUMBER(J130),J130=INT(J130),J130&gt;=1,J130&lt;=12,ISNUMBER(K130),K130=INT(K130),K130&gt;=1,K130&lt;=31,MONTH(DATE(Übersicht!$B$4,J130,K130))=J130,DAY(DATE(Übersicht!$B$4,J130,K130))=K130,L130="",M130="",N130=""),DATE(Übersicht!$B$4,J130,K130),NA()),IF(I130="easterOffsetDays",IF(AND(ISNUMBER(L130),L130=INT(L130),L130&gt;=-366,L130&lt;=366,J130="",K130="",M130="",N130=""),$AD$23+L130,NA()),IF(I130="nthWeekdayOfMonth",IF(AND(ISNUMBER(J130),J130=INT(J130),J130&gt;=1,J130&lt;=12,ISNUMBER(M130),M130=INT(M130),M130&gt;=1,M130&lt;=7,ISNUMBER(N130),N130=INT(N130),N130&gt;=1,N130&lt;=5,MONTH(DATE(Übersicht!$B$4,J130,1)+MOD(M130-WEEKDAY(DATE(Übersicht!$B$4,J130,1),2),7)+7*(N130-1))=J130,K130="",L130=""),DATE(Übersicht!$B$4,J130,1)+MOD(M130-WEEKDAY(DATE(Übersicht!$B$4,J130,1),2),7)+7*(N130-1),NA()),IF(I130="nthWeekdayOffsetDays",IF(AND(ISNUMBER(J130),J130=INT(J130),J130&gt;=1,J130&lt;=12,ISNUMBER(M130),M130=INT(M130),M130&gt;=1,M130&lt;=7,ISNUMBER(N130),N130=INT(N130),N130&gt;=1,N130&lt;=5,MONTH(DATE(Übersicht!$B$4,J130,1)+MOD(M130-WEEKDAY(DATE(Übersicht!$B$4,J130,1),2),7)+7*(N130-1))=J130,K130="",ISNUMBER(L130),L130=INT(L130),L130&gt;=-366,L130&lt;=366),DATE(Übersicht!$B$4,J130,1)+MOD(M130-WEEKDAY(DATE(Übersicht!$B$4,J130,1),2),7)+7*(N130-1)+L130,NA()),NA())))),NA())</f>
        <v>47095</v>
      </c>
      <c r="X130" s="15">
        <f t="shared" si="1"/>
        <v>47095</v>
      </c>
      <c r="Y130" s="11" t="s">
        <v>904</v>
      </c>
      <c r="Z130" s="11" t="s">
        <v>767</v>
      </c>
      <c r="AA130" s="26" t="s">
        <v>768</v>
      </c>
    </row>
    <row r="131" spans="1:27" ht="44" customHeight="1">
      <c r="A131" s="10" t="s">
        <v>201</v>
      </c>
      <c r="B131" s="10" t="s">
        <v>190</v>
      </c>
      <c r="C131" s="10" t="s">
        <v>903</v>
      </c>
      <c r="D131" s="24" t="s">
        <v>803</v>
      </c>
      <c r="E131" s="24" t="s">
        <v>804</v>
      </c>
      <c r="F131" s="25" t="s">
        <v>882</v>
      </c>
      <c r="G131" s="25" t="s">
        <v>883</v>
      </c>
      <c r="H131" s="10" t="s">
        <v>761</v>
      </c>
      <c r="I131" s="10" t="s">
        <v>762</v>
      </c>
      <c r="J131" s="28">
        <v>12</v>
      </c>
      <c r="K131" s="28">
        <v>25</v>
      </c>
      <c r="L131" s="24"/>
      <c r="M131" s="24"/>
      <c r="N131" s="24"/>
      <c r="O131" s="29">
        <v>46023</v>
      </c>
      <c r="P131" s="29"/>
      <c r="Q131" s="24">
        <v>100</v>
      </c>
      <c r="R131" s="24" t="s">
        <v>69</v>
      </c>
      <c r="S131" s="10"/>
      <c r="T131" s="10" t="s">
        <v>764</v>
      </c>
      <c r="U131" s="10"/>
      <c r="V131" s="10" t="s">
        <v>824</v>
      </c>
      <c r="W131" s="14">
        <f>IF(AND(ISNUMBER(Übersicht!$B$4),Übersicht!$B$4=INT(Übersicht!$B$4),Übersicht!$B$4&gt;=2026,Übersicht!$B$4&lt;=2028),IF(I131="fixedMonthDay",IF(AND(ISNUMBER(J131),J131=INT(J131),J131&gt;=1,J131&lt;=12,ISNUMBER(K131),K131=INT(K131),K131&gt;=1,K131&lt;=31,MONTH(DATE(Übersicht!$B$4,J131,K131))=J131,DAY(DATE(Übersicht!$B$4,J131,K131))=K131,L131="",M131="",N131=""),DATE(Übersicht!$B$4,J131,K131),NA()),IF(I131="easterOffsetDays",IF(AND(ISNUMBER(L131),L131=INT(L131),L131&gt;=-366,L131&lt;=366,J131="",K131="",M131="",N131=""),$AD$23+L131,NA()),IF(I131="nthWeekdayOfMonth",IF(AND(ISNUMBER(J131),J131=INT(J131),J131&gt;=1,J131&lt;=12,ISNUMBER(M131),M131=INT(M131),M131&gt;=1,M131&lt;=7,ISNUMBER(N131),N131=INT(N131),N131&gt;=1,N131&lt;=5,MONTH(DATE(Übersicht!$B$4,J131,1)+MOD(M131-WEEKDAY(DATE(Übersicht!$B$4,J131,1),2),7)+7*(N131-1))=J131,K131="",L131=""),DATE(Übersicht!$B$4,J131,1)+MOD(M131-WEEKDAY(DATE(Übersicht!$B$4,J131,1),2),7)+7*(N131-1),NA()),IF(I131="nthWeekdayOffsetDays",IF(AND(ISNUMBER(J131),J131=INT(J131),J131&gt;=1,J131&lt;=12,ISNUMBER(M131),M131=INT(M131),M131&gt;=1,M131&lt;=7,ISNUMBER(N131),N131=INT(N131),N131&gt;=1,N131&lt;=5,MONTH(DATE(Übersicht!$B$4,J131,1)+MOD(M131-WEEKDAY(DATE(Übersicht!$B$4,J131,1),2),7)+7*(N131-1))=J131,K131="",ISNUMBER(L131),L131=INT(L131),L131&gt;=-366,L131&lt;=366),DATE(Übersicht!$B$4,J131,1)+MOD(M131-WEEKDAY(DATE(Übersicht!$B$4,J131,1),2),7)+7*(N131-1)+L131,NA()),NA())))),NA())</f>
        <v>47112</v>
      </c>
      <c r="X131" s="14">
        <f t="shared" si="1"/>
        <v>47112</v>
      </c>
      <c r="Y131" s="10" t="s">
        <v>904</v>
      </c>
      <c r="Z131" s="10" t="s">
        <v>767</v>
      </c>
      <c r="AA131" s="24" t="s">
        <v>768</v>
      </c>
    </row>
    <row r="132" spans="1:27" ht="44" customHeight="1">
      <c r="A132" s="11" t="s">
        <v>203</v>
      </c>
      <c r="B132" s="11" t="s">
        <v>190</v>
      </c>
      <c r="C132" s="11" t="s">
        <v>905</v>
      </c>
      <c r="D132" s="26" t="s">
        <v>906</v>
      </c>
      <c r="E132" s="26" t="s">
        <v>907</v>
      </c>
      <c r="F132" s="27"/>
      <c r="G132" s="27"/>
      <c r="H132" s="11" t="s">
        <v>823</v>
      </c>
      <c r="I132" s="11" t="s">
        <v>762</v>
      </c>
      <c r="J132" s="30">
        <v>1</v>
      </c>
      <c r="K132" s="30">
        <v>2</v>
      </c>
      <c r="L132" s="26"/>
      <c r="M132" s="26"/>
      <c r="N132" s="26"/>
      <c r="O132" s="31">
        <v>46023</v>
      </c>
      <c r="P132" s="31"/>
      <c r="Q132" s="26">
        <v>100</v>
      </c>
      <c r="R132" s="26" t="s">
        <v>69</v>
      </c>
      <c r="S132" s="11"/>
      <c r="T132" s="11" t="s">
        <v>764</v>
      </c>
      <c r="U132" s="11"/>
      <c r="V132" s="11" t="s">
        <v>824</v>
      </c>
      <c r="W132" s="15">
        <f>IF(AND(ISNUMBER(Übersicht!$B$4),Übersicht!$B$4=INT(Übersicht!$B$4),Übersicht!$B$4&gt;=2026,Übersicht!$B$4&lt;=2028),IF(I132="fixedMonthDay",IF(AND(ISNUMBER(J132),J132=INT(J132),J132&gt;=1,J132&lt;=12,ISNUMBER(K132),K132=INT(K132),K132&gt;=1,K132&lt;=31,MONTH(DATE(Übersicht!$B$4,J132,K132))=J132,DAY(DATE(Übersicht!$B$4,J132,K132))=K132,L132="",M132="",N132=""),DATE(Übersicht!$B$4,J132,K132),NA()),IF(I132="easterOffsetDays",IF(AND(ISNUMBER(L132),L132=INT(L132),L132&gt;=-366,L132&lt;=366,J132="",K132="",M132="",N132=""),$AD$23+L132,NA()),IF(I132="nthWeekdayOfMonth",IF(AND(ISNUMBER(J132),J132=INT(J132),J132&gt;=1,J132&lt;=12,ISNUMBER(M132),M132=INT(M132),M132&gt;=1,M132&lt;=7,ISNUMBER(N132),N132=INT(N132),N132&gt;=1,N132&lt;=5,MONTH(DATE(Übersicht!$B$4,J132,1)+MOD(M132-WEEKDAY(DATE(Übersicht!$B$4,J132,1),2),7)+7*(N132-1))=J132,K132="",L132=""),DATE(Übersicht!$B$4,J132,1)+MOD(M132-WEEKDAY(DATE(Übersicht!$B$4,J132,1),2),7)+7*(N132-1),NA()),IF(I132="nthWeekdayOffsetDays",IF(AND(ISNUMBER(J132),J132=INT(J132),J132&gt;=1,J132&lt;=12,ISNUMBER(M132),M132=INT(M132),M132&gt;=1,M132&lt;=7,ISNUMBER(N132),N132=INT(N132),N132&gt;=1,N132&lt;=5,MONTH(DATE(Übersicht!$B$4,J132,1)+MOD(M132-WEEKDAY(DATE(Übersicht!$B$4,J132,1),2),7)+7*(N132-1))=J132,K132="",ISNUMBER(L132),L132=INT(L132),L132&gt;=-366,L132&lt;=366),DATE(Übersicht!$B$4,J132,1)+MOD(M132-WEEKDAY(DATE(Übersicht!$B$4,J132,1),2),7)+7*(N132-1)+L132,NA()),NA())))),NA())</f>
        <v>46754</v>
      </c>
      <c r="X132" s="15">
        <f t="shared" si="1"/>
        <v>46754</v>
      </c>
      <c r="Y132" s="11" t="s">
        <v>908</v>
      </c>
      <c r="Z132" s="11" t="s">
        <v>909</v>
      </c>
      <c r="AA132" s="26" t="s">
        <v>768</v>
      </c>
    </row>
    <row r="133" spans="1:27" ht="44" customHeight="1">
      <c r="A133" s="10" t="s">
        <v>204</v>
      </c>
      <c r="B133" s="10" t="s">
        <v>190</v>
      </c>
      <c r="C133" s="10" t="s">
        <v>905</v>
      </c>
      <c r="D133" s="24" t="s">
        <v>787</v>
      </c>
      <c r="E133" s="24" t="s">
        <v>788</v>
      </c>
      <c r="F133" s="25" t="s">
        <v>860</v>
      </c>
      <c r="G133" s="25" t="s">
        <v>861</v>
      </c>
      <c r="H133" s="10" t="s">
        <v>823</v>
      </c>
      <c r="I133" s="10" t="s">
        <v>781</v>
      </c>
      <c r="J133" s="28"/>
      <c r="K133" s="28"/>
      <c r="L133" s="24">
        <v>1</v>
      </c>
      <c r="M133" s="24"/>
      <c r="N133" s="24"/>
      <c r="O133" s="29">
        <v>46023</v>
      </c>
      <c r="P133" s="29"/>
      <c r="Q133" s="24">
        <v>100</v>
      </c>
      <c r="R133" s="24" t="s">
        <v>69</v>
      </c>
      <c r="S133" s="10"/>
      <c r="T133" s="10" t="s">
        <v>764</v>
      </c>
      <c r="U133" s="10"/>
      <c r="V133" s="10" t="s">
        <v>824</v>
      </c>
      <c r="W133" s="14">
        <f>IF(AND(ISNUMBER(Übersicht!$B$4),Übersicht!$B$4=INT(Übersicht!$B$4),Übersicht!$B$4&gt;=2026,Übersicht!$B$4&lt;=2028),IF(I133="fixedMonthDay",IF(AND(ISNUMBER(J133),J133=INT(J133),J133&gt;=1,J133&lt;=12,ISNUMBER(K133),K133=INT(K133),K133&gt;=1,K133&lt;=31,MONTH(DATE(Übersicht!$B$4,J133,K133))=J133,DAY(DATE(Übersicht!$B$4,J133,K133))=K133,L133="",M133="",N133=""),DATE(Übersicht!$B$4,J133,K133),NA()),IF(I133="easterOffsetDays",IF(AND(ISNUMBER(L133),L133=INT(L133),L133&gt;=-366,L133&lt;=366,J133="",K133="",M133="",N133=""),$AD$23+L133,NA()),IF(I133="nthWeekdayOfMonth",IF(AND(ISNUMBER(J133),J133=INT(J133),J133&gt;=1,J133&lt;=12,ISNUMBER(M133),M133=INT(M133),M133&gt;=1,M133&lt;=7,ISNUMBER(N133),N133=INT(N133),N133&gt;=1,N133&lt;=5,MONTH(DATE(Übersicht!$B$4,J133,1)+MOD(M133-WEEKDAY(DATE(Übersicht!$B$4,J133,1),2),7)+7*(N133-1))=J133,K133="",L133=""),DATE(Übersicht!$B$4,J133,1)+MOD(M133-WEEKDAY(DATE(Übersicht!$B$4,J133,1),2),7)+7*(N133-1),NA()),IF(I133="nthWeekdayOffsetDays",IF(AND(ISNUMBER(J133),J133=INT(J133),J133&gt;=1,J133&lt;=12,ISNUMBER(M133),M133=INT(M133),M133&gt;=1,M133&lt;=7,ISNUMBER(N133),N133=INT(N133),N133&gt;=1,N133&lt;=5,MONTH(DATE(Übersicht!$B$4,J133,1)+MOD(M133-WEEKDAY(DATE(Übersicht!$B$4,J133,1),2),7)+7*(N133-1))=J133,K133="",ISNUMBER(L133),L133=INT(L133),L133&gt;=-366,L133&lt;=366),DATE(Übersicht!$B$4,J133,1)+MOD(M133-WEEKDAY(DATE(Übersicht!$B$4,J133,1),2),7)+7*(N133-1)+L133,NA()),NA())))),NA())</f>
        <v>46860</v>
      </c>
      <c r="X133" s="14">
        <f t="shared" si="1"/>
        <v>46860</v>
      </c>
      <c r="Y133" s="10" t="s">
        <v>908</v>
      </c>
      <c r="Z133" s="10" t="s">
        <v>909</v>
      </c>
      <c r="AA133" s="24" t="s">
        <v>768</v>
      </c>
    </row>
    <row r="134" spans="1:27" ht="44" customHeight="1">
      <c r="A134" s="11" t="s">
        <v>205</v>
      </c>
      <c r="B134" s="11" t="s">
        <v>190</v>
      </c>
      <c r="C134" s="11" t="s">
        <v>905</v>
      </c>
      <c r="D134" s="26" t="s">
        <v>796</v>
      </c>
      <c r="E134" s="26" t="s">
        <v>797</v>
      </c>
      <c r="F134" s="27" t="s">
        <v>866</v>
      </c>
      <c r="G134" s="27" t="s">
        <v>867</v>
      </c>
      <c r="H134" s="11" t="s">
        <v>823</v>
      </c>
      <c r="I134" s="11" t="s">
        <v>781</v>
      </c>
      <c r="J134" s="30"/>
      <c r="K134" s="30"/>
      <c r="L134" s="26">
        <v>50</v>
      </c>
      <c r="M134" s="26"/>
      <c r="N134" s="26"/>
      <c r="O134" s="31">
        <v>46023</v>
      </c>
      <c r="P134" s="31"/>
      <c r="Q134" s="26">
        <v>100</v>
      </c>
      <c r="R134" s="26" t="s">
        <v>69</v>
      </c>
      <c r="S134" s="11"/>
      <c r="T134" s="11" t="s">
        <v>764</v>
      </c>
      <c r="U134" s="11"/>
      <c r="V134" s="11" t="s">
        <v>824</v>
      </c>
      <c r="W134" s="15">
        <f>IF(AND(ISNUMBER(Übersicht!$B$4),Übersicht!$B$4=INT(Übersicht!$B$4),Übersicht!$B$4&gt;=2026,Übersicht!$B$4&lt;=2028),IF(I134="fixedMonthDay",IF(AND(ISNUMBER(J134),J134=INT(J134),J134&gt;=1,J134&lt;=12,ISNUMBER(K134),K134=INT(K134),K134&gt;=1,K134&lt;=31,MONTH(DATE(Übersicht!$B$4,J134,K134))=J134,DAY(DATE(Übersicht!$B$4,J134,K134))=K134,L134="",M134="",N134=""),DATE(Übersicht!$B$4,J134,K134),NA()),IF(I134="easterOffsetDays",IF(AND(ISNUMBER(L134),L134=INT(L134),L134&gt;=-366,L134&lt;=366,J134="",K134="",M134="",N134=""),$AD$23+L134,NA()),IF(I134="nthWeekdayOfMonth",IF(AND(ISNUMBER(J134),J134=INT(J134),J134&gt;=1,J134&lt;=12,ISNUMBER(M134),M134=INT(M134),M134&gt;=1,M134&lt;=7,ISNUMBER(N134),N134=INT(N134),N134&gt;=1,N134&lt;=5,MONTH(DATE(Übersicht!$B$4,J134,1)+MOD(M134-WEEKDAY(DATE(Übersicht!$B$4,J134,1),2),7)+7*(N134-1))=J134,K134="",L134=""),DATE(Übersicht!$B$4,J134,1)+MOD(M134-WEEKDAY(DATE(Übersicht!$B$4,J134,1),2),7)+7*(N134-1),NA()),IF(I134="nthWeekdayOffsetDays",IF(AND(ISNUMBER(J134),J134=INT(J134),J134&gt;=1,J134&lt;=12,ISNUMBER(M134),M134=INT(M134),M134&gt;=1,M134&lt;=7,ISNUMBER(N134),N134=INT(N134),N134&gt;=1,N134&lt;=5,MONTH(DATE(Übersicht!$B$4,J134,1)+MOD(M134-WEEKDAY(DATE(Übersicht!$B$4,J134,1),2),7)+7*(N134-1))=J134,K134="",ISNUMBER(L134),L134=INT(L134),L134&gt;=-366,L134&lt;=366),DATE(Übersicht!$B$4,J134,1)+MOD(M134-WEEKDAY(DATE(Übersicht!$B$4,J134,1),2),7)+7*(N134-1)+L134,NA()),NA())))),NA())</f>
        <v>46909</v>
      </c>
      <c r="X134" s="15">
        <f t="shared" si="1"/>
        <v>46909</v>
      </c>
      <c r="Y134" s="11" t="s">
        <v>908</v>
      </c>
      <c r="Z134" s="11" t="s">
        <v>909</v>
      </c>
      <c r="AA134" s="26" t="s">
        <v>768</v>
      </c>
    </row>
    <row r="135" spans="1:27" ht="44" customHeight="1">
      <c r="A135" s="10" t="s">
        <v>206</v>
      </c>
      <c r="B135" s="10" t="s">
        <v>190</v>
      </c>
      <c r="C135" s="10" t="s">
        <v>905</v>
      </c>
      <c r="D135" s="24" t="s">
        <v>910</v>
      </c>
      <c r="E135" s="24" t="s">
        <v>911</v>
      </c>
      <c r="F135" s="25" t="s">
        <v>884</v>
      </c>
      <c r="G135" s="25" t="s">
        <v>885</v>
      </c>
      <c r="H135" s="10" t="s">
        <v>823</v>
      </c>
      <c r="I135" s="10" t="s">
        <v>762</v>
      </c>
      <c r="J135" s="28">
        <v>12</v>
      </c>
      <c r="K135" s="28">
        <v>26</v>
      </c>
      <c r="L135" s="24"/>
      <c r="M135" s="24"/>
      <c r="N135" s="24"/>
      <c r="O135" s="29">
        <v>46023</v>
      </c>
      <c r="P135" s="29"/>
      <c r="Q135" s="24">
        <v>100</v>
      </c>
      <c r="R135" s="24" t="s">
        <v>69</v>
      </c>
      <c r="S135" s="10"/>
      <c r="T135" s="10" t="s">
        <v>764</v>
      </c>
      <c r="U135" s="10"/>
      <c r="V135" s="10" t="s">
        <v>824</v>
      </c>
      <c r="W135" s="14">
        <f>IF(AND(ISNUMBER(Übersicht!$B$4),Übersicht!$B$4=INT(Übersicht!$B$4),Übersicht!$B$4&gt;=2026,Übersicht!$B$4&lt;=2028),IF(I135="fixedMonthDay",IF(AND(ISNUMBER(J135),J135=INT(J135),J135&gt;=1,J135&lt;=12,ISNUMBER(K135),K135=INT(K135),K135&gt;=1,K135&lt;=31,MONTH(DATE(Übersicht!$B$4,J135,K135))=J135,DAY(DATE(Übersicht!$B$4,J135,K135))=K135,L135="",M135="",N135=""),DATE(Übersicht!$B$4,J135,K135),NA()),IF(I135="easterOffsetDays",IF(AND(ISNUMBER(L135),L135=INT(L135),L135&gt;=-366,L135&lt;=366,J135="",K135="",M135="",N135=""),$AD$23+L135,NA()),IF(I135="nthWeekdayOfMonth",IF(AND(ISNUMBER(J135),J135=INT(J135),J135&gt;=1,J135&lt;=12,ISNUMBER(M135),M135=INT(M135),M135&gt;=1,M135&lt;=7,ISNUMBER(N135),N135=INT(N135),N135&gt;=1,N135&lt;=5,MONTH(DATE(Übersicht!$B$4,J135,1)+MOD(M135-WEEKDAY(DATE(Übersicht!$B$4,J135,1),2),7)+7*(N135-1))=J135,K135="",L135=""),DATE(Übersicht!$B$4,J135,1)+MOD(M135-WEEKDAY(DATE(Übersicht!$B$4,J135,1),2),7)+7*(N135-1),NA()),IF(I135="nthWeekdayOffsetDays",IF(AND(ISNUMBER(J135),J135=INT(J135),J135&gt;=1,J135&lt;=12,ISNUMBER(M135),M135=INT(M135),M135&gt;=1,M135&lt;=7,ISNUMBER(N135),N135=INT(N135),N135&gt;=1,N135&lt;=5,MONTH(DATE(Übersicht!$B$4,J135,1)+MOD(M135-WEEKDAY(DATE(Übersicht!$B$4,J135,1),2),7)+7*(N135-1))=J135,K135="",ISNUMBER(L135),L135=INT(L135),L135&gt;=-366,L135&lt;=366),DATE(Übersicht!$B$4,J135,1)+MOD(M135-WEEKDAY(DATE(Übersicht!$B$4,J135,1),2),7)+7*(N135-1)+L135,NA()),NA())))),NA())</f>
        <v>47113</v>
      </c>
      <c r="X135" s="14">
        <f t="shared" ref="X135:X198" si="2">IF(AND(ISNUMBER(O135),O135=INT(O135),O135&gt;=-115780,O135&lt;=2958465,OR(P135="",AND(ISNUMBER(P135),P135=INT(P135),P135&gt;=-115780,P135&lt;=2958465,P135&gt;=O135)),OR(AA135="Ganztägig",AA135="Ab 12.00 Uhr")),IF(AND(W135&gt;=O135,OR(P135="",W135&lt;=P135)),W135,"Ausserhalb Geltung"),NA())</f>
        <v>47113</v>
      </c>
      <c r="Y135" s="10" t="s">
        <v>908</v>
      </c>
      <c r="Z135" s="10" t="s">
        <v>909</v>
      </c>
      <c r="AA135" s="24" t="s">
        <v>768</v>
      </c>
    </row>
    <row r="136" spans="1:27" ht="44" customHeight="1">
      <c r="A136" s="11" t="s">
        <v>209</v>
      </c>
      <c r="B136" s="11" t="s">
        <v>207</v>
      </c>
      <c r="C136" s="11" t="s">
        <v>912</v>
      </c>
      <c r="D136" s="26" t="s">
        <v>771</v>
      </c>
      <c r="E136" s="26" t="s">
        <v>772</v>
      </c>
      <c r="F136" s="27" t="s">
        <v>849</v>
      </c>
      <c r="G136" s="27" t="s">
        <v>850</v>
      </c>
      <c r="H136" s="11" t="s">
        <v>812</v>
      </c>
      <c r="I136" s="11" t="s">
        <v>762</v>
      </c>
      <c r="J136" s="30">
        <v>1</v>
      </c>
      <c r="K136" s="30">
        <v>1</v>
      </c>
      <c r="L136" s="26"/>
      <c r="M136" s="26"/>
      <c r="N136" s="26"/>
      <c r="O136" s="31">
        <v>46023</v>
      </c>
      <c r="P136" s="31"/>
      <c r="Q136" s="26">
        <v>100</v>
      </c>
      <c r="R136" s="26" t="s">
        <v>69</v>
      </c>
      <c r="S136" s="11"/>
      <c r="T136" s="11" t="s">
        <v>764</v>
      </c>
      <c r="U136" s="11"/>
      <c r="V136" s="11" t="s">
        <v>824</v>
      </c>
      <c r="W136" s="15">
        <f>IF(AND(ISNUMBER(Übersicht!$B$4),Übersicht!$B$4=INT(Übersicht!$B$4),Übersicht!$B$4&gt;=2026,Übersicht!$B$4&lt;=2028),IF(I136="fixedMonthDay",IF(AND(ISNUMBER(J136),J136=INT(J136),J136&gt;=1,J136&lt;=12,ISNUMBER(K136),K136=INT(K136),K136&gt;=1,K136&lt;=31,MONTH(DATE(Übersicht!$B$4,J136,K136))=J136,DAY(DATE(Übersicht!$B$4,J136,K136))=K136,L136="",M136="",N136=""),DATE(Übersicht!$B$4,J136,K136),NA()),IF(I136="easterOffsetDays",IF(AND(ISNUMBER(L136),L136=INT(L136),L136&gt;=-366,L136&lt;=366,J136="",K136="",M136="",N136=""),$AD$23+L136,NA()),IF(I136="nthWeekdayOfMonth",IF(AND(ISNUMBER(J136),J136=INT(J136),J136&gt;=1,J136&lt;=12,ISNUMBER(M136),M136=INT(M136),M136&gt;=1,M136&lt;=7,ISNUMBER(N136),N136=INT(N136),N136&gt;=1,N136&lt;=5,MONTH(DATE(Übersicht!$B$4,J136,1)+MOD(M136-WEEKDAY(DATE(Übersicht!$B$4,J136,1),2),7)+7*(N136-1))=J136,K136="",L136=""),DATE(Übersicht!$B$4,J136,1)+MOD(M136-WEEKDAY(DATE(Übersicht!$B$4,J136,1),2),7)+7*(N136-1),NA()),IF(I136="nthWeekdayOffsetDays",IF(AND(ISNUMBER(J136),J136=INT(J136),J136&gt;=1,J136&lt;=12,ISNUMBER(M136),M136=INT(M136),M136&gt;=1,M136&lt;=7,ISNUMBER(N136),N136=INT(N136),N136&gt;=1,N136&lt;=5,MONTH(DATE(Übersicht!$B$4,J136,1)+MOD(M136-WEEKDAY(DATE(Übersicht!$B$4,J136,1),2),7)+7*(N136-1))=J136,K136="",ISNUMBER(L136),L136=INT(L136),L136&gt;=-366,L136&lt;=366),DATE(Übersicht!$B$4,J136,1)+MOD(M136-WEEKDAY(DATE(Übersicht!$B$4,J136,1),2),7)+7*(N136-1)+L136,NA()),NA())))),NA())</f>
        <v>46753</v>
      </c>
      <c r="X136" s="15">
        <f t="shared" si="2"/>
        <v>46753</v>
      </c>
      <c r="Y136" s="11" t="s">
        <v>913</v>
      </c>
      <c r="Z136" s="11" t="s">
        <v>914</v>
      </c>
      <c r="AA136" s="26" t="s">
        <v>768</v>
      </c>
    </row>
    <row r="137" spans="1:27" ht="44" customHeight="1">
      <c r="A137" s="10" t="s">
        <v>210</v>
      </c>
      <c r="B137" s="10" t="s">
        <v>207</v>
      </c>
      <c r="C137" s="10" t="s">
        <v>912</v>
      </c>
      <c r="D137" s="24" t="s">
        <v>779</v>
      </c>
      <c r="E137" s="24" t="s">
        <v>780</v>
      </c>
      <c r="F137" s="25" t="s">
        <v>889</v>
      </c>
      <c r="G137" s="25" t="s">
        <v>890</v>
      </c>
      <c r="H137" s="10" t="s">
        <v>812</v>
      </c>
      <c r="I137" s="10" t="s">
        <v>781</v>
      </c>
      <c r="J137" s="28"/>
      <c r="K137" s="28"/>
      <c r="L137" s="24">
        <v>-2</v>
      </c>
      <c r="M137" s="24"/>
      <c r="N137" s="24"/>
      <c r="O137" s="29">
        <v>46023</v>
      </c>
      <c r="P137" s="29"/>
      <c r="Q137" s="24">
        <v>100</v>
      </c>
      <c r="R137" s="24" t="s">
        <v>69</v>
      </c>
      <c r="S137" s="10"/>
      <c r="T137" s="10" t="s">
        <v>764</v>
      </c>
      <c r="U137" s="10"/>
      <c r="V137" s="10" t="s">
        <v>824</v>
      </c>
      <c r="W137" s="14">
        <f>IF(AND(ISNUMBER(Übersicht!$B$4),Übersicht!$B$4=INT(Übersicht!$B$4),Übersicht!$B$4&gt;=2026,Übersicht!$B$4&lt;=2028),IF(I137="fixedMonthDay",IF(AND(ISNUMBER(J137),J137=INT(J137),J137&gt;=1,J137&lt;=12,ISNUMBER(K137),K137=INT(K137),K137&gt;=1,K137&lt;=31,MONTH(DATE(Übersicht!$B$4,J137,K137))=J137,DAY(DATE(Übersicht!$B$4,J137,K137))=K137,L137="",M137="",N137=""),DATE(Übersicht!$B$4,J137,K137),NA()),IF(I137="easterOffsetDays",IF(AND(ISNUMBER(L137),L137=INT(L137),L137&gt;=-366,L137&lt;=366,J137="",K137="",M137="",N137=""),$AD$23+L137,NA()),IF(I137="nthWeekdayOfMonth",IF(AND(ISNUMBER(J137),J137=INT(J137),J137&gt;=1,J137&lt;=12,ISNUMBER(M137),M137=INT(M137),M137&gt;=1,M137&lt;=7,ISNUMBER(N137),N137=INT(N137),N137&gt;=1,N137&lt;=5,MONTH(DATE(Übersicht!$B$4,J137,1)+MOD(M137-WEEKDAY(DATE(Übersicht!$B$4,J137,1),2),7)+7*(N137-1))=J137,K137="",L137=""),DATE(Übersicht!$B$4,J137,1)+MOD(M137-WEEKDAY(DATE(Übersicht!$B$4,J137,1),2),7)+7*(N137-1),NA()),IF(I137="nthWeekdayOffsetDays",IF(AND(ISNUMBER(J137),J137=INT(J137),J137&gt;=1,J137&lt;=12,ISNUMBER(M137),M137=INT(M137),M137&gt;=1,M137&lt;=7,ISNUMBER(N137),N137=INT(N137),N137&gt;=1,N137&lt;=5,MONTH(DATE(Übersicht!$B$4,J137,1)+MOD(M137-WEEKDAY(DATE(Übersicht!$B$4,J137,1),2),7)+7*(N137-1))=J137,K137="",ISNUMBER(L137),L137=INT(L137),L137&gt;=-366,L137&lt;=366),DATE(Übersicht!$B$4,J137,1)+MOD(M137-WEEKDAY(DATE(Übersicht!$B$4,J137,1),2),7)+7*(N137-1)+L137,NA()),NA())))),NA())</f>
        <v>46857</v>
      </c>
      <c r="X137" s="14">
        <f t="shared" si="2"/>
        <v>46857</v>
      </c>
      <c r="Y137" s="10" t="s">
        <v>913</v>
      </c>
      <c r="Z137" s="10" t="s">
        <v>914</v>
      </c>
      <c r="AA137" s="24" t="s">
        <v>768</v>
      </c>
    </row>
    <row r="138" spans="1:27" ht="44" customHeight="1">
      <c r="A138" s="11" t="s">
        <v>211</v>
      </c>
      <c r="B138" s="11" t="s">
        <v>207</v>
      </c>
      <c r="C138" s="11" t="s">
        <v>912</v>
      </c>
      <c r="D138" s="26" t="s">
        <v>790</v>
      </c>
      <c r="E138" s="26" t="s">
        <v>791</v>
      </c>
      <c r="F138" s="27" t="s">
        <v>864</v>
      </c>
      <c r="G138" s="27" t="s">
        <v>865</v>
      </c>
      <c r="H138" s="11" t="s">
        <v>812</v>
      </c>
      <c r="I138" s="11" t="s">
        <v>781</v>
      </c>
      <c r="J138" s="30"/>
      <c r="K138" s="30"/>
      <c r="L138" s="26">
        <v>39</v>
      </c>
      <c r="M138" s="26"/>
      <c r="N138" s="26"/>
      <c r="O138" s="31">
        <v>46023</v>
      </c>
      <c r="P138" s="31"/>
      <c r="Q138" s="26">
        <v>100</v>
      </c>
      <c r="R138" s="26" t="s">
        <v>69</v>
      </c>
      <c r="S138" s="11"/>
      <c r="T138" s="11" t="s">
        <v>764</v>
      </c>
      <c r="U138" s="11"/>
      <c r="V138" s="11" t="s">
        <v>824</v>
      </c>
      <c r="W138" s="15">
        <f>IF(AND(ISNUMBER(Übersicht!$B$4),Übersicht!$B$4=INT(Übersicht!$B$4),Übersicht!$B$4&gt;=2026,Übersicht!$B$4&lt;=2028),IF(I138="fixedMonthDay",IF(AND(ISNUMBER(J138),J138=INT(J138),J138&gt;=1,J138&lt;=12,ISNUMBER(K138),K138=INT(K138),K138&gt;=1,K138&lt;=31,MONTH(DATE(Übersicht!$B$4,J138,K138))=J138,DAY(DATE(Übersicht!$B$4,J138,K138))=K138,L138="",M138="",N138=""),DATE(Übersicht!$B$4,J138,K138),NA()),IF(I138="easterOffsetDays",IF(AND(ISNUMBER(L138),L138=INT(L138),L138&gt;=-366,L138&lt;=366,J138="",K138="",M138="",N138=""),$AD$23+L138,NA()),IF(I138="nthWeekdayOfMonth",IF(AND(ISNUMBER(J138),J138=INT(J138),J138&gt;=1,J138&lt;=12,ISNUMBER(M138),M138=INT(M138),M138&gt;=1,M138&lt;=7,ISNUMBER(N138),N138=INT(N138),N138&gt;=1,N138&lt;=5,MONTH(DATE(Übersicht!$B$4,J138,1)+MOD(M138-WEEKDAY(DATE(Übersicht!$B$4,J138,1),2),7)+7*(N138-1))=J138,K138="",L138=""),DATE(Übersicht!$B$4,J138,1)+MOD(M138-WEEKDAY(DATE(Übersicht!$B$4,J138,1),2),7)+7*(N138-1),NA()),IF(I138="nthWeekdayOffsetDays",IF(AND(ISNUMBER(J138),J138=INT(J138),J138&gt;=1,J138&lt;=12,ISNUMBER(M138),M138=INT(M138),M138&gt;=1,M138&lt;=7,ISNUMBER(N138),N138=INT(N138),N138&gt;=1,N138&lt;=5,MONTH(DATE(Übersicht!$B$4,J138,1)+MOD(M138-WEEKDAY(DATE(Übersicht!$B$4,J138,1),2),7)+7*(N138-1))=J138,K138="",ISNUMBER(L138),L138=INT(L138),L138&gt;=-366,L138&lt;=366),DATE(Übersicht!$B$4,J138,1)+MOD(M138-WEEKDAY(DATE(Übersicht!$B$4,J138,1),2),7)+7*(N138-1)+L138,NA()),NA())))),NA())</f>
        <v>46898</v>
      </c>
      <c r="X138" s="15">
        <f t="shared" si="2"/>
        <v>46898</v>
      </c>
      <c r="Y138" s="11" t="s">
        <v>913</v>
      </c>
      <c r="Z138" s="11" t="s">
        <v>914</v>
      </c>
      <c r="AA138" s="26" t="s">
        <v>768</v>
      </c>
    </row>
    <row r="139" spans="1:27" ht="44" customHeight="1">
      <c r="A139" s="10" t="s">
        <v>212</v>
      </c>
      <c r="B139" s="10" t="s">
        <v>207</v>
      </c>
      <c r="C139" s="10" t="s">
        <v>912</v>
      </c>
      <c r="D139" s="24" t="s">
        <v>810</v>
      </c>
      <c r="E139" s="24" t="s">
        <v>811</v>
      </c>
      <c r="F139" s="25" t="s">
        <v>868</v>
      </c>
      <c r="G139" s="25" t="s">
        <v>869</v>
      </c>
      <c r="H139" s="10" t="s">
        <v>812</v>
      </c>
      <c r="I139" s="10" t="s">
        <v>781</v>
      </c>
      <c r="J139" s="28"/>
      <c r="K139" s="28"/>
      <c r="L139" s="24">
        <v>60</v>
      </c>
      <c r="M139" s="24"/>
      <c r="N139" s="24"/>
      <c r="O139" s="29">
        <v>46023</v>
      </c>
      <c r="P139" s="29"/>
      <c r="Q139" s="24">
        <v>100</v>
      </c>
      <c r="R139" s="24" t="s">
        <v>69</v>
      </c>
      <c r="S139" s="10"/>
      <c r="T139" s="10" t="s">
        <v>764</v>
      </c>
      <c r="U139" s="10"/>
      <c r="V139" s="10" t="s">
        <v>824</v>
      </c>
      <c r="W139" s="14">
        <f>IF(AND(ISNUMBER(Übersicht!$B$4),Übersicht!$B$4=INT(Übersicht!$B$4),Übersicht!$B$4&gt;=2026,Übersicht!$B$4&lt;=2028),IF(I139="fixedMonthDay",IF(AND(ISNUMBER(J139),J139=INT(J139),J139&gt;=1,J139&lt;=12,ISNUMBER(K139),K139=INT(K139),K139&gt;=1,K139&lt;=31,MONTH(DATE(Übersicht!$B$4,J139,K139))=J139,DAY(DATE(Übersicht!$B$4,J139,K139))=K139,L139="",M139="",N139=""),DATE(Übersicht!$B$4,J139,K139),NA()),IF(I139="easterOffsetDays",IF(AND(ISNUMBER(L139),L139=INT(L139),L139&gt;=-366,L139&lt;=366,J139="",K139="",M139="",N139=""),$AD$23+L139,NA()),IF(I139="nthWeekdayOfMonth",IF(AND(ISNUMBER(J139),J139=INT(J139),J139&gt;=1,J139&lt;=12,ISNUMBER(M139),M139=INT(M139),M139&gt;=1,M139&lt;=7,ISNUMBER(N139),N139=INT(N139),N139&gt;=1,N139&lt;=5,MONTH(DATE(Übersicht!$B$4,J139,1)+MOD(M139-WEEKDAY(DATE(Übersicht!$B$4,J139,1),2),7)+7*(N139-1))=J139,K139="",L139=""),DATE(Übersicht!$B$4,J139,1)+MOD(M139-WEEKDAY(DATE(Übersicht!$B$4,J139,1),2),7)+7*(N139-1),NA()),IF(I139="nthWeekdayOffsetDays",IF(AND(ISNUMBER(J139),J139=INT(J139),J139&gt;=1,J139&lt;=12,ISNUMBER(M139),M139=INT(M139),M139&gt;=1,M139&lt;=7,ISNUMBER(N139),N139=INT(N139),N139&gt;=1,N139&lt;=5,MONTH(DATE(Übersicht!$B$4,J139,1)+MOD(M139-WEEKDAY(DATE(Übersicht!$B$4,J139,1),2),7)+7*(N139-1))=J139,K139="",ISNUMBER(L139),L139=INT(L139),L139&gt;=-366,L139&lt;=366),DATE(Übersicht!$B$4,J139,1)+MOD(M139-WEEKDAY(DATE(Übersicht!$B$4,J139,1),2),7)+7*(N139-1)+L139,NA()),NA())))),NA())</f>
        <v>46919</v>
      </c>
      <c r="X139" s="14">
        <f t="shared" si="2"/>
        <v>46919</v>
      </c>
      <c r="Y139" s="10" t="s">
        <v>913</v>
      </c>
      <c r="Z139" s="10" t="s">
        <v>915</v>
      </c>
      <c r="AA139" s="24" t="s">
        <v>768</v>
      </c>
    </row>
    <row r="140" spans="1:27" ht="44" customHeight="1">
      <c r="A140" s="11" t="s">
        <v>213</v>
      </c>
      <c r="B140" s="11" t="s">
        <v>207</v>
      </c>
      <c r="C140" s="11" t="s">
        <v>912</v>
      </c>
      <c r="D140" s="26" t="s">
        <v>759</v>
      </c>
      <c r="E140" s="26" t="s">
        <v>760</v>
      </c>
      <c r="F140" s="27" t="s">
        <v>874</v>
      </c>
      <c r="G140" s="27" t="s">
        <v>875</v>
      </c>
      <c r="H140" s="11" t="s">
        <v>761</v>
      </c>
      <c r="I140" s="11" t="s">
        <v>762</v>
      </c>
      <c r="J140" s="30">
        <v>8</v>
      </c>
      <c r="K140" s="30">
        <v>1</v>
      </c>
      <c r="L140" s="26"/>
      <c r="M140" s="26"/>
      <c r="N140" s="26"/>
      <c r="O140" s="31">
        <v>46023</v>
      </c>
      <c r="P140" s="31"/>
      <c r="Q140" s="26">
        <v>100</v>
      </c>
      <c r="R140" s="26" t="s">
        <v>69</v>
      </c>
      <c r="S140" s="11"/>
      <c r="T140" s="11" t="s">
        <v>764</v>
      </c>
      <c r="U140" s="11"/>
      <c r="V140" s="11" t="s">
        <v>824</v>
      </c>
      <c r="W140" s="15">
        <f>IF(AND(ISNUMBER(Übersicht!$B$4),Übersicht!$B$4=INT(Übersicht!$B$4),Übersicht!$B$4&gt;=2026,Übersicht!$B$4&lt;=2028),IF(I140="fixedMonthDay",IF(AND(ISNUMBER(J140),J140=INT(J140),J140&gt;=1,J140&lt;=12,ISNUMBER(K140),K140=INT(K140),K140&gt;=1,K140&lt;=31,MONTH(DATE(Übersicht!$B$4,J140,K140))=J140,DAY(DATE(Übersicht!$B$4,J140,K140))=K140,L140="",M140="",N140=""),DATE(Übersicht!$B$4,J140,K140),NA()),IF(I140="easterOffsetDays",IF(AND(ISNUMBER(L140),L140=INT(L140),L140&gt;=-366,L140&lt;=366,J140="",K140="",M140="",N140=""),$AD$23+L140,NA()),IF(I140="nthWeekdayOfMonth",IF(AND(ISNUMBER(J140),J140=INT(J140),J140&gt;=1,J140&lt;=12,ISNUMBER(M140),M140=INT(M140),M140&gt;=1,M140&lt;=7,ISNUMBER(N140),N140=INT(N140),N140&gt;=1,N140&lt;=5,MONTH(DATE(Übersicht!$B$4,J140,1)+MOD(M140-WEEKDAY(DATE(Übersicht!$B$4,J140,1),2),7)+7*(N140-1))=J140,K140="",L140=""),DATE(Übersicht!$B$4,J140,1)+MOD(M140-WEEKDAY(DATE(Übersicht!$B$4,J140,1),2),7)+7*(N140-1),NA()),IF(I140="nthWeekdayOffsetDays",IF(AND(ISNUMBER(J140),J140=INT(J140),J140&gt;=1,J140&lt;=12,ISNUMBER(M140),M140=INT(M140),M140&gt;=1,M140&lt;=7,ISNUMBER(N140),N140=INT(N140),N140&gt;=1,N140&lt;=5,MONTH(DATE(Übersicht!$B$4,J140,1)+MOD(M140-WEEKDAY(DATE(Übersicht!$B$4,J140,1),2),7)+7*(N140-1))=J140,K140="",ISNUMBER(L140),L140=INT(L140),L140&gt;=-366,L140&lt;=366),DATE(Übersicht!$B$4,J140,1)+MOD(M140-WEEKDAY(DATE(Übersicht!$B$4,J140,1),2),7)+7*(N140-1)+L140,NA()),NA())))),NA())</f>
        <v>46966</v>
      </c>
      <c r="X140" s="15">
        <f t="shared" si="2"/>
        <v>46966</v>
      </c>
      <c r="Y140" s="11" t="s">
        <v>766</v>
      </c>
      <c r="Z140" s="11" t="s">
        <v>916</v>
      </c>
      <c r="AA140" s="26" t="s">
        <v>768</v>
      </c>
    </row>
    <row r="141" spans="1:27" ht="44" customHeight="1">
      <c r="A141" s="10" t="s">
        <v>214</v>
      </c>
      <c r="B141" s="10" t="s">
        <v>207</v>
      </c>
      <c r="C141" s="10" t="s">
        <v>912</v>
      </c>
      <c r="D141" s="24" t="s">
        <v>834</v>
      </c>
      <c r="E141" s="24" t="s">
        <v>835</v>
      </c>
      <c r="F141" s="25" t="s">
        <v>876</v>
      </c>
      <c r="G141" s="25" t="s">
        <v>877</v>
      </c>
      <c r="H141" s="10" t="s">
        <v>812</v>
      </c>
      <c r="I141" s="10" t="s">
        <v>762</v>
      </c>
      <c r="J141" s="28">
        <v>8</v>
      </c>
      <c r="K141" s="28">
        <v>15</v>
      </c>
      <c r="L141" s="24"/>
      <c r="M141" s="24"/>
      <c r="N141" s="24"/>
      <c r="O141" s="29">
        <v>46023</v>
      </c>
      <c r="P141" s="29"/>
      <c r="Q141" s="24">
        <v>100</v>
      </c>
      <c r="R141" s="24" t="s">
        <v>69</v>
      </c>
      <c r="S141" s="10"/>
      <c r="T141" s="10" t="s">
        <v>764</v>
      </c>
      <c r="U141" s="10"/>
      <c r="V141" s="10" t="s">
        <v>824</v>
      </c>
      <c r="W141" s="14">
        <f>IF(AND(ISNUMBER(Übersicht!$B$4),Übersicht!$B$4=INT(Übersicht!$B$4),Übersicht!$B$4&gt;=2026,Übersicht!$B$4&lt;=2028),IF(I141="fixedMonthDay",IF(AND(ISNUMBER(J141),J141=INT(J141),J141&gt;=1,J141&lt;=12,ISNUMBER(K141),K141=INT(K141),K141&gt;=1,K141&lt;=31,MONTH(DATE(Übersicht!$B$4,J141,K141))=J141,DAY(DATE(Übersicht!$B$4,J141,K141))=K141,L141="",M141="",N141=""),DATE(Übersicht!$B$4,J141,K141),NA()),IF(I141="easterOffsetDays",IF(AND(ISNUMBER(L141),L141=INT(L141),L141&gt;=-366,L141&lt;=366,J141="",K141="",M141="",N141=""),$AD$23+L141,NA()),IF(I141="nthWeekdayOfMonth",IF(AND(ISNUMBER(J141),J141=INT(J141),J141&gt;=1,J141&lt;=12,ISNUMBER(M141),M141=INT(M141),M141&gt;=1,M141&lt;=7,ISNUMBER(N141),N141=INT(N141),N141&gt;=1,N141&lt;=5,MONTH(DATE(Übersicht!$B$4,J141,1)+MOD(M141-WEEKDAY(DATE(Übersicht!$B$4,J141,1),2),7)+7*(N141-1))=J141,K141="",L141=""),DATE(Übersicht!$B$4,J141,1)+MOD(M141-WEEKDAY(DATE(Übersicht!$B$4,J141,1),2),7)+7*(N141-1),NA()),IF(I141="nthWeekdayOffsetDays",IF(AND(ISNUMBER(J141),J141=INT(J141),J141&gt;=1,J141&lt;=12,ISNUMBER(M141),M141=INT(M141),M141&gt;=1,M141&lt;=7,ISNUMBER(N141),N141=INT(N141),N141&gt;=1,N141&lt;=5,MONTH(DATE(Übersicht!$B$4,J141,1)+MOD(M141-WEEKDAY(DATE(Übersicht!$B$4,J141,1),2),7)+7*(N141-1))=J141,K141="",ISNUMBER(L141),L141=INT(L141),L141&gt;=-366,L141&lt;=366),DATE(Übersicht!$B$4,J141,1)+MOD(M141-WEEKDAY(DATE(Übersicht!$B$4,J141,1),2),7)+7*(N141-1)+L141,NA()),NA())))),NA())</f>
        <v>46980</v>
      </c>
      <c r="X141" s="14">
        <f t="shared" si="2"/>
        <v>46980</v>
      </c>
      <c r="Y141" s="10" t="s">
        <v>913</v>
      </c>
      <c r="Z141" s="10" t="s">
        <v>915</v>
      </c>
      <c r="AA141" s="24" t="s">
        <v>768</v>
      </c>
    </row>
    <row r="142" spans="1:27" ht="44" customHeight="1">
      <c r="A142" s="11" t="s">
        <v>215</v>
      </c>
      <c r="B142" s="11" t="s">
        <v>207</v>
      </c>
      <c r="C142" s="11" t="s">
        <v>912</v>
      </c>
      <c r="D142" s="26" t="s">
        <v>821</v>
      </c>
      <c r="E142" s="26" t="s">
        <v>822</v>
      </c>
      <c r="F142" s="27" t="s">
        <v>878</v>
      </c>
      <c r="G142" s="27" t="s">
        <v>879</v>
      </c>
      <c r="H142" s="11" t="s">
        <v>812</v>
      </c>
      <c r="I142" s="11" t="s">
        <v>762</v>
      </c>
      <c r="J142" s="30">
        <v>11</v>
      </c>
      <c r="K142" s="30">
        <v>1</v>
      </c>
      <c r="L142" s="26"/>
      <c r="M142" s="26"/>
      <c r="N142" s="26"/>
      <c r="O142" s="31">
        <v>46023</v>
      </c>
      <c r="P142" s="31"/>
      <c r="Q142" s="26">
        <v>100</v>
      </c>
      <c r="R142" s="26" t="s">
        <v>69</v>
      </c>
      <c r="S142" s="11"/>
      <c r="T142" s="11" t="s">
        <v>764</v>
      </c>
      <c r="U142" s="11"/>
      <c r="V142" s="11" t="s">
        <v>824</v>
      </c>
      <c r="W142" s="15">
        <f>IF(AND(ISNUMBER(Übersicht!$B$4),Übersicht!$B$4=INT(Übersicht!$B$4),Übersicht!$B$4&gt;=2026,Übersicht!$B$4&lt;=2028),IF(I142="fixedMonthDay",IF(AND(ISNUMBER(J142),J142=INT(J142),J142&gt;=1,J142&lt;=12,ISNUMBER(K142),K142=INT(K142),K142&gt;=1,K142&lt;=31,MONTH(DATE(Übersicht!$B$4,J142,K142))=J142,DAY(DATE(Übersicht!$B$4,J142,K142))=K142,L142="",M142="",N142=""),DATE(Übersicht!$B$4,J142,K142),NA()),IF(I142="easterOffsetDays",IF(AND(ISNUMBER(L142),L142=INT(L142),L142&gt;=-366,L142&lt;=366,J142="",K142="",M142="",N142=""),$AD$23+L142,NA()),IF(I142="nthWeekdayOfMonth",IF(AND(ISNUMBER(J142),J142=INT(J142),J142&gt;=1,J142&lt;=12,ISNUMBER(M142),M142=INT(M142),M142&gt;=1,M142&lt;=7,ISNUMBER(N142),N142=INT(N142),N142&gt;=1,N142&lt;=5,MONTH(DATE(Übersicht!$B$4,J142,1)+MOD(M142-WEEKDAY(DATE(Übersicht!$B$4,J142,1),2),7)+7*(N142-1))=J142,K142="",L142=""),DATE(Übersicht!$B$4,J142,1)+MOD(M142-WEEKDAY(DATE(Übersicht!$B$4,J142,1),2),7)+7*(N142-1),NA()),IF(I142="nthWeekdayOffsetDays",IF(AND(ISNUMBER(J142),J142=INT(J142),J142&gt;=1,J142&lt;=12,ISNUMBER(M142),M142=INT(M142),M142&gt;=1,M142&lt;=7,ISNUMBER(N142),N142=INT(N142),N142&gt;=1,N142&lt;=5,MONTH(DATE(Übersicht!$B$4,J142,1)+MOD(M142-WEEKDAY(DATE(Übersicht!$B$4,J142,1),2),7)+7*(N142-1))=J142,K142="",ISNUMBER(L142),L142=INT(L142),L142&gt;=-366,L142&lt;=366),DATE(Übersicht!$B$4,J142,1)+MOD(M142-WEEKDAY(DATE(Übersicht!$B$4,J142,1),2),7)+7*(N142-1)+L142,NA()),NA())))),NA())</f>
        <v>47058</v>
      </c>
      <c r="X142" s="15">
        <f t="shared" si="2"/>
        <v>47058</v>
      </c>
      <c r="Y142" s="11" t="s">
        <v>913</v>
      </c>
      <c r="Z142" s="11" t="s">
        <v>915</v>
      </c>
      <c r="AA142" s="26" t="s">
        <v>768</v>
      </c>
    </row>
    <row r="143" spans="1:27" ht="44" customHeight="1">
      <c r="A143" s="10" t="s">
        <v>216</v>
      </c>
      <c r="B143" s="10" t="s">
        <v>207</v>
      </c>
      <c r="C143" s="10" t="s">
        <v>912</v>
      </c>
      <c r="D143" s="24" t="s">
        <v>838</v>
      </c>
      <c r="E143" s="24" t="s">
        <v>839</v>
      </c>
      <c r="F143" s="25" t="s">
        <v>880</v>
      </c>
      <c r="G143" s="25" t="s">
        <v>881</v>
      </c>
      <c r="H143" s="10" t="s">
        <v>812</v>
      </c>
      <c r="I143" s="10" t="s">
        <v>762</v>
      </c>
      <c r="J143" s="28">
        <v>12</v>
      </c>
      <c r="K143" s="28">
        <v>8</v>
      </c>
      <c r="L143" s="24"/>
      <c r="M143" s="24"/>
      <c r="N143" s="24"/>
      <c r="O143" s="29">
        <v>46023</v>
      </c>
      <c r="P143" s="29"/>
      <c r="Q143" s="24">
        <v>100</v>
      </c>
      <c r="R143" s="24" t="s">
        <v>69</v>
      </c>
      <c r="S143" s="10"/>
      <c r="T143" s="10" t="s">
        <v>764</v>
      </c>
      <c r="U143" s="10"/>
      <c r="V143" s="10" t="s">
        <v>824</v>
      </c>
      <c r="W143" s="14">
        <f>IF(AND(ISNUMBER(Übersicht!$B$4),Übersicht!$B$4=INT(Übersicht!$B$4),Übersicht!$B$4&gt;=2026,Übersicht!$B$4&lt;=2028),IF(I143="fixedMonthDay",IF(AND(ISNUMBER(J143),J143=INT(J143),J143&gt;=1,J143&lt;=12,ISNUMBER(K143),K143=INT(K143),K143&gt;=1,K143&lt;=31,MONTH(DATE(Übersicht!$B$4,J143,K143))=J143,DAY(DATE(Übersicht!$B$4,J143,K143))=K143,L143="",M143="",N143=""),DATE(Übersicht!$B$4,J143,K143),NA()),IF(I143="easterOffsetDays",IF(AND(ISNUMBER(L143),L143=INT(L143),L143&gt;=-366,L143&lt;=366,J143="",K143="",M143="",N143=""),$AD$23+L143,NA()),IF(I143="nthWeekdayOfMonth",IF(AND(ISNUMBER(J143),J143=INT(J143),J143&gt;=1,J143&lt;=12,ISNUMBER(M143),M143=INT(M143),M143&gt;=1,M143&lt;=7,ISNUMBER(N143),N143=INT(N143),N143&gt;=1,N143&lt;=5,MONTH(DATE(Übersicht!$B$4,J143,1)+MOD(M143-WEEKDAY(DATE(Übersicht!$B$4,J143,1),2),7)+7*(N143-1))=J143,K143="",L143=""),DATE(Übersicht!$B$4,J143,1)+MOD(M143-WEEKDAY(DATE(Übersicht!$B$4,J143,1),2),7)+7*(N143-1),NA()),IF(I143="nthWeekdayOffsetDays",IF(AND(ISNUMBER(J143),J143=INT(J143),J143&gt;=1,J143&lt;=12,ISNUMBER(M143),M143=INT(M143),M143&gt;=1,M143&lt;=7,ISNUMBER(N143),N143=INT(N143),N143&gt;=1,N143&lt;=5,MONTH(DATE(Übersicht!$B$4,J143,1)+MOD(M143-WEEKDAY(DATE(Übersicht!$B$4,J143,1),2),7)+7*(N143-1))=J143,K143="",ISNUMBER(L143),L143=INT(L143),L143&gt;=-366,L143&lt;=366),DATE(Übersicht!$B$4,J143,1)+MOD(M143-WEEKDAY(DATE(Übersicht!$B$4,J143,1),2),7)+7*(N143-1)+L143,NA()),NA())))),NA())</f>
        <v>47095</v>
      </c>
      <c r="X143" s="14">
        <f t="shared" si="2"/>
        <v>47095</v>
      </c>
      <c r="Y143" s="10" t="s">
        <v>913</v>
      </c>
      <c r="Z143" s="10" t="s">
        <v>915</v>
      </c>
      <c r="AA143" s="24" t="s">
        <v>768</v>
      </c>
    </row>
    <row r="144" spans="1:27" ht="44" customHeight="1">
      <c r="A144" s="11" t="s">
        <v>217</v>
      </c>
      <c r="B144" s="11" t="s">
        <v>207</v>
      </c>
      <c r="C144" s="11" t="s">
        <v>912</v>
      </c>
      <c r="D144" s="26" t="s">
        <v>803</v>
      </c>
      <c r="E144" s="26" t="s">
        <v>804</v>
      </c>
      <c r="F144" s="27" t="s">
        <v>882</v>
      </c>
      <c r="G144" s="27" t="s">
        <v>883</v>
      </c>
      <c r="H144" s="11" t="s">
        <v>812</v>
      </c>
      <c r="I144" s="11" t="s">
        <v>762</v>
      </c>
      <c r="J144" s="30">
        <v>12</v>
      </c>
      <c r="K144" s="30">
        <v>25</v>
      </c>
      <c r="L144" s="26"/>
      <c r="M144" s="26"/>
      <c r="N144" s="26"/>
      <c r="O144" s="31">
        <v>46023</v>
      </c>
      <c r="P144" s="31"/>
      <c r="Q144" s="26">
        <v>100</v>
      </c>
      <c r="R144" s="26" t="s">
        <v>69</v>
      </c>
      <c r="S144" s="11"/>
      <c r="T144" s="11" t="s">
        <v>764</v>
      </c>
      <c r="U144" s="11"/>
      <c r="V144" s="11" t="s">
        <v>824</v>
      </c>
      <c r="W144" s="15">
        <f>IF(AND(ISNUMBER(Übersicht!$B$4),Übersicht!$B$4=INT(Übersicht!$B$4),Übersicht!$B$4&gt;=2026,Übersicht!$B$4&lt;=2028),IF(I144="fixedMonthDay",IF(AND(ISNUMBER(J144),J144=INT(J144),J144&gt;=1,J144&lt;=12,ISNUMBER(K144),K144=INT(K144),K144&gt;=1,K144&lt;=31,MONTH(DATE(Übersicht!$B$4,J144,K144))=J144,DAY(DATE(Übersicht!$B$4,J144,K144))=K144,L144="",M144="",N144=""),DATE(Übersicht!$B$4,J144,K144),NA()),IF(I144="easterOffsetDays",IF(AND(ISNUMBER(L144),L144=INT(L144),L144&gt;=-366,L144&lt;=366,J144="",K144="",M144="",N144=""),$AD$23+L144,NA()),IF(I144="nthWeekdayOfMonth",IF(AND(ISNUMBER(J144),J144=INT(J144),J144&gt;=1,J144&lt;=12,ISNUMBER(M144),M144=INT(M144),M144&gt;=1,M144&lt;=7,ISNUMBER(N144),N144=INT(N144),N144&gt;=1,N144&lt;=5,MONTH(DATE(Übersicht!$B$4,J144,1)+MOD(M144-WEEKDAY(DATE(Übersicht!$B$4,J144,1),2),7)+7*(N144-1))=J144,K144="",L144=""),DATE(Übersicht!$B$4,J144,1)+MOD(M144-WEEKDAY(DATE(Übersicht!$B$4,J144,1),2),7)+7*(N144-1),NA()),IF(I144="nthWeekdayOffsetDays",IF(AND(ISNUMBER(J144),J144=INT(J144),J144&gt;=1,J144&lt;=12,ISNUMBER(M144),M144=INT(M144),M144&gt;=1,M144&lt;=7,ISNUMBER(N144),N144=INT(N144),N144&gt;=1,N144&lt;=5,MONTH(DATE(Übersicht!$B$4,J144,1)+MOD(M144-WEEKDAY(DATE(Übersicht!$B$4,J144,1),2),7)+7*(N144-1))=J144,K144="",ISNUMBER(L144),L144=INT(L144),L144&gt;=-366,L144&lt;=366),DATE(Übersicht!$B$4,J144,1)+MOD(M144-WEEKDAY(DATE(Übersicht!$B$4,J144,1),2),7)+7*(N144-1)+L144,NA()),NA())))),NA())</f>
        <v>47112</v>
      </c>
      <c r="X144" s="15">
        <f t="shared" si="2"/>
        <v>47112</v>
      </c>
      <c r="Y144" s="11" t="s">
        <v>913</v>
      </c>
      <c r="Z144" s="11" t="s">
        <v>914</v>
      </c>
      <c r="AA144" s="26" t="s">
        <v>768</v>
      </c>
    </row>
    <row r="145" spans="1:27" ht="44" customHeight="1">
      <c r="A145" s="10" t="s">
        <v>219</v>
      </c>
      <c r="B145" s="10" t="s">
        <v>207</v>
      </c>
      <c r="C145" s="10" t="s">
        <v>917</v>
      </c>
      <c r="D145" s="24" t="s">
        <v>771</v>
      </c>
      <c r="E145" s="24" t="s">
        <v>772</v>
      </c>
      <c r="F145" s="25" t="s">
        <v>849</v>
      </c>
      <c r="G145" s="25" t="s">
        <v>850</v>
      </c>
      <c r="H145" s="10" t="s">
        <v>812</v>
      </c>
      <c r="I145" s="10" t="s">
        <v>762</v>
      </c>
      <c r="J145" s="28">
        <v>1</v>
      </c>
      <c r="K145" s="28">
        <v>1</v>
      </c>
      <c r="L145" s="24"/>
      <c r="M145" s="24"/>
      <c r="N145" s="24"/>
      <c r="O145" s="29">
        <v>46023</v>
      </c>
      <c r="P145" s="29"/>
      <c r="Q145" s="24">
        <v>100</v>
      </c>
      <c r="R145" s="24" t="s">
        <v>69</v>
      </c>
      <c r="S145" s="10"/>
      <c r="T145" s="10" t="s">
        <v>764</v>
      </c>
      <c r="U145" s="10"/>
      <c r="V145" s="10" t="s">
        <v>824</v>
      </c>
      <c r="W145" s="14">
        <f>IF(AND(ISNUMBER(Übersicht!$B$4),Übersicht!$B$4=INT(Übersicht!$B$4),Übersicht!$B$4&gt;=2026,Übersicht!$B$4&lt;=2028),IF(I145="fixedMonthDay",IF(AND(ISNUMBER(J145),J145=INT(J145),J145&gt;=1,J145&lt;=12,ISNUMBER(K145),K145=INT(K145),K145&gt;=1,K145&lt;=31,MONTH(DATE(Übersicht!$B$4,J145,K145))=J145,DAY(DATE(Übersicht!$B$4,J145,K145))=K145,L145="",M145="",N145=""),DATE(Übersicht!$B$4,J145,K145),NA()),IF(I145="easterOffsetDays",IF(AND(ISNUMBER(L145),L145=INT(L145),L145&gt;=-366,L145&lt;=366,J145="",K145="",M145="",N145=""),$AD$23+L145,NA()),IF(I145="nthWeekdayOfMonth",IF(AND(ISNUMBER(J145),J145=INT(J145),J145&gt;=1,J145&lt;=12,ISNUMBER(M145),M145=INT(M145),M145&gt;=1,M145&lt;=7,ISNUMBER(N145),N145=INT(N145),N145&gt;=1,N145&lt;=5,MONTH(DATE(Übersicht!$B$4,J145,1)+MOD(M145-WEEKDAY(DATE(Übersicht!$B$4,J145,1),2),7)+7*(N145-1))=J145,K145="",L145=""),DATE(Übersicht!$B$4,J145,1)+MOD(M145-WEEKDAY(DATE(Übersicht!$B$4,J145,1),2),7)+7*(N145-1),NA()),IF(I145="nthWeekdayOffsetDays",IF(AND(ISNUMBER(J145),J145=INT(J145),J145&gt;=1,J145&lt;=12,ISNUMBER(M145),M145=INT(M145),M145&gt;=1,M145&lt;=7,ISNUMBER(N145),N145=INT(N145),N145&gt;=1,N145&lt;=5,MONTH(DATE(Übersicht!$B$4,J145,1)+MOD(M145-WEEKDAY(DATE(Übersicht!$B$4,J145,1),2),7)+7*(N145-1))=J145,K145="",ISNUMBER(L145),L145=INT(L145),L145&gt;=-366,L145&lt;=366),DATE(Übersicht!$B$4,J145,1)+MOD(M145-WEEKDAY(DATE(Übersicht!$B$4,J145,1),2),7)+7*(N145-1)+L145,NA()),NA())))),NA())</f>
        <v>46753</v>
      </c>
      <c r="X145" s="14">
        <f t="shared" si="2"/>
        <v>46753</v>
      </c>
      <c r="Y145" s="10" t="s">
        <v>913</v>
      </c>
      <c r="Z145" s="10" t="s">
        <v>914</v>
      </c>
      <c r="AA145" s="24" t="s">
        <v>768</v>
      </c>
    </row>
    <row r="146" spans="1:27" ht="44" customHeight="1">
      <c r="A146" s="11" t="s">
        <v>220</v>
      </c>
      <c r="B146" s="11" t="s">
        <v>207</v>
      </c>
      <c r="C146" s="11" t="s">
        <v>917</v>
      </c>
      <c r="D146" s="26" t="s">
        <v>776</v>
      </c>
      <c r="E146" s="26" t="s">
        <v>918</v>
      </c>
      <c r="F146" s="27" t="s">
        <v>919</v>
      </c>
      <c r="G146" s="27" t="s">
        <v>920</v>
      </c>
      <c r="H146" s="11" t="s">
        <v>812</v>
      </c>
      <c r="I146" s="11" t="s">
        <v>762</v>
      </c>
      <c r="J146" s="30">
        <v>1</v>
      </c>
      <c r="K146" s="30">
        <v>2</v>
      </c>
      <c r="L146" s="26"/>
      <c r="M146" s="26"/>
      <c r="N146" s="26"/>
      <c r="O146" s="31">
        <v>46023</v>
      </c>
      <c r="P146" s="31"/>
      <c r="Q146" s="26">
        <v>100</v>
      </c>
      <c r="R146" s="26" t="s">
        <v>69</v>
      </c>
      <c r="S146" s="11"/>
      <c r="T146" s="11" t="s">
        <v>764</v>
      </c>
      <c r="U146" s="11"/>
      <c r="V146" s="11" t="s">
        <v>824</v>
      </c>
      <c r="W146" s="15">
        <f>IF(AND(ISNUMBER(Übersicht!$B$4),Übersicht!$B$4=INT(Übersicht!$B$4),Übersicht!$B$4&gt;=2026,Übersicht!$B$4&lt;=2028),IF(I146="fixedMonthDay",IF(AND(ISNUMBER(J146),J146=INT(J146),J146&gt;=1,J146&lt;=12,ISNUMBER(K146),K146=INT(K146),K146&gt;=1,K146&lt;=31,MONTH(DATE(Übersicht!$B$4,J146,K146))=J146,DAY(DATE(Übersicht!$B$4,J146,K146))=K146,L146="",M146="",N146=""),DATE(Übersicht!$B$4,J146,K146),NA()),IF(I146="easterOffsetDays",IF(AND(ISNUMBER(L146),L146=INT(L146),L146&gt;=-366,L146&lt;=366,J146="",K146="",M146="",N146=""),$AD$23+L146,NA()),IF(I146="nthWeekdayOfMonth",IF(AND(ISNUMBER(J146),J146=INT(J146),J146&gt;=1,J146&lt;=12,ISNUMBER(M146),M146=INT(M146),M146&gt;=1,M146&lt;=7,ISNUMBER(N146),N146=INT(N146),N146&gt;=1,N146&lt;=5,MONTH(DATE(Übersicht!$B$4,J146,1)+MOD(M146-WEEKDAY(DATE(Übersicht!$B$4,J146,1),2),7)+7*(N146-1))=J146,K146="",L146=""),DATE(Übersicht!$B$4,J146,1)+MOD(M146-WEEKDAY(DATE(Übersicht!$B$4,J146,1),2),7)+7*(N146-1),NA()),IF(I146="nthWeekdayOffsetDays",IF(AND(ISNUMBER(J146),J146=INT(J146),J146&gt;=1,J146&lt;=12,ISNUMBER(M146),M146=INT(M146),M146&gt;=1,M146&lt;=7,ISNUMBER(N146),N146=INT(N146),N146&gt;=1,N146&lt;=5,MONTH(DATE(Übersicht!$B$4,J146,1)+MOD(M146-WEEKDAY(DATE(Übersicht!$B$4,J146,1),2),7)+7*(N146-1))=J146,K146="",ISNUMBER(L146),L146=INT(L146),L146&gt;=-366,L146&lt;=366),DATE(Übersicht!$B$4,J146,1)+MOD(M146-WEEKDAY(DATE(Übersicht!$B$4,J146,1),2),7)+7*(N146-1)+L146,NA()),NA())))),NA())</f>
        <v>46754</v>
      </c>
      <c r="X146" s="15">
        <f t="shared" si="2"/>
        <v>46754</v>
      </c>
      <c r="Y146" s="11" t="s">
        <v>913</v>
      </c>
      <c r="Z146" s="11" t="s">
        <v>921</v>
      </c>
      <c r="AA146" s="26" t="s">
        <v>768</v>
      </c>
    </row>
    <row r="147" spans="1:27" ht="44" customHeight="1">
      <c r="A147" s="10" t="s">
        <v>221</v>
      </c>
      <c r="B147" s="10" t="s">
        <v>207</v>
      </c>
      <c r="C147" s="10" t="s">
        <v>917</v>
      </c>
      <c r="D147" s="24" t="s">
        <v>779</v>
      </c>
      <c r="E147" s="24" t="s">
        <v>780</v>
      </c>
      <c r="F147" s="25" t="s">
        <v>889</v>
      </c>
      <c r="G147" s="25" t="s">
        <v>890</v>
      </c>
      <c r="H147" s="10" t="s">
        <v>812</v>
      </c>
      <c r="I147" s="10" t="s">
        <v>781</v>
      </c>
      <c r="J147" s="28"/>
      <c r="K147" s="28"/>
      <c r="L147" s="24">
        <v>-2</v>
      </c>
      <c r="M147" s="24"/>
      <c r="N147" s="24"/>
      <c r="O147" s="29">
        <v>46023</v>
      </c>
      <c r="P147" s="29"/>
      <c r="Q147" s="24">
        <v>100</v>
      </c>
      <c r="R147" s="24" t="s">
        <v>69</v>
      </c>
      <c r="S147" s="10"/>
      <c r="T147" s="10" t="s">
        <v>764</v>
      </c>
      <c r="U147" s="10"/>
      <c r="V147" s="10" t="s">
        <v>824</v>
      </c>
      <c r="W147" s="14">
        <f>IF(AND(ISNUMBER(Übersicht!$B$4),Übersicht!$B$4=INT(Übersicht!$B$4),Übersicht!$B$4&gt;=2026,Übersicht!$B$4&lt;=2028),IF(I147="fixedMonthDay",IF(AND(ISNUMBER(J147),J147=INT(J147),J147&gt;=1,J147&lt;=12,ISNUMBER(K147),K147=INT(K147),K147&gt;=1,K147&lt;=31,MONTH(DATE(Übersicht!$B$4,J147,K147))=J147,DAY(DATE(Übersicht!$B$4,J147,K147))=K147,L147="",M147="",N147=""),DATE(Übersicht!$B$4,J147,K147),NA()),IF(I147="easterOffsetDays",IF(AND(ISNUMBER(L147),L147=INT(L147),L147&gt;=-366,L147&lt;=366,J147="",K147="",M147="",N147=""),$AD$23+L147,NA()),IF(I147="nthWeekdayOfMonth",IF(AND(ISNUMBER(J147),J147=INT(J147),J147&gt;=1,J147&lt;=12,ISNUMBER(M147),M147=INT(M147),M147&gt;=1,M147&lt;=7,ISNUMBER(N147),N147=INT(N147),N147&gt;=1,N147&lt;=5,MONTH(DATE(Übersicht!$B$4,J147,1)+MOD(M147-WEEKDAY(DATE(Übersicht!$B$4,J147,1),2),7)+7*(N147-1))=J147,K147="",L147=""),DATE(Übersicht!$B$4,J147,1)+MOD(M147-WEEKDAY(DATE(Übersicht!$B$4,J147,1),2),7)+7*(N147-1),NA()),IF(I147="nthWeekdayOffsetDays",IF(AND(ISNUMBER(J147),J147=INT(J147),J147&gt;=1,J147&lt;=12,ISNUMBER(M147),M147=INT(M147),M147&gt;=1,M147&lt;=7,ISNUMBER(N147),N147=INT(N147),N147&gt;=1,N147&lt;=5,MONTH(DATE(Übersicht!$B$4,J147,1)+MOD(M147-WEEKDAY(DATE(Übersicht!$B$4,J147,1),2),7)+7*(N147-1))=J147,K147="",ISNUMBER(L147),L147=INT(L147),L147&gt;=-366,L147&lt;=366),DATE(Übersicht!$B$4,J147,1)+MOD(M147-WEEKDAY(DATE(Übersicht!$B$4,J147,1),2),7)+7*(N147-1)+L147,NA()),NA())))),NA())</f>
        <v>46857</v>
      </c>
      <c r="X147" s="14">
        <f t="shared" si="2"/>
        <v>46857</v>
      </c>
      <c r="Y147" s="10" t="s">
        <v>913</v>
      </c>
      <c r="Z147" s="10" t="s">
        <v>914</v>
      </c>
      <c r="AA147" s="24" t="s">
        <v>768</v>
      </c>
    </row>
    <row r="148" spans="1:27" ht="44" customHeight="1">
      <c r="A148" s="11" t="s">
        <v>222</v>
      </c>
      <c r="B148" s="11" t="s">
        <v>207</v>
      </c>
      <c r="C148" s="11" t="s">
        <v>917</v>
      </c>
      <c r="D148" s="26" t="s">
        <v>787</v>
      </c>
      <c r="E148" s="26" t="s">
        <v>788</v>
      </c>
      <c r="F148" s="27" t="s">
        <v>860</v>
      </c>
      <c r="G148" s="27" t="s">
        <v>861</v>
      </c>
      <c r="H148" s="11" t="s">
        <v>812</v>
      </c>
      <c r="I148" s="11" t="s">
        <v>781</v>
      </c>
      <c r="J148" s="30"/>
      <c r="K148" s="30"/>
      <c r="L148" s="26">
        <v>1</v>
      </c>
      <c r="M148" s="26"/>
      <c r="N148" s="26"/>
      <c r="O148" s="31">
        <v>46023</v>
      </c>
      <c r="P148" s="31"/>
      <c r="Q148" s="26">
        <v>100</v>
      </c>
      <c r="R148" s="26" t="s">
        <v>69</v>
      </c>
      <c r="S148" s="11"/>
      <c r="T148" s="11" t="s">
        <v>764</v>
      </c>
      <c r="U148" s="11"/>
      <c r="V148" s="11" t="s">
        <v>824</v>
      </c>
      <c r="W148" s="15">
        <f>IF(AND(ISNUMBER(Übersicht!$B$4),Übersicht!$B$4=INT(Übersicht!$B$4),Übersicht!$B$4&gt;=2026,Übersicht!$B$4&lt;=2028),IF(I148="fixedMonthDay",IF(AND(ISNUMBER(J148),J148=INT(J148),J148&gt;=1,J148&lt;=12,ISNUMBER(K148),K148=INT(K148),K148&gt;=1,K148&lt;=31,MONTH(DATE(Übersicht!$B$4,J148,K148))=J148,DAY(DATE(Übersicht!$B$4,J148,K148))=K148,L148="",M148="",N148=""),DATE(Übersicht!$B$4,J148,K148),NA()),IF(I148="easterOffsetDays",IF(AND(ISNUMBER(L148),L148=INT(L148),L148&gt;=-366,L148&lt;=366,J148="",K148="",M148="",N148=""),$AD$23+L148,NA()),IF(I148="nthWeekdayOfMonth",IF(AND(ISNUMBER(J148),J148=INT(J148),J148&gt;=1,J148&lt;=12,ISNUMBER(M148),M148=INT(M148),M148&gt;=1,M148&lt;=7,ISNUMBER(N148),N148=INT(N148),N148&gt;=1,N148&lt;=5,MONTH(DATE(Übersicht!$B$4,J148,1)+MOD(M148-WEEKDAY(DATE(Übersicht!$B$4,J148,1),2),7)+7*(N148-1))=J148,K148="",L148=""),DATE(Übersicht!$B$4,J148,1)+MOD(M148-WEEKDAY(DATE(Übersicht!$B$4,J148,1),2),7)+7*(N148-1),NA()),IF(I148="nthWeekdayOffsetDays",IF(AND(ISNUMBER(J148),J148=INT(J148),J148&gt;=1,J148&lt;=12,ISNUMBER(M148),M148=INT(M148),M148&gt;=1,M148&lt;=7,ISNUMBER(N148),N148=INT(N148),N148&gt;=1,N148&lt;=5,MONTH(DATE(Übersicht!$B$4,J148,1)+MOD(M148-WEEKDAY(DATE(Übersicht!$B$4,J148,1),2),7)+7*(N148-1))=J148,K148="",ISNUMBER(L148),L148=INT(L148),L148&gt;=-366,L148&lt;=366),DATE(Übersicht!$B$4,J148,1)+MOD(M148-WEEKDAY(DATE(Übersicht!$B$4,J148,1),2),7)+7*(N148-1)+L148,NA()),NA())))),NA())</f>
        <v>46860</v>
      </c>
      <c r="X148" s="15">
        <f t="shared" si="2"/>
        <v>46860</v>
      </c>
      <c r="Y148" s="11" t="s">
        <v>913</v>
      </c>
      <c r="Z148" s="11" t="s">
        <v>921</v>
      </c>
      <c r="AA148" s="26" t="s">
        <v>768</v>
      </c>
    </row>
    <row r="149" spans="1:27" ht="44" customHeight="1">
      <c r="A149" s="10" t="s">
        <v>223</v>
      </c>
      <c r="B149" s="10" t="s">
        <v>207</v>
      </c>
      <c r="C149" s="10" t="s">
        <v>917</v>
      </c>
      <c r="D149" s="24" t="s">
        <v>790</v>
      </c>
      <c r="E149" s="24" t="s">
        <v>791</v>
      </c>
      <c r="F149" s="25" t="s">
        <v>864</v>
      </c>
      <c r="G149" s="25" t="s">
        <v>865</v>
      </c>
      <c r="H149" s="10" t="s">
        <v>812</v>
      </c>
      <c r="I149" s="10" t="s">
        <v>781</v>
      </c>
      <c r="J149" s="28"/>
      <c r="K149" s="28"/>
      <c r="L149" s="24">
        <v>39</v>
      </c>
      <c r="M149" s="24"/>
      <c r="N149" s="24"/>
      <c r="O149" s="29">
        <v>46023</v>
      </c>
      <c r="P149" s="29"/>
      <c r="Q149" s="24">
        <v>100</v>
      </c>
      <c r="R149" s="24" t="s">
        <v>69</v>
      </c>
      <c r="S149" s="10"/>
      <c r="T149" s="10" t="s">
        <v>764</v>
      </c>
      <c r="U149" s="10"/>
      <c r="V149" s="10" t="s">
        <v>824</v>
      </c>
      <c r="W149" s="14">
        <f>IF(AND(ISNUMBER(Übersicht!$B$4),Übersicht!$B$4=INT(Übersicht!$B$4),Übersicht!$B$4&gt;=2026,Übersicht!$B$4&lt;=2028),IF(I149="fixedMonthDay",IF(AND(ISNUMBER(J149),J149=INT(J149),J149&gt;=1,J149&lt;=12,ISNUMBER(K149),K149=INT(K149),K149&gt;=1,K149&lt;=31,MONTH(DATE(Übersicht!$B$4,J149,K149))=J149,DAY(DATE(Übersicht!$B$4,J149,K149))=K149,L149="",M149="",N149=""),DATE(Übersicht!$B$4,J149,K149),NA()),IF(I149="easterOffsetDays",IF(AND(ISNUMBER(L149),L149=INT(L149),L149&gt;=-366,L149&lt;=366,J149="",K149="",M149="",N149=""),$AD$23+L149,NA()),IF(I149="nthWeekdayOfMonth",IF(AND(ISNUMBER(J149),J149=INT(J149),J149&gt;=1,J149&lt;=12,ISNUMBER(M149),M149=INT(M149),M149&gt;=1,M149&lt;=7,ISNUMBER(N149),N149=INT(N149),N149&gt;=1,N149&lt;=5,MONTH(DATE(Übersicht!$B$4,J149,1)+MOD(M149-WEEKDAY(DATE(Übersicht!$B$4,J149,1),2),7)+7*(N149-1))=J149,K149="",L149=""),DATE(Übersicht!$B$4,J149,1)+MOD(M149-WEEKDAY(DATE(Übersicht!$B$4,J149,1),2),7)+7*(N149-1),NA()),IF(I149="nthWeekdayOffsetDays",IF(AND(ISNUMBER(J149),J149=INT(J149),J149&gt;=1,J149&lt;=12,ISNUMBER(M149),M149=INT(M149),M149&gt;=1,M149&lt;=7,ISNUMBER(N149),N149=INT(N149),N149&gt;=1,N149&lt;=5,MONTH(DATE(Übersicht!$B$4,J149,1)+MOD(M149-WEEKDAY(DATE(Übersicht!$B$4,J149,1),2),7)+7*(N149-1))=J149,K149="",ISNUMBER(L149),L149=INT(L149),L149&gt;=-366,L149&lt;=366),DATE(Übersicht!$B$4,J149,1)+MOD(M149-WEEKDAY(DATE(Übersicht!$B$4,J149,1),2),7)+7*(N149-1)+L149,NA()),NA())))),NA())</f>
        <v>46898</v>
      </c>
      <c r="X149" s="14">
        <f t="shared" si="2"/>
        <v>46898</v>
      </c>
      <c r="Y149" s="10" t="s">
        <v>913</v>
      </c>
      <c r="Z149" s="10" t="s">
        <v>914</v>
      </c>
      <c r="AA149" s="24" t="s">
        <v>768</v>
      </c>
    </row>
    <row r="150" spans="1:27" ht="44" customHeight="1">
      <c r="A150" s="11" t="s">
        <v>224</v>
      </c>
      <c r="B150" s="11" t="s">
        <v>207</v>
      </c>
      <c r="C150" s="11" t="s">
        <v>917</v>
      </c>
      <c r="D150" s="26" t="s">
        <v>796</v>
      </c>
      <c r="E150" s="26" t="s">
        <v>797</v>
      </c>
      <c r="F150" s="27" t="s">
        <v>866</v>
      </c>
      <c r="G150" s="27" t="s">
        <v>867</v>
      </c>
      <c r="H150" s="11" t="s">
        <v>812</v>
      </c>
      <c r="I150" s="11" t="s">
        <v>781</v>
      </c>
      <c r="J150" s="30"/>
      <c r="K150" s="30"/>
      <c r="L150" s="26">
        <v>50</v>
      </c>
      <c r="M150" s="26"/>
      <c r="N150" s="26"/>
      <c r="O150" s="31">
        <v>46023</v>
      </c>
      <c r="P150" s="31"/>
      <c r="Q150" s="26">
        <v>100</v>
      </c>
      <c r="R150" s="26" t="s">
        <v>69</v>
      </c>
      <c r="S150" s="11"/>
      <c r="T150" s="11" t="s">
        <v>764</v>
      </c>
      <c r="U150" s="11"/>
      <c r="V150" s="11" t="s">
        <v>824</v>
      </c>
      <c r="W150" s="15">
        <f>IF(AND(ISNUMBER(Übersicht!$B$4),Übersicht!$B$4=INT(Übersicht!$B$4),Übersicht!$B$4&gt;=2026,Übersicht!$B$4&lt;=2028),IF(I150="fixedMonthDay",IF(AND(ISNUMBER(J150),J150=INT(J150),J150&gt;=1,J150&lt;=12,ISNUMBER(K150),K150=INT(K150),K150&gt;=1,K150&lt;=31,MONTH(DATE(Übersicht!$B$4,J150,K150))=J150,DAY(DATE(Übersicht!$B$4,J150,K150))=K150,L150="",M150="",N150=""),DATE(Übersicht!$B$4,J150,K150),NA()),IF(I150="easterOffsetDays",IF(AND(ISNUMBER(L150),L150=INT(L150),L150&gt;=-366,L150&lt;=366,J150="",K150="",M150="",N150=""),$AD$23+L150,NA()),IF(I150="nthWeekdayOfMonth",IF(AND(ISNUMBER(J150),J150=INT(J150),J150&gt;=1,J150&lt;=12,ISNUMBER(M150),M150=INT(M150),M150&gt;=1,M150&lt;=7,ISNUMBER(N150),N150=INT(N150),N150&gt;=1,N150&lt;=5,MONTH(DATE(Übersicht!$B$4,J150,1)+MOD(M150-WEEKDAY(DATE(Übersicht!$B$4,J150,1),2),7)+7*(N150-1))=J150,K150="",L150=""),DATE(Übersicht!$B$4,J150,1)+MOD(M150-WEEKDAY(DATE(Übersicht!$B$4,J150,1),2),7)+7*(N150-1),NA()),IF(I150="nthWeekdayOffsetDays",IF(AND(ISNUMBER(J150),J150=INT(J150),J150&gt;=1,J150&lt;=12,ISNUMBER(M150),M150=INT(M150),M150&gt;=1,M150&lt;=7,ISNUMBER(N150),N150=INT(N150),N150&gt;=1,N150&lt;=5,MONTH(DATE(Übersicht!$B$4,J150,1)+MOD(M150-WEEKDAY(DATE(Übersicht!$B$4,J150,1),2),7)+7*(N150-1))=J150,K150="",ISNUMBER(L150),L150=INT(L150),L150&gt;=-366,L150&lt;=366),DATE(Übersicht!$B$4,J150,1)+MOD(M150-WEEKDAY(DATE(Übersicht!$B$4,J150,1),2),7)+7*(N150-1)+L150,NA()),NA())))),NA())</f>
        <v>46909</v>
      </c>
      <c r="X150" s="15">
        <f t="shared" si="2"/>
        <v>46909</v>
      </c>
      <c r="Y150" s="11" t="s">
        <v>913</v>
      </c>
      <c r="Z150" s="11" t="s">
        <v>921</v>
      </c>
      <c r="AA150" s="26" t="s">
        <v>768</v>
      </c>
    </row>
    <row r="151" spans="1:27" ht="44" customHeight="1">
      <c r="A151" s="10" t="s">
        <v>225</v>
      </c>
      <c r="B151" s="10" t="s">
        <v>207</v>
      </c>
      <c r="C151" s="10" t="s">
        <v>917</v>
      </c>
      <c r="D151" s="24" t="s">
        <v>759</v>
      </c>
      <c r="E151" s="24" t="s">
        <v>760</v>
      </c>
      <c r="F151" s="25" t="s">
        <v>874</v>
      </c>
      <c r="G151" s="25" t="s">
        <v>875</v>
      </c>
      <c r="H151" s="10" t="s">
        <v>761</v>
      </c>
      <c r="I151" s="10" t="s">
        <v>762</v>
      </c>
      <c r="J151" s="28">
        <v>8</v>
      </c>
      <c r="K151" s="28">
        <v>1</v>
      </c>
      <c r="L151" s="24"/>
      <c r="M151" s="24"/>
      <c r="N151" s="24"/>
      <c r="O151" s="29">
        <v>46023</v>
      </c>
      <c r="P151" s="29"/>
      <c r="Q151" s="24">
        <v>100</v>
      </c>
      <c r="R151" s="24" t="s">
        <v>69</v>
      </c>
      <c r="S151" s="10"/>
      <c r="T151" s="10" t="s">
        <v>764</v>
      </c>
      <c r="U151" s="10"/>
      <c r="V151" s="10" t="s">
        <v>824</v>
      </c>
      <c r="W151" s="14">
        <f>IF(AND(ISNUMBER(Übersicht!$B$4),Übersicht!$B$4=INT(Übersicht!$B$4),Übersicht!$B$4&gt;=2026,Übersicht!$B$4&lt;=2028),IF(I151="fixedMonthDay",IF(AND(ISNUMBER(J151),J151=INT(J151),J151&gt;=1,J151&lt;=12,ISNUMBER(K151),K151=INT(K151),K151&gt;=1,K151&lt;=31,MONTH(DATE(Übersicht!$B$4,J151,K151))=J151,DAY(DATE(Übersicht!$B$4,J151,K151))=K151,L151="",M151="",N151=""),DATE(Übersicht!$B$4,J151,K151),NA()),IF(I151="easterOffsetDays",IF(AND(ISNUMBER(L151),L151=INT(L151),L151&gt;=-366,L151&lt;=366,J151="",K151="",M151="",N151=""),$AD$23+L151,NA()),IF(I151="nthWeekdayOfMonth",IF(AND(ISNUMBER(J151),J151=INT(J151),J151&gt;=1,J151&lt;=12,ISNUMBER(M151),M151=INT(M151),M151&gt;=1,M151&lt;=7,ISNUMBER(N151),N151=INT(N151),N151&gt;=1,N151&lt;=5,MONTH(DATE(Übersicht!$B$4,J151,1)+MOD(M151-WEEKDAY(DATE(Übersicht!$B$4,J151,1),2),7)+7*(N151-1))=J151,K151="",L151=""),DATE(Übersicht!$B$4,J151,1)+MOD(M151-WEEKDAY(DATE(Übersicht!$B$4,J151,1),2),7)+7*(N151-1),NA()),IF(I151="nthWeekdayOffsetDays",IF(AND(ISNUMBER(J151),J151=INT(J151),J151&gt;=1,J151&lt;=12,ISNUMBER(M151),M151=INT(M151),M151&gt;=1,M151&lt;=7,ISNUMBER(N151),N151=INT(N151),N151&gt;=1,N151&lt;=5,MONTH(DATE(Übersicht!$B$4,J151,1)+MOD(M151-WEEKDAY(DATE(Übersicht!$B$4,J151,1),2),7)+7*(N151-1))=J151,K151="",ISNUMBER(L151),L151=INT(L151),L151&gt;=-366,L151&lt;=366),DATE(Übersicht!$B$4,J151,1)+MOD(M151-WEEKDAY(DATE(Übersicht!$B$4,J151,1),2),7)+7*(N151-1)+L151,NA()),NA())))),NA())</f>
        <v>46966</v>
      </c>
      <c r="X151" s="14">
        <f t="shared" si="2"/>
        <v>46966</v>
      </c>
      <c r="Y151" s="10" t="s">
        <v>766</v>
      </c>
      <c r="Z151" s="10" t="s">
        <v>916</v>
      </c>
      <c r="AA151" s="24" t="s">
        <v>768</v>
      </c>
    </row>
    <row r="152" spans="1:27" ht="44" customHeight="1">
      <c r="A152" s="11" t="s">
        <v>226</v>
      </c>
      <c r="B152" s="11" t="s">
        <v>207</v>
      </c>
      <c r="C152" s="11" t="s">
        <v>917</v>
      </c>
      <c r="D152" s="26" t="s">
        <v>803</v>
      </c>
      <c r="E152" s="26" t="s">
        <v>804</v>
      </c>
      <c r="F152" s="27" t="s">
        <v>882</v>
      </c>
      <c r="G152" s="27" t="s">
        <v>883</v>
      </c>
      <c r="H152" s="11" t="s">
        <v>812</v>
      </c>
      <c r="I152" s="11" t="s">
        <v>762</v>
      </c>
      <c r="J152" s="30">
        <v>12</v>
      </c>
      <c r="K152" s="30">
        <v>25</v>
      </c>
      <c r="L152" s="26"/>
      <c r="M152" s="26"/>
      <c r="N152" s="26"/>
      <c r="O152" s="31">
        <v>46023</v>
      </c>
      <c r="P152" s="31"/>
      <c r="Q152" s="26">
        <v>100</v>
      </c>
      <c r="R152" s="26" t="s">
        <v>69</v>
      </c>
      <c r="S152" s="11"/>
      <c r="T152" s="11" t="s">
        <v>764</v>
      </c>
      <c r="U152" s="11"/>
      <c r="V152" s="11" t="s">
        <v>824</v>
      </c>
      <c r="W152" s="15">
        <f>IF(AND(ISNUMBER(Übersicht!$B$4),Übersicht!$B$4=INT(Übersicht!$B$4),Übersicht!$B$4&gt;=2026,Übersicht!$B$4&lt;=2028),IF(I152="fixedMonthDay",IF(AND(ISNUMBER(J152),J152=INT(J152),J152&gt;=1,J152&lt;=12,ISNUMBER(K152),K152=INT(K152),K152&gt;=1,K152&lt;=31,MONTH(DATE(Übersicht!$B$4,J152,K152))=J152,DAY(DATE(Übersicht!$B$4,J152,K152))=K152,L152="",M152="",N152=""),DATE(Übersicht!$B$4,J152,K152),NA()),IF(I152="easterOffsetDays",IF(AND(ISNUMBER(L152),L152=INT(L152),L152&gt;=-366,L152&lt;=366,J152="",K152="",M152="",N152=""),$AD$23+L152,NA()),IF(I152="nthWeekdayOfMonth",IF(AND(ISNUMBER(J152),J152=INT(J152),J152&gt;=1,J152&lt;=12,ISNUMBER(M152),M152=INT(M152),M152&gt;=1,M152&lt;=7,ISNUMBER(N152),N152=INT(N152),N152&gt;=1,N152&lt;=5,MONTH(DATE(Übersicht!$B$4,J152,1)+MOD(M152-WEEKDAY(DATE(Übersicht!$B$4,J152,1),2),7)+7*(N152-1))=J152,K152="",L152=""),DATE(Übersicht!$B$4,J152,1)+MOD(M152-WEEKDAY(DATE(Übersicht!$B$4,J152,1),2),7)+7*(N152-1),NA()),IF(I152="nthWeekdayOffsetDays",IF(AND(ISNUMBER(J152),J152=INT(J152),J152&gt;=1,J152&lt;=12,ISNUMBER(M152),M152=INT(M152),M152&gt;=1,M152&lt;=7,ISNUMBER(N152),N152=INT(N152),N152&gt;=1,N152&lt;=5,MONTH(DATE(Übersicht!$B$4,J152,1)+MOD(M152-WEEKDAY(DATE(Übersicht!$B$4,J152,1),2),7)+7*(N152-1))=J152,K152="",ISNUMBER(L152),L152=INT(L152),L152&gt;=-366,L152&lt;=366),DATE(Übersicht!$B$4,J152,1)+MOD(M152-WEEKDAY(DATE(Übersicht!$B$4,J152,1),2),7)+7*(N152-1)+L152,NA()),NA())))),NA())</f>
        <v>47112</v>
      </c>
      <c r="X152" s="15">
        <f t="shared" si="2"/>
        <v>47112</v>
      </c>
      <c r="Y152" s="11" t="s">
        <v>913</v>
      </c>
      <c r="Z152" s="11" t="s">
        <v>914</v>
      </c>
      <c r="AA152" s="26" t="s">
        <v>768</v>
      </c>
    </row>
    <row r="153" spans="1:27" ht="44" customHeight="1">
      <c r="A153" s="10" t="s">
        <v>227</v>
      </c>
      <c r="B153" s="10" t="s">
        <v>207</v>
      </c>
      <c r="C153" s="10" t="s">
        <v>917</v>
      </c>
      <c r="D153" s="24" t="s">
        <v>806</v>
      </c>
      <c r="E153" s="24" t="s">
        <v>922</v>
      </c>
      <c r="F153" s="25" t="s">
        <v>884</v>
      </c>
      <c r="G153" s="25" t="s">
        <v>885</v>
      </c>
      <c r="H153" s="10" t="s">
        <v>812</v>
      </c>
      <c r="I153" s="10" t="s">
        <v>762</v>
      </c>
      <c r="J153" s="28">
        <v>12</v>
      </c>
      <c r="K153" s="28">
        <v>26</v>
      </c>
      <c r="L153" s="24"/>
      <c r="M153" s="24"/>
      <c r="N153" s="24"/>
      <c r="O153" s="29">
        <v>46023</v>
      </c>
      <c r="P153" s="29"/>
      <c r="Q153" s="24">
        <v>100</v>
      </c>
      <c r="R153" s="24" t="s">
        <v>69</v>
      </c>
      <c r="S153" s="10"/>
      <c r="T153" s="10" t="s">
        <v>764</v>
      </c>
      <c r="U153" s="10"/>
      <c r="V153" s="10" t="s">
        <v>824</v>
      </c>
      <c r="W153" s="14">
        <f>IF(AND(ISNUMBER(Übersicht!$B$4),Übersicht!$B$4=INT(Übersicht!$B$4),Übersicht!$B$4&gt;=2026,Übersicht!$B$4&lt;=2028),IF(I153="fixedMonthDay",IF(AND(ISNUMBER(J153),J153=INT(J153),J153&gt;=1,J153&lt;=12,ISNUMBER(K153),K153=INT(K153),K153&gt;=1,K153&lt;=31,MONTH(DATE(Übersicht!$B$4,J153,K153))=J153,DAY(DATE(Übersicht!$B$4,J153,K153))=K153,L153="",M153="",N153=""),DATE(Übersicht!$B$4,J153,K153),NA()),IF(I153="easterOffsetDays",IF(AND(ISNUMBER(L153),L153=INT(L153),L153&gt;=-366,L153&lt;=366,J153="",K153="",M153="",N153=""),$AD$23+L153,NA()),IF(I153="nthWeekdayOfMonth",IF(AND(ISNUMBER(J153),J153=INT(J153),J153&gt;=1,J153&lt;=12,ISNUMBER(M153),M153=INT(M153),M153&gt;=1,M153&lt;=7,ISNUMBER(N153),N153=INT(N153),N153&gt;=1,N153&lt;=5,MONTH(DATE(Übersicht!$B$4,J153,1)+MOD(M153-WEEKDAY(DATE(Übersicht!$B$4,J153,1),2),7)+7*(N153-1))=J153,K153="",L153=""),DATE(Übersicht!$B$4,J153,1)+MOD(M153-WEEKDAY(DATE(Übersicht!$B$4,J153,1),2),7)+7*(N153-1),NA()),IF(I153="nthWeekdayOffsetDays",IF(AND(ISNUMBER(J153),J153=INT(J153),J153&gt;=1,J153&lt;=12,ISNUMBER(M153),M153=INT(M153),M153&gt;=1,M153&lt;=7,ISNUMBER(N153),N153=INT(N153),N153&gt;=1,N153&lt;=5,MONTH(DATE(Übersicht!$B$4,J153,1)+MOD(M153-WEEKDAY(DATE(Übersicht!$B$4,J153,1),2),7)+7*(N153-1))=J153,K153="",ISNUMBER(L153),L153=INT(L153),L153&gt;=-366,L153&lt;=366),DATE(Übersicht!$B$4,J153,1)+MOD(M153-WEEKDAY(DATE(Übersicht!$B$4,J153,1),2),7)+7*(N153-1)+L153,NA()),NA())))),NA())</f>
        <v>47113</v>
      </c>
      <c r="X153" s="14">
        <f t="shared" si="2"/>
        <v>47113</v>
      </c>
      <c r="Y153" s="10" t="s">
        <v>913</v>
      </c>
      <c r="Z153" s="10" t="s">
        <v>921</v>
      </c>
      <c r="AA153" s="24" t="s">
        <v>768</v>
      </c>
    </row>
    <row r="154" spans="1:27" ht="44" customHeight="1">
      <c r="A154" s="11" t="s">
        <v>229</v>
      </c>
      <c r="B154" s="11" t="s">
        <v>207</v>
      </c>
      <c r="C154" s="11" t="s">
        <v>923</v>
      </c>
      <c r="D154" s="26" t="s">
        <v>771</v>
      </c>
      <c r="E154" s="26" t="s">
        <v>772</v>
      </c>
      <c r="F154" s="27" t="s">
        <v>849</v>
      </c>
      <c r="G154" s="27" t="s">
        <v>850</v>
      </c>
      <c r="H154" s="11" t="s">
        <v>823</v>
      </c>
      <c r="I154" s="11" t="s">
        <v>762</v>
      </c>
      <c r="J154" s="30">
        <v>1</v>
      </c>
      <c r="K154" s="30">
        <v>1</v>
      </c>
      <c r="L154" s="26"/>
      <c r="M154" s="26"/>
      <c r="N154" s="26"/>
      <c r="O154" s="31">
        <v>46023</v>
      </c>
      <c r="P154" s="31"/>
      <c r="Q154" s="26">
        <v>100</v>
      </c>
      <c r="R154" s="26" t="s">
        <v>69</v>
      </c>
      <c r="S154" s="11"/>
      <c r="T154" s="11" t="s">
        <v>764</v>
      </c>
      <c r="U154" s="11"/>
      <c r="V154" s="11" t="s">
        <v>824</v>
      </c>
      <c r="W154" s="15">
        <f>IF(AND(ISNUMBER(Übersicht!$B$4),Übersicht!$B$4=INT(Übersicht!$B$4),Übersicht!$B$4&gt;=2026,Übersicht!$B$4&lt;=2028),IF(I154="fixedMonthDay",IF(AND(ISNUMBER(J154),J154=INT(J154),J154&gt;=1,J154&lt;=12,ISNUMBER(K154),K154=INT(K154),K154&gt;=1,K154&lt;=31,MONTH(DATE(Übersicht!$B$4,J154,K154))=J154,DAY(DATE(Übersicht!$B$4,J154,K154))=K154,L154="",M154="",N154=""),DATE(Übersicht!$B$4,J154,K154),NA()),IF(I154="easterOffsetDays",IF(AND(ISNUMBER(L154),L154=INT(L154),L154&gt;=-366,L154&lt;=366,J154="",K154="",M154="",N154=""),$AD$23+L154,NA()),IF(I154="nthWeekdayOfMonth",IF(AND(ISNUMBER(J154),J154=INT(J154),J154&gt;=1,J154&lt;=12,ISNUMBER(M154),M154=INT(M154),M154&gt;=1,M154&lt;=7,ISNUMBER(N154),N154=INT(N154),N154&gt;=1,N154&lt;=5,MONTH(DATE(Übersicht!$B$4,J154,1)+MOD(M154-WEEKDAY(DATE(Übersicht!$B$4,J154,1),2),7)+7*(N154-1))=J154,K154="",L154=""),DATE(Übersicht!$B$4,J154,1)+MOD(M154-WEEKDAY(DATE(Übersicht!$B$4,J154,1),2),7)+7*(N154-1),NA()),IF(I154="nthWeekdayOffsetDays",IF(AND(ISNUMBER(J154),J154=INT(J154),J154&gt;=1,J154&lt;=12,ISNUMBER(M154),M154=INT(M154),M154&gt;=1,M154&lt;=7,ISNUMBER(N154),N154=INT(N154),N154&gt;=1,N154&lt;=5,MONTH(DATE(Übersicht!$B$4,J154,1)+MOD(M154-WEEKDAY(DATE(Übersicht!$B$4,J154,1),2),7)+7*(N154-1))=J154,K154="",ISNUMBER(L154),L154=INT(L154),L154&gt;=-366,L154&lt;=366),DATE(Übersicht!$B$4,J154,1)+MOD(M154-WEEKDAY(DATE(Übersicht!$B$4,J154,1),2),7)+7*(N154-1)+L154,NA()),NA())))),NA())</f>
        <v>46753</v>
      </c>
      <c r="X154" s="15">
        <f t="shared" si="2"/>
        <v>46753</v>
      </c>
      <c r="Y154" s="11" t="s">
        <v>924</v>
      </c>
      <c r="Z154" s="11" t="s">
        <v>925</v>
      </c>
      <c r="AA154" s="26" t="s">
        <v>768</v>
      </c>
    </row>
    <row r="155" spans="1:27" ht="44" customHeight="1">
      <c r="A155" s="10" t="s">
        <v>230</v>
      </c>
      <c r="B155" s="10" t="s">
        <v>207</v>
      </c>
      <c r="C155" s="10" t="s">
        <v>923</v>
      </c>
      <c r="D155" s="24" t="s">
        <v>776</v>
      </c>
      <c r="E155" s="24" t="s">
        <v>918</v>
      </c>
      <c r="F155" s="25" t="s">
        <v>919</v>
      </c>
      <c r="G155" s="25" t="s">
        <v>920</v>
      </c>
      <c r="H155" s="10" t="s">
        <v>823</v>
      </c>
      <c r="I155" s="10" t="s">
        <v>762</v>
      </c>
      <c r="J155" s="28">
        <v>1</v>
      </c>
      <c r="K155" s="28">
        <v>2</v>
      </c>
      <c r="L155" s="24"/>
      <c r="M155" s="24"/>
      <c r="N155" s="24"/>
      <c r="O155" s="29">
        <v>46023</v>
      </c>
      <c r="P155" s="29"/>
      <c r="Q155" s="24">
        <v>100</v>
      </c>
      <c r="R155" s="24" t="s">
        <v>69</v>
      </c>
      <c r="S155" s="10"/>
      <c r="T155" s="10" t="s">
        <v>764</v>
      </c>
      <c r="U155" s="10"/>
      <c r="V155" s="10" t="s">
        <v>824</v>
      </c>
      <c r="W155" s="14">
        <f>IF(AND(ISNUMBER(Übersicht!$B$4),Übersicht!$B$4=INT(Übersicht!$B$4),Übersicht!$B$4&gt;=2026,Übersicht!$B$4&lt;=2028),IF(I155="fixedMonthDay",IF(AND(ISNUMBER(J155),J155=INT(J155),J155&gt;=1,J155&lt;=12,ISNUMBER(K155),K155=INT(K155),K155&gt;=1,K155&lt;=31,MONTH(DATE(Übersicht!$B$4,J155,K155))=J155,DAY(DATE(Übersicht!$B$4,J155,K155))=K155,L155="",M155="",N155=""),DATE(Übersicht!$B$4,J155,K155),NA()),IF(I155="easterOffsetDays",IF(AND(ISNUMBER(L155),L155=INT(L155),L155&gt;=-366,L155&lt;=366,J155="",K155="",M155="",N155=""),$AD$23+L155,NA()),IF(I155="nthWeekdayOfMonth",IF(AND(ISNUMBER(J155),J155=INT(J155),J155&gt;=1,J155&lt;=12,ISNUMBER(M155),M155=INT(M155),M155&gt;=1,M155&lt;=7,ISNUMBER(N155),N155=INT(N155),N155&gt;=1,N155&lt;=5,MONTH(DATE(Übersicht!$B$4,J155,1)+MOD(M155-WEEKDAY(DATE(Übersicht!$B$4,J155,1),2),7)+7*(N155-1))=J155,K155="",L155=""),DATE(Übersicht!$B$4,J155,1)+MOD(M155-WEEKDAY(DATE(Übersicht!$B$4,J155,1),2),7)+7*(N155-1),NA()),IF(I155="nthWeekdayOffsetDays",IF(AND(ISNUMBER(J155),J155=INT(J155),J155&gt;=1,J155&lt;=12,ISNUMBER(M155),M155=INT(M155),M155&gt;=1,M155&lt;=7,ISNUMBER(N155),N155=INT(N155),N155&gt;=1,N155&lt;=5,MONTH(DATE(Übersicht!$B$4,J155,1)+MOD(M155-WEEKDAY(DATE(Übersicht!$B$4,J155,1),2),7)+7*(N155-1))=J155,K155="",ISNUMBER(L155),L155=INT(L155),L155&gt;=-366,L155&lt;=366),DATE(Übersicht!$B$4,J155,1)+MOD(M155-WEEKDAY(DATE(Übersicht!$B$4,J155,1),2),7)+7*(N155-1)+L155,NA()),NA())))),NA())</f>
        <v>46754</v>
      </c>
      <c r="X155" s="14">
        <f t="shared" si="2"/>
        <v>46754</v>
      </c>
      <c r="Y155" s="10" t="s">
        <v>924</v>
      </c>
      <c r="Z155" s="10" t="s">
        <v>925</v>
      </c>
      <c r="AA155" s="24" t="s">
        <v>768</v>
      </c>
    </row>
    <row r="156" spans="1:27" ht="44" customHeight="1">
      <c r="A156" s="11" t="s">
        <v>231</v>
      </c>
      <c r="B156" s="11" t="s">
        <v>207</v>
      </c>
      <c r="C156" s="11" t="s">
        <v>923</v>
      </c>
      <c r="D156" s="26" t="s">
        <v>779</v>
      </c>
      <c r="E156" s="26" t="s">
        <v>780</v>
      </c>
      <c r="F156" s="27" t="s">
        <v>889</v>
      </c>
      <c r="G156" s="27" t="s">
        <v>890</v>
      </c>
      <c r="H156" s="11" t="s">
        <v>823</v>
      </c>
      <c r="I156" s="11" t="s">
        <v>781</v>
      </c>
      <c r="J156" s="30"/>
      <c r="K156" s="30"/>
      <c r="L156" s="26">
        <v>-2</v>
      </c>
      <c r="M156" s="26"/>
      <c r="N156" s="26"/>
      <c r="O156" s="31">
        <v>46023</v>
      </c>
      <c r="P156" s="31"/>
      <c r="Q156" s="26">
        <v>100</v>
      </c>
      <c r="R156" s="26" t="s">
        <v>69</v>
      </c>
      <c r="S156" s="11"/>
      <c r="T156" s="11" t="s">
        <v>764</v>
      </c>
      <c r="U156" s="11"/>
      <c r="V156" s="11" t="s">
        <v>824</v>
      </c>
      <c r="W156" s="15">
        <f>IF(AND(ISNUMBER(Übersicht!$B$4),Übersicht!$B$4=INT(Übersicht!$B$4),Übersicht!$B$4&gt;=2026,Übersicht!$B$4&lt;=2028),IF(I156="fixedMonthDay",IF(AND(ISNUMBER(J156),J156=INT(J156),J156&gt;=1,J156&lt;=12,ISNUMBER(K156),K156=INT(K156),K156&gt;=1,K156&lt;=31,MONTH(DATE(Übersicht!$B$4,J156,K156))=J156,DAY(DATE(Übersicht!$B$4,J156,K156))=K156,L156="",M156="",N156=""),DATE(Übersicht!$B$4,J156,K156),NA()),IF(I156="easterOffsetDays",IF(AND(ISNUMBER(L156),L156=INT(L156),L156&gt;=-366,L156&lt;=366,J156="",K156="",M156="",N156=""),$AD$23+L156,NA()),IF(I156="nthWeekdayOfMonth",IF(AND(ISNUMBER(J156),J156=INT(J156),J156&gt;=1,J156&lt;=12,ISNUMBER(M156),M156=INT(M156),M156&gt;=1,M156&lt;=7,ISNUMBER(N156),N156=INT(N156),N156&gt;=1,N156&lt;=5,MONTH(DATE(Übersicht!$B$4,J156,1)+MOD(M156-WEEKDAY(DATE(Übersicht!$B$4,J156,1),2),7)+7*(N156-1))=J156,K156="",L156=""),DATE(Übersicht!$B$4,J156,1)+MOD(M156-WEEKDAY(DATE(Übersicht!$B$4,J156,1),2),7)+7*(N156-1),NA()),IF(I156="nthWeekdayOffsetDays",IF(AND(ISNUMBER(J156),J156=INT(J156),J156&gt;=1,J156&lt;=12,ISNUMBER(M156),M156=INT(M156),M156&gt;=1,M156&lt;=7,ISNUMBER(N156),N156=INT(N156),N156&gt;=1,N156&lt;=5,MONTH(DATE(Übersicht!$B$4,J156,1)+MOD(M156-WEEKDAY(DATE(Übersicht!$B$4,J156,1),2),7)+7*(N156-1))=J156,K156="",ISNUMBER(L156),L156=INT(L156),L156&gt;=-366,L156&lt;=366),DATE(Übersicht!$B$4,J156,1)+MOD(M156-WEEKDAY(DATE(Übersicht!$B$4,J156,1),2),7)+7*(N156-1)+L156,NA()),NA())))),NA())</f>
        <v>46857</v>
      </c>
      <c r="X156" s="15">
        <f t="shared" si="2"/>
        <v>46857</v>
      </c>
      <c r="Y156" s="11" t="s">
        <v>924</v>
      </c>
      <c r="Z156" s="11" t="s">
        <v>925</v>
      </c>
      <c r="AA156" s="26" t="s">
        <v>768</v>
      </c>
    </row>
    <row r="157" spans="1:27" ht="44" customHeight="1">
      <c r="A157" s="10" t="s">
        <v>232</v>
      </c>
      <c r="B157" s="10" t="s">
        <v>207</v>
      </c>
      <c r="C157" s="10" t="s">
        <v>923</v>
      </c>
      <c r="D157" s="24" t="s">
        <v>784</v>
      </c>
      <c r="E157" s="24" t="s">
        <v>785</v>
      </c>
      <c r="F157" s="25" t="s">
        <v>892</v>
      </c>
      <c r="G157" s="25" t="s">
        <v>893</v>
      </c>
      <c r="H157" s="10" t="s">
        <v>823</v>
      </c>
      <c r="I157" s="10" t="s">
        <v>781</v>
      </c>
      <c r="J157" s="28"/>
      <c r="K157" s="28"/>
      <c r="L157" s="24">
        <v>0</v>
      </c>
      <c r="M157" s="24"/>
      <c r="N157" s="24"/>
      <c r="O157" s="29">
        <v>46023</v>
      </c>
      <c r="P157" s="29"/>
      <c r="Q157" s="24">
        <v>100</v>
      </c>
      <c r="R157" s="24" t="s">
        <v>69</v>
      </c>
      <c r="S157" s="10"/>
      <c r="T157" s="10" t="s">
        <v>764</v>
      </c>
      <c r="U157" s="10"/>
      <c r="V157" s="10" t="s">
        <v>824</v>
      </c>
      <c r="W157" s="14">
        <f>IF(AND(ISNUMBER(Übersicht!$B$4),Übersicht!$B$4=INT(Übersicht!$B$4),Übersicht!$B$4&gt;=2026,Übersicht!$B$4&lt;=2028),IF(I157="fixedMonthDay",IF(AND(ISNUMBER(J157),J157=INT(J157),J157&gt;=1,J157&lt;=12,ISNUMBER(K157),K157=INT(K157),K157&gt;=1,K157&lt;=31,MONTH(DATE(Übersicht!$B$4,J157,K157))=J157,DAY(DATE(Übersicht!$B$4,J157,K157))=K157,L157="",M157="",N157=""),DATE(Übersicht!$B$4,J157,K157),NA()),IF(I157="easterOffsetDays",IF(AND(ISNUMBER(L157),L157=INT(L157),L157&gt;=-366,L157&lt;=366,J157="",K157="",M157="",N157=""),$AD$23+L157,NA()),IF(I157="nthWeekdayOfMonth",IF(AND(ISNUMBER(J157),J157=INT(J157),J157&gt;=1,J157&lt;=12,ISNUMBER(M157),M157=INT(M157),M157&gt;=1,M157&lt;=7,ISNUMBER(N157),N157=INT(N157),N157&gt;=1,N157&lt;=5,MONTH(DATE(Übersicht!$B$4,J157,1)+MOD(M157-WEEKDAY(DATE(Übersicht!$B$4,J157,1),2),7)+7*(N157-1))=J157,K157="",L157=""),DATE(Übersicht!$B$4,J157,1)+MOD(M157-WEEKDAY(DATE(Übersicht!$B$4,J157,1),2),7)+7*(N157-1),NA()),IF(I157="nthWeekdayOffsetDays",IF(AND(ISNUMBER(J157),J157=INT(J157),J157&gt;=1,J157&lt;=12,ISNUMBER(M157),M157=INT(M157),M157&gt;=1,M157&lt;=7,ISNUMBER(N157),N157=INT(N157),N157&gt;=1,N157&lt;=5,MONTH(DATE(Übersicht!$B$4,J157,1)+MOD(M157-WEEKDAY(DATE(Übersicht!$B$4,J157,1),2),7)+7*(N157-1))=J157,K157="",ISNUMBER(L157),L157=INT(L157),L157&gt;=-366,L157&lt;=366),DATE(Übersicht!$B$4,J157,1)+MOD(M157-WEEKDAY(DATE(Übersicht!$B$4,J157,1),2),7)+7*(N157-1)+L157,NA()),NA())))),NA())</f>
        <v>46859</v>
      </c>
      <c r="X157" s="14">
        <f t="shared" si="2"/>
        <v>46859</v>
      </c>
      <c r="Y157" s="10" t="s">
        <v>924</v>
      </c>
      <c r="Z157" s="10" t="s">
        <v>925</v>
      </c>
      <c r="AA157" s="24" t="s">
        <v>768</v>
      </c>
    </row>
    <row r="158" spans="1:27" ht="44" customHeight="1">
      <c r="A158" s="11" t="s">
        <v>233</v>
      </c>
      <c r="B158" s="11" t="s">
        <v>207</v>
      </c>
      <c r="C158" s="11" t="s">
        <v>923</v>
      </c>
      <c r="D158" s="26" t="s">
        <v>787</v>
      </c>
      <c r="E158" s="26" t="s">
        <v>788</v>
      </c>
      <c r="F158" s="27" t="s">
        <v>860</v>
      </c>
      <c r="G158" s="27" t="s">
        <v>861</v>
      </c>
      <c r="H158" s="11" t="s">
        <v>823</v>
      </c>
      <c r="I158" s="11" t="s">
        <v>781</v>
      </c>
      <c r="J158" s="30"/>
      <c r="K158" s="30"/>
      <c r="L158" s="26">
        <v>1</v>
      </c>
      <c r="M158" s="26"/>
      <c r="N158" s="26"/>
      <c r="O158" s="31">
        <v>46023</v>
      </c>
      <c r="P158" s="31"/>
      <c r="Q158" s="26">
        <v>100</v>
      </c>
      <c r="R158" s="26" t="s">
        <v>69</v>
      </c>
      <c r="S158" s="11"/>
      <c r="T158" s="11" t="s">
        <v>764</v>
      </c>
      <c r="U158" s="11"/>
      <c r="V158" s="11" t="s">
        <v>824</v>
      </c>
      <c r="W158" s="15">
        <f>IF(AND(ISNUMBER(Übersicht!$B$4),Übersicht!$B$4=INT(Übersicht!$B$4),Übersicht!$B$4&gt;=2026,Übersicht!$B$4&lt;=2028),IF(I158="fixedMonthDay",IF(AND(ISNUMBER(J158),J158=INT(J158),J158&gt;=1,J158&lt;=12,ISNUMBER(K158),K158=INT(K158),K158&gt;=1,K158&lt;=31,MONTH(DATE(Übersicht!$B$4,J158,K158))=J158,DAY(DATE(Übersicht!$B$4,J158,K158))=K158,L158="",M158="",N158=""),DATE(Übersicht!$B$4,J158,K158),NA()),IF(I158="easterOffsetDays",IF(AND(ISNUMBER(L158),L158=INT(L158),L158&gt;=-366,L158&lt;=366,J158="",K158="",M158="",N158=""),$AD$23+L158,NA()),IF(I158="nthWeekdayOfMonth",IF(AND(ISNUMBER(J158),J158=INT(J158),J158&gt;=1,J158&lt;=12,ISNUMBER(M158),M158=INT(M158),M158&gt;=1,M158&lt;=7,ISNUMBER(N158),N158=INT(N158),N158&gt;=1,N158&lt;=5,MONTH(DATE(Übersicht!$B$4,J158,1)+MOD(M158-WEEKDAY(DATE(Übersicht!$B$4,J158,1),2),7)+7*(N158-1))=J158,K158="",L158=""),DATE(Übersicht!$B$4,J158,1)+MOD(M158-WEEKDAY(DATE(Übersicht!$B$4,J158,1),2),7)+7*(N158-1),NA()),IF(I158="nthWeekdayOffsetDays",IF(AND(ISNUMBER(J158),J158=INT(J158),J158&gt;=1,J158&lt;=12,ISNUMBER(M158),M158=INT(M158),M158&gt;=1,M158&lt;=7,ISNUMBER(N158),N158=INT(N158),N158&gt;=1,N158&lt;=5,MONTH(DATE(Übersicht!$B$4,J158,1)+MOD(M158-WEEKDAY(DATE(Übersicht!$B$4,J158,1),2),7)+7*(N158-1))=J158,K158="",ISNUMBER(L158),L158=INT(L158),L158&gt;=-366,L158&lt;=366),DATE(Übersicht!$B$4,J158,1)+MOD(M158-WEEKDAY(DATE(Übersicht!$B$4,J158,1),2),7)+7*(N158-1)+L158,NA()),NA())))),NA())</f>
        <v>46860</v>
      </c>
      <c r="X158" s="15">
        <f t="shared" si="2"/>
        <v>46860</v>
      </c>
      <c r="Y158" s="11" t="s">
        <v>924</v>
      </c>
      <c r="Z158" s="11" t="s">
        <v>925</v>
      </c>
      <c r="AA158" s="26" t="s">
        <v>768</v>
      </c>
    </row>
    <row r="159" spans="1:27" ht="44" customHeight="1">
      <c r="A159" s="10" t="s">
        <v>234</v>
      </c>
      <c r="B159" s="10" t="s">
        <v>207</v>
      </c>
      <c r="C159" s="10" t="s">
        <v>923</v>
      </c>
      <c r="D159" s="24" t="s">
        <v>790</v>
      </c>
      <c r="E159" s="24" t="s">
        <v>791</v>
      </c>
      <c r="F159" s="25" t="s">
        <v>864</v>
      </c>
      <c r="G159" s="25" t="s">
        <v>865</v>
      </c>
      <c r="H159" s="10" t="s">
        <v>823</v>
      </c>
      <c r="I159" s="10" t="s">
        <v>781</v>
      </c>
      <c r="J159" s="28"/>
      <c r="K159" s="28"/>
      <c r="L159" s="24">
        <v>39</v>
      </c>
      <c r="M159" s="24"/>
      <c r="N159" s="24"/>
      <c r="O159" s="29">
        <v>46023</v>
      </c>
      <c r="P159" s="29"/>
      <c r="Q159" s="24">
        <v>100</v>
      </c>
      <c r="R159" s="24" t="s">
        <v>69</v>
      </c>
      <c r="S159" s="10"/>
      <c r="T159" s="10" t="s">
        <v>764</v>
      </c>
      <c r="U159" s="10"/>
      <c r="V159" s="10" t="s">
        <v>824</v>
      </c>
      <c r="W159" s="14">
        <f>IF(AND(ISNUMBER(Übersicht!$B$4),Übersicht!$B$4=INT(Übersicht!$B$4),Übersicht!$B$4&gt;=2026,Übersicht!$B$4&lt;=2028),IF(I159="fixedMonthDay",IF(AND(ISNUMBER(J159),J159=INT(J159),J159&gt;=1,J159&lt;=12,ISNUMBER(K159),K159=INT(K159),K159&gt;=1,K159&lt;=31,MONTH(DATE(Übersicht!$B$4,J159,K159))=J159,DAY(DATE(Übersicht!$B$4,J159,K159))=K159,L159="",M159="",N159=""),DATE(Übersicht!$B$4,J159,K159),NA()),IF(I159="easterOffsetDays",IF(AND(ISNUMBER(L159),L159=INT(L159),L159&gt;=-366,L159&lt;=366,J159="",K159="",M159="",N159=""),$AD$23+L159,NA()),IF(I159="nthWeekdayOfMonth",IF(AND(ISNUMBER(J159),J159=INT(J159),J159&gt;=1,J159&lt;=12,ISNUMBER(M159),M159=INT(M159),M159&gt;=1,M159&lt;=7,ISNUMBER(N159),N159=INT(N159),N159&gt;=1,N159&lt;=5,MONTH(DATE(Übersicht!$B$4,J159,1)+MOD(M159-WEEKDAY(DATE(Übersicht!$B$4,J159,1),2),7)+7*(N159-1))=J159,K159="",L159=""),DATE(Übersicht!$B$4,J159,1)+MOD(M159-WEEKDAY(DATE(Übersicht!$B$4,J159,1),2),7)+7*(N159-1),NA()),IF(I159="nthWeekdayOffsetDays",IF(AND(ISNUMBER(J159),J159=INT(J159),J159&gt;=1,J159&lt;=12,ISNUMBER(M159),M159=INT(M159),M159&gt;=1,M159&lt;=7,ISNUMBER(N159),N159=INT(N159),N159&gt;=1,N159&lt;=5,MONTH(DATE(Übersicht!$B$4,J159,1)+MOD(M159-WEEKDAY(DATE(Übersicht!$B$4,J159,1),2),7)+7*(N159-1))=J159,K159="",ISNUMBER(L159),L159=INT(L159),L159&gt;=-366,L159&lt;=366),DATE(Übersicht!$B$4,J159,1)+MOD(M159-WEEKDAY(DATE(Übersicht!$B$4,J159,1),2),7)+7*(N159-1)+L159,NA()),NA())))),NA())</f>
        <v>46898</v>
      </c>
      <c r="X159" s="14">
        <f t="shared" si="2"/>
        <v>46898</v>
      </c>
      <c r="Y159" s="10" t="s">
        <v>924</v>
      </c>
      <c r="Z159" s="10" t="s">
        <v>925</v>
      </c>
      <c r="AA159" s="24" t="s">
        <v>768</v>
      </c>
    </row>
    <row r="160" spans="1:27" ht="44" customHeight="1">
      <c r="A160" s="11" t="s">
        <v>235</v>
      </c>
      <c r="B160" s="11" t="s">
        <v>207</v>
      </c>
      <c r="C160" s="11" t="s">
        <v>923</v>
      </c>
      <c r="D160" s="26" t="s">
        <v>793</v>
      </c>
      <c r="E160" s="26" t="s">
        <v>794</v>
      </c>
      <c r="F160" s="27" t="s">
        <v>896</v>
      </c>
      <c r="G160" s="27" t="s">
        <v>897</v>
      </c>
      <c r="H160" s="11" t="s">
        <v>823</v>
      </c>
      <c r="I160" s="11" t="s">
        <v>781</v>
      </c>
      <c r="J160" s="30"/>
      <c r="K160" s="30"/>
      <c r="L160" s="26">
        <v>49</v>
      </c>
      <c r="M160" s="26"/>
      <c r="N160" s="26"/>
      <c r="O160" s="31">
        <v>46023</v>
      </c>
      <c r="P160" s="31"/>
      <c r="Q160" s="26">
        <v>100</v>
      </c>
      <c r="R160" s="26" t="s">
        <v>69</v>
      </c>
      <c r="S160" s="11"/>
      <c r="T160" s="11" t="s">
        <v>764</v>
      </c>
      <c r="U160" s="11"/>
      <c r="V160" s="11" t="s">
        <v>824</v>
      </c>
      <c r="W160" s="15">
        <f>IF(AND(ISNUMBER(Übersicht!$B$4),Übersicht!$B$4=INT(Übersicht!$B$4),Übersicht!$B$4&gt;=2026,Übersicht!$B$4&lt;=2028),IF(I160="fixedMonthDay",IF(AND(ISNUMBER(J160),J160=INT(J160),J160&gt;=1,J160&lt;=12,ISNUMBER(K160),K160=INT(K160),K160&gt;=1,K160&lt;=31,MONTH(DATE(Übersicht!$B$4,J160,K160))=J160,DAY(DATE(Übersicht!$B$4,J160,K160))=K160,L160="",M160="",N160=""),DATE(Übersicht!$B$4,J160,K160),NA()),IF(I160="easterOffsetDays",IF(AND(ISNUMBER(L160),L160=INT(L160),L160&gt;=-366,L160&lt;=366,J160="",K160="",M160="",N160=""),$AD$23+L160,NA()),IF(I160="nthWeekdayOfMonth",IF(AND(ISNUMBER(J160),J160=INT(J160),J160&gt;=1,J160&lt;=12,ISNUMBER(M160),M160=INT(M160),M160&gt;=1,M160&lt;=7,ISNUMBER(N160),N160=INT(N160),N160&gt;=1,N160&lt;=5,MONTH(DATE(Übersicht!$B$4,J160,1)+MOD(M160-WEEKDAY(DATE(Übersicht!$B$4,J160,1),2),7)+7*(N160-1))=J160,K160="",L160=""),DATE(Übersicht!$B$4,J160,1)+MOD(M160-WEEKDAY(DATE(Übersicht!$B$4,J160,1),2),7)+7*(N160-1),NA()),IF(I160="nthWeekdayOffsetDays",IF(AND(ISNUMBER(J160),J160=INT(J160),J160&gt;=1,J160&lt;=12,ISNUMBER(M160),M160=INT(M160),M160&gt;=1,M160&lt;=7,ISNUMBER(N160),N160=INT(N160),N160&gt;=1,N160&lt;=5,MONTH(DATE(Übersicht!$B$4,J160,1)+MOD(M160-WEEKDAY(DATE(Übersicht!$B$4,J160,1),2),7)+7*(N160-1))=J160,K160="",ISNUMBER(L160),L160=INT(L160),L160&gt;=-366,L160&lt;=366),DATE(Übersicht!$B$4,J160,1)+MOD(M160-WEEKDAY(DATE(Übersicht!$B$4,J160,1),2),7)+7*(N160-1)+L160,NA()),NA())))),NA())</f>
        <v>46908</v>
      </c>
      <c r="X160" s="15">
        <f t="shared" si="2"/>
        <v>46908</v>
      </c>
      <c r="Y160" s="11" t="s">
        <v>924</v>
      </c>
      <c r="Z160" s="11" t="s">
        <v>925</v>
      </c>
      <c r="AA160" s="26" t="s">
        <v>768</v>
      </c>
    </row>
    <row r="161" spans="1:27" ht="44" customHeight="1">
      <c r="A161" s="10" t="s">
        <v>236</v>
      </c>
      <c r="B161" s="10" t="s">
        <v>207</v>
      </c>
      <c r="C161" s="10" t="s">
        <v>923</v>
      </c>
      <c r="D161" s="24" t="s">
        <v>796</v>
      </c>
      <c r="E161" s="24" t="s">
        <v>797</v>
      </c>
      <c r="F161" s="25" t="s">
        <v>866</v>
      </c>
      <c r="G161" s="25" t="s">
        <v>867</v>
      </c>
      <c r="H161" s="10" t="s">
        <v>823</v>
      </c>
      <c r="I161" s="10" t="s">
        <v>781</v>
      </c>
      <c r="J161" s="28"/>
      <c r="K161" s="28"/>
      <c r="L161" s="24">
        <v>50</v>
      </c>
      <c r="M161" s="24"/>
      <c r="N161" s="24"/>
      <c r="O161" s="29">
        <v>46023</v>
      </c>
      <c r="P161" s="29"/>
      <c r="Q161" s="24">
        <v>100</v>
      </c>
      <c r="R161" s="24" t="s">
        <v>69</v>
      </c>
      <c r="S161" s="10"/>
      <c r="T161" s="10" t="s">
        <v>764</v>
      </c>
      <c r="U161" s="10"/>
      <c r="V161" s="10" t="s">
        <v>824</v>
      </c>
      <c r="W161" s="14">
        <f>IF(AND(ISNUMBER(Übersicht!$B$4),Übersicht!$B$4=INT(Übersicht!$B$4),Übersicht!$B$4&gt;=2026,Übersicht!$B$4&lt;=2028),IF(I161="fixedMonthDay",IF(AND(ISNUMBER(J161),J161=INT(J161),J161&gt;=1,J161&lt;=12,ISNUMBER(K161),K161=INT(K161),K161&gt;=1,K161&lt;=31,MONTH(DATE(Übersicht!$B$4,J161,K161))=J161,DAY(DATE(Übersicht!$B$4,J161,K161))=K161,L161="",M161="",N161=""),DATE(Übersicht!$B$4,J161,K161),NA()),IF(I161="easterOffsetDays",IF(AND(ISNUMBER(L161),L161=INT(L161),L161&gt;=-366,L161&lt;=366,J161="",K161="",M161="",N161=""),$AD$23+L161,NA()),IF(I161="nthWeekdayOfMonth",IF(AND(ISNUMBER(J161),J161=INT(J161),J161&gt;=1,J161&lt;=12,ISNUMBER(M161),M161=INT(M161),M161&gt;=1,M161&lt;=7,ISNUMBER(N161),N161=INT(N161),N161&gt;=1,N161&lt;=5,MONTH(DATE(Übersicht!$B$4,J161,1)+MOD(M161-WEEKDAY(DATE(Übersicht!$B$4,J161,1),2),7)+7*(N161-1))=J161,K161="",L161=""),DATE(Übersicht!$B$4,J161,1)+MOD(M161-WEEKDAY(DATE(Übersicht!$B$4,J161,1),2),7)+7*(N161-1),NA()),IF(I161="nthWeekdayOffsetDays",IF(AND(ISNUMBER(J161),J161=INT(J161),J161&gt;=1,J161&lt;=12,ISNUMBER(M161),M161=INT(M161),M161&gt;=1,M161&lt;=7,ISNUMBER(N161),N161=INT(N161),N161&gt;=1,N161&lt;=5,MONTH(DATE(Übersicht!$B$4,J161,1)+MOD(M161-WEEKDAY(DATE(Übersicht!$B$4,J161,1),2),7)+7*(N161-1))=J161,K161="",ISNUMBER(L161),L161=INT(L161),L161&gt;=-366,L161&lt;=366),DATE(Übersicht!$B$4,J161,1)+MOD(M161-WEEKDAY(DATE(Übersicht!$B$4,J161,1),2),7)+7*(N161-1)+L161,NA()),NA())))),NA())</f>
        <v>46909</v>
      </c>
      <c r="X161" s="14">
        <f t="shared" si="2"/>
        <v>46909</v>
      </c>
      <c r="Y161" s="10" t="s">
        <v>924</v>
      </c>
      <c r="Z161" s="10" t="s">
        <v>925</v>
      </c>
      <c r="AA161" s="24" t="s">
        <v>768</v>
      </c>
    </row>
    <row r="162" spans="1:27" ht="44" customHeight="1">
      <c r="A162" s="11" t="s">
        <v>237</v>
      </c>
      <c r="B162" s="11" t="s">
        <v>207</v>
      </c>
      <c r="C162" s="11" t="s">
        <v>923</v>
      </c>
      <c r="D162" s="26" t="s">
        <v>810</v>
      </c>
      <c r="E162" s="26" t="s">
        <v>811</v>
      </c>
      <c r="F162" s="27" t="s">
        <v>868</v>
      </c>
      <c r="G162" s="27" t="s">
        <v>869</v>
      </c>
      <c r="H162" s="11" t="s">
        <v>823</v>
      </c>
      <c r="I162" s="11" t="s">
        <v>781</v>
      </c>
      <c r="J162" s="30"/>
      <c r="K162" s="30"/>
      <c r="L162" s="26">
        <v>60</v>
      </c>
      <c r="M162" s="26"/>
      <c r="N162" s="26"/>
      <c r="O162" s="31">
        <v>46023</v>
      </c>
      <c r="P162" s="31"/>
      <c r="Q162" s="26">
        <v>100</v>
      </c>
      <c r="R162" s="26" t="s">
        <v>69</v>
      </c>
      <c r="S162" s="11"/>
      <c r="T162" s="11" t="s">
        <v>764</v>
      </c>
      <c r="U162" s="11"/>
      <c r="V162" s="11" t="s">
        <v>824</v>
      </c>
      <c r="W162" s="15">
        <f>IF(AND(ISNUMBER(Übersicht!$B$4),Übersicht!$B$4=INT(Übersicht!$B$4),Übersicht!$B$4&gt;=2026,Übersicht!$B$4&lt;=2028),IF(I162="fixedMonthDay",IF(AND(ISNUMBER(J162),J162=INT(J162),J162&gt;=1,J162&lt;=12,ISNUMBER(K162),K162=INT(K162),K162&gt;=1,K162&lt;=31,MONTH(DATE(Übersicht!$B$4,J162,K162))=J162,DAY(DATE(Übersicht!$B$4,J162,K162))=K162,L162="",M162="",N162=""),DATE(Übersicht!$B$4,J162,K162),NA()),IF(I162="easterOffsetDays",IF(AND(ISNUMBER(L162),L162=INT(L162),L162&gt;=-366,L162&lt;=366,J162="",K162="",M162="",N162=""),$AD$23+L162,NA()),IF(I162="nthWeekdayOfMonth",IF(AND(ISNUMBER(J162),J162=INT(J162),J162&gt;=1,J162&lt;=12,ISNUMBER(M162),M162=INT(M162),M162&gt;=1,M162&lt;=7,ISNUMBER(N162),N162=INT(N162),N162&gt;=1,N162&lt;=5,MONTH(DATE(Übersicht!$B$4,J162,1)+MOD(M162-WEEKDAY(DATE(Übersicht!$B$4,J162,1),2),7)+7*(N162-1))=J162,K162="",L162=""),DATE(Übersicht!$B$4,J162,1)+MOD(M162-WEEKDAY(DATE(Übersicht!$B$4,J162,1),2),7)+7*(N162-1),NA()),IF(I162="nthWeekdayOffsetDays",IF(AND(ISNUMBER(J162),J162=INT(J162),J162&gt;=1,J162&lt;=12,ISNUMBER(M162),M162=INT(M162),M162&gt;=1,M162&lt;=7,ISNUMBER(N162),N162=INT(N162),N162&gt;=1,N162&lt;=5,MONTH(DATE(Übersicht!$B$4,J162,1)+MOD(M162-WEEKDAY(DATE(Übersicht!$B$4,J162,1),2),7)+7*(N162-1))=J162,K162="",ISNUMBER(L162),L162=INT(L162),L162&gt;=-366,L162&lt;=366),DATE(Übersicht!$B$4,J162,1)+MOD(M162-WEEKDAY(DATE(Übersicht!$B$4,J162,1),2),7)+7*(N162-1)+L162,NA()),NA())))),NA())</f>
        <v>46919</v>
      </c>
      <c r="X162" s="15">
        <f t="shared" si="2"/>
        <v>46919</v>
      </c>
      <c r="Y162" s="11" t="s">
        <v>924</v>
      </c>
      <c r="Z162" s="11" t="s">
        <v>925</v>
      </c>
      <c r="AA162" s="26" t="s">
        <v>768</v>
      </c>
    </row>
    <row r="163" spans="1:27" ht="44" customHeight="1">
      <c r="A163" s="10" t="s">
        <v>238</v>
      </c>
      <c r="B163" s="10" t="s">
        <v>207</v>
      </c>
      <c r="C163" s="10" t="s">
        <v>923</v>
      </c>
      <c r="D163" s="24" t="s">
        <v>759</v>
      </c>
      <c r="E163" s="24" t="s">
        <v>760</v>
      </c>
      <c r="F163" s="25" t="s">
        <v>874</v>
      </c>
      <c r="G163" s="25" t="s">
        <v>875</v>
      </c>
      <c r="H163" s="10" t="s">
        <v>823</v>
      </c>
      <c r="I163" s="10" t="s">
        <v>762</v>
      </c>
      <c r="J163" s="28">
        <v>8</v>
      </c>
      <c r="K163" s="28">
        <v>1</v>
      </c>
      <c r="L163" s="24"/>
      <c r="M163" s="24"/>
      <c r="N163" s="24"/>
      <c r="O163" s="29">
        <v>46023</v>
      </c>
      <c r="P163" s="29"/>
      <c r="Q163" s="24">
        <v>100</v>
      </c>
      <c r="R163" s="24" t="s">
        <v>69</v>
      </c>
      <c r="S163" s="10"/>
      <c r="T163" s="10" t="s">
        <v>764</v>
      </c>
      <c r="U163" s="10"/>
      <c r="V163" s="10" t="s">
        <v>824</v>
      </c>
      <c r="W163" s="14">
        <f>IF(AND(ISNUMBER(Übersicht!$B$4),Übersicht!$B$4=INT(Übersicht!$B$4),Übersicht!$B$4&gt;=2026,Übersicht!$B$4&lt;=2028),IF(I163="fixedMonthDay",IF(AND(ISNUMBER(J163),J163=INT(J163),J163&gt;=1,J163&lt;=12,ISNUMBER(K163),K163=INT(K163),K163&gt;=1,K163&lt;=31,MONTH(DATE(Übersicht!$B$4,J163,K163))=J163,DAY(DATE(Übersicht!$B$4,J163,K163))=K163,L163="",M163="",N163=""),DATE(Übersicht!$B$4,J163,K163),NA()),IF(I163="easterOffsetDays",IF(AND(ISNUMBER(L163),L163=INT(L163),L163&gt;=-366,L163&lt;=366,J163="",K163="",M163="",N163=""),$AD$23+L163,NA()),IF(I163="nthWeekdayOfMonth",IF(AND(ISNUMBER(J163),J163=INT(J163),J163&gt;=1,J163&lt;=12,ISNUMBER(M163),M163=INT(M163),M163&gt;=1,M163&lt;=7,ISNUMBER(N163),N163=INT(N163),N163&gt;=1,N163&lt;=5,MONTH(DATE(Übersicht!$B$4,J163,1)+MOD(M163-WEEKDAY(DATE(Übersicht!$B$4,J163,1),2),7)+7*(N163-1))=J163,K163="",L163=""),DATE(Übersicht!$B$4,J163,1)+MOD(M163-WEEKDAY(DATE(Übersicht!$B$4,J163,1),2),7)+7*(N163-1),NA()),IF(I163="nthWeekdayOffsetDays",IF(AND(ISNUMBER(J163),J163=INT(J163),J163&gt;=1,J163&lt;=12,ISNUMBER(M163),M163=INT(M163),M163&gt;=1,M163&lt;=7,ISNUMBER(N163),N163=INT(N163),N163&gt;=1,N163&lt;=5,MONTH(DATE(Übersicht!$B$4,J163,1)+MOD(M163-WEEKDAY(DATE(Übersicht!$B$4,J163,1),2),7)+7*(N163-1))=J163,K163="",ISNUMBER(L163),L163=INT(L163),L163&gt;=-366,L163&lt;=366),DATE(Übersicht!$B$4,J163,1)+MOD(M163-WEEKDAY(DATE(Übersicht!$B$4,J163,1),2),7)+7*(N163-1)+L163,NA()),NA())))),NA())</f>
        <v>46966</v>
      </c>
      <c r="X163" s="14">
        <f t="shared" si="2"/>
        <v>46966</v>
      </c>
      <c r="Y163" s="10" t="s">
        <v>924</v>
      </c>
      <c r="Z163" s="10" t="s">
        <v>925</v>
      </c>
      <c r="AA163" s="24" t="s">
        <v>768</v>
      </c>
    </row>
    <row r="164" spans="1:27" ht="44" customHeight="1">
      <c r="A164" s="11" t="s">
        <v>239</v>
      </c>
      <c r="B164" s="11" t="s">
        <v>207</v>
      </c>
      <c r="C164" s="11" t="s">
        <v>923</v>
      </c>
      <c r="D164" s="26" t="s">
        <v>834</v>
      </c>
      <c r="E164" s="26" t="s">
        <v>835</v>
      </c>
      <c r="F164" s="27" t="s">
        <v>876</v>
      </c>
      <c r="G164" s="27" t="s">
        <v>877</v>
      </c>
      <c r="H164" s="11" t="s">
        <v>823</v>
      </c>
      <c r="I164" s="11" t="s">
        <v>762</v>
      </c>
      <c r="J164" s="30">
        <v>8</v>
      </c>
      <c r="K164" s="30">
        <v>15</v>
      </c>
      <c r="L164" s="26"/>
      <c r="M164" s="26"/>
      <c r="N164" s="26"/>
      <c r="O164" s="31">
        <v>46023</v>
      </c>
      <c r="P164" s="31"/>
      <c r="Q164" s="26">
        <v>100</v>
      </c>
      <c r="R164" s="26" t="s">
        <v>69</v>
      </c>
      <c r="S164" s="11"/>
      <c r="T164" s="11" t="s">
        <v>764</v>
      </c>
      <c r="U164" s="11"/>
      <c r="V164" s="11" t="s">
        <v>824</v>
      </c>
      <c r="W164" s="15">
        <f>IF(AND(ISNUMBER(Übersicht!$B$4),Übersicht!$B$4=INT(Übersicht!$B$4),Übersicht!$B$4&gt;=2026,Übersicht!$B$4&lt;=2028),IF(I164="fixedMonthDay",IF(AND(ISNUMBER(J164),J164=INT(J164),J164&gt;=1,J164&lt;=12,ISNUMBER(K164),K164=INT(K164),K164&gt;=1,K164&lt;=31,MONTH(DATE(Übersicht!$B$4,J164,K164))=J164,DAY(DATE(Übersicht!$B$4,J164,K164))=K164,L164="",M164="",N164=""),DATE(Übersicht!$B$4,J164,K164),NA()),IF(I164="easterOffsetDays",IF(AND(ISNUMBER(L164),L164=INT(L164),L164&gt;=-366,L164&lt;=366,J164="",K164="",M164="",N164=""),$AD$23+L164,NA()),IF(I164="nthWeekdayOfMonth",IF(AND(ISNUMBER(J164),J164=INT(J164),J164&gt;=1,J164&lt;=12,ISNUMBER(M164),M164=INT(M164),M164&gt;=1,M164&lt;=7,ISNUMBER(N164),N164=INT(N164),N164&gt;=1,N164&lt;=5,MONTH(DATE(Übersicht!$B$4,J164,1)+MOD(M164-WEEKDAY(DATE(Übersicht!$B$4,J164,1),2),7)+7*(N164-1))=J164,K164="",L164=""),DATE(Übersicht!$B$4,J164,1)+MOD(M164-WEEKDAY(DATE(Übersicht!$B$4,J164,1),2),7)+7*(N164-1),NA()),IF(I164="nthWeekdayOffsetDays",IF(AND(ISNUMBER(J164),J164=INT(J164),J164&gt;=1,J164&lt;=12,ISNUMBER(M164),M164=INT(M164),M164&gt;=1,M164&lt;=7,ISNUMBER(N164),N164=INT(N164),N164&gt;=1,N164&lt;=5,MONTH(DATE(Übersicht!$B$4,J164,1)+MOD(M164-WEEKDAY(DATE(Übersicht!$B$4,J164,1),2),7)+7*(N164-1))=J164,K164="",ISNUMBER(L164),L164=INT(L164),L164&gt;=-366,L164&lt;=366),DATE(Übersicht!$B$4,J164,1)+MOD(M164-WEEKDAY(DATE(Übersicht!$B$4,J164,1),2),7)+7*(N164-1)+L164,NA()),NA())))),NA())</f>
        <v>46980</v>
      </c>
      <c r="X164" s="15">
        <f t="shared" si="2"/>
        <v>46980</v>
      </c>
      <c r="Y164" s="11" t="s">
        <v>924</v>
      </c>
      <c r="Z164" s="11" t="s">
        <v>925</v>
      </c>
      <c r="AA164" s="26" t="s">
        <v>768</v>
      </c>
    </row>
    <row r="165" spans="1:27" ht="44" customHeight="1">
      <c r="A165" s="10" t="s">
        <v>240</v>
      </c>
      <c r="B165" s="10" t="s">
        <v>207</v>
      </c>
      <c r="C165" s="10" t="s">
        <v>923</v>
      </c>
      <c r="D165" s="24" t="s">
        <v>821</v>
      </c>
      <c r="E165" s="24" t="s">
        <v>822</v>
      </c>
      <c r="F165" s="25" t="s">
        <v>878</v>
      </c>
      <c r="G165" s="25" t="s">
        <v>879</v>
      </c>
      <c r="H165" s="10" t="s">
        <v>823</v>
      </c>
      <c r="I165" s="10" t="s">
        <v>762</v>
      </c>
      <c r="J165" s="28">
        <v>11</v>
      </c>
      <c r="K165" s="28">
        <v>1</v>
      </c>
      <c r="L165" s="24"/>
      <c r="M165" s="24"/>
      <c r="N165" s="24"/>
      <c r="O165" s="29">
        <v>46023</v>
      </c>
      <c r="P165" s="29"/>
      <c r="Q165" s="24">
        <v>100</v>
      </c>
      <c r="R165" s="24" t="s">
        <v>69</v>
      </c>
      <c r="S165" s="10"/>
      <c r="T165" s="10" t="s">
        <v>764</v>
      </c>
      <c r="U165" s="10"/>
      <c r="V165" s="10" t="s">
        <v>824</v>
      </c>
      <c r="W165" s="14">
        <f>IF(AND(ISNUMBER(Übersicht!$B$4),Übersicht!$B$4=INT(Übersicht!$B$4),Übersicht!$B$4&gt;=2026,Übersicht!$B$4&lt;=2028),IF(I165="fixedMonthDay",IF(AND(ISNUMBER(J165),J165=INT(J165),J165&gt;=1,J165&lt;=12,ISNUMBER(K165),K165=INT(K165),K165&gt;=1,K165&lt;=31,MONTH(DATE(Übersicht!$B$4,J165,K165))=J165,DAY(DATE(Übersicht!$B$4,J165,K165))=K165,L165="",M165="",N165=""),DATE(Übersicht!$B$4,J165,K165),NA()),IF(I165="easterOffsetDays",IF(AND(ISNUMBER(L165),L165=INT(L165),L165&gt;=-366,L165&lt;=366,J165="",K165="",M165="",N165=""),$AD$23+L165,NA()),IF(I165="nthWeekdayOfMonth",IF(AND(ISNUMBER(J165),J165=INT(J165),J165&gt;=1,J165&lt;=12,ISNUMBER(M165),M165=INT(M165),M165&gt;=1,M165&lt;=7,ISNUMBER(N165),N165=INT(N165),N165&gt;=1,N165&lt;=5,MONTH(DATE(Übersicht!$B$4,J165,1)+MOD(M165-WEEKDAY(DATE(Übersicht!$B$4,J165,1),2),7)+7*(N165-1))=J165,K165="",L165=""),DATE(Übersicht!$B$4,J165,1)+MOD(M165-WEEKDAY(DATE(Übersicht!$B$4,J165,1),2),7)+7*(N165-1),NA()),IF(I165="nthWeekdayOffsetDays",IF(AND(ISNUMBER(J165),J165=INT(J165),J165&gt;=1,J165&lt;=12,ISNUMBER(M165),M165=INT(M165),M165&gt;=1,M165&lt;=7,ISNUMBER(N165),N165=INT(N165),N165&gt;=1,N165&lt;=5,MONTH(DATE(Übersicht!$B$4,J165,1)+MOD(M165-WEEKDAY(DATE(Übersicht!$B$4,J165,1),2),7)+7*(N165-1))=J165,K165="",ISNUMBER(L165),L165=INT(L165),L165&gt;=-366,L165&lt;=366),DATE(Übersicht!$B$4,J165,1)+MOD(M165-WEEKDAY(DATE(Übersicht!$B$4,J165,1),2),7)+7*(N165-1)+L165,NA()),NA())))),NA())</f>
        <v>47058</v>
      </c>
      <c r="X165" s="14">
        <f t="shared" si="2"/>
        <v>47058</v>
      </c>
      <c r="Y165" s="10" t="s">
        <v>924</v>
      </c>
      <c r="Z165" s="10" t="s">
        <v>925</v>
      </c>
      <c r="AA165" s="24" t="s">
        <v>768</v>
      </c>
    </row>
    <row r="166" spans="1:27" ht="44" customHeight="1">
      <c r="A166" s="11" t="s">
        <v>241</v>
      </c>
      <c r="B166" s="11" t="s">
        <v>207</v>
      </c>
      <c r="C166" s="11" t="s">
        <v>923</v>
      </c>
      <c r="D166" s="26" t="s">
        <v>838</v>
      </c>
      <c r="E166" s="26" t="s">
        <v>839</v>
      </c>
      <c r="F166" s="27" t="s">
        <v>880</v>
      </c>
      <c r="G166" s="27" t="s">
        <v>881</v>
      </c>
      <c r="H166" s="11" t="s">
        <v>823</v>
      </c>
      <c r="I166" s="11" t="s">
        <v>762</v>
      </c>
      <c r="J166" s="30">
        <v>12</v>
      </c>
      <c r="K166" s="30">
        <v>8</v>
      </c>
      <c r="L166" s="26"/>
      <c r="M166" s="26"/>
      <c r="N166" s="26"/>
      <c r="O166" s="31">
        <v>46023</v>
      </c>
      <c r="P166" s="31"/>
      <c r="Q166" s="26">
        <v>100</v>
      </c>
      <c r="R166" s="26" t="s">
        <v>69</v>
      </c>
      <c r="S166" s="11"/>
      <c r="T166" s="11" t="s">
        <v>764</v>
      </c>
      <c r="U166" s="11"/>
      <c r="V166" s="11" t="s">
        <v>824</v>
      </c>
      <c r="W166" s="15">
        <f>IF(AND(ISNUMBER(Übersicht!$B$4),Übersicht!$B$4=INT(Übersicht!$B$4),Übersicht!$B$4&gt;=2026,Übersicht!$B$4&lt;=2028),IF(I166="fixedMonthDay",IF(AND(ISNUMBER(J166),J166=INT(J166),J166&gt;=1,J166&lt;=12,ISNUMBER(K166),K166=INT(K166),K166&gt;=1,K166&lt;=31,MONTH(DATE(Übersicht!$B$4,J166,K166))=J166,DAY(DATE(Übersicht!$B$4,J166,K166))=K166,L166="",M166="",N166=""),DATE(Übersicht!$B$4,J166,K166),NA()),IF(I166="easterOffsetDays",IF(AND(ISNUMBER(L166),L166=INT(L166),L166&gt;=-366,L166&lt;=366,J166="",K166="",M166="",N166=""),$AD$23+L166,NA()),IF(I166="nthWeekdayOfMonth",IF(AND(ISNUMBER(J166),J166=INT(J166),J166&gt;=1,J166&lt;=12,ISNUMBER(M166),M166=INT(M166),M166&gt;=1,M166&lt;=7,ISNUMBER(N166),N166=INT(N166),N166&gt;=1,N166&lt;=5,MONTH(DATE(Übersicht!$B$4,J166,1)+MOD(M166-WEEKDAY(DATE(Übersicht!$B$4,J166,1),2),7)+7*(N166-1))=J166,K166="",L166=""),DATE(Übersicht!$B$4,J166,1)+MOD(M166-WEEKDAY(DATE(Übersicht!$B$4,J166,1),2),7)+7*(N166-1),NA()),IF(I166="nthWeekdayOffsetDays",IF(AND(ISNUMBER(J166),J166=INT(J166),J166&gt;=1,J166&lt;=12,ISNUMBER(M166),M166=INT(M166),M166&gt;=1,M166&lt;=7,ISNUMBER(N166),N166=INT(N166),N166&gt;=1,N166&lt;=5,MONTH(DATE(Übersicht!$B$4,J166,1)+MOD(M166-WEEKDAY(DATE(Übersicht!$B$4,J166,1),2),7)+7*(N166-1))=J166,K166="",ISNUMBER(L166),L166=INT(L166),L166&gt;=-366,L166&lt;=366),DATE(Übersicht!$B$4,J166,1)+MOD(M166-WEEKDAY(DATE(Übersicht!$B$4,J166,1),2),7)+7*(N166-1)+L166,NA()),NA())))),NA())</f>
        <v>47095</v>
      </c>
      <c r="X166" s="15">
        <f t="shared" si="2"/>
        <v>47095</v>
      </c>
      <c r="Y166" s="11" t="s">
        <v>924</v>
      </c>
      <c r="Z166" s="11" t="s">
        <v>925</v>
      </c>
      <c r="AA166" s="26" t="s">
        <v>768</v>
      </c>
    </row>
    <row r="167" spans="1:27" ht="44" customHeight="1">
      <c r="A167" s="10" t="s">
        <v>242</v>
      </c>
      <c r="B167" s="10" t="s">
        <v>207</v>
      </c>
      <c r="C167" s="10" t="s">
        <v>923</v>
      </c>
      <c r="D167" s="24" t="s">
        <v>803</v>
      </c>
      <c r="E167" s="24" t="s">
        <v>804</v>
      </c>
      <c r="F167" s="25" t="s">
        <v>882</v>
      </c>
      <c r="G167" s="25" t="s">
        <v>883</v>
      </c>
      <c r="H167" s="10" t="s">
        <v>823</v>
      </c>
      <c r="I167" s="10" t="s">
        <v>762</v>
      </c>
      <c r="J167" s="28">
        <v>12</v>
      </c>
      <c r="K167" s="28">
        <v>25</v>
      </c>
      <c r="L167" s="24"/>
      <c r="M167" s="24"/>
      <c r="N167" s="24"/>
      <c r="O167" s="29">
        <v>46023</v>
      </c>
      <c r="P167" s="29"/>
      <c r="Q167" s="24">
        <v>100</v>
      </c>
      <c r="R167" s="24" t="s">
        <v>69</v>
      </c>
      <c r="S167" s="10"/>
      <c r="T167" s="10" t="s">
        <v>764</v>
      </c>
      <c r="U167" s="10"/>
      <c r="V167" s="10" t="s">
        <v>824</v>
      </c>
      <c r="W167" s="14">
        <f>IF(AND(ISNUMBER(Übersicht!$B$4),Übersicht!$B$4=INT(Übersicht!$B$4),Übersicht!$B$4&gt;=2026,Übersicht!$B$4&lt;=2028),IF(I167="fixedMonthDay",IF(AND(ISNUMBER(J167),J167=INT(J167),J167&gt;=1,J167&lt;=12,ISNUMBER(K167),K167=INT(K167),K167&gt;=1,K167&lt;=31,MONTH(DATE(Übersicht!$B$4,J167,K167))=J167,DAY(DATE(Übersicht!$B$4,J167,K167))=K167,L167="",M167="",N167=""),DATE(Übersicht!$B$4,J167,K167),NA()),IF(I167="easterOffsetDays",IF(AND(ISNUMBER(L167),L167=INT(L167),L167&gt;=-366,L167&lt;=366,J167="",K167="",M167="",N167=""),$AD$23+L167,NA()),IF(I167="nthWeekdayOfMonth",IF(AND(ISNUMBER(J167),J167=INT(J167),J167&gt;=1,J167&lt;=12,ISNUMBER(M167),M167=INT(M167),M167&gt;=1,M167&lt;=7,ISNUMBER(N167),N167=INT(N167),N167&gt;=1,N167&lt;=5,MONTH(DATE(Übersicht!$B$4,J167,1)+MOD(M167-WEEKDAY(DATE(Übersicht!$B$4,J167,1),2),7)+7*(N167-1))=J167,K167="",L167=""),DATE(Übersicht!$B$4,J167,1)+MOD(M167-WEEKDAY(DATE(Übersicht!$B$4,J167,1),2),7)+7*(N167-1),NA()),IF(I167="nthWeekdayOffsetDays",IF(AND(ISNUMBER(J167),J167=INT(J167),J167&gt;=1,J167&lt;=12,ISNUMBER(M167),M167=INT(M167),M167&gt;=1,M167&lt;=7,ISNUMBER(N167),N167=INT(N167),N167&gt;=1,N167&lt;=5,MONTH(DATE(Übersicht!$B$4,J167,1)+MOD(M167-WEEKDAY(DATE(Übersicht!$B$4,J167,1),2),7)+7*(N167-1))=J167,K167="",ISNUMBER(L167),L167=INT(L167),L167&gt;=-366,L167&lt;=366),DATE(Übersicht!$B$4,J167,1)+MOD(M167-WEEKDAY(DATE(Übersicht!$B$4,J167,1),2),7)+7*(N167-1)+L167,NA()),NA())))),NA())</f>
        <v>47112</v>
      </c>
      <c r="X167" s="14">
        <f t="shared" si="2"/>
        <v>47112</v>
      </c>
      <c r="Y167" s="10" t="s">
        <v>924</v>
      </c>
      <c r="Z167" s="10" t="s">
        <v>925</v>
      </c>
      <c r="AA167" s="24" t="s">
        <v>768</v>
      </c>
    </row>
    <row r="168" spans="1:27" ht="44" customHeight="1">
      <c r="A168" s="11" t="s">
        <v>243</v>
      </c>
      <c r="B168" s="11" t="s">
        <v>207</v>
      </c>
      <c r="C168" s="11" t="s">
        <v>923</v>
      </c>
      <c r="D168" s="26" t="s">
        <v>806</v>
      </c>
      <c r="E168" s="26" t="s">
        <v>922</v>
      </c>
      <c r="F168" s="27" t="s">
        <v>884</v>
      </c>
      <c r="G168" s="27" t="s">
        <v>885</v>
      </c>
      <c r="H168" s="11" t="s">
        <v>823</v>
      </c>
      <c r="I168" s="11" t="s">
        <v>762</v>
      </c>
      <c r="J168" s="30">
        <v>12</v>
      </c>
      <c r="K168" s="30">
        <v>26</v>
      </c>
      <c r="L168" s="26"/>
      <c r="M168" s="26"/>
      <c r="N168" s="26"/>
      <c r="O168" s="31">
        <v>46023</v>
      </c>
      <c r="P168" s="31"/>
      <c r="Q168" s="26">
        <v>100</v>
      </c>
      <c r="R168" s="26" t="s">
        <v>69</v>
      </c>
      <c r="S168" s="11"/>
      <c r="T168" s="11" t="s">
        <v>764</v>
      </c>
      <c r="U168" s="11"/>
      <c r="V168" s="11" t="s">
        <v>824</v>
      </c>
      <c r="W168" s="15">
        <f>IF(AND(ISNUMBER(Übersicht!$B$4),Übersicht!$B$4=INT(Übersicht!$B$4),Übersicht!$B$4&gt;=2026,Übersicht!$B$4&lt;=2028),IF(I168="fixedMonthDay",IF(AND(ISNUMBER(J168),J168=INT(J168),J168&gt;=1,J168&lt;=12,ISNUMBER(K168),K168=INT(K168),K168&gt;=1,K168&lt;=31,MONTH(DATE(Übersicht!$B$4,J168,K168))=J168,DAY(DATE(Übersicht!$B$4,J168,K168))=K168,L168="",M168="",N168=""),DATE(Übersicht!$B$4,J168,K168),NA()),IF(I168="easterOffsetDays",IF(AND(ISNUMBER(L168),L168=INT(L168),L168&gt;=-366,L168&lt;=366,J168="",K168="",M168="",N168=""),$AD$23+L168,NA()),IF(I168="nthWeekdayOfMonth",IF(AND(ISNUMBER(J168),J168=INT(J168),J168&gt;=1,J168&lt;=12,ISNUMBER(M168),M168=INT(M168),M168&gt;=1,M168&lt;=7,ISNUMBER(N168),N168=INT(N168),N168&gt;=1,N168&lt;=5,MONTH(DATE(Übersicht!$B$4,J168,1)+MOD(M168-WEEKDAY(DATE(Übersicht!$B$4,J168,1),2),7)+7*(N168-1))=J168,K168="",L168=""),DATE(Übersicht!$B$4,J168,1)+MOD(M168-WEEKDAY(DATE(Übersicht!$B$4,J168,1),2),7)+7*(N168-1),NA()),IF(I168="nthWeekdayOffsetDays",IF(AND(ISNUMBER(J168),J168=INT(J168),J168&gt;=1,J168&lt;=12,ISNUMBER(M168),M168=INT(M168),M168&gt;=1,M168&lt;=7,ISNUMBER(N168),N168=INT(N168),N168&gt;=1,N168&lt;=5,MONTH(DATE(Übersicht!$B$4,J168,1)+MOD(M168-WEEKDAY(DATE(Übersicht!$B$4,J168,1),2),7)+7*(N168-1))=J168,K168="",ISNUMBER(L168),L168=INT(L168),L168&gt;=-366,L168&lt;=366),DATE(Übersicht!$B$4,J168,1)+MOD(M168-WEEKDAY(DATE(Übersicht!$B$4,J168,1),2),7)+7*(N168-1)+L168,NA()),NA())))),NA())</f>
        <v>47113</v>
      </c>
      <c r="X168" s="15">
        <f t="shared" si="2"/>
        <v>47113</v>
      </c>
      <c r="Y168" s="11" t="s">
        <v>924</v>
      </c>
      <c r="Z168" s="11" t="s">
        <v>925</v>
      </c>
      <c r="AA168" s="26" t="s">
        <v>768</v>
      </c>
    </row>
    <row r="169" spans="1:27" ht="44" customHeight="1">
      <c r="A169" s="10" t="s">
        <v>246</v>
      </c>
      <c r="B169" s="10" t="s">
        <v>244</v>
      </c>
      <c r="C169" s="10" t="s">
        <v>926</v>
      </c>
      <c r="D169" s="24" t="s">
        <v>771</v>
      </c>
      <c r="E169" s="24" t="s">
        <v>772</v>
      </c>
      <c r="F169" s="25" t="s">
        <v>849</v>
      </c>
      <c r="G169" s="25" t="s">
        <v>850</v>
      </c>
      <c r="H169" s="10" t="s">
        <v>761</v>
      </c>
      <c r="I169" s="10" t="s">
        <v>762</v>
      </c>
      <c r="J169" s="28">
        <v>1</v>
      </c>
      <c r="K169" s="28">
        <v>1</v>
      </c>
      <c r="L169" s="24"/>
      <c r="M169" s="24"/>
      <c r="N169" s="24"/>
      <c r="O169" s="29">
        <v>46023</v>
      </c>
      <c r="P169" s="29"/>
      <c r="Q169" s="24">
        <v>100</v>
      </c>
      <c r="R169" s="24" t="s">
        <v>69</v>
      </c>
      <c r="S169" s="10"/>
      <c r="T169" s="10" t="s">
        <v>764</v>
      </c>
      <c r="U169" s="10"/>
      <c r="V169" s="10" t="s">
        <v>824</v>
      </c>
      <c r="W169" s="14">
        <f>IF(AND(ISNUMBER(Übersicht!$B$4),Übersicht!$B$4=INT(Übersicht!$B$4),Übersicht!$B$4&gt;=2026,Übersicht!$B$4&lt;=2028),IF(I169="fixedMonthDay",IF(AND(ISNUMBER(J169),J169=INT(J169),J169&gt;=1,J169&lt;=12,ISNUMBER(K169),K169=INT(K169),K169&gt;=1,K169&lt;=31,MONTH(DATE(Übersicht!$B$4,J169,K169))=J169,DAY(DATE(Übersicht!$B$4,J169,K169))=K169,L169="",M169="",N169=""),DATE(Übersicht!$B$4,J169,K169),NA()),IF(I169="easterOffsetDays",IF(AND(ISNUMBER(L169),L169=INT(L169),L169&gt;=-366,L169&lt;=366,J169="",K169="",M169="",N169=""),$AD$23+L169,NA()),IF(I169="nthWeekdayOfMonth",IF(AND(ISNUMBER(J169),J169=INT(J169),J169&gt;=1,J169&lt;=12,ISNUMBER(M169),M169=INT(M169),M169&gt;=1,M169&lt;=7,ISNUMBER(N169),N169=INT(N169),N169&gt;=1,N169&lt;=5,MONTH(DATE(Übersicht!$B$4,J169,1)+MOD(M169-WEEKDAY(DATE(Übersicht!$B$4,J169,1),2),7)+7*(N169-1))=J169,K169="",L169=""),DATE(Übersicht!$B$4,J169,1)+MOD(M169-WEEKDAY(DATE(Übersicht!$B$4,J169,1),2),7)+7*(N169-1),NA()),IF(I169="nthWeekdayOffsetDays",IF(AND(ISNUMBER(J169),J169=INT(J169),J169&gt;=1,J169&lt;=12,ISNUMBER(M169),M169=INT(M169),M169&gt;=1,M169&lt;=7,ISNUMBER(N169),N169=INT(N169),N169&gt;=1,N169&lt;=5,MONTH(DATE(Übersicht!$B$4,J169,1)+MOD(M169-WEEKDAY(DATE(Übersicht!$B$4,J169,1),2),7)+7*(N169-1))=J169,K169="",ISNUMBER(L169),L169=INT(L169),L169&gt;=-366,L169&lt;=366),DATE(Übersicht!$B$4,J169,1)+MOD(M169-WEEKDAY(DATE(Übersicht!$B$4,J169,1),2),7)+7*(N169-1)+L169,NA()),NA())))),NA())</f>
        <v>46753</v>
      </c>
      <c r="X169" s="14">
        <f t="shared" si="2"/>
        <v>46753</v>
      </c>
      <c r="Y169" s="10" t="s">
        <v>927</v>
      </c>
      <c r="Z169" s="10" t="s">
        <v>928</v>
      </c>
      <c r="AA169" s="24" t="s">
        <v>768</v>
      </c>
    </row>
    <row r="170" spans="1:27" ht="44" customHeight="1">
      <c r="A170" s="11" t="s">
        <v>247</v>
      </c>
      <c r="B170" s="11" t="s">
        <v>244</v>
      </c>
      <c r="C170" s="11" t="s">
        <v>926</v>
      </c>
      <c r="D170" s="26" t="s">
        <v>779</v>
      </c>
      <c r="E170" s="26" t="s">
        <v>780</v>
      </c>
      <c r="F170" s="27" t="s">
        <v>889</v>
      </c>
      <c r="G170" s="27" t="s">
        <v>890</v>
      </c>
      <c r="H170" s="11" t="s">
        <v>761</v>
      </c>
      <c r="I170" s="11" t="s">
        <v>781</v>
      </c>
      <c r="J170" s="30"/>
      <c r="K170" s="30"/>
      <c r="L170" s="26">
        <v>-2</v>
      </c>
      <c r="M170" s="26"/>
      <c r="N170" s="26"/>
      <c r="O170" s="31">
        <v>46023</v>
      </c>
      <c r="P170" s="31"/>
      <c r="Q170" s="26">
        <v>100</v>
      </c>
      <c r="R170" s="26" t="s">
        <v>69</v>
      </c>
      <c r="S170" s="11"/>
      <c r="T170" s="11" t="s">
        <v>764</v>
      </c>
      <c r="U170" s="11"/>
      <c r="V170" s="11" t="s">
        <v>824</v>
      </c>
      <c r="W170" s="15">
        <f>IF(AND(ISNUMBER(Übersicht!$B$4),Übersicht!$B$4=INT(Übersicht!$B$4),Übersicht!$B$4&gt;=2026,Übersicht!$B$4&lt;=2028),IF(I170="fixedMonthDay",IF(AND(ISNUMBER(J170),J170=INT(J170),J170&gt;=1,J170&lt;=12,ISNUMBER(K170),K170=INT(K170),K170&gt;=1,K170&lt;=31,MONTH(DATE(Übersicht!$B$4,J170,K170))=J170,DAY(DATE(Übersicht!$B$4,J170,K170))=K170,L170="",M170="",N170=""),DATE(Übersicht!$B$4,J170,K170),NA()),IF(I170="easterOffsetDays",IF(AND(ISNUMBER(L170),L170=INT(L170),L170&gt;=-366,L170&lt;=366,J170="",K170="",M170="",N170=""),$AD$23+L170,NA()),IF(I170="nthWeekdayOfMonth",IF(AND(ISNUMBER(J170),J170=INT(J170),J170&gt;=1,J170&lt;=12,ISNUMBER(M170),M170=INT(M170),M170&gt;=1,M170&lt;=7,ISNUMBER(N170),N170=INT(N170),N170&gt;=1,N170&lt;=5,MONTH(DATE(Übersicht!$B$4,J170,1)+MOD(M170-WEEKDAY(DATE(Übersicht!$B$4,J170,1),2),7)+7*(N170-1))=J170,K170="",L170=""),DATE(Übersicht!$B$4,J170,1)+MOD(M170-WEEKDAY(DATE(Übersicht!$B$4,J170,1),2),7)+7*(N170-1),NA()),IF(I170="nthWeekdayOffsetDays",IF(AND(ISNUMBER(J170),J170=INT(J170),J170&gt;=1,J170&lt;=12,ISNUMBER(M170),M170=INT(M170),M170&gt;=1,M170&lt;=7,ISNUMBER(N170),N170=INT(N170),N170&gt;=1,N170&lt;=5,MONTH(DATE(Übersicht!$B$4,J170,1)+MOD(M170-WEEKDAY(DATE(Übersicht!$B$4,J170,1),2),7)+7*(N170-1))=J170,K170="",ISNUMBER(L170),L170=INT(L170),L170&gt;=-366,L170&lt;=366),DATE(Übersicht!$B$4,J170,1)+MOD(M170-WEEKDAY(DATE(Übersicht!$B$4,J170,1),2),7)+7*(N170-1)+L170,NA()),NA())))),NA())</f>
        <v>46857</v>
      </c>
      <c r="X170" s="15">
        <f t="shared" si="2"/>
        <v>46857</v>
      </c>
      <c r="Y170" s="11" t="s">
        <v>927</v>
      </c>
      <c r="Z170" s="11" t="s">
        <v>929</v>
      </c>
      <c r="AA170" s="26" t="s">
        <v>768</v>
      </c>
    </row>
    <row r="171" spans="1:27" ht="44" customHeight="1">
      <c r="A171" s="10" t="s">
        <v>248</v>
      </c>
      <c r="B171" s="10" t="s">
        <v>244</v>
      </c>
      <c r="C171" s="10" t="s">
        <v>926</v>
      </c>
      <c r="D171" s="24" t="s">
        <v>784</v>
      </c>
      <c r="E171" s="24" t="s">
        <v>785</v>
      </c>
      <c r="F171" s="25" t="s">
        <v>892</v>
      </c>
      <c r="G171" s="25" t="s">
        <v>893</v>
      </c>
      <c r="H171" s="10" t="s">
        <v>761</v>
      </c>
      <c r="I171" s="10" t="s">
        <v>781</v>
      </c>
      <c r="J171" s="28"/>
      <c r="K171" s="28"/>
      <c r="L171" s="24">
        <v>0</v>
      </c>
      <c r="M171" s="24"/>
      <c r="N171" s="24"/>
      <c r="O171" s="29">
        <v>46023</v>
      </c>
      <c r="P171" s="29"/>
      <c r="Q171" s="24">
        <v>100</v>
      </c>
      <c r="R171" s="24" t="s">
        <v>69</v>
      </c>
      <c r="S171" s="10"/>
      <c r="T171" s="10" t="s">
        <v>764</v>
      </c>
      <c r="U171" s="10"/>
      <c r="V171" s="10" t="s">
        <v>824</v>
      </c>
      <c r="W171" s="14">
        <f>IF(AND(ISNUMBER(Übersicht!$B$4),Übersicht!$B$4=INT(Übersicht!$B$4),Übersicht!$B$4&gt;=2026,Übersicht!$B$4&lt;=2028),IF(I171="fixedMonthDay",IF(AND(ISNUMBER(J171),J171=INT(J171),J171&gt;=1,J171&lt;=12,ISNUMBER(K171),K171=INT(K171),K171&gt;=1,K171&lt;=31,MONTH(DATE(Übersicht!$B$4,J171,K171))=J171,DAY(DATE(Übersicht!$B$4,J171,K171))=K171,L171="",M171="",N171=""),DATE(Übersicht!$B$4,J171,K171),NA()),IF(I171="easterOffsetDays",IF(AND(ISNUMBER(L171),L171=INT(L171),L171&gt;=-366,L171&lt;=366,J171="",K171="",M171="",N171=""),$AD$23+L171,NA()),IF(I171="nthWeekdayOfMonth",IF(AND(ISNUMBER(J171),J171=INT(J171),J171&gt;=1,J171&lt;=12,ISNUMBER(M171),M171=INT(M171),M171&gt;=1,M171&lt;=7,ISNUMBER(N171),N171=INT(N171),N171&gt;=1,N171&lt;=5,MONTH(DATE(Übersicht!$B$4,J171,1)+MOD(M171-WEEKDAY(DATE(Übersicht!$B$4,J171,1),2),7)+7*(N171-1))=J171,K171="",L171=""),DATE(Übersicht!$B$4,J171,1)+MOD(M171-WEEKDAY(DATE(Übersicht!$B$4,J171,1),2),7)+7*(N171-1),NA()),IF(I171="nthWeekdayOffsetDays",IF(AND(ISNUMBER(J171),J171=INT(J171),J171&gt;=1,J171&lt;=12,ISNUMBER(M171),M171=INT(M171),M171&gt;=1,M171&lt;=7,ISNUMBER(N171),N171=INT(N171),N171&gt;=1,N171&lt;=5,MONTH(DATE(Übersicht!$B$4,J171,1)+MOD(M171-WEEKDAY(DATE(Übersicht!$B$4,J171,1),2),7)+7*(N171-1))=J171,K171="",ISNUMBER(L171),L171=INT(L171),L171&gt;=-366,L171&lt;=366),DATE(Übersicht!$B$4,J171,1)+MOD(M171-WEEKDAY(DATE(Übersicht!$B$4,J171,1),2),7)+7*(N171-1)+L171,NA()),NA())))),NA())</f>
        <v>46859</v>
      </c>
      <c r="X171" s="14">
        <f t="shared" si="2"/>
        <v>46859</v>
      </c>
      <c r="Y171" s="10" t="s">
        <v>927</v>
      </c>
      <c r="Z171" s="10" t="s">
        <v>929</v>
      </c>
      <c r="AA171" s="24" t="s">
        <v>768</v>
      </c>
    </row>
    <row r="172" spans="1:27" ht="44" customHeight="1">
      <c r="A172" s="11" t="s">
        <v>249</v>
      </c>
      <c r="B172" s="11" t="s">
        <v>244</v>
      </c>
      <c r="C172" s="11" t="s">
        <v>926</v>
      </c>
      <c r="D172" s="26" t="s">
        <v>930</v>
      </c>
      <c r="E172" s="26" t="s">
        <v>931</v>
      </c>
      <c r="F172" s="27" t="s">
        <v>862</v>
      </c>
      <c r="G172" s="27" t="s">
        <v>932</v>
      </c>
      <c r="H172" s="11" t="s">
        <v>761</v>
      </c>
      <c r="I172" s="11" t="s">
        <v>762</v>
      </c>
      <c r="J172" s="30">
        <v>5</v>
      </c>
      <c r="K172" s="30">
        <v>1</v>
      </c>
      <c r="L172" s="26"/>
      <c r="M172" s="26"/>
      <c r="N172" s="26"/>
      <c r="O172" s="31">
        <v>46023</v>
      </c>
      <c r="P172" s="31"/>
      <c r="Q172" s="26">
        <v>100</v>
      </c>
      <c r="R172" s="26" t="s">
        <v>69</v>
      </c>
      <c r="S172" s="11"/>
      <c r="T172" s="11" t="s">
        <v>764</v>
      </c>
      <c r="U172" s="11"/>
      <c r="V172" s="11" t="s">
        <v>824</v>
      </c>
      <c r="W172" s="15">
        <f>IF(AND(ISNUMBER(Übersicht!$B$4),Übersicht!$B$4=INT(Übersicht!$B$4),Übersicht!$B$4&gt;=2026,Übersicht!$B$4&lt;=2028),IF(I172="fixedMonthDay",IF(AND(ISNUMBER(J172),J172=INT(J172),J172&gt;=1,J172&lt;=12,ISNUMBER(K172),K172=INT(K172),K172&gt;=1,K172&lt;=31,MONTH(DATE(Übersicht!$B$4,J172,K172))=J172,DAY(DATE(Übersicht!$B$4,J172,K172))=K172,L172="",M172="",N172=""),DATE(Übersicht!$B$4,J172,K172),NA()),IF(I172="easterOffsetDays",IF(AND(ISNUMBER(L172),L172=INT(L172),L172&gt;=-366,L172&lt;=366,J172="",K172="",M172="",N172=""),$AD$23+L172,NA()),IF(I172="nthWeekdayOfMonth",IF(AND(ISNUMBER(J172),J172=INT(J172),J172&gt;=1,J172&lt;=12,ISNUMBER(M172),M172=INT(M172),M172&gt;=1,M172&lt;=7,ISNUMBER(N172),N172=INT(N172),N172&gt;=1,N172&lt;=5,MONTH(DATE(Übersicht!$B$4,J172,1)+MOD(M172-WEEKDAY(DATE(Übersicht!$B$4,J172,1),2),7)+7*(N172-1))=J172,K172="",L172=""),DATE(Übersicht!$B$4,J172,1)+MOD(M172-WEEKDAY(DATE(Übersicht!$B$4,J172,1),2),7)+7*(N172-1),NA()),IF(I172="nthWeekdayOffsetDays",IF(AND(ISNUMBER(J172),J172=INT(J172),J172&gt;=1,J172&lt;=12,ISNUMBER(M172),M172=INT(M172),M172&gt;=1,M172&lt;=7,ISNUMBER(N172),N172=INT(N172),N172&gt;=1,N172&lt;=5,MONTH(DATE(Übersicht!$B$4,J172,1)+MOD(M172-WEEKDAY(DATE(Übersicht!$B$4,J172,1),2),7)+7*(N172-1))=J172,K172="",ISNUMBER(L172),L172=INT(L172),L172&gt;=-366,L172&lt;=366),DATE(Übersicht!$B$4,J172,1)+MOD(M172-WEEKDAY(DATE(Übersicht!$B$4,J172,1),2),7)+7*(N172-1)+L172,NA()),NA())))),NA())</f>
        <v>46874</v>
      </c>
      <c r="X172" s="15">
        <f t="shared" si="2"/>
        <v>46874</v>
      </c>
      <c r="Y172" s="11" t="s">
        <v>927</v>
      </c>
      <c r="Z172" s="11" t="s">
        <v>933</v>
      </c>
      <c r="AA172" s="26" t="s">
        <v>934</v>
      </c>
    </row>
    <row r="173" spans="1:27" ht="44" customHeight="1">
      <c r="A173" s="10" t="s">
        <v>251</v>
      </c>
      <c r="B173" s="10" t="s">
        <v>244</v>
      </c>
      <c r="C173" s="10" t="s">
        <v>926</v>
      </c>
      <c r="D173" s="24" t="s">
        <v>790</v>
      </c>
      <c r="E173" s="24" t="s">
        <v>791</v>
      </c>
      <c r="F173" s="25" t="s">
        <v>864</v>
      </c>
      <c r="G173" s="25" t="s">
        <v>865</v>
      </c>
      <c r="H173" s="10" t="s">
        <v>761</v>
      </c>
      <c r="I173" s="10" t="s">
        <v>781</v>
      </c>
      <c r="J173" s="28"/>
      <c r="K173" s="28"/>
      <c r="L173" s="24">
        <v>39</v>
      </c>
      <c r="M173" s="24"/>
      <c r="N173" s="24"/>
      <c r="O173" s="29">
        <v>46023</v>
      </c>
      <c r="P173" s="29"/>
      <c r="Q173" s="24">
        <v>100</v>
      </c>
      <c r="R173" s="24" t="s">
        <v>69</v>
      </c>
      <c r="S173" s="10"/>
      <c r="T173" s="10" t="s">
        <v>764</v>
      </c>
      <c r="U173" s="10"/>
      <c r="V173" s="10" t="s">
        <v>824</v>
      </c>
      <c r="W173" s="14">
        <f>IF(AND(ISNUMBER(Übersicht!$B$4),Übersicht!$B$4=INT(Übersicht!$B$4),Übersicht!$B$4&gt;=2026,Übersicht!$B$4&lt;=2028),IF(I173="fixedMonthDay",IF(AND(ISNUMBER(J173),J173=INT(J173),J173&gt;=1,J173&lt;=12,ISNUMBER(K173),K173=INT(K173),K173&gt;=1,K173&lt;=31,MONTH(DATE(Übersicht!$B$4,J173,K173))=J173,DAY(DATE(Übersicht!$B$4,J173,K173))=K173,L173="",M173="",N173=""),DATE(Übersicht!$B$4,J173,K173),NA()),IF(I173="easterOffsetDays",IF(AND(ISNUMBER(L173),L173=INT(L173),L173&gt;=-366,L173&lt;=366,J173="",K173="",M173="",N173=""),$AD$23+L173,NA()),IF(I173="nthWeekdayOfMonth",IF(AND(ISNUMBER(J173),J173=INT(J173),J173&gt;=1,J173&lt;=12,ISNUMBER(M173),M173=INT(M173),M173&gt;=1,M173&lt;=7,ISNUMBER(N173),N173=INT(N173),N173&gt;=1,N173&lt;=5,MONTH(DATE(Übersicht!$B$4,J173,1)+MOD(M173-WEEKDAY(DATE(Übersicht!$B$4,J173,1),2),7)+7*(N173-1))=J173,K173="",L173=""),DATE(Übersicht!$B$4,J173,1)+MOD(M173-WEEKDAY(DATE(Übersicht!$B$4,J173,1),2),7)+7*(N173-1),NA()),IF(I173="nthWeekdayOffsetDays",IF(AND(ISNUMBER(J173),J173=INT(J173),J173&gt;=1,J173&lt;=12,ISNUMBER(M173),M173=INT(M173),M173&gt;=1,M173&lt;=7,ISNUMBER(N173),N173=INT(N173),N173&gt;=1,N173&lt;=5,MONTH(DATE(Übersicht!$B$4,J173,1)+MOD(M173-WEEKDAY(DATE(Übersicht!$B$4,J173,1),2),7)+7*(N173-1))=J173,K173="",ISNUMBER(L173),L173=INT(L173),L173&gt;=-366,L173&lt;=366),DATE(Übersicht!$B$4,J173,1)+MOD(M173-WEEKDAY(DATE(Übersicht!$B$4,J173,1),2),7)+7*(N173-1)+L173,NA()),NA())))),NA())</f>
        <v>46898</v>
      </c>
      <c r="X173" s="14">
        <f t="shared" si="2"/>
        <v>46898</v>
      </c>
      <c r="Y173" s="10" t="s">
        <v>927</v>
      </c>
      <c r="Z173" s="10" t="s">
        <v>928</v>
      </c>
      <c r="AA173" s="24" t="s">
        <v>768</v>
      </c>
    </row>
    <row r="174" spans="1:27" ht="44" customHeight="1">
      <c r="A174" s="11" t="s">
        <v>252</v>
      </c>
      <c r="B174" s="11" t="s">
        <v>244</v>
      </c>
      <c r="C174" s="11" t="s">
        <v>926</v>
      </c>
      <c r="D174" s="26" t="s">
        <v>793</v>
      </c>
      <c r="E174" s="26" t="s">
        <v>794</v>
      </c>
      <c r="F174" s="27" t="s">
        <v>896</v>
      </c>
      <c r="G174" s="27" t="s">
        <v>897</v>
      </c>
      <c r="H174" s="11" t="s">
        <v>761</v>
      </c>
      <c r="I174" s="11" t="s">
        <v>781</v>
      </c>
      <c r="J174" s="30"/>
      <c r="K174" s="30"/>
      <c r="L174" s="26">
        <v>49</v>
      </c>
      <c r="M174" s="26"/>
      <c r="N174" s="26"/>
      <c r="O174" s="31">
        <v>46023</v>
      </c>
      <c r="P174" s="31"/>
      <c r="Q174" s="26">
        <v>100</v>
      </c>
      <c r="R174" s="26" t="s">
        <v>69</v>
      </c>
      <c r="S174" s="11"/>
      <c r="T174" s="11" t="s">
        <v>764</v>
      </c>
      <c r="U174" s="11"/>
      <c r="V174" s="11" t="s">
        <v>824</v>
      </c>
      <c r="W174" s="15">
        <f>IF(AND(ISNUMBER(Übersicht!$B$4),Übersicht!$B$4=INT(Übersicht!$B$4),Übersicht!$B$4&gt;=2026,Übersicht!$B$4&lt;=2028),IF(I174="fixedMonthDay",IF(AND(ISNUMBER(J174),J174=INT(J174),J174&gt;=1,J174&lt;=12,ISNUMBER(K174),K174=INT(K174),K174&gt;=1,K174&lt;=31,MONTH(DATE(Übersicht!$B$4,J174,K174))=J174,DAY(DATE(Übersicht!$B$4,J174,K174))=K174,L174="",M174="",N174=""),DATE(Übersicht!$B$4,J174,K174),NA()),IF(I174="easterOffsetDays",IF(AND(ISNUMBER(L174),L174=INT(L174),L174&gt;=-366,L174&lt;=366,J174="",K174="",M174="",N174=""),$AD$23+L174,NA()),IF(I174="nthWeekdayOfMonth",IF(AND(ISNUMBER(J174),J174=INT(J174),J174&gt;=1,J174&lt;=12,ISNUMBER(M174),M174=INT(M174),M174&gt;=1,M174&lt;=7,ISNUMBER(N174),N174=INT(N174),N174&gt;=1,N174&lt;=5,MONTH(DATE(Übersicht!$B$4,J174,1)+MOD(M174-WEEKDAY(DATE(Übersicht!$B$4,J174,1),2),7)+7*(N174-1))=J174,K174="",L174=""),DATE(Übersicht!$B$4,J174,1)+MOD(M174-WEEKDAY(DATE(Übersicht!$B$4,J174,1),2),7)+7*(N174-1),NA()),IF(I174="nthWeekdayOffsetDays",IF(AND(ISNUMBER(J174),J174=INT(J174),J174&gt;=1,J174&lt;=12,ISNUMBER(M174),M174=INT(M174),M174&gt;=1,M174&lt;=7,ISNUMBER(N174),N174=INT(N174),N174&gt;=1,N174&lt;=5,MONTH(DATE(Übersicht!$B$4,J174,1)+MOD(M174-WEEKDAY(DATE(Übersicht!$B$4,J174,1),2),7)+7*(N174-1))=J174,K174="",ISNUMBER(L174),L174=INT(L174),L174&gt;=-366,L174&lt;=366),DATE(Übersicht!$B$4,J174,1)+MOD(M174-WEEKDAY(DATE(Übersicht!$B$4,J174,1),2),7)+7*(N174-1)+L174,NA()),NA())))),NA())</f>
        <v>46908</v>
      </c>
      <c r="X174" s="15">
        <f t="shared" si="2"/>
        <v>46908</v>
      </c>
      <c r="Y174" s="11" t="s">
        <v>927</v>
      </c>
      <c r="Z174" s="11" t="s">
        <v>929</v>
      </c>
      <c r="AA174" s="26" t="s">
        <v>768</v>
      </c>
    </row>
    <row r="175" spans="1:27" ht="44" customHeight="1">
      <c r="A175" s="10" t="s">
        <v>253</v>
      </c>
      <c r="B175" s="10" t="s">
        <v>244</v>
      </c>
      <c r="C175" s="10" t="s">
        <v>926</v>
      </c>
      <c r="D175" s="24" t="s">
        <v>810</v>
      </c>
      <c r="E175" s="24" t="s">
        <v>811</v>
      </c>
      <c r="F175" s="25" t="s">
        <v>868</v>
      </c>
      <c r="G175" s="25" t="s">
        <v>869</v>
      </c>
      <c r="H175" s="10" t="s">
        <v>761</v>
      </c>
      <c r="I175" s="10" t="s">
        <v>781</v>
      </c>
      <c r="J175" s="28"/>
      <c r="K175" s="28"/>
      <c r="L175" s="24">
        <v>60</v>
      </c>
      <c r="M175" s="24"/>
      <c r="N175" s="24"/>
      <c r="O175" s="29">
        <v>46023</v>
      </c>
      <c r="P175" s="29"/>
      <c r="Q175" s="24">
        <v>100</v>
      </c>
      <c r="R175" s="24" t="s">
        <v>69</v>
      </c>
      <c r="S175" s="10"/>
      <c r="T175" s="10" t="s">
        <v>764</v>
      </c>
      <c r="U175" s="10"/>
      <c r="V175" s="10" t="s">
        <v>824</v>
      </c>
      <c r="W175" s="14">
        <f>IF(AND(ISNUMBER(Übersicht!$B$4),Übersicht!$B$4=INT(Übersicht!$B$4),Übersicht!$B$4&gt;=2026,Übersicht!$B$4&lt;=2028),IF(I175="fixedMonthDay",IF(AND(ISNUMBER(J175),J175=INT(J175),J175&gt;=1,J175&lt;=12,ISNUMBER(K175),K175=INT(K175),K175&gt;=1,K175&lt;=31,MONTH(DATE(Übersicht!$B$4,J175,K175))=J175,DAY(DATE(Übersicht!$B$4,J175,K175))=K175,L175="",M175="",N175=""),DATE(Übersicht!$B$4,J175,K175),NA()),IF(I175="easterOffsetDays",IF(AND(ISNUMBER(L175),L175=INT(L175),L175&gt;=-366,L175&lt;=366,J175="",K175="",M175="",N175=""),$AD$23+L175,NA()),IF(I175="nthWeekdayOfMonth",IF(AND(ISNUMBER(J175),J175=INT(J175),J175&gt;=1,J175&lt;=12,ISNUMBER(M175),M175=INT(M175),M175&gt;=1,M175&lt;=7,ISNUMBER(N175),N175=INT(N175),N175&gt;=1,N175&lt;=5,MONTH(DATE(Übersicht!$B$4,J175,1)+MOD(M175-WEEKDAY(DATE(Übersicht!$B$4,J175,1),2),7)+7*(N175-1))=J175,K175="",L175=""),DATE(Übersicht!$B$4,J175,1)+MOD(M175-WEEKDAY(DATE(Übersicht!$B$4,J175,1),2),7)+7*(N175-1),NA()),IF(I175="nthWeekdayOffsetDays",IF(AND(ISNUMBER(J175),J175=INT(J175),J175&gt;=1,J175&lt;=12,ISNUMBER(M175),M175=INT(M175),M175&gt;=1,M175&lt;=7,ISNUMBER(N175),N175=INT(N175),N175&gt;=1,N175&lt;=5,MONTH(DATE(Übersicht!$B$4,J175,1)+MOD(M175-WEEKDAY(DATE(Übersicht!$B$4,J175,1),2),7)+7*(N175-1))=J175,K175="",ISNUMBER(L175),L175=INT(L175),L175&gt;=-366,L175&lt;=366),DATE(Übersicht!$B$4,J175,1)+MOD(M175-WEEKDAY(DATE(Übersicht!$B$4,J175,1),2),7)+7*(N175-1)+L175,NA()),NA())))),NA())</f>
        <v>46919</v>
      </c>
      <c r="X175" s="14">
        <f t="shared" si="2"/>
        <v>46919</v>
      </c>
      <c r="Y175" s="10" t="s">
        <v>927</v>
      </c>
      <c r="Z175" s="10" t="s">
        <v>928</v>
      </c>
      <c r="AA175" s="24" t="s">
        <v>768</v>
      </c>
    </row>
    <row r="176" spans="1:27" ht="44" customHeight="1">
      <c r="A176" s="11" t="s">
        <v>254</v>
      </c>
      <c r="B176" s="11" t="s">
        <v>244</v>
      </c>
      <c r="C176" s="11" t="s">
        <v>926</v>
      </c>
      <c r="D176" s="26" t="s">
        <v>759</v>
      </c>
      <c r="E176" s="26" t="s">
        <v>760</v>
      </c>
      <c r="F176" s="27" t="s">
        <v>874</v>
      </c>
      <c r="G176" s="27" t="s">
        <v>875</v>
      </c>
      <c r="H176" s="11" t="s">
        <v>761</v>
      </c>
      <c r="I176" s="11" t="s">
        <v>762</v>
      </c>
      <c r="J176" s="30">
        <v>8</v>
      </c>
      <c r="K176" s="30">
        <v>1</v>
      </c>
      <c r="L176" s="26"/>
      <c r="M176" s="26"/>
      <c r="N176" s="26"/>
      <c r="O176" s="31">
        <v>46023</v>
      </c>
      <c r="P176" s="31"/>
      <c r="Q176" s="26">
        <v>100</v>
      </c>
      <c r="R176" s="26" t="s">
        <v>69</v>
      </c>
      <c r="S176" s="11"/>
      <c r="T176" s="11" t="s">
        <v>764</v>
      </c>
      <c r="U176" s="11"/>
      <c r="V176" s="11" t="s">
        <v>824</v>
      </c>
      <c r="W176" s="15">
        <f>IF(AND(ISNUMBER(Übersicht!$B$4),Übersicht!$B$4=INT(Übersicht!$B$4),Übersicht!$B$4&gt;=2026,Übersicht!$B$4&lt;=2028),IF(I176="fixedMonthDay",IF(AND(ISNUMBER(J176),J176=INT(J176),J176&gt;=1,J176&lt;=12,ISNUMBER(K176),K176=INT(K176),K176&gt;=1,K176&lt;=31,MONTH(DATE(Übersicht!$B$4,J176,K176))=J176,DAY(DATE(Übersicht!$B$4,J176,K176))=K176,L176="",M176="",N176=""),DATE(Übersicht!$B$4,J176,K176),NA()),IF(I176="easterOffsetDays",IF(AND(ISNUMBER(L176),L176=INT(L176),L176&gt;=-366,L176&lt;=366,J176="",K176="",M176="",N176=""),$AD$23+L176,NA()),IF(I176="nthWeekdayOfMonth",IF(AND(ISNUMBER(J176),J176=INT(J176),J176&gt;=1,J176&lt;=12,ISNUMBER(M176),M176=INT(M176),M176&gt;=1,M176&lt;=7,ISNUMBER(N176),N176=INT(N176),N176&gt;=1,N176&lt;=5,MONTH(DATE(Übersicht!$B$4,J176,1)+MOD(M176-WEEKDAY(DATE(Übersicht!$B$4,J176,1),2),7)+7*(N176-1))=J176,K176="",L176=""),DATE(Übersicht!$B$4,J176,1)+MOD(M176-WEEKDAY(DATE(Übersicht!$B$4,J176,1),2),7)+7*(N176-1),NA()),IF(I176="nthWeekdayOffsetDays",IF(AND(ISNUMBER(J176),J176=INT(J176),J176&gt;=1,J176&lt;=12,ISNUMBER(M176),M176=INT(M176),M176&gt;=1,M176&lt;=7,ISNUMBER(N176),N176=INT(N176),N176&gt;=1,N176&lt;=5,MONTH(DATE(Übersicht!$B$4,J176,1)+MOD(M176-WEEKDAY(DATE(Übersicht!$B$4,J176,1),2),7)+7*(N176-1))=J176,K176="",ISNUMBER(L176),L176=INT(L176),L176&gt;=-366,L176&lt;=366),DATE(Übersicht!$B$4,J176,1)+MOD(M176-WEEKDAY(DATE(Übersicht!$B$4,J176,1),2),7)+7*(N176-1)+L176,NA()),NA())))),NA())</f>
        <v>46966</v>
      </c>
      <c r="X176" s="15">
        <f t="shared" si="2"/>
        <v>46966</v>
      </c>
      <c r="Y176" s="11" t="s">
        <v>766</v>
      </c>
      <c r="Z176" s="11" t="s">
        <v>916</v>
      </c>
      <c r="AA176" s="26" t="s">
        <v>768</v>
      </c>
    </row>
    <row r="177" spans="1:27" ht="44" customHeight="1">
      <c r="A177" s="10" t="s">
        <v>255</v>
      </c>
      <c r="B177" s="10" t="s">
        <v>244</v>
      </c>
      <c r="C177" s="10" t="s">
        <v>926</v>
      </c>
      <c r="D177" s="24" t="s">
        <v>834</v>
      </c>
      <c r="E177" s="24" t="s">
        <v>835</v>
      </c>
      <c r="F177" s="25" t="s">
        <v>876</v>
      </c>
      <c r="G177" s="25" t="s">
        <v>877</v>
      </c>
      <c r="H177" s="10" t="s">
        <v>761</v>
      </c>
      <c r="I177" s="10" t="s">
        <v>762</v>
      </c>
      <c r="J177" s="28">
        <v>8</v>
      </c>
      <c r="K177" s="28">
        <v>15</v>
      </c>
      <c r="L177" s="24"/>
      <c r="M177" s="24"/>
      <c r="N177" s="24"/>
      <c r="O177" s="29">
        <v>46023</v>
      </c>
      <c r="P177" s="29"/>
      <c r="Q177" s="24">
        <v>100</v>
      </c>
      <c r="R177" s="24" t="s">
        <v>69</v>
      </c>
      <c r="S177" s="10"/>
      <c r="T177" s="10" t="s">
        <v>764</v>
      </c>
      <c r="U177" s="10"/>
      <c r="V177" s="10" t="s">
        <v>824</v>
      </c>
      <c r="W177" s="14">
        <f>IF(AND(ISNUMBER(Übersicht!$B$4),Übersicht!$B$4=INT(Übersicht!$B$4),Übersicht!$B$4&gt;=2026,Übersicht!$B$4&lt;=2028),IF(I177="fixedMonthDay",IF(AND(ISNUMBER(J177),J177=INT(J177),J177&gt;=1,J177&lt;=12,ISNUMBER(K177),K177=INT(K177),K177&gt;=1,K177&lt;=31,MONTH(DATE(Übersicht!$B$4,J177,K177))=J177,DAY(DATE(Übersicht!$B$4,J177,K177))=K177,L177="",M177="",N177=""),DATE(Übersicht!$B$4,J177,K177),NA()),IF(I177="easterOffsetDays",IF(AND(ISNUMBER(L177),L177=INT(L177),L177&gt;=-366,L177&lt;=366,J177="",K177="",M177="",N177=""),$AD$23+L177,NA()),IF(I177="nthWeekdayOfMonth",IF(AND(ISNUMBER(J177),J177=INT(J177),J177&gt;=1,J177&lt;=12,ISNUMBER(M177),M177=INT(M177),M177&gt;=1,M177&lt;=7,ISNUMBER(N177),N177=INT(N177),N177&gt;=1,N177&lt;=5,MONTH(DATE(Übersicht!$B$4,J177,1)+MOD(M177-WEEKDAY(DATE(Übersicht!$B$4,J177,1),2),7)+7*(N177-1))=J177,K177="",L177=""),DATE(Übersicht!$B$4,J177,1)+MOD(M177-WEEKDAY(DATE(Übersicht!$B$4,J177,1),2),7)+7*(N177-1),NA()),IF(I177="nthWeekdayOffsetDays",IF(AND(ISNUMBER(J177),J177=INT(J177),J177&gt;=1,J177&lt;=12,ISNUMBER(M177),M177=INT(M177),M177&gt;=1,M177&lt;=7,ISNUMBER(N177),N177=INT(N177),N177&gt;=1,N177&lt;=5,MONTH(DATE(Übersicht!$B$4,J177,1)+MOD(M177-WEEKDAY(DATE(Übersicht!$B$4,J177,1),2),7)+7*(N177-1))=J177,K177="",ISNUMBER(L177),L177=INT(L177),L177&gt;=-366,L177&lt;=366),DATE(Übersicht!$B$4,J177,1)+MOD(M177-WEEKDAY(DATE(Übersicht!$B$4,J177,1),2),7)+7*(N177-1)+L177,NA()),NA())))),NA())</f>
        <v>46980</v>
      </c>
      <c r="X177" s="14">
        <f t="shared" si="2"/>
        <v>46980</v>
      </c>
      <c r="Y177" s="10" t="s">
        <v>927</v>
      </c>
      <c r="Z177" s="10" t="s">
        <v>928</v>
      </c>
      <c r="AA177" s="24" t="s">
        <v>768</v>
      </c>
    </row>
    <row r="178" spans="1:27" ht="44" customHeight="1">
      <c r="A178" s="11" t="s">
        <v>256</v>
      </c>
      <c r="B178" s="11" t="s">
        <v>244</v>
      </c>
      <c r="C178" s="11" t="s">
        <v>926</v>
      </c>
      <c r="D178" s="26" t="s">
        <v>799</v>
      </c>
      <c r="E178" s="26" t="s">
        <v>800</v>
      </c>
      <c r="F178" s="27" t="s">
        <v>899</v>
      </c>
      <c r="G178" s="27" t="s">
        <v>900</v>
      </c>
      <c r="H178" s="11" t="s">
        <v>761</v>
      </c>
      <c r="I178" s="11" t="s">
        <v>801</v>
      </c>
      <c r="J178" s="30">
        <v>9</v>
      </c>
      <c r="K178" s="30"/>
      <c r="L178" s="26"/>
      <c r="M178" s="26">
        <v>7</v>
      </c>
      <c r="N178" s="26">
        <v>3</v>
      </c>
      <c r="O178" s="31">
        <v>46023</v>
      </c>
      <c r="P178" s="31"/>
      <c r="Q178" s="26">
        <v>100</v>
      </c>
      <c r="R178" s="26" t="s">
        <v>69</v>
      </c>
      <c r="S178" s="11"/>
      <c r="T178" s="11" t="s">
        <v>764</v>
      </c>
      <c r="U178" s="11"/>
      <c r="V178" s="11" t="s">
        <v>824</v>
      </c>
      <c r="W178" s="15">
        <f>IF(AND(ISNUMBER(Übersicht!$B$4),Übersicht!$B$4=INT(Übersicht!$B$4),Übersicht!$B$4&gt;=2026,Übersicht!$B$4&lt;=2028),IF(I178="fixedMonthDay",IF(AND(ISNUMBER(J178),J178=INT(J178),J178&gt;=1,J178&lt;=12,ISNUMBER(K178),K178=INT(K178),K178&gt;=1,K178&lt;=31,MONTH(DATE(Übersicht!$B$4,J178,K178))=J178,DAY(DATE(Übersicht!$B$4,J178,K178))=K178,L178="",M178="",N178=""),DATE(Übersicht!$B$4,J178,K178),NA()),IF(I178="easterOffsetDays",IF(AND(ISNUMBER(L178),L178=INT(L178),L178&gt;=-366,L178&lt;=366,J178="",K178="",M178="",N178=""),$AD$23+L178,NA()),IF(I178="nthWeekdayOfMonth",IF(AND(ISNUMBER(J178),J178=INT(J178),J178&gt;=1,J178&lt;=12,ISNUMBER(M178),M178=INT(M178),M178&gt;=1,M178&lt;=7,ISNUMBER(N178),N178=INT(N178),N178&gt;=1,N178&lt;=5,MONTH(DATE(Übersicht!$B$4,J178,1)+MOD(M178-WEEKDAY(DATE(Übersicht!$B$4,J178,1),2),7)+7*(N178-1))=J178,K178="",L178=""),DATE(Übersicht!$B$4,J178,1)+MOD(M178-WEEKDAY(DATE(Übersicht!$B$4,J178,1),2),7)+7*(N178-1),NA()),IF(I178="nthWeekdayOffsetDays",IF(AND(ISNUMBER(J178),J178=INT(J178),J178&gt;=1,J178&lt;=12,ISNUMBER(M178),M178=INT(M178),M178&gt;=1,M178&lt;=7,ISNUMBER(N178),N178=INT(N178),N178&gt;=1,N178&lt;=5,MONTH(DATE(Übersicht!$B$4,J178,1)+MOD(M178-WEEKDAY(DATE(Übersicht!$B$4,J178,1),2),7)+7*(N178-1))=J178,K178="",ISNUMBER(L178),L178=INT(L178),L178&gt;=-366,L178&lt;=366),DATE(Übersicht!$B$4,J178,1)+MOD(M178-WEEKDAY(DATE(Übersicht!$B$4,J178,1),2),7)+7*(N178-1)+L178,NA()),NA())))),NA())</f>
        <v>47013</v>
      </c>
      <c r="X178" s="15">
        <f t="shared" si="2"/>
        <v>47013</v>
      </c>
      <c r="Y178" s="11" t="s">
        <v>927</v>
      </c>
      <c r="Z178" s="11" t="s">
        <v>928</v>
      </c>
      <c r="AA178" s="26" t="s">
        <v>768</v>
      </c>
    </row>
    <row r="179" spans="1:27" ht="44" customHeight="1">
      <c r="A179" s="10" t="s">
        <v>257</v>
      </c>
      <c r="B179" s="10" t="s">
        <v>244</v>
      </c>
      <c r="C179" s="10" t="s">
        <v>926</v>
      </c>
      <c r="D179" s="24" t="s">
        <v>821</v>
      </c>
      <c r="E179" s="24" t="s">
        <v>822</v>
      </c>
      <c r="F179" s="25" t="s">
        <v>878</v>
      </c>
      <c r="G179" s="25" t="s">
        <v>879</v>
      </c>
      <c r="H179" s="10" t="s">
        <v>761</v>
      </c>
      <c r="I179" s="10" t="s">
        <v>762</v>
      </c>
      <c r="J179" s="28">
        <v>11</v>
      </c>
      <c r="K179" s="28">
        <v>1</v>
      </c>
      <c r="L179" s="24"/>
      <c r="M179" s="24"/>
      <c r="N179" s="24"/>
      <c r="O179" s="29">
        <v>46023</v>
      </c>
      <c r="P179" s="29"/>
      <c r="Q179" s="24">
        <v>100</v>
      </c>
      <c r="R179" s="24" t="s">
        <v>69</v>
      </c>
      <c r="S179" s="10"/>
      <c r="T179" s="10" t="s">
        <v>764</v>
      </c>
      <c r="U179" s="10"/>
      <c r="V179" s="10" t="s">
        <v>824</v>
      </c>
      <c r="W179" s="14">
        <f>IF(AND(ISNUMBER(Übersicht!$B$4),Übersicht!$B$4=INT(Übersicht!$B$4),Übersicht!$B$4&gt;=2026,Übersicht!$B$4&lt;=2028),IF(I179="fixedMonthDay",IF(AND(ISNUMBER(J179),J179=INT(J179),J179&gt;=1,J179&lt;=12,ISNUMBER(K179),K179=INT(K179),K179&gt;=1,K179&lt;=31,MONTH(DATE(Übersicht!$B$4,J179,K179))=J179,DAY(DATE(Übersicht!$B$4,J179,K179))=K179,L179="",M179="",N179=""),DATE(Übersicht!$B$4,J179,K179),NA()),IF(I179="easterOffsetDays",IF(AND(ISNUMBER(L179),L179=INT(L179),L179&gt;=-366,L179&lt;=366,J179="",K179="",M179="",N179=""),$AD$23+L179,NA()),IF(I179="nthWeekdayOfMonth",IF(AND(ISNUMBER(J179),J179=INT(J179),J179&gt;=1,J179&lt;=12,ISNUMBER(M179),M179=INT(M179),M179&gt;=1,M179&lt;=7,ISNUMBER(N179),N179=INT(N179),N179&gt;=1,N179&lt;=5,MONTH(DATE(Übersicht!$B$4,J179,1)+MOD(M179-WEEKDAY(DATE(Übersicht!$B$4,J179,1),2),7)+7*(N179-1))=J179,K179="",L179=""),DATE(Übersicht!$B$4,J179,1)+MOD(M179-WEEKDAY(DATE(Übersicht!$B$4,J179,1),2),7)+7*(N179-1),NA()),IF(I179="nthWeekdayOffsetDays",IF(AND(ISNUMBER(J179),J179=INT(J179),J179&gt;=1,J179&lt;=12,ISNUMBER(M179),M179=INT(M179),M179&gt;=1,M179&lt;=7,ISNUMBER(N179),N179=INT(N179),N179&gt;=1,N179&lt;=5,MONTH(DATE(Übersicht!$B$4,J179,1)+MOD(M179-WEEKDAY(DATE(Übersicht!$B$4,J179,1),2),7)+7*(N179-1))=J179,K179="",ISNUMBER(L179),L179=INT(L179),L179&gt;=-366,L179&lt;=366),DATE(Übersicht!$B$4,J179,1)+MOD(M179-WEEKDAY(DATE(Übersicht!$B$4,J179,1),2),7)+7*(N179-1)+L179,NA()),NA())))),NA())</f>
        <v>47058</v>
      </c>
      <c r="X179" s="14">
        <f t="shared" si="2"/>
        <v>47058</v>
      </c>
      <c r="Y179" s="10" t="s">
        <v>927</v>
      </c>
      <c r="Z179" s="10" t="s">
        <v>928</v>
      </c>
      <c r="AA179" s="24" t="s">
        <v>768</v>
      </c>
    </row>
    <row r="180" spans="1:27" ht="44" customHeight="1">
      <c r="A180" s="11" t="s">
        <v>258</v>
      </c>
      <c r="B180" s="11" t="s">
        <v>244</v>
      </c>
      <c r="C180" s="11" t="s">
        <v>926</v>
      </c>
      <c r="D180" s="26" t="s">
        <v>803</v>
      </c>
      <c r="E180" s="26" t="s">
        <v>804</v>
      </c>
      <c r="F180" s="27" t="s">
        <v>882</v>
      </c>
      <c r="G180" s="27" t="s">
        <v>883</v>
      </c>
      <c r="H180" s="11" t="s">
        <v>761</v>
      </c>
      <c r="I180" s="11" t="s">
        <v>762</v>
      </c>
      <c r="J180" s="30">
        <v>12</v>
      </c>
      <c r="K180" s="30">
        <v>25</v>
      </c>
      <c r="L180" s="26"/>
      <c r="M180" s="26"/>
      <c r="N180" s="26"/>
      <c r="O180" s="31">
        <v>46023</v>
      </c>
      <c r="P180" s="31"/>
      <c r="Q180" s="26">
        <v>100</v>
      </c>
      <c r="R180" s="26" t="s">
        <v>69</v>
      </c>
      <c r="S180" s="11"/>
      <c r="T180" s="11" t="s">
        <v>764</v>
      </c>
      <c r="U180" s="11"/>
      <c r="V180" s="11" t="s">
        <v>824</v>
      </c>
      <c r="W180" s="15">
        <f>IF(AND(ISNUMBER(Übersicht!$B$4),Übersicht!$B$4=INT(Übersicht!$B$4),Übersicht!$B$4&gt;=2026,Übersicht!$B$4&lt;=2028),IF(I180="fixedMonthDay",IF(AND(ISNUMBER(J180),J180=INT(J180),J180&gt;=1,J180&lt;=12,ISNUMBER(K180),K180=INT(K180),K180&gt;=1,K180&lt;=31,MONTH(DATE(Übersicht!$B$4,J180,K180))=J180,DAY(DATE(Übersicht!$B$4,J180,K180))=K180,L180="",M180="",N180=""),DATE(Übersicht!$B$4,J180,K180),NA()),IF(I180="easterOffsetDays",IF(AND(ISNUMBER(L180),L180=INT(L180),L180&gt;=-366,L180&lt;=366,J180="",K180="",M180="",N180=""),$AD$23+L180,NA()),IF(I180="nthWeekdayOfMonth",IF(AND(ISNUMBER(J180),J180=INT(J180),J180&gt;=1,J180&lt;=12,ISNUMBER(M180),M180=INT(M180),M180&gt;=1,M180&lt;=7,ISNUMBER(N180),N180=INT(N180),N180&gt;=1,N180&lt;=5,MONTH(DATE(Übersicht!$B$4,J180,1)+MOD(M180-WEEKDAY(DATE(Übersicht!$B$4,J180,1),2),7)+7*(N180-1))=J180,K180="",L180=""),DATE(Übersicht!$B$4,J180,1)+MOD(M180-WEEKDAY(DATE(Übersicht!$B$4,J180,1),2),7)+7*(N180-1),NA()),IF(I180="nthWeekdayOffsetDays",IF(AND(ISNUMBER(J180),J180=INT(J180),J180&gt;=1,J180&lt;=12,ISNUMBER(M180),M180=INT(M180),M180&gt;=1,M180&lt;=7,ISNUMBER(N180),N180=INT(N180),N180&gt;=1,N180&lt;=5,MONTH(DATE(Übersicht!$B$4,J180,1)+MOD(M180-WEEKDAY(DATE(Übersicht!$B$4,J180,1),2),7)+7*(N180-1))=J180,K180="",ISNUMBER(L180),L180=INT(L180),L180&gt;=-366,L180&lt;=366),DATE(Übersicht!$B$4,J180,1)+MOD(M180-WEEKDAY(DATE(Übersicht!$B$4,J180,1),2),7)+7*(N180-1)+L180,NA()),NA())))),NA())</f>
        <v>47112</v>
      </c>
      <c r="X180" s="15">
        <f t="shared" si="2"/>
        <v>47112</v>
      </c>
      <c r="Y180" s="11" t="s">
        <v>927</v>
      </c>
      <c r="Z180" s="11" t="s">
        <v>929</v>
      </c>
      <c r="AA180" s="26" t="s">
        <v>768</v>
      </c>
    </row>
    <row r="181" spans="1:27" ht="44" customHeight="1">
      <c r="A181" s="10" t="s">
        <v>260</v>
      </c>
      <c r="B181" s="10" t="s">
        <v>244</v>
      </c>
      <c r="C181" s="10" t="s">
        <v>935</v>
      </c>
      <c r="D181" s="24" t="s">
        <v>771</v>
      </c>
      <c r="E181" s="24" t="s">
        <v>772</v>
      </c>
      <c r="F181" s="25" t="s">
        <v>849</v>
      </c>
      <c r="G181" s="25" t="s">
        <v>850</v>
      </c>
      <c r="H181" s="10" t="s">
        <v>761</v>
      </c>
      <c r="I181" s="10" t="s">
        <v>762</v>
      </c>
      <c r="J181" s="28">
        <v>1</v>
      </c>
      <c r="K181" s="28">
        <v>1</v>
      </c>
      <c r="L181" s="24"/>
      <c r="M181" s="24"/>
      <c r="N181" s="24"/>
      <c r="O181" s="29">
        <v>46023</v>
      </c>
      <c r="P181" s="29"/>
      <c r="Q181" s="24">
        <v>100</v>
      </c>
      <c r="R181" s="24" t="s">
        <v>69</v>
      </c>
      <c r="S181" s="10"/>
      <c r="T181" s="10" t="s">
        <v>764</v>
      </c>
      <c r="U181" s="10"/>
      <c r="V181" s="10" t="s">
        <v>824</v>
      </c>
      <c r="W181" s="14">
        <f>IF(AND(ISNUMBER(Übersicht!$B$4),Übersicht!$B$4=INT(Übersicht!$B$4),Übersicht!$B$4&gt;=2026,Übersicht!$B$4&lt;=2028),IF(I181="fixedMonthDay",IF(AND(ISNUMBER(J181),J181=INT(J181),J181&gt;=1,J181&lt;=12,ISNUMBER(K181),K181=INT(K181),K181&gt;=1,K181&lt;=31,MONTH(DATE(Übersicht!$B$4,J181,K181))=J181,DAY(DATE(Übersicht!$B$4,J181,K181))=K181,L181="",M181="",N181=""),DATE(Übersicht!$B$4,J181,K181),NA()),IF(I181="easterOffsetDays",IF(AND(ISNUMBER(L181),L181=INT(L181),L181&gt;=-366,L181&lt;=366,J181="",K181="",M181="",N181=""),$AD$23+L181,NA()),IF(I181="nthWeekdayOfMonth",IF(AND(ISNUMBER(J181),J181=INT(J181),J181&gt;=1,J181&lt;=12,ISNUMBER(M181),M181=INT(M181),M181&gt;=1,M181&lt;=7,ISNUMBER(N181),N181=INT(N181),N181&gt;=1,N181&lt;=5,MONTH(DATE(Übersicht!$B$4,J181,1)+MOD(M181-WEEKDAY(DATE(Übersicht!$B$4,J181,1),2),7)+7*(N181-1))=J181,K181="",L181=""),DATE(Übersicht!$B$4,J181,1)+MOD(M181-WEEKDAY(DATE(Übersicht!$B$4,J181,1),2),7)+7*(N181-1),NA()),IF(I181="nthWeekdayOffsetDays",IF(AND(ISNUMBER(J181),J181=INT(J181),J181&gt;=1,J181&lt;=12,ISNUMBER(M181),M181=INT(M181),M181&gt;=1,M181&lt;=7,ISNUMBER(N181),N181=INT(N181),N181&gt;=1,N181&lt;=5,MONTH(DATE(Übersicht!$B$4,J181,1)+MOD(M181-WEEKDAY(DATE(Übersicht!$B$4,J181,1),2),7)+7*(N181-1))=J181,K181="",ISNUMBER(L181),L181=INT(L181),L181&gt;=-366,L181&lt;=366),DATE(Übersicht!$B$4,J181,1)+MOD(M181-WEEKDAY(DATE(Übersicht!$B$4,J181,1),2),7)+7*(N181-1)+L181,NA()),NA())))),NA())</f>
        <v>46753</v>
      </c>
      <c r="X181" s="14">
        <f t="shared" si="2"/>
        <v>46753</v>
      </c>
      <c r="Y181" s="10" t="s">
        <v>927</v>
      </c>
      <c r="Z181" s="10" t="s">
        <v>928</v>
      </c>
      <c r="AA181" s="24" t="s">
        <v>768</v>
      </c>
    </row>
    <row r="182" spans="1:27" ht="44" customHeight="1">
      <c r="A182" s="11" t="s">
        <v>261</v>
      </c>
      <c r="B182" s="11" t="s">
        <v>244</v>
      </c>
      <c r="C182" s="11" t="s">
        <v>935</v>
      </c>
      <c r="D182" s="26" t="s">
        <v>779</v>
      </c>
      <c r="E182" s="26" t="s">
        <v>780</v>
      </c>
      <c r="F182" s="27" t="s">
        <v>889</v>
      </c>
      <c r="G182" s="27" t="s">
        <v>890</v>
      </c>
      <c r="H182" s="11" t="s">
        <v>761</v>
      </c>
      <c r="I182" s="11" t="s">
        <v>781</v>
      </c>
      <c r="J182" s="30"/>
      <c r="K182" s="30"/>
      <c r="L182" s="26">
        <v>-2</v>
      </c>
      <c r="M182" s="26"/>
      <c r="N182" s="26"/>
      <c r="O182" s="31">
        <v>46023</v>
      </c>
      <c r="P182" s="31"/>
      <c r="Q182" s="26">
        <v>100</v>
      </c>
      <c r="R182" s="26" t="s">
        <v>69</v>
      </c>
      <c r="S182" s="11"/>
      <c r="T182" s="11" t="s">
        <v>764</v>
      </c>
      <c r="U182" s="11"/>
      <c r="V182" s="11" t="s">
        <v>824</v>
      </c>
      <c r="W182" s="15">
        <f>IF(AND(ISNUMBER(Übersicht!$B$4),Übersicht!$B$4=INT(Übersicht!$B$4),Übersicht!$B$4&gt;=2026,Übersicht!$B$4&lt;=2028),IF(I182="fixedMonthDay",IF(AND(ISNUMBER(J182),J182=INT(J182),J182&gt;=1,J182&lt;=12,ISNUMBER(K182),K182=INT(K182),K182&gt;=1,K182&lt;=31,MONTH(DATE(Übersicht!$B$4,J182,K182))=J182,DAY(DATE(Übersicht!$B$4,J182,K182))=K182,L182="",M182="",N182=""),DATE(Übersicht!$B$4,J182,K182),NA()),IF(I182="easterOffsetDays",IF(AND(ISNUMBER(L182),L182=INT(L182),L182&gt;=-366,L182&lt;=366,J182="",K182="",M182="",N182=""),$AD$23+L182,NA()),IF(I182="nthWeekdayOfMonth",IF(AND(ISNUMBER(J182),J182=INT(J182),J182&gt;=1,J182&lt;=12,ISNUMBER(M182),M182=INT(M182),M182&gt;=1,M182&lt;=7,ISNUMBER(N182),N182=INT(N182),N182&gt;=1,N182&lt;=5,MONTH(DATE(Übersicht!$B$4,J182,1)+MOD(M182-WEEKDAY(DATE(Übersicht!$B$4,J182,1),2),7)+7*(N182-1))=J182,K182="",L182=""),DATE(Übersicht!$B$4,J182,1)+MOD(M182-WEEKDAY(DATE(Übersicht!$B$4,J182,1),2),7)+7*(N182-1),NA()),IF(I182="nthWeekdayOffsetDays",IF(AND(ISNUMBER(J182),J182=INT(J182),J182&gt;=1,J182&lt;=12,ISNUMBER(M182),M182=INT(M182),M182&gt;=1,M182&lt;=7,ISNUMBER(N182),N182=INT(N182),N182&gt;=1,N182&lt;=5,MONTH(DATE(Übersicht!$B$4,J182,1)+MOD(M182-WEEKDAY(DATE(Übersicht!$B$4,J182,1),2),7)+7*(N182-1))=J182,K182="",ISNUMBER(L182),L182=INT(L182),L182&gt;=-366,L182&lt;=366),DATE(Übersicht!$B$4,J182,1)+MOD(M182-WEEKDAY(DATE(Übersicht!$B$4,J182,1),2),7)+7*(N182-1)+L182,NA()),NA())))),NA())</f>
        <v>46857</v>
      </c>
      <c r="X182" s="15">
        <f t="shared" si="2"/>
        <v>46857</v>
      </c>
      <c r="Y182" s="11" t="s">
        <v>927</v>
      </c>
      <c r="Z182" s="11" t="s">
        <v>929</v>
      </c>
      <c r="AA182" s="26" t="s">
        <v>768</v>
      </c>
    </row>
    <row r="183" spans="1:27" ht="44" customHeight="1">
      <c r="A183" s="10" t="s">
        <v>262</v>
      </c>
      <c r="B183" s="10" t="s">
        <v>244</v>
      </c>
      <c r="C183" s="10" t="s">
        <v>935</v>
      </c>
      <c r="D183" s="24" t="s">
        <v>784</v>
      </c>
      <c r="E183" s="24" t="s">
        <v>785</v>
      </c>
      <c r="F183" s="25" t="s">
        <v>892</v>
      </c>
      <c r="G183" s="25" t="s">
        <v>893</v>
      </c>
      <c r="H183" s="10" t="s">
        <v>761</v>
      </c>
      <c r="I183" s="10" t="s">
        <v>781</v>
      </c>
      <c r="J183" s="28"/>
      <c r="K183" s="28"/>
      <c r="L183" s="24">
        <v>0</v>
      </c>
      <c r="M183" s="24"/>
      <c r="N183" s="24"/>
      <c r="O183" s="29">
        <v>46023</v>
      </c>
      <c r="P183" s="29"/>
      <c r="Q183" s="24">
        <v>100</v>
      </c>
      <c r="R183" s="24" t="s">
        <v>69</v>
      </c>
      <c r="S183" s="10"/>
      <c r="T183" s="10" t="s">
        <v>764</v>
      </c>
      <c r="U183" s="10"/>
      <c r="V183" s="10" t="s">
        <v>824</v>
      </c>
      <c r="W183" s="14">
        <f>IF(AND(ISNUMBER(Übersicht!$B$4),Übersicht!$B$4=INT(Übersicht!$B$4),Übersicht!$B$4&gt;=2026,Übersicht!$B$4&lt;=2028),IF(I183="fixedMonthDay",IF(AND(ISNUMBER(J183),J183=INT(J183),J183&gt;=1,J183&lt;=12,ISNUMBER(K183),K183=INT(K183),K183&gt;=1,K183&lt;=31,MONTH(DATE(Übersicht!$B$4,J183,K183))=J183,DAY(DATE(Übersicht!$B$4,J183,K183))=K183,L183="",M183="",N183=""),DATE(Übersicht!$B$4,J183,K183),NA()),IF(I183="easterOffsetDays",IF(AND(ISNUMBER(L183),L183=INT(L183),L183&gt;=-366,L183&lt;=366,J183="",K183="",M183="",N183=""),$AD$23+L183,NA()),IF(I183="nthWeekdayOfMonth",IF(AND(ISNUMBER(J183),J183=INT(J183),J183&gt;=1,J183&lt;=12,ISNUMBER(M183),M183=INT(M183),M183&gt;=1,M183&lt;=7,ISNUMBER(N183),N183=INT(N183),N183&gt;=1,N183&lt;=5,MONTH(DATE(Übersicht!$B$4,J183,1)+MOD(M183-WEEKDAY(DATE(Übersicht!$B$4,J183,1),2),7)+7*(N183-1))=J183,K183="",L183=""),DATE(Übersicht!$B$4,J183,1)+MOD(M183-WEEKDAY(DATE(Übersicht!$B$4,J183,1),2),7)+7*(N183-1),NA()),IF(I183="nthWeekdayOffsetDays",IF(AND(ISNUMBER(J183),J183=INT(J183),J183&gt;=1,J183&lt;=12,ISNUMBER(M183),M183=INT(M183),M183&gt;=1,M183&lt;=7,ISNUMBER(N183),N183=INT(N183),N183&gt;=1,N183&lt;=5,MONTH(DATE(Übersicht!$B$4,J183,1)+MOD(M183-WEEKDAY(DATE(Übersicht!$B$4,J183,1),2),7)+7*(N183-1))=J183,K183="",ISNUMBER(L183),L183=INT(L183),L183&gt;=-366,L183&lt;=366),DATE(Übersicht!$B$4,J183,1)+MOD(M183-WEEKDAY(DATE(Übersicht!$B$4,J183,1),2),7)+7*(N183-1)+L183,NA()),NA())))),NA())</f>
        <v>46859</v>
      </c>
      <c r="X183" s="14">
        <f t="shared" si="2"/>
        <v>46859</v>
      </c>
      <c r="Y183" s="10" t="s">
        <v>927</v>
      </c>
      <c r="Z183" s="10" t="s">
        <v>929</v>
      </c>
      <c r="AA183" s="24" t="s">
        <v>768</v>
      </c>
    </row>
    <row r="184" spans="1:27" ht="44" customHeight="1">
      <c r="A184" s="11" t="s">
        <v>263</v>
      </c>
      <c r="B184" s="11" t="s">
        <v>244</v>
      </c>
      <c r="C184" s="11" t="s">
        <v>935</v>
      </c>
      <c r="D184" s="26" t="s">
        <v>930</v>
      </c>
      <c r="E184" s="26" t="s">
        <v>931</v>
      </c>
      <c r="F184" s="27" t="s">
        <v>862</v>
      </c>
      <c r="G184" s="27" t="s">
        <v>932</v>
      </c>
      <c r="H184" s="11" t="s">
        <v>761</v>
      </c>
      <c r="I184" s="11" t="s">
        <v>762</v>
      </c>
      <c r="J184" s="30">
        <v>5</v>
      </c>
      <c r="K184" s="30">
        <v>1</v>
      </c>
      <c r="L184" s="26"/>
      <c r="M184" s="26"/>
      <c r="N184" s="26"/>
      <c r="O184" s="31">
        <v>46023</v>
      </c>
      <c r="P184" s="31"/>
      <c r="Q184" s="26">
        <v>100</v>
      </c>
      <c r="R184" s="26" t="s">
        <v>69</v>
      </c>
      <c r="S184" s="11"/>
      <c r="T184" s="11" t="s">
        <v>764</v>
      </c>
      <c r="U184" s="11"/>
      <c r="V184" s="11" t="s">
        <v>824</v>
      </c>
      <c r="W184" s="15">
        <f>IF(AND(ISNUMBER(Übersicht!$B$4),Übersicht!$B$4=INT(Übersicht!$B$4),Übersicht!$B$4&gt;=2026,Übersicht!$B$4&lt;=2028),IF(I184="fixedMonthDay",IF(AND(ISNUMBER(J184),J184=INT(J184),J184&gt;=1,J184&lt;=12,ISNUMBER(K184),K184=INT(K184),K184&gt;=1,K184&lt;=31,MONTH(DATE(Übersicht!$B$4,J184,K184))=J184,DAY(DATE(Übersicht!$B$4,J184,K184))=K184,L184="",M184="",N184=""),DATE(Übersicht!$B$4,J184,K184),NA()),IF(I184="easterOffsetDays",IF(AND(ISNUMBER(L184),L184=INT(L184),L184&gt;=-366,L184&lt;=366,J184="",K184="",M184="",N184=""),$AD$23+L184,NA()),IF(I184="nthWeekdayOfMonth",IF(AND(ISNUMBER(J184),J184=INT(J184),J184&gt;=1,J184&lt;=12,ISNUMBER(M184),M184=INT(M184),M184&gt;=1,M184&lt;=7,ISNUMBER(N184),N184=INT(N184),N184&gt;=1,N184&lt;=5,MONTH(DATE(Übersicht!$B$4,J184,1)+MOD(M184-WEEKDAY(DATE(Übersicht!$B$4,J184,1),2),7)+7*(N184-1))=J184,K184="",L184=""),DATE(Übersicht!$B$4,J184,1)+MOD(M184-WEEKDAY(DATE(Übersicht!$B$4,J184,1),2),7)+7*(N184-1),NA()),IF(I184="nthWeekdayOffsetDays",IF(AND(ISNUMBER(J184),J184=INT(J184),J184&gt;=1,J184&lt;=12,ISNUMBER(M184),M184=INT(M184),M184&gt;=1,M184&lt;=7,ISNUMBER(N184),N184=INT(N184),N184&gt;=1,N184&lt;=5,MONTH(DATE(Übersicht!$B$4,J184,1)+MOD(M184-WEEKDAY(DATE(Übersicht!$B$4,J184,1),2),7)+7*(N184-1))=J184,K184="",ISNUMBER(L184),L184=INT(L184),L184&gt;=-366,L184&lt;=366),DATE(Übersicht!$B$4,J184,1)+MOD(M184-WEEKDAY(DATE(Übersicht!$B$4,J184,1),2),7)+7*(N184-1)+L184,NA()),NA())))),NA())</f>
        <v>46874</v>
      </c>
      <c r="X184" s="15">
        <f t="shared" si="2"/>
        <v>46874</v>
      </c>
      <c r="Y184" s="11" t="s">
        <v>927</v>
      </c>
      <c r="Z184" s="11" t="s">
        <v>933</v>
      </c>
      <c r="AA184" s="26" t="s">
        <v>934</v>
      </c>
    </row>
    <row r="185" spans="1:27" ht="44" customHeight="1">
      <c r="A185" s="10" t="s">
        <v>264</v>
      </c>
      <c r="B185" s="10" t="s">
        <v>244</v>
      </c>
      <c r="C185" s="10" t="s">
        <v>935</v>
      </c>
      <c r="D185" s="24" t="s">
        <v>790</v>
      </c>
      <c r="E185" s="24" t="s">
        <v>791</v>
      </c>
      <c r="F185" s="25" t="s">
        <v>864</v>
      </c>
      <c r="G185" s="25" t="s">
        <v>865</v>
      </c>
      <c r="H185" s="10" t="s">
        <v>761</v>
      </c>
      <c r="I185" s="10" t="s">
        <v>781</v>
      </c>
      <c r="J185" s="28"/>
      <c r="K185" s="28"/>
      <c r="L185" s="24">
        <v>39</v>
      </c>
      <c r="M185" s="24"/>
      <c r="N185" s="24"/>
      <c r="O185" s="29">
        <v>46023</v>
      </c>
      <c r="P185" s="29"/>
      <c r="Q185" s="24">
        <v>100</v>
      </c>
      <c r="R185" s="24" t="s">
        <v>69</v>
      </c>
      <c r="S185" s="10"/>
      <c r="T185" s="10" t="s">
        <v>764</v>
      </c>
      <c r="U185" s="10"/>
      <c r="V185" s="10" t="s">
        <v>824</v>
      </c>
      <c r="W185" s="14">
        <f>IF(AND(ISNUMBER(Übersicht!$B$4),Übersicht!$B$4=INT(Übersicht!$B$4),Übersicht!$B$4&gt;=2026,Übersicht!$B$4&lt;=2028),IF(I185="fixedMonthDay",IF(AND(ISNUMBER(J185),J185=INT(J185),J185&gt;=1,J185&lt;=12,ISNUMBER(K185),K185=INT(K185),K185&gt;=1,K185&lt;=31,MONTH(DATE(Übersicht!$B$4,J185,K185))=J185,DAY(DATE(Übersicht!$B$4,J185,K185))=K185,L185="",M185="",N185=""),DATE(Übersicht!$B$4,J185,K185),NA()),IF(I185="easterOffsetDays",IF(AND(ISNUMBER(L185),L185=INT(L185),L185&gt;=-366,L185&lt;=366,J185="",K185="",M185="",N185=""),$AD$23+L185,NA()),IF(I185="nthWeekdayOfMonth",IF(AND(ISNUMBER(J185),J185=INT(J185),J185&gt;=1,J185&lt;=12,ISNUMBER(M185),M185=INT(M185),M185&gt;=1,M185&lt;=7,ISNUMBER(N185),N185=INT(N185),N185&gt;=1,N185&lt;=5,MONTH(DATE(Übersicht!$B$4,J185,1)+MOD(M185-WEEKDAY(DATE(Übersicht!$B$4,J185,1),2),7)+7*(N185-1))=J185,K185="",L185=""),DATE(Übersicht!$B$4,J185,1)+MOD(M185-WEEKDAY(DATE(Übersicht!$B$4,J185,1),2),7)+7*(N185-1),NA()),IF(I185="nthWeekdayOffsetDays",IF(AND(ISNUMBER(J185),J185=INT(J185),J185&gt;=1,J185&lt;=12,ISNUMBER(M185),M185=INT(M185),M185&gt;=1,M185&lt;=7,ISNUMBER(N185),N185=INT(N185),N185&gt;=1,N185&lt;=5,MONTH(DATE(Übersicht!$B$4,J185,1)+MOD(M185-WEEKDAY(DATE(Übersicht!$B$4,J185,1),2),7)+7*(N185-1))=J185,K185="",ISNUMBER(L185),L185=INT(L185),L185&gt;=-366,L185&lt;=366),DATE(Übersicht!$B$4,J185,1)+MOD(M185-WEEKDAY(DATE(Übersicht!$B$4,J185,1),2),7)+7*(N185-1)+L185,NA()),NA())))),NA())</f>
        <v>46898</v>
      </c>
      <c r="X185" s="14">
        <f t="shared" si="2"/>
        <v>46898</v>
      </c>
      <c r="Y185" s="10" t="s">
        <v>927</v>
      </c>
      <c r="Z185" s="10" t="s">
        <v>928</v>
      </c>
      <c r="AA185" s="24" t="s">
        <v>768</v>
      </c>
    </row>
    <row r="186" spans="1:27" ht="44" customHeight="1">
      <c r="A186" s="11" t="s">
        <v>265</v>
      </c>
      <c r="B186" s="11" t="s">
        <v>244</v>
      </c>
      <c r="C186" s="11" t="s">
        <v>935</v>
      </c>
      <c r="D186" s="26" t="s">
        <v>793</v>
      </c>
      <c r="E186" s="26" t="s">
        <v>794</v>
      </c>
      <c r="F186" s="27" t="s">
        <v>896</v>
      </c>
      <c r="G186" s="27" t="s">
        <v>897</v>
      </c>
      <c r="H186" s="11" t="s">
        <v>761</v>
      </c>
      <c r="I186" s="11" t="s">
        <v>781</v>
      </c>
      <c r="J186" s="30"/>
      <c r="K186" s="30"/>
      <c r="L186" s="26">
        <v>49</v>
      </c>
      <c r="M186" s="26"/>
      <c r="N186" s="26"/>
      <c r="O186" s="31">
        <v>46023</v>
      </c>
      <c r="P186" s="31"/>
      <c r="Q186" s="26">
        <v>100</v>
      </c>
      <c r="R186" s="26" t="s">
        <v>69</v>
      </c>
      <c r="S186" s="11"/>
      <c r="T186" s="11" t="s">
        <v>764</v>
      </c>
      <c r="U186" s="11"/>
      <c r="V186" s="11" t="s">
        <v>824</v>
      </c>
      <c r="W186" s="15">
        <f>IF(AND(ISNUMBER(Übersicht!$B$4),Übersicht!$B$4=INT(Übersicht!$B$4),Übersicht!$B$4&gt;=2026,Übersicht!$B$4&lt;=2028),IF(I186="fixedMonthDay",IF(AND(ISNUMBER(J186),J186=INT(J186),J186&gt;=1,J186&lt;=12,ISNUMBER(K186),K186=INT(K186),K186&gt;=1,K186&lt;=31,MONTH(DATE(Übersicht!$B$4,J186,K186))=J186,DAY(DATE(Übersicht!$B$4,J186,K186))=K186,L186="",M186="",N186=""),DATE(Übersicht!$B$4,J186,K186),NA()),IF(I186="easterOffsetDays",IF(AND(ISNUMBER(L186),L186=INT(L186),L186&gt;=-366,L186&lt;=366,J186="",K186="",M186="",N186=""),$AD$23+L186,NA()),IF(I186="nthWeekdayOfMonth",IF(AND(ISNUMBER(J186),J186=INT(J186),J186&gt;=1,J186&lt;=12,ISNUMBER(M186),M186=INT(M186),M186&gt;=1,M186&lt;=7,ISNUMBER(N186),N186=INT(N186),N186&gt;=1,N186&lt;=5,MONTH(DATE(Übersicht!$B$4,J186,1)+MOD(M186-WEEKDAY(DATE(Übersicht!$B$4,J186,1),2),7)+7*(N186-1))=J186,K186="",L186=""),DATE(Übersicht!$B$4,J186,1)+MOD(M186-WEEKDAY(DATE(Übersicht!$B$4,J186,1),2),7)+7*(N186-1),NA()),IF(I186="nthWeekdayOffsetDays",IF(AND(ISNUMBER(J186),J186=INT(J186),J186&gt;=1,J186&lt;=12,ISNUMBER(M186),M186=INT(M186),M186&gt;=1,M186&lt;=7,ISNUMBER(N186),N186=INT(N186),N186&gt;=1,N186&lt;=5,MONTH(DATE(Übersicht!$B$4,J186,1)+MOD(M186-WEEKDAY(DATE(Übersicht!$B$4,J186,1),2),7)+7*(N186-1))=J186,K186="",ISNUMBER(L186),L186=INT(L186),L186&gt;=-366,L186&lt;=366),DATE(Übersicht!$B$4,J186,1)+MOD(M186-WEEKDAY(DATE(Übersicht!$B$4,J186,1),2),7)+7*(N186-1)+L186,NA()),NA())))),NA())</f>
        <v>46908</v>
      </c>
      <c r="X186" s="15">
        <f t="shared" si="2"/>
        <v>46908</v>
      </c>
      <c r="Y186" s="11" t="s">
        <v>927</v>
      </c>
      <c r="Z186" s="11" t="s">
        <v>929</v>
      </c>
      <c r="AA186" s="26" t="s">
        <v>768</v>
      </c>
    </row>
    <row r="187" spans="1:27" ht="44" customHeight="1">
      <c r="A187" s="10" t="s">
        <v>266</v>
      </c>
      <c r="B187" s="10" t="s">
        <v>244</v>
      </c>
      <c r="C187" s="10" t="s">
        <v>935</v>
      </c>
      <c r="D187" s="24" t="s">
        <v>759</v>
      </c>
      <c r="E187" s="24" t="s">
        <v>760</v>
      </c>
      <c r="F187" s="25" t="s">
        <v>874</v>
      </c>
      <c r="G187" s="25" t="s">
        <v>875</v>
      </c>
      <c r="H187" s="10" t="s">
        <v>761</v>
      </c>
      <c r="I187" s="10" t="s">
        <v>762</v>
      </c>
      <c r="J187" s="28">
        <v>8</v>
      </c>
      <c r="K187" s="28">
        <v>1</v>
      </c>
      <c r="L187" s="24"/>
      <c r="M187" s="24"/>
      <c r="N187" s="24"/>
      <c r="O187" s="29">
        <v>46023</v>
      </c>
      <c r="P187" s="29"/>
      <c r="Q187" s="24">
        <v>100</v>
      </c>
      <c r="R187" s="24" t="s">
        <v>69</v>
      </c>
      <c r="S187" s="10"/>
      <c r="T187" s="10" t="s">
        <v>764</v>
      </c>
      <c r="U187" s="10"/>
      <c r="V187" s="10" t="s">
        <v>824</v>
      </c>
      <c r="W187" s="14">
        <f>IF(AND(ISNUMBER(Übersicht!$B$4),Übersicht!$B$4=INT(Übersicht!$B$4),Übersicht!$B$4&gt;=2026,Übersicht!$B$4&lt;=2028),IF(I187="fixedMonthDay",IF(AND(ISNUMBER(J187),J187=INT(J187),J187&gt;=1,J187&lt;=12,ISNUMBER(K187),K187=INT(K187),K187&gt;=1,K187&lt;=31,MONTH(DATE(Übersicht!$B$4,J187,K187))=J187,DAY(DATE(Übersicht!$B$4,J187,K187))=K187,L187="",M187="",N187=""),DATE(Übersicht!$B$4,J187,K187),NA()),IF(I187="easterOffsetDays",IF(AND(ISNUMBER(L187),L187=INT(L187),L187&gt;=-366,L187&lt;=366,J187="",K187="",M187="",N187=""),$AD$23+L187,NA()),IF(I187="nthWeekdayOfMonth",IF(AND(ISNUMBER(J187),J187=INT(J187),J187&gt;=1,J187&lt;=12,ISNUMBER(M187),M187=INT(M187),M187&gt;=1,M187&lt;=7,ISNUMBER(N187),N187=INT(N187),N187&gt;=1,N187&lt;=5,MONTH(DATE(Übersicht!$B$4,J187,1)+MOD(M187-WEEKDAY(DATE(Übersicht!$B$4,J187,1),2),7)+7*(N187-1))=J187,K187="",L187=""),DATE(Übersicht!$B$4,J187,1)+MOD(M187-WEEKDAY(DATE(Übersicht!$B$4,J187,1),2),7)+7*(N187-1),NA()),IF(I187="nthWeekdayOffsetDays",IF(AND(ISNUMBER(J187),J187=INT(J187),J187&gt;=1,J187&lt;=12,ISNUMBER(M187),M187=INT(M187),M187&gt;=1,M187&lt;=7,ISNUMBER(N187),N187=INT(N187),N187&gt;=1,N187&lt;=5,MONTH(DATE(Übersicht!$B$4,J187,1)+MOD(M187-WEEKDAY(DATE(Übersicht!$B$4,J187,1),2),7)+7*(N187-1))=J187,K187="",ISNUMBER(L187),L187=INT(L187),L187&gt;=-366,L187&lt;=366),DATE(Übersicht!$B$4,J187,1)+MOD(M187-WEEKDAY(DATE(Übersicht!$B$4,J187,1),2),7)+7*(N187-1)+L187,NA()),NA())))),NA())</f>
        <v>46966</v>
      </c>
      <c r="X187" s="14">
        <f t="shared" si="2"/>
        <v>46966</v>
      </c>
      <c r="Y187" s="10" t="s">
        <v>766</v>
      </c>
      <c r="Z187" s="10" t="s">
        <v>916</v>
      </c>
      <c r="AA187" s="24" t="s">
        <v>768</v>
      </c>
    </row>
    <row r="188" spans="1:27" ht="44" customHeight="1">
      <c r="A188" s="11" t="s">
        <v>267</v>
      </c>
      <c r="B188" s="11" t="s">
        <v>244</v>
      </c>
      <c r="C188" s="11" t="s">
        <v>935</v>
      </c>
      <c r="D188" s="26" t="s">
        <v>799</v>
      </c>
      <c r="E188" s="26" t="s">
        <v>800</v>
      </c>
      <c r="F188" s="27" t="s">
        <v>899</v>
      </c>
      <c r="G188" s="27" t="s">
        <v>900</v>
      </c>
      <c r="H188" s="11" t="s">
        <v>761</v>
      </c>
      <c r="I188" s="11" t="s">
        <v>801</v>
      </c>
      <c r="J188" s="30">
        <v>9</v>
      </c>
      <c r="K188" s="30"/>
      <c r="L188" s="26"/>
      <c r="M188" s="26">
        <v>7</v>
      </c>
      <c r="N188" s="26">
        <v>3</v>
      </c>
      <c r="O188" s="31">
        <v>46023</v>
      </c>
      <c r="P188" s="31"/>
      <c r="Q188" s="26">
        <v>100</v>
      </c>
      <c r="R188" s="26" t="s">
        <v>69</v>
      </c>
      <c r="S188" s="11"/>
      <c r="T188" s="11" t="s">
        <v>764</v>
      </c>
      <c r="U188" s="11"/>
      <c r="V188" s="11" t="s">
        <v>824</v>
      </c>
      <c r="W188" s="15">
        <f>IF(AND(ISNUMBER(Übersicht!$B$4),Übersicht!$B$4=INT(Übersicht!$B$4),Übersicht!$B$4&gt;=2026,Übersicht!$B$4&lt;=2028),IF(I188="fixedMonthDay",IF(AND(ISNUMBER(J188),J188=INT(J188),J188&gt;=1,J188&lt;=12,ISNUMBER(K188),K188=INT(K188),K188&gt;=1,K188&lt;=31,MONTH(DATE(Übersicht!$B$4,J188,K188))=J188,DAY(DATE(Übersicht!$B$4,J188,K188))=K188,L188="",M188="",N188=""),DATE(Übersicht!$B$4,J188,K188),NA()),IF(I188="easterOffsetDays",IF(AND(ISNUMBER(L188),L188=INT(L188),L188&gt;=-366,L188&lt;=366,J188="",K188="",M188="",N188=""),$AD$23+L188,NA()),IF(I188="nthWeekdayOfMonth",IF(AND(ISNUMBER(J188),J188=INT(J188),J188&gt;=1,J188&lt;=12,ISNUMBER(M188),M188=INT(M188),M188&gt;=1,M188&lt;=7,ISNUMBER(N188),N188=INT(N188),N188&gt;=1,N188&lt;=5,MONTH(DATE(Übersicht!$B$4,J188,1)+MOD(M188-WEEKDAY(DATE(Übersicht!$B$4,J188,1),2),7)+7*(N188-1))=J188,K188="",L188=""),DATE(Übersicht!$B$4,J188,1)+MOD(M188-WEEKDAY(DATE(Übersicht!$B$4,J188,1),2),7)+7*(N188-1),NA()),IF(I188="nthWeekdayOffsetDays",IF(AND(ISNUMBER(J188),J188=INT(J188),J188&gt;=1,J188&lt;=12,ISNUMBER(M188),M188=INT(M188),M188&gt;=1,M188&lt;=7,ISNUMBER(N188),N188=INT(N188),N188&gt;=1,N188&lt;=5,MONTH(DATE(Übersicht!$B$4,J188,1)+MOD(M188-WEEKDAY(DATE(Übersicht!$B$4,J188,1),2),7)+7*(N188-1))=J188,K188="",ISNUMBER(L188),L188=INT(L188),L188&gt;=-366,L188&lt;=366),DATE(Übersicht!$B$4,J188,1)+MOD(M188-WEEKDAY(DATE(Übersicht!$B$4,J188,1),2),7)+7*(N188-1)+L188,NA()),NA())))),NA())</f>
        <v>47013</v>
      </c>
      <c r="X188" s="15">
        <f t="shared" si="2"/>
        <v>47013</v>
      </c>
      <c r="Y188" s="11" t="s">
        <v>927</v>
      </c>
      <c r="Z188" s="11" t="s">
        <v>928</v>
      </c>
      <c r="AA188" s="26" t="s">
        <v>768</v>
      </c>
    </row>
    <row r="189" spans="1:27" ht="44" customHeight="1">
      <c r="A189" s="10" t="s">
        <v>268</v>
      </c>
      <c r="B189" s="10" t="s">
        <v>244</v>
      </c>
      <c r="C189" s="10" t="s">
        <v>935</v>
      </c>
      <c r="D189" s="24" t="s">
        <v>803</v>
      </c>
      <c r="E189" s="24" t="s">
        <v>804</v>
      </c>
      <c r="F189" s="25" t="s">
        <v>882</v>
      </c>
      <c r="G189" s="25" t="s">
        <v>883</v>
      </c>
      <c r="H189" s="10" t="s">
        <v>761</v>
      </c>
      <c r="I189" s="10" t="s">
        <v>762</v>
      </c>
      <c r="J189" s="28">
        <v>12</v>
      </c>
      <c r="K189" s="28">
        <v>25</v>
      </c>
      <c r="L189" s="24"/>
      <c r="M189" s="24"/>
      <c r="N189" s="24"/>
      <c r="O189" s="29">
        <v>46023</v>
      </c>
      <c r="P189" s="29"/>
      <c r="Q189" s="24">
        <v>100</v>
      </c>
      <c r="R189" s="24" t="s">
        <v>69</v>
      </c>
      <c r="S189" s="10"/>
      <c r="T189" s="10" t="s">
        <v>764</v>
      </c>
      <c r="U189" s="10"/>
      <c r="V189" s="10" t="s">
        <v>824</v>
      </c>
      <c r="W189" s="14">
        <f>IF(AND(ISNUMBER(Übersicht!$B$4),Übersicht!$B$4=INT(Übersicht!$B$4),Übersicht!$B$4&gt;=2026,Übersicht!$B$4&lt;=2028),IF(I189="fixedMonthDay",IF(AND(ISNUMBER(J189),J189=INT(J189),J189&gt;=1,J189&lt;=12,ISNUMBER(K189),K189=INT(K189),K189&gt;=1,K189&lt;=31,MONTH(DATE(Übersicht!$B$4,J189,K189))=J189,DAY(DATE(Übersicht!$B$4,J189,K189))=K189,L189="",M189="",N189=""),DATE(Übersicht!$B$4,J189,K189),NA()),IF(I189="easterOffsetDays",IF(AND(ISNUMBER(L189),L189=INT(L189),L189&gt;=-366,L189&lt;=366,J189="",K189="",M189="",N189=""),$AD$23+L189,NA()),IF(I189="nthWeekdayOfMonth",IF(AND(ISNUMBER(J189),J189=INT(J189),J189&gt;=1,J189&lt;=12,ISNUMBER(M189),M189=INT(M189),M189&gt;=1,M189&lt;=7,ISNUMBER(N189),N189=INT(N189),N189&gt;=1,N189&lt;=5,MONTH(DATE(Übersicht!$B$4,J189,1)+MOD(M189-WEEKDAY(DATE(Übersicht!$B$4,J189,1),2),7)+7*(N189-1))=J189,K189="",L189=""),DATE(Übersicht!$B$4,J189,1)+MOD(M189-WEEKDAY(DATE(Übersicht!$B$4,J189,1),2),7)+7*(N189-1),NA()),IF(I189="nthWeekdayOffsetDays",IF(AND(ISNUMBER(J189),J189=INT(J189),J189&gt;=1,J189&lt;=12,ISNUMBER(M189),M189=INT(M189),M189&gt;=1,M189&lt;=7,ISNUMBER(N189),N189=INT(N189),N189&gt;=1,N189&lt;=5,MONTH(DATE(Übersicht!$B$4,J189,1)+MOD(M189-WEEKDAY(DATE(Übersicht!$B$4,J189,1),2),7)+7*(N189-1))=J189,K189="",ISNUMBER(L189),L189=INT(L189),L189&gt;=-366,L189&lt;=366),DATE(Übersicht!$B$4,J189,1)+MOD(M189-WEEKDAY(DATE(Übersicht!$B$4,J189,1),2),7)+7*(N189-1)+L189,NA()),NA())))),NA())</f>
        <v>47112</v>
      </c>
      <c r="X189" s="14">
        <f t="shared" si="2"/>
        <v>47112</v>
      </c>
      <c r="Y189" s="10" t="s">
        <v>927</v>
      </c>
      <c r="Z189" s="10" t="s">
        <v>929</v>
      </c>
      <c r="AA189" s="24" t="s">
        <v>768</v>
      </c>
    </row>
    <row r="190" spans="1:27" ht="44" customHeight="1">
      <c r="A190" s="11" t="s">
        <v>271</v>
      </c>
      <c r="B190" s="11" t="s">
        <v>269</v>
      </c>
      <c r="C190" s="11" t="s">
        <v>936</v>
      </c>
      <c r="D190" s="26" t="s">
        <v>771</v>
      </c>
      <c r="E190" s="26" t="s">
        <v>772</v>
      </c>
      <c r="F190" s="27" t="s">
        <v>849</v>
      </c>
      <c r="G190" s="27" t="s">
        <v>850</v>
      </c>
      <c r="H190" s="11" t="s">
        <v>761</v>
      </c>
      <c r="I190" s="11" t="s">
        <v>762</v>
      </c>
      <c r="J190" s="30">
        <v>1</v>
      </c>
      <c r="K190" s="30">
        <v>1</v>
      </c>
      <c r="L190" s="26"/>
      <c r="M190" s="26"/>
      <c r="N190" s="26"/>
      <c r="O190" s="31">
        <v>46023</v>
      </c>
      <c r="P190" s="31"/>
      <c r="Q190" s="26">
        <v>100</v>
      </c>
      <c r="R190" s="26" t="s">
        <v>69</v>
      </c>
      <c r="S190" s="11"/>
      <c r="T190" s="11" t="s">
        <v>764</v>
      </c>
      <c r="U190" s="11"/>
      <c r="V190" s="11" t="s">
        <v>824</v>
      </c>
      <c r="W190" s="15">
        <f>IF(AND(ISNUMBER(Übersicht!$B$4),Übersicht!$B$4=INT(Übersicht!$B$4),Übersicht!$B$4&gt;=2026,Übersicht!$B$4&lt;=2028),IF(I190="fixedMonthDay",IF(AND(ISNUMBER(J190),J190=INT(J190),J190&gt;=1,J190&lt;=12,ISNUMBER(K190),K190=INT(K190),K190&gt;=1,K190&lt;=31,MONTH(DATE(Übersicht!$B$4,J190,K190))=J190,DAY(DATE(Übersicht!$B$4,J190,K190))=K190,L190="",M190="",N190=""),DATE(Übersicht!$B$4,J190,K190),NA()),IF(I190="easterOffsetDays",IF(AND(ISNUMBER(L190),L190=INT(L190),L190&gt;=-366,L190&lt;=366,J190="",K190="",M190="",N190=""),$AD$23+L190,NA()),IF(I190="nthWeekdayOfMonth",IF(AND(ISNUMBER(J190),J190=INT(J190),J190&gt;=1,J190&lt;=12,ISNUMBER(M190),M190=INT(M190),M190&gt;=1,M190&lt;=7,ISNUMBER(N190),N190=INT(N190),N190&gt;=1,N190&lt;=5,MONTH(DATE(Übersicht!$B$4,J190,1)+MOD(M190-WEEKDAY(DATE(Übersicht!$B$4,J190,1),2),7)+7*(N190-1))=J190,K190="",L190=""),DATE(Übersicht!$B$4,J190,1)+MOD(M190-WEEKDAY(DATE(Übersicht!$B$4,J190,1),2),7)+7*(N190-1),NA()),IF(I190="nthWeekdayOffsetDays",IF(AND(ISNUMBER(J190),J190=INT(J190),J190&gt;=1,J190&lt;=12,ISNUMBER(M190),M190=INT(M190),M190&gt;=1,M190&lt;=7,ISNUMBER(N190),N190=INT(N190),N190&gt;=1,N190&lt;=5,MONTH(DATE(Übersicht!$B$4,J190,1)+MOD(M190-WEEKDAY(DATE(Übersicht!$B$4,J190,1),2),7)+7*(N190-1))=J190,K190="",ISNUMBER(L190),L190=INT(L190),L190&gt;=-366,L190&lt;=366),DATE(Übersicht!$B$4,J190,1)+MOD(M190-WEEKDAY(DATE(Übersicht!$B$4,J190,1),2),7)+7*(N190-1)+L190,NA()),NA())))),NA())</f>
        <v>46753</v>
      </c>
      <c r="X190" s="15">
        <f t="shared" si="2"/>
        <v>46753</v>
      </c>
      <c r="Y190" s="11" t="s">
        <v>937</v>
      </c>
      <c r="Z190" s="11" t="s">
        <v>938</v>
      </c>
      <c r="AA190" s="26" t="s">
        <v>768</v>
      </c>
    </row>
    <row r="191" spans="1:27" ht="44" customHeight="1">
      <c r="A191" s="10" t="s">
        <v>272</v>
      </c>
      <c r="B191" s="10" t="s">
        <v>269</v>
      </c>
      <c r="C191" s="10" t="s">
        <v>936</v>
      </c>
      <c r="D191" s="24" t="s">
        <v>779</v>
      </c>
      <c r="E191" s="24" t="s">
        <v>780</v>
      </c>
      <c r="F191" s="25" t="s">
        <v>889</v>
      </c>
      <c r="G191" s="25" t="s">
        <v>890</v>
      </c>
      <c r="H191" s="10" t="s">
        <v>761</v>
      </c>
      <c r="I191" s="10" t="s">
        <v>781</v>
      </c>
      <c r="J191" s="28"/>
      <c r="K191" s="28"/>
      <c r="L191" s="24">
        <v>-2</v>
      </c>
      <c r="M191" s="24"/>
      <c r="N191" s="24"/>
      <c r="O191" s="29">
        <v>46023</v>
      </c>
      <c r="P191" s="29"/>
      <c r="Q191" s="24">
        <v>100</v>
      </c>
      <c r="R191" s="24" t="s">
        <v>69</v>
      </c>
      <c r="S191" s="10"/>
      <c r="T191" s="10" t="s">
        <v>764</v>
      </c>
      <c r="U191" s="10"/>
      <c r="V191" s="10" t="s">
        <v>824</v>
      </c>
      <c r="W191" s="14">
        <f>IF(AND(ISNUMBER(Übersicht!$B$4),Übersicht!$B$4=INT(Übersicht!$B$4),Übersicht!$B$4&gt;=2026,Übersicht!$B$4&lt;=2028),IF(I191="fixedMonthDay",IF(AND(ISNUMBER(J191),J191=INT(J191),J191&gt;=1,J191&lt;=12,ISNUMBER(K191),K191=INT(K191),K191&gt;=1,K191&lt;=31,MONTH(DATE(Übersicht!$B$4,J191,K191))=J191,DAY(DATE(Übersicht!$B$4,J191,K191))=K191,L191="",M191="",N191=""),DATE(Übersicht!$B$4,J191,K191),NA()),IF(I191="easterOffsetDays",IF(AND(ISNUMBER(L191),L191=INT(L191),L191&gt;=-366,L191&lt;=366,J191="",K191="",M191="",N191=""),$AD$23+L191,NA()),IF(I191="nthWeekdayOfMonth",IF(AND(ISNUMBER(J191),J191=INT(J191),J191&gt;=1,J191&lt;=12,ISNUMBER(M191),M191=INT(M191),M191&gt;=1,M191&lt;=7,ISNUMBER(N191),N191=INT(N191),N191&gt;=1,N191&lt;=5,MONTH(DATE(Übersicht!$B$4,J191,1)+MOD(M191-WEEKDAY(DATE(Übersicht!$B$4,J191,1),2),7)+7*(N191-1))=J191,K191="",L191=""),DATE(Übersicht!$B$4,J191,1)+MOD(M191-WEEKDAY(DATE(Übersicht!$B$4,J191,1),2),7)+7*(N191-1),NA()),IF(I191="nthWeekdayOffsetDays",IF(AND(ISNUMBER(J191),J191=INT(J191),J191&gt;=1,J191&lt;=12,ISNUMBER(M191),M191=INT(M191),M191&gt;=1,M191&lt;=7,ISNUMBER(N191),N191=INT(N191),N191&gt;=1,N191&lt;=5,MONTH(DATE(Übersicht!$B$4,J191,1)+MOD(M191-WEEKDAY(DATE(Übersicht!$B$4,J191,1),2),7)+7*(N191-1))=J191,K191="",ISNUMBER(L191),L191=INT(L191),L191&gt;=-366,L191&lt;=366),DATE(Übersicht!$B$4,J191,1)+MOD(M191-WEEKDAY(DATE(Übersicht!$B$4,J191,1),2),7)+7*(N191-1)+L191,NA()),NA())))),NA())</f>
        <v>46857</v>
      </c>
      <c r="X191" s="14">
        <f t="shared" si="2"/>
        <v>46857</v>
      </c>
      <c r="Y191" s="10" t="s">
        <v>937</v>
      </c>
      <c r="Z191" s="10" t="s">
        <v>939</v>
      </c>
      <c r="AA191" s="24" t="s">
        <v>768</v>
      </c>
    </row>
    <row r="192" spans="1:27" ht="44" customHeight="1">
      <c r="A192" s="11" t="s">
        <v>273</v>
      </c>
      <c r="B192" s="11" t="s">
        <v>269</v>
      </c>
      <c r="C192" s="11" t="s">
        <v>936</v>
      </c>
      <c r="D192" s="26" t="s">
        <v>787</v>
      </c>
      <c r="E192" s="26" t="s">
        <v>788</v>
      </c>
      <c r="F192" s="27" t="s">
        <v>860</v>
      </c>
      <c r="G192" s="27" t="s">
        <v>861</v>
      </c>
      <c r="H192" s="11" t="s">
        <v>761</v>
      </c>
      <c r="I192" s="11" t="s">
        <v>781</v>
      </c>
      <c r="J192" s="30"/>
      <c r="K192" s="30"/>
      <c r="L192" s="26">
        <v>1</v>
      </c>
      <c r="M192" s="26"/>
      <c r="N192" s="26"/>
      <c r="O192" s="31">
        <v>46023</v>
      </c>
      <c r="P192" s="31"/>
      <c r="Q192" s="26">
        <v>100</v>
      </c>
      <c r="R192" s="26" t="s">
        <v>69</v>
      </c>
      <c r="S192" s="11"/>
      <c r="T192" s="11" t="s">
        <v>764</v>
      </c>
      <c r="U192" s="11"/>
      <c r="V192" s="11" t="s">
        <v>824</v>
      </c>
      <c r="W192" s="15">
        <f>IF(AND(ISNUMBER(Übersicht!$B$4),Übersicht!$B$4=INT(Übersicht!$B$4),Übersicht!$B$4&gt;=2026,Übersicht!$B$4&lt;=2028),IF(I192="fixedMonthDay",IF(AND(ISNUMBER(J192),J192=INT(J192),J192&gt;=1,J192&lt;=12,ISNUMBER(K192),K192=INT(K192),K192&gt;=1,K192&lt;=31,MONTH(DATE(Übersicht!$B$4,J192,K192))=J192,DAY(DATE(Übersicht!$B$4,J192,K192))=K192,L192="",M192="",N192=""),DATE(Übersicht!$B$4,J192,K192),NA()),IF(I192="easterOffsetDays",IF(AND(ISNUMBER(L192),L192=INT(L192),L192&gt;=-366,L192&lt;=366,J192="",K192="",M192="",N192=""),$AD$23+L192,NA()),IF(I192="nthWeekdayOfMonth",IF(AND(ISNUMBER(J192),J192=INT(J192),J192&gt;=1,J192&lt;=12,ISNUMBER(M192),M192=INT(M192),M192&gt;=1,M192&lt;=7,ISNUMBER(N192),N192=INT(N192),N192&gt;=1,N192&lt;=5,MONTH(DATE(Übersicht!$B$4,J192,1)+MOD(M192-WEEKDAY(DATE(Übersicht!$B$4,J192,1),2),7)+7*(N192-1))=J192,K192="",L192=""),DATE(Übersicht!$B$4,J192,1)+MOD(M192-WEEKDAY(DATE(Übersicht!$B$4,J192,1),2),7)+7*(N192-1),NA()),IF(I192="nthWeekdayOffsetDays",IF(AND(ISNUMBER(J192),J192=INT(J192),J192&gt;=1,J192&lt;=12,ISNUMBER(M192),M192=INT(M192),M192&gt;=1,M192&lt;=7,ISNUMBER(N192),N192=INT(N192),N192&gt;=1,N192&lt;=5,MONTH(DATE(Übersicht!$B$4,J192,1)+MOD(M192-WEEKDAY(DATE(Übersicht!$B$4,J192,1),2),7)+7*(N192-1))=J192,K192="",ISNUMBER(L192),L192=INT(L192),L192&gt;=-366,L192&lt;=366),DATE(Übersicht!$B$4,J192,1)+MOD(M192-WEEKDAY(DATE(Übersicht!$B$4,J192,1),2),7)+7*(N192-1)+L192,NA()),NA())))),NA())</f>
        <v>46860</v>
      </c>
      <c r="X192" s="15">
        <f t="shared" si="2"/>
        <v>46860</v>
      </c>
      <c r="Y192" s="11" t="s">
        <v>937</v>
      </c>
      <c r="Z192" s="11" t="s">
        <v>940</v>
      </c>
      <c r="AA192" s="26" t="s">
        <v>768</v>
      </c>
    </row>
    <row r="193" spans="1:27" ht="44" customHeight="1">
      <c r="A193" s="10" t="s">
        <v>274</v>
      </c>
      <c r="B193" s="10" t="s">
        <v>269</v>
      </c>
      <c r="C193" s="10" t="s">
        <v>936</v>
      </c>
      <c r="D193" s="24" t="s">
        <v>790</v>
      </c>
      <c r="E193" s="24" t="s">
        <v>791</v>
      </c>
      <c r="F193" s="25" t="s">
        <v>864</v>
      </c>
      <c r="G193" s="25" t="s">
        <v>865</v>
      </c>
      <c r="H193" s="10" t="s">
        <v>761</v>
      </c>
      <c r="I193" s="10" t="s">
        <v>781</v>
      </c>
      <c r="J193" s="28"/>
      <c r="K193" s="28"/>
      <c r="L193" s="24">
        <v>39</v>
      </c>
      <c r="M193" s="24"/>
      <c r="N193" s="24"/>
      <c r="O193" s="29">
        <v>46023</v>
      </c>
      <c r="P193" s="29"/>
      <c r="Q193" s="24">
        <v>100</v>
      </c>
      <c r="R193" s="24" t="s">
        <v>69</v>
      </c>
      <c r="S193" s="10"/>
      <c r="T193" s="10" t="s">
        <v>764</v>
      </c>
      <c r="U193" s="10"/>
      <c r="V193" s="10" t="s">
        <v>824</v>
      </c>
      <c r="W193" s="14">
        <f>IF(AND(ISNUMBER(Übersicht!$B$4),Übersicht!$B$4=INT(Übersicht!$B$4),Übersicht!$B$4&gt;=2026,Übersicht!$B$4&lt;=2028),IF(I193="fixedMonthDay",IF(AND(ISNUMBER(J193),J193=INT(J193),J193&gt;=1,J193&lt;=12,ISNUMBER(K193),K193=INT(K193),K193&gt;=1,K193&lt;=31,MONTH(DATE(Übersicht!$B$4,J193,K193))=J193,DAY(DATE(Übersicht!$B$4,J193,K193))=K193,L193="",M193="",N193=""),DATE(Übersicht!$B$4,J193,K193),NA()),IF(I193="easterOffsetDays",IF(AND(ISNUMBER(L193),L193=INT(L193),L193&gt;=-366,L193&lt;=366,J193="",K193="",M193="",N193=""),$AD$23+L193,NA()),IF(I193="nthWeekdayOfMonth",IF(AND(ISNUMBER(J193),J193=INT(J193),J193&gt;=1,J193&lt;=12,ISNUMBER(M193),M193=INT(M193),M193&gt;=1,M193&lt;=7,ISNUMBER(N193),N193=INT(N193),N193&gt;=1,N193&lt;=5,MONTH(DATE(Übersicht!$B$4,J193,1)+MOD(M193-WEEKDAY(DATE(Übersicht!$B$4,J193,1),2),7)+7*(N193-1))=J193,K193="",L193=""),DATE(Übersicht!$B$4,J193,1)+MOD(M193-WEEKDAY(DATE(Übersicht!$B$4,J193,1),2),7)+7*(N193-1),NA()),IF(I193="nthWeekdayOffsetDays",IF(AND(ISNUMBER(J193),J193=INT(J193),J193&gt;=1,J193&lt;=12,ISNUMBER(M193),M193=INT(M193),M193&gt;=1,M193&lt;=7,ISNUMBER(N193),N193=INT(N193),N193&gt;=1,N193&lt;=5,MONTH(DATE(Übersicht!$B$4,J193,1)+MOD(M193-WEEKDAY(DATE(Übersicht!$B$4,J193,1),2),7)+7*(N193-1))=J193,K193="",ISNUMBER(L193),L193=INT(L193),L193&gt;=-366,L193&lt;=366),DATE(Übersicht!$B$4,J193,1)+MOD(M193-WEEKDAY(DATE(Übersicht!$B$4,J193,1),2),7)+7*(N193-1)+L193,NA()),NA())))),NA())</f>
        <v>46898</v>
      </c>
      <c r="X193" s="14">
        <f t="shared" si="2"/>
        <v>46898</v>
      </c>
      <c r="Y193" s="10" t="s">
        <v>937</v>
      </c>
      <c r="Z193" s="10" t="s">
        <v>941</v>
      </c>
      <c r="AA193" s="24" t="s">
        <v>768</v>
      </c>
    </row>
    <row r="194" spans="1:27" ht="44" customHeight="1">
      <c r="A194" s="11" t="s">
        <v>275</v>
      </c>
      <c r="B194" s="11" t="s">
        <v>269</v>
      </c>
      <c r="C194" s="11" t="s">
        <v>936</v>
      </c>
      <c r="D194" s="26" t="s">
        <v>796</v>
      </c>
      <c r="E194" s="26" t="s">
        <v>797</v>
      </c>
      <c r="F194" s="27" t="s">
        <v>866</v>
      </c>
      <c r="G194" s="27" t="s">
        <v>867</v>
      </c>
      <c r="H194" s="11" t="s">
        <v>761</v>
      </c>
      <c r="I194" s="11" t="s">
        <v>781</v>
      </c>
      <c r="J194" s="30"/>
      <c r="K194" s="30"/>
      <c r="L194" s="26">
        <v>50</v>
      </c>
      <c r="M194" s="26"/>
      <c r="N194" s="26"/>
      <c r="O194" s="31">
        <v>46023</v>
      </c>
      <c r="P194" s="31"/>
      <c r="Q194" s="26">
        <v>100</v>
      </c>
      <c r="R194" s="26" t="s">
        <v>69</v>
      </c>
      <c r="S194" s="11"/>
      <c r="T194" s="11" t="s">
        <v>764</v>
      </c>
      <c r="U194" s="11"/>
      <c r="V194" s="11" t="s">
        <v>824</v>
      </c>
      <c r="W194" s="15">
        <f>IF(AND(ISNUMBER(Übersicht!$B$4),Übersicht!$B$4=INT(Übersicht!$B$4),Übersicht!$B$4&gt;=2026,Übersicht!$B$4&lt;=2028),IF(I194="fixedMonthDay",IF(AND(ISNUMBER(J194),J194=INT(J194),J194&gt;=1,J194&lt;=12,ISNUMBER(K194),K194=INT(K194),K194&gt;=1,K194&lt;=31,MONTH(DATE(Übersicht!$B$4,J194,K194))=J194,DAY(DATE(Übersicht!$B$4,J194,K194))=K194,L194="",M194="",N194=""),DATE(Übersicht!$B$4,J194,K194),NA()),IF(I194="easterOffsetDays",IF(AND(ISNUMBER(L194),L194=INT(L194),L194&gt;=-366,L194&lt;=366,J194="",K194="",M194="",N194=""),$AD$23+L194,NA()),IF(I194="nthWeekdayOfMonth",IF(AND(ISNUMBER(J194),J194=INT(J194),J194&gt;=1,J194&lt;=12,ISNUMBER(M194),M194=INT(M194),M194&gt;=1,M194&lt;=7,ISNUMBER(N194),N194=INT(N194),N194&gt;=1,N194&lt;=5,MONTH(DATE(Übersicht!$B$4,J194,1)+MOD(M194-WEEKDAY(DATE(Übersicht!$B$4,J194,1),2),7)+7*(N194-1))=J194,K194="",L194=""),DATE(Übersicht!$B$4,J194,1)+MOD(M194-WEEKDAY(DATE(Übersicht!$B$4,J194,1),2),7)+7*(N194-1),NA()),IF(I194="nthWeekdayOffsetDays",IF(AND(ISNUMBER(J194),J194=INT(J194),J194&gt;=1,J194&lt;=12,ISNUMBER(M194),M194=INT(M194),M194&gt;=1,M194&lt;=7,ISNUMBER(N194),N194=INT(N194),N194&gt;=1,N194&lt;=5,MONTH(DATE(Übersicht!$B$4,J194,1)+MOD(M194-WEEKDAY(DATE(Übersicht!$B$4,J194,1),2),7)+7*(N194-1))=J194,K194="",ISNUMBER(L194),L194=INT(L194),L194&gt;=-366,L194&lt;=366),DATE(Übersicht!$B$4,J194,1)+MOD(M194-WEEKDAY(DATE(Übersicht!$B$4,J194,1),2),7)+7*(N194-1)+L194,NA()),NA())))),NA())</f>
        <v>46909</v>
      </c>
      <c r="X194" s="15">
        <f t="shared" si="2"/>
        <v>46909</v>
      </c>
      <c r="Y194" s="11" t="s">
        <v>937</v>
      </c>
      <c r="Z194" s="11" t="s">
        <v>942</v>
      </c>
      <c r="AA194" s="26" t="s">
        <v>768</v>
      </c>
    </row>
    <row r="195" spans="1:27" ht="44" customHeight="1">
      <c r="A195" s="10" t="s">
        <v>276</v>
      </c>
      <c r="B195" s="10" t="s">
        <v>269</v>
      </c>
      <c r="C195" s="10" t="s">
        <v>936</v>
      </c>
      <c r="D195" s="24" t="s">
        <v>759</v>
      </c>
      <c r="E195" s="24" t="s">
        <v>760</v>
      </c>
      <c r="F195" s="25" t="s">
        <v>874</v>
      </c>
      <c r="G195" s="25" t="s">
        <v>875</v>
      </c>
      <c r="H195" s="10" t="s">
        <v>761</v>
      </c>
      <c r="I195" s="10" t="s">
        <v>762</v>
      </c>
      <c r="J195" s="28">
        <v>8</v>
      </c>
      <c r="K195" s="28">
        <v>1</v>
      </c>
      <c r="L195" s="24"/>
      <c r="M195" s="24"/>
      <c r="N195" s="24"/>
      <c r="O195" s="29">
        <v>46023</v>
      </c>
      <c r="P195" s="29"/>
      <c r="Q195" s="24">
        <v>100</v>
      </c>
      <c r="R195" s="24" t="s">
        <v>69</v>
      </c>
      <c r="S195" s="10"/>
      <c r="T195" s="10" t="s">
        <v>764</v>
      </c>
      <c r="U195" s="10"/>
      <c r="V195" s="10" t="s">
        <v>824</v>
      </c>
      <c r="W195" s="14">
        <f>IF(AND(ISNUMBER(Übersicht!$B$4),Übersicht!$B$4=INT(Übersicht!$B$4),Übersicht!$B$4&gt;=2026,Übersicht!$B$4&lt;=2028),IF(I195="fixedMonthDay",IF(AND(ISNUMBER(J195),J195=INT(J195),J195&gt;=1,J195&lt;=12,ISNUMBER(K195),K195=INT(K195),K195&gt;=1,K195&lt;=31,MONTH(DATE(Übersicht!$B$4,J195,K195))=J195,DAY(DATE(Übersicht!$B$4,J195,K195))=K195,L195="",M195="",N195=""),DATE(Übersicht!$B$4,J195,K195),NA()),IF(I195="easterOffsetDays",IF(AND(ISNUMBER(L195),L195=INT(L195),L195&gt;=-366,L195&lt;=366,J195="",K195="",M195="",N195=""),$AD$23+L195,NA()),IF(I195="nthWeekdayOfMonth",IF(AND(ISNUMBER(J195),J195=INT(J195),J195&gt;=1,J195&lt;=12,ISNUMBER(M195),M195=INT(M195),M195&gt;=1,M195&lt;=7,ISNUMBER(N195),N195=INT(N195),N195&gt;=1,N195&lt;=5,MONTH(DATE(Übersicht!$B$4,J195,1)+MOD(M195-WEEKDAY(DATE(Übersicht!$B$4,J195,1),2),7)+7*(N195-1))=J195,K195="",L195=""),DATE(Übersicht!$B$4,J195,1)+MOD(M195-WEEKDAY(DATE(Übersicht!$B$4,J195,1),2),7)+7*(N195-1),NA()),IF(I195="nthWeekdayOffsetDays",IF(AND(ISNUMBER(J195),J195=INT(J195),J195&gt;=1,J195&lt;=12,ISNUMBER(M195),M195=INT(M195),M195&gt;=1,M195&lt;=7,ISNUMBER(N195),N195=INT(N195),N195&gt;=1,N195&lt;=5,MONTH(DATE(Übersicht!$B$4,J195,1)+MOD(M195-WEEKDAY(DATE(Übersicht!$B$4,J195,1),2),7)+7*(N195-1))=J195,K195="",ISNUMBER(L195),L195=INT(L195),L195&gt;=-366,L195&lt;=366),DATE(Übersicht!$B$4,J195,1)+MOD(M195-WEEKDAY(DATE(Übersicht!$B$4,J195,1),2),7)+7*(N195-1)+L195,NA()),NA())))),NA())</f>
        <v>46966</v>
      </c>
      <c r="X195" s="14">
        <f t="shared" si="2"/>
        <v>46966</v>
      </c>
      <c r="Y195" s="10" t="s">
        <v>937</v>
      </c>
      <c r="Z195" s="10" t="s">
        <v>943</v>
      </c>
      <c r="AA195" s="24" t="s">
        <v>768</v>
      </c>
    </row>
    <row r="196" spans="1:27" ht="44" customHeight="1">
      <c r="A196" s="11" t="s">
        <v>277</v>
      </c>
      <c r="B196" s="11" t="s">
        <v>269</v>
      </c>
      <c r="C196" s="11" t="s">
        <v>936</v>
      </c>
      <c r="D196" s="26" t="s">
        <v>944</v>
      </c>
      <c r="E196" s="26" t="s">
        <v>945</v>
      </c>
      <c r="F196" s="27"/>
      <c r="G196" s="27"/>
      <c r="H196" s="11" t="s">
        <v>761</v>
      </c>
      <c r="I196" s="11" t="s">
        <v>946</v>
      </c>
      <c r="J196" s="30">
        <v>9</v>
      </c>
      <c r="K196" s="30"/>
      <c r="L196" s="26">
        <v>4</v>
      </c>
      <c r="M196" s="26">
        <v>7</v>
      </c>
      <c r="N196" s="26">
        <v>1</v>
      </c>
      <c r="O196" s="31">
        <v>46023</v>
      </c>
      <c r="P196" s="31"/>
      <c r="Q196" s="26">
        <v>100</v>
      </c>
      <c r="R196" s="26" t="s">
        <v>69</v>
      </c>
      <c r="S196" s="11"/>
      <c r="T196" s="11" t="s">
        <v>764</v>
      </c>
      <c r="U196" s="11"/>
      <c r="V196" s="11" t="s">
        <v>824</v>
      </c>
      <c r="W196" s="15">
        <f>IF(AND(ISNUMBER(Übersicht!$B$4),Übersicht!$B$4=INT(Übersicht!$B$4),Übersicht!$B$4&gt;=2026,Übersicht!$B$4&lt;=2028),IF(I196="fixedMonthDay",IF(AND(ISNUMBER(J196),J196=INT(J196),J196&gt;=1,J196&lt;=12,ISNUMBER(K196),K196=INT(K196),K196&gt;=1,K196&lt;=31,MONTH(DATE(Übersicht!$B$4,J196,K196))=J196,DAY(DATE(Übersicht!$B$4,J196,K196))=K196,L196="",M196="",N196=""),DATE(Übersicht!$B$4,J196,K196),NA()),IF(I196="easterOffsetDays",IF(AND(ISNUMBER(L196),L196=INT(L196),L196&gt;=-366,L196&lt;=366,J196="",K196="",M196="",N196=""),$AD$23+L196,NA()),IF(I196="nthWeekdayOfMonth",IF(AND(ISNUMBER(J196),J196=INT(J196),J196&gt;=1,J196&lt;=12,ISNUMBER(M196),M196=INT(M196),M196&gt;=1,M196&lt;=7,ISNUMBER(N196),N196=INT(N196),N196&gt;=1,N196&lt;=5,MONTH(DATE(Übersicht!$B$4,J196,1)+MOD(M196-WEEKDAY(DATE(Übersicht!$B$4,J196,1),2),7)+7*(N196-1))=J196,K196="",L196=""),DATE(Übersicht!$B$4,J196,1)+MOD(M196-WEEKDAY(DATE(Übersicht!$B$4,J196,1),2),7)+7*(N196-1),NA()),IF(I196="nthWeekdayOffsetDays",IF(AND(ISNUMBER(J196),J196=INT(J196),J196&gt;=1,J196&lt;=12,ISNUMBER(M196),M196=INT(M196),M196&gt;=1,M196&lt;=7,ISNUMBER(N196),N196=INT(N196),N196&gt;=1,N196&lt;=5,MONTH(DATE(Übersicht!$B$4,J196,1)+MOD(M196-WEEKDAY(DATE(Übersicht!$B$4,J196,1),2),7)+7*(N196-1))=J196,K196="",ISNUMBER(L196),L196=INT(L196),L196&gt;=-366,L196&lt;=366),DATE(Übersicht!$B$4,J196,1)+MOD(M196-WEEKDAY(DATE(Übersicht!$B$4,J196,1),2),7)+7*(N196-1)+L196,NA()),NA())))),NA())</f>
        <v>47003</v>
      </c>
      <c r="X196" s="15">
        <f t="shared" si="2"/>
        <v>47003</v>
      </c>
      <c r="Y196" s="11" t="s">
        <v>937</v>
      </c>
      <c r="Z196" s="11" t="s">
        <v>947</v>
      </c>
      <c r="AA196" s="26" t="s">
        <v>768</v>
      </c>
    </row>
    <row r="197" spans="1:27" ht="44" customHeight="1">
      <c r="A197" s="10" t="s">
        <v>278</v>
      </c>
      <c r="B197" s="10" t="s">
        <v>269</v>
      </c>
      <c r="C197" s="10" t="s">
        <v>936</v>
      </c>
      <c r="D197" s="24" t="s">
        <v>803</v>
      </c>
      <c r="E197" s="24" t="s">
        <v>804</v>
      </c>
      <c r="F197" s="25" t="s">
        <v>882</v>
      </c>
      <c r="G197" s="25" t="s">
        <v>883</v>
      </c>
      <c r="H197" s="10" t="s">
        <v>761</v>
      </c>
      <c r="I197" s="10" t="s">
        <v>762</v>
      </c>
      <c r="J197" s="28">
        <v>12</v>
      </c>
      <c r="K197" s="28">
        <v>25</v>
      </c>
      <c r="L197" s="24"/>
      <c r="M197" s="24"/>
      <c r="N197" s="24"/>
      <c r="O197" s="29">
        <v>46023</v>
      </c>
      <c r="P197" s="29"/>
      <c r="Q197" s="24">
        <v>100</v>
      </c>
      <c r="R197" s="24" t="s">
        <v>69</v>
      </c>
      <c r="S197" s="10"/>
      <c r="T197" s="10" t="s">
        <v>764</v>
      </c>
      <c r="U197" s="10"/>
      <c r="V197" s="10" t="s">
        <v>824</v>
      </c>
      <c r="W197" s="14">
        <f>IF(AND(ISNUMBER(Übersicht!$B$4),Übersicht!$B$4=INT(Übersicht!$B$4),Übersicht!$B$4&gt;=2026,Übersicht!$B$4&lt;=2028),IF(I197="fixedMonthDay",IF(AND(ISNUMBER(J197),J197=INT(J197),J197&gt;=1,J197&lt;=12,ISNUMBER(K197),K197=INT(K197),K197&gt;=1,K197&lt;=31,MONTH(DATE(Übersicht!$B$4,J197,K197))=J197,DAY(DATE(Übersicht!$B$4,J197,K197))=K197,L197="",M197="",N197=""),DATE(Übersicht!$B$4,J197,K197),NA()),IF(I197="easterOffsetDays",IF(AND(ISNUMBER(L197),L197=INT(L197),L197&gt;=-366,L197&lt;=366,J197="",K197="",M197="",N197=""),$AD$23+L197,NA()),IF(I197="nthWeekdayOfMonth",IF(AND(ISNUMBER(J197),J197=INT(J197),J197&gt;=1,J197&lt;=12,ISNUMBER(M197),M197=INT(M197),M197&gt;=1,M197&lt;=7,ISNUMBER(N197),N197=INT(N197),N197&gt;=1,N197&lt;=5,MONTH(DATE(Übersicht!$B$4,J197,1)+MOD(M197-WEEKDAY(DATE(Übersicht!$B$4,J197,1),2),7)+7*(N197-1))=J197,K197="",L197=""),DATE(Übersicht!$B$4,J197,1)+MOD(M197-WEEKDAY(DATE(Übersicht!$B$4,J197,1),2),7)+7*(N197-1),NA()),IF(I197="nthWeekdayOffsetDays",IF(AND(ISNUMBER(J197),J197=INT(J197),J197&gt;=1,J197&lt;=12,ISNUMBER(M197),M197=INT(M197),M197&gt;=1,M197&lt;=7,ISNUMBER(N197),N197=INT(N197),N197&gt;=1,N197&lt;=5,MONTH(DATE(Übersicht!$B$4,J197,1)+MOD(M197-WEEKDAY(DATE(Übersicht!$B$4,J197,1),2),7)+7*(N197-1))=J197,K197="",ISNUMBER(L197),L197=INT(L197),L197&gt;=-366,L197&lt;=366),DATE(Übersicht!$B$4,J197,1)+MOD(M197-WEEKDAY(DATE(Übersicht!$B$4,J197,1),2),7)+7*(N197-1)+L197,NA()),NA())))),NA())</f>
        <v>47112</v>
      </c>
      <c r="X197" s="14">
        <f t="shared" si="2"/>
        <v>47112</v>
      </c>
      <c r="Y197" s="10" t="s">
        <v>937</v>
      </c>
      <c r="Z197" s="10" t="s">
        <v>948</v>
      </c>
      <c r="AA197" s="24" t="s">
        <v>768</v>
      </c>
    </row>
    <row r="198" spans="1:27" ht="44" customHeight="1">
      <c r="A198" s="11" t="s">
        <v>279</v>
      </c>
      <c r="B198" s="11" t="s">
        <v>269</v>
      </c>
      <c r="C198" s="11" t="s">
        <v>936</v>
      </c>
      <c r="D198" s="26" t="s">
        <v>949</v>
      </c>
      <c r="E198" s="26" t="s">
        <v>950</v>
      </c>
      <c r="F198" s="27"/>
      <c r="G198" s="27"/>
      <c r="H198" s="11" t="s">
        <v>761</v>
      </c>
      <c r="I198" s="11" t="s">
        <v>762</v>
      </c>
      <c r="J198" s="30">
        <v>12</v>
      </c>
      <c r="K198" s="30">
        <v>31</v>
      </c>
      <c r="L198" s="26"/>
      <c r="M198" s="26"/>
      <c r="N198" s="26"/>
      <c r="O198" s="31">
        <v>46023</v>
      </c>
      <c r="P198" s="31"/>
      <c r="Q198" s="26">
        <v>100</v>
      </c>
      <c r="R198" s="26" t="s">
        <v>69</v>
      </c>
      <c r="S198" s="11"/>
      <c r="T198" s="11" t="s">
        <v>764</v>
      </c>
      <c r="U198" s="11"/>
      <c r="V198" s="11" t="s">
        <v>824</v>
      </c>
      <c r="W198" s="15">
        <f>IF(AND(ISNUMBER(Übersicht!$B$4),Übersicht!$B$4=INT(Übersicht!$B$4),Übersicht!$B$4&gt;=2026,Übersicht!$B$4&lt;=2028),IF(I198="fixedMonthDay",IF(AND(ISNUMBER(J198),J198=INT(J198),J198&gt;=1,J198&lt;=12,ISNUMBER(K198),K198=INT(K198),K198&gt;=1,K198&lt;=31,MONTH(DATE(Übersicht!$B$4,J198,K198))=J198,DAY(DATE(Übersicht!$B$4,J198,K198))=K198,L198="",M198="",N198=""),DATE(Übersicht!$B$4,J198,K198),NA()),IF(I198="easterOffsetDays",IF(AND(ISNUMBER(L198),L198=INT(L198),L198&gt;=-366,L198&lt;=366,J198="",K198="",M198="",N198=""),$AD$23+L198,NA()),IF(I198="nthWeekdayOfMonth",IF(AND(ISNUMBER(J198),J198=INT(J198),J198&gt;=1,J198&lt;=12,ISNUMBER(M198),M198=INT(M198),M198&gt;=1,M198&lt;=7,ISNUMBER(N198),N198=INT(N198),N198&gt;=1,N198&lt;=5,MONTH(DATE(Übersicht!$B$4,J198,1)+MOD(M198-WEEKDAY(DATE(Übersicht!$B$4,J198,1),2),7)+7*(N198-1))=J198,K198="",L198=""),DATE(Übersicht!$B$4,J198,1)+MOD(M198-WEEKDAY(DATE(Übersicht!$B$4,J198,1),2),7)+7*(N198-1),NA()),IF(I198="nthWeekdayOffsetDays",IF(AND(ISNUMBER(J198),J198=INT(J198),J198&gt;=1,J198&lt;=12,ISNUMBER(M198),M198=INT(M198),M198&gt;=1,M198&lt;=7,ISNUMBER(N198),N198=INT(N198),N198&gt;=1,N198&lt;=5,MONTH(DATE(Übersicht!$B$4,J198,1)+MOD(M198-WEEKDAY(DATE(Übersicht!$B$4,J198,1),2),7)+7*(N198-1))=J198,K198="",ISNUMBER(L198),L198=INT(L198),L198&gt;=-366,L198&lt;=366),DATE(Übersicht!$B$4,J198,1)+MOD(M198-WEEKDAY(DATE(Übersicht!$B$4,J198,1),2),7)+7*(N198-1)+L198,NA()),NA())))),NA())</f>
        <v>47118</v>
      </c>
      <c r="X198" s="15">
        <f t="shared" si="2"/>
        <v>47118</v>
      </c>
      <c r="Y198" s="11" t="s">
        <v>937</v>
      </c>
      <c r="Z198" s="11" t="s">
        <v>951</v>
      </c>
      <c r="AA198" s="26" t="s">
        <v>768</v>
      </c>
    </row>
    <row r="199" spans="1:27" ht="44" customHeight="1">
      <c r="A199" s="10" t="s">
        <v>282</v>
      </c>
      <c r="B199" s="10" t="s">
        <v>280</v>
      </c>
      <c r="C199" s="10" t="s">
        <v>952</v>
      </c>
      <c r="D199" s="24" t="s">
        <v>771</v>
      </c>
      <c r="E199" s="24" t="s">
        <v>772</v>
      </c>
      <c r="F199" s="25" t="s">
        <v>849</v>
      </c>
      <c r="G199" s="25" t="s">
        <v>850</v>
      </c>
      <c r="H199" s="10" t="s">
        <v>761</v>
      </c>
      <c r="I199" s="10" t="s">
        <v>762</v>
      </c>
      <c r="J199" s="28">
        <v>1</v>
      </c>
      <c r="K199" s="28">
        <v>1</v>
      </c>
      <c r="L199" s="24"/>
      <c r="M199" s="24"/>
      <c r="N199" s="24"/>
      <c r="O199" s="29">
        <v>46023</v>
      </c>
      <c r="P199" s="29"/>
      <c r="Q199" s="24">
        <v>100</v>
      </c>
      <c r="R199" s="24" t="s">
        <v>69</v>
      </c>
      <c r="S199" s="10"/>
      <c r="T199" s="10" t="s">
        <v>764</v>
      </c>
      <c r="U199" s="10"/>
      <c r="V199" s="10" t="s">
        <v>824</v>
      </c>
      <c r="W199" s="14">
        <f>IF(AND(ISNUMBER(Übersicht!$B$4),Übersicht!$B$4=INT(Übersicht!$B$4),Übersicht!$B$4&gt;=2026,Übersicht!$B$4&lt;=2028),IF(I199="fixedMonthDay",IF(AND(ISNUMBER(J199),J199=INT(J199),J199&gt;=1,J199&lt;=12,ISNUMBER(K199),K199=INT(K199),K199&gt;=1,K199&lt;=31,MONTH(DATE(Übersicht!$B$4,J199,K199))=J199,DAY(DATE(Übersicht!$B$4,J199,K199))=K199,L199="",M199="",N199=""),DATE(Übersicht!$B$4,J199,K199),NA()),IF(I199="easterOffsetDays",IF(AND(ISNUMBER(L199),L199=INT(L199),L199&gt;=-366,L199&lt;=366,J199="",K199="",M199="",N199=""),$AD$23+L199,NA()),IF(I199="nthWeekdayOfMonth",IF(AND(ISNUMBER(J199),J199=INT(J199),J199&gt;=1,J199&lt;=12,ISNUMBER(M199),M199=INT(M199),M199&gt;=1,M199&lt;=7,ISNUMBER(N199),N199=INT(N199),N199&gt;=1,N199&lt;=5,MONTH(DATE(Übersicht!$B$4,J199,1)+MOD(M199-WEEKDAY(DATE(Übersicht!$B$4,J199,1),2),7)+7*(N199-1))=J199,K199="",L199=""),DATE(Übersicht!$B$4,J199,1)+MOD(M199-WEEKDAY(DATE(Übersicht!$B$4,J199,1),2),7)+7*(N199-1),NA()),IF(I199="nthWeekdayOffsetDays",IF(AND(ISNUMBER(J199),J199=INT(J199),J199&gt;=1,J199&lt;=12,ISNUMBER(M199),M199=INT(M199),M199&gt;=1,M199&lt;=7,ISNUMBER(N199),N199=INT(N199),N199&gt;=1,N199&lt;=5,MONTH(DATE(Übersicht!$B$4,J199,1)+MOD(M199-WEEKDAY(DATE(Übersicht!$B$4,J199,1),2),7)+7*(N199-1))=J199,K199="",ISNUMBER(L199),L199=INT(L199),L199&gt;=-366,L199&lt;=366),DATE(Übersicht!$B$4,J199,1)+MOD(M199-WEEKDAY(DATE(Übersicht!$B$4,J199,1),2),7)+7*(N199-1)+L199,NA()),NA())))),NA())</f>
        <v>46753</v>
      </c>
      <c r="X199" s="14">
        <f t="shared" ref="X199:X262" si="3">IF(AND(ISNUMBER(O199),O199=INT(O199),O199&gt;=-115780,O199&lt;=2958465,OR(P199="",AND(ISNUMBER(P199),P199=INT(P199),P199&gt;=-115780,P199&lt;=2958465,P199&gt;=O199)),OR(AA199="Ganztägig",AA199="Ab 12.00 Uhr")),IF(AND(W199&gt;=O199,OR(P199="",W199&lt;=P199)),W199,"Ausserhalb Geltung"),NA())</f>
        <v>46753</v>
      </c>
      <c r="Y199" s="10" t="s">
        <v>953</v>
      </c>
      <c r="Z199" s="10" t="s">
        <v>954</v>
      </c>
      <c r="AA199" s="24" t="s">
        <v>768</v>
      </c>
    </row>
    <row r="200" spans="1:27" ht="44" customHeight="1">
      <c r="A200" s="11" t="s">
        <v>283</v>
      </c>
      <c r="B200" s="11" t="s">
        <v>280</v>
      </c>
      <c r="C200" s="11" t="s">
        <v>952</v>
      </c>
      <c r="D200" s="26" t="s">
        <v>779</v>
      </c>
      <c r="E200" s="26" t="s">
        <v>780</v>
      </c>
      <c r="F200" s="27" t="s">
        <v>889</v>
      </c>
      <c r="G200" s="27" t="s">
        <v>890</v>
      </c>
      <c r="H200" s="11" t="s">
        <v>761</v>
      </c>
      <c r="I200" s="11" t="s">
        <v>781</v>
      </c>
      <c r="J200" s="30"/>
      <c r="K200" s="30"/>
      <c r="L200" s="26">
        <v>-2</v>
      </c>
      <c r="M200" s="26"/>
      <c r="N200" s="26"/>
      <c r="O200" s="31">
        <v>46023</v>
      </c>
      <c r="P200" s="31"/>
      <c r="Q200" s="26">
        <v>100</v>
      </c>
      <c r="R200" s="26" t="s">
        <v>69</v>
      </c>
      <c r="S200" s="11"/>
      <c r="T200" s="11" t="s">
        <v>764</v>
      </c>
      <c r="U200" s="11"/>
      <c r="V200" s="11" t="s">
        <v>824</v>
      </c>
      <c r="W200" s="15">
        <f>IF(AND(ISNUMBER(Übersicht!$B$4),Übersicht!$B$4=INT(Übersicht!$B$4),Übersicht!$B$4&gt;=2026,Übersicht!$B$4&lt;=2028),IF(I200="fixedMonthDay",IF(AND(ISNUMBER(J200),J200=INT(J200),J200&gt;=1,J200&lt;=12,ISNUMBER(K200),K200=INT(K200),K200&gt;=1,K200&lt;=31,MONTH(DATE(Übersicht!$B$4,J200,K200))=J200,DAY(DATE(Übersicht!$B$4,J200,K200))=K200,L200="",M200="",N200=""),DATE(Übersicht!$B$4,J200,K200),NA()),IF(I200="easterOffsetDays",IF(AND(ISNUMBER(L200),L200=INT(L200),L200&gt;=-366,L200&lt;=366,J200="",K200="",M200="",N200=""),$AD$23+L200,NA()),IF(I200="nthWeekdayOfMonth",IF(AND(ISNUMBER(J200),J200=INT(J200),J200&gt;=1,J200&lt;=12,ISNUMBER(M200),M200=INT(M200),M200&gt;=1,M200&lt;=7,ISNUMBER(N200),N200=INT(N200),N200&gt;=1,N200&lt;=5,MONTH(DATE(Übersicht!$B$4,J200,1)+MOD(M200-WEEKDAY(DATE(Übersicht!$B$4,J200,1),2),7)+7*(N200-1))=J200,K200="",L200=""),DATE(Übersicht!$B$4,J200,1)+MOD(M200-WEEKDAY(DATE(Übersicht!$B$4,J200,1),2),7)+7*(N200-1),NA()),IF(I200="nthWeekdayOffsetDays",IF(AND(ISNUMBER(J200),J200=INT(J200),J200&gt;=1,J200&lt;=12,ISNUMBER(M200),M200=INT(M200),M200&gt;=1,M200&lt;=7,ISNUMBER(N200),N200=INT(N200),N200&gt;=1,N200&lt;=5,MONTH(DATE(Übersicht!$B$4,J200,1)+MOD(M200-WEEKDAY(DATE(Übersicht!$B$4,J200,1),2),7)+7*(N200-1))=J200,K200="",ISNUMBER(L200),L200=INT(L200),L200&gt;=-366,L200&lt;=366),DATE(Übersicht!$B$4,J200,1)+MOD(M200-WEEKDAY(DATE(Übersicht!$B$4,J200,1),2),7)+7*(N200-1)+L200,NA()),NA())))),NA())</f>
        <v>46857</v>
      </c>
      <c r="X200" s="15">
        <f t="shared" si="3"/>
        <v>46857</v>
      </c>
      <c r="Y200" s="11" t="s">
        <v>953</v>
      </c>
      <c r="Z200" s="11" t="s">
        <v>954</v>
      </c>
      <c r="AA200" s="26" t="s">
        <v>768</v>
      </c>
    </row>
    <row r="201" spans="1:27" ht="44" customHeight="1">
      <c r="A201" s="10" t="s">
        <v>284</v>
      </c>
      <c r="B201" s="10" t="s">
        <v>280</v>
      </c>
      <c r="C201" s="10" t="s">
        <v>952</v>
      </c>
      <c r="D201" s="24" t="s">
        <v>787</v>
      </c>
      <c r="E201" s="24" t="s">
        <v>788</v>
      </c>
      <c r="F201" s="25" t="s">
        <v>860</v>
      </c>
      <c r="G201" s="25" t="s">
        <v>861</v>
      </c>
      <c r="H201" s="10" t="s">
        <v>761</v>
      </c>
      <c r="I201" s="10" t="s">
        <v>781</v>
      </c>
      <c r="J201" s="28"/>
      <c r="K201" s="28"/>
      <c r="L201" s="24">
        <v>1</v>
      </c>
      <c r="M201" s="24"/>
      <c r="N201" s="24"/>
      <c r="O201" s="29">
        <v>46023</v>
      </c>
      <c r="P201" s="29"/>
      <c r="Q201" s="24">
        <v>100</v>
      </c>
      <c r="R201" s="24" t="s">
        <v>69</v>
      </c>
      <c r="S201" s="10"/>
      <c r="T201" s="10" t="s">
        <v>764</v>
      </c>
      <c r="U201" s="10"/>
      <c r="V201" s="10" t="s">
        <v>824</v>
      </c>
      <c r="W201" s="14">
        <f>IF(AND(ISNUMBER(Übersicht!$B$4),Übersicht!$B$4=INT(Übersicht!$B$4),Übersicht!$B$4&gt;=2026,Übersicht!$B$4&lt;=2028),IF(I201="fixedMonthDay",IF(AND(ISNUMBER(J201),J201=INT(J201),J201&gt;=1,J201&lt;=12,ISNUMBER(K201),K201=INT(K201),K201&gt;=1,K201&lt;=31,MONTH(DATE(Übersicht!$B$4,J201,K201))=J201,DAY(DATE(Übersicht!$B$4,J201,K201))=K201,L201="",M201="",N201=""),DATE(Übersicht!$B$4,J201,K201),NA()),IF(I201="easterOffsetDays",IF(AND(ISNUMBER(L201),L201=INT(L201),L201&gt;=-366,L201&lt;=366,J201="",K201="",M201="",N201=""),$AD$23+L201,NA()),IF(I201="nthWeekdayOfMonth",IF(AND(ISNUMBER(J201),J201=INT(J201),J201&gt;=1,J201&lt;=12,ISNUMBER(M201),M201=INT(M201),M201&gt;=1,M201&lt;=7,ISNUMBER(N201),N201=INT(N201),N201&gt;=1,N201&lt;=5,MONTH(DATE(Übersicht!$B$4,J201,1)+MOD(M201-WEEKDAY(DATE(Übersicht!$B$4,J201,1),2),7)+7*(N201-1))=J201,K201="",L201=""),DATE(Übersicht!$B$4,J201,1)+MOD(M201-WEEKDAY(DATE(Übersicht!$B$4,J201,1),2),7)+7*(N201-1),NA()),IF(I201="nthWeekdayOffsetDays",IF(AND(ISNUMBER(J201),J201=INT(J201),J201&gt;=1,J201&lt;=12,ISNUMBER(M201),M201=INT(M201),M201&gt;=1,M201&lt;=7,ISNUMBER(N201),N201=INT(N201),N201&gt;=1,N201&lt;=5,MONTH(DATE(Übersicht!$B$4,J201,1)+MOD(M201-WEEKDAY(DATE(Übersicht!$B$4,J201,1),2),7)+7*(N201-1))=J201,K201="",ISNUMBER(L201),L201=INT(L201),L201&gt;=-366,L201&lt;=366),DATE(Übersicht!$B$4,J201,1)+MOD(M201-WEEKDAY(DATE(Übersicht!$B$4,J201,1),2),7)+7*(N201-1)+L201,NA()),NA())))),NA())</f>
        <v>46860</v>
      </c>
      <c r="X201" s="14">
        <f t="shared" si="3"/>
        <v>46860</v>
      </c>
      <c r="Y201" s="10" t="s">
        <v>953</v>
      </c>
      <c r="Z201" s="10" t="s">
        <v>954</v>
      </c>
      <c r="AA201" s="24" t="s">
        <v>768</v>
      </c>
    </row>
    <row r="202" spans="1:27" ht="44" customHeight="1">
      <c r="A202" s="11" t="s">
        <v>285</v>
      </c>
      <c r="B202" s="11" t="s">
        <v>280</v>
      </c>
      <c r="C202" s="11" t="s">
        <v>952</v>
      </c>
      <c r="D202" s="26" t="s">
        <v>790</v>
      </c>
      <c r="E202" s="26" t="s">
        <v>791</v>
      </c>
      <c r="F202" s="27" t="s">
        <v>864</v>
      </c>
      <c r="G202" s="27" t="s">
        <v>865</v>
      </c>
      <c r="H202" s="11" t="s">
        <v>761</v>
      </c>
      <c r="I202" s="11" t="s">
        <v>781</v>
      </c>
      <c r="J202" s="30"/>
      <c r="K202" s="30"/>
      <c r="L202" s="26">
        <v>39</v>
      </c>
      <c r="M202" s="26"/>
      <c r="N202" s="26"/>
      <c r="O202" s="31">
        <v>46023</v>
      </c>
      <c r="P202" s="31"/>
      <c r="Q202" s="26">
        <v>100</v>
      </c>
      <c r="R202" s="26" t="s">
        <v>69</v>
      </c>
      <c r="S202" s="11"/>
      <c r="T202" s="11" t="s">
        <v>764</v>
      </c>
      <c r="U202" s="11"/>
      <c r="V202" s="11" t="s">
        <v>824</v>
      </c>
      <c r="W202" s="15">
        <f>IF(AND(ISNUMBER(Übersicht!$B$4),Übersicht!$B$4=INT(Übersicht!$B$4),Übersicht!$B$4&gt;=2026,Übersicht!$B$4&lt;=2028),IF(I202="fixedMonthDay",IF(AND(ISNUMBER(J202),J202=INT(J202),J202&gt;=1,J202&lt;=12,ISNUMBER(K202),K202=INT(K202),K202&gt;=1,K202&lt;=31,MONTH(DATE(Übersicht!$B$4,J202,K202))=J202,DAY(DATE(Übersicht!$B$4,J202,K202))=K202,L202="",M202="",N202=""),DATE(Übersicht!$B$4,J202,K202),NA()),IF(I202="easterOffsetDays",IF(AND(ISNUMBER(L202),L202=INT(L202),L202&gt;=-366,L202&lt;=366,J202="",K202="",M202="",N202=""),$AD$23+L202,NA()),IF(I202="nthWeekdayOfMonth",IF(AND(ISNUMBER(J202),J202=INT(J202),J202&gt;=1,J202&lt;=12,ISNUMBER(M202),M202=INT(M202),M202&gt;=1,M202&lt;=7,ISNUMBER(N202),N202=INT(N202),N202&gt;=1,N202&lt;=5,MONTH(DATE(Übersicht!$B$4,J202,1)+MOD(M202-WEEKDAY(DATE(Übersicht!$B$4,J202,1),2),7)+7*(N202-1))=J202,K202="",L202=""),DATE(Übersicht!$B$4,J202,1)+MOD(M202-WEEKDAY(DATE(Übersicht!$B$4,J202,1),2),7)+7*(N202-1),NA()),IF(I202="nthWeekdayOffsetDays",IF(AND(ISNUMBER(J202),J202=INT(J202),J202&gt;=1,J202&lt;=12,ISNUMBER(M202),M202=INT(M202),M202&gt;=1,M202&lt;=7,ISNUMBER(N202),N202=INT(N202),N202&gt;=1,N202&lt;=5,MONTH(DATE(Übersicht!$B$4,J202,1)+MOD(M202-WEEKDAY(DATE(Übersicht!$B$4,J202,1),2),7)+7*(N202-1))=J202,K202="",ISNUMBER(L202),L202=INT(L202),L202&gt;=-366,L202&lt;=366),DATE(Übersicht!$B$4,J202,1)+MOD(M202-WEEKDAY(DATE(Übersicht!$B$4,J202,1),2),7)+7*(N202-1)+L202,NA()),NA())))),NA())</f>
        <v>46898</v>
      </c>
      <c r="X202" s="15">
        <f t="shared" si="3"/>
        <v>46898</v>
      </c>
      <c r="Y202" s="11" t="s">
        <v>953</v>
      </c>
      <c r="Z202" s="11" t="s">
        <v>954</v>
      </c>
      <c r="AA202" s="26" t="s">
        <v>768</v>
      </c>
    </row>
    <row r="203" spans="1:27" ht="44" customHeight="1">
      <c r="A203" s="10" t="s">
        <v>286</v>
      </c>
      <c r="B203" s="10" t="s">
        <v>280</v>
      </c>
      <c r="C203" s="10" t="s">
        <v>952</v>
      </c>
      <c r="D203" s="24" t="s">
        <v>796</v>
      </c>
      <c r="E203" s="24" t="s">
        <v>797</v>
      </c>
      <c r="F203" s="25" t="s">
        <v>866</v>
      </c>
      <c r="G203" s="25" t="s">
        <v>867</v>
      </c>
      <c r="H203" s="10" t="s">
        <v>761</v>
      </c>
      <c r="I203" s="10" t="s">
        <v>781</v>
      </c>
      <c r="J203" s="28"/>
      <c r="K203" s="28"/>
      <c r="L203" s="24">
        <v>50</v>
      </c>
      <c r="M203" s="24"/>
      <c r="N203" s="24"/>
      <c r="O203" s="29">
        <v>46023</v>
      </c>
      <c r="P203" s="29"/>
      <c r="Q203" s="24">
        <v>100</v>
      </c>
      <c r="R203" s="24" t="s">
        <v>69</v>
      </c>
      <c r="S203" s="10"/>
      <c r="T203" s="10" t="s">
        <v>764</v>
      </c>
      <c r="U203" s="10"/>
      <c r="V203" s="10" t="s">
        <v>824</v>
      </c>
      <c r="W203" s="14">
        <f>IF(AND(ISNUMBER(Übersicht!$B$4),Übersicht!$B$4=INT(Übersicht!$B$4),Übersicht!$B$4&gt;=2026,Übersicht!$B$4&lt;=2028),IF(I203="fixedMonthDay",IF(AND(ISNUMBER(J203),J203=INT(J203),J203&gt;=1,J203&lt;=12,ISNUMBER(K203),K203=INT(K203),K203&gt;=1,K203&lt;=31,MONTH(DATE(Übersicht!$B$4,J203,K203))=J203,DAY(DATE(Übersicht!$B$4,J203,K203))=K203,L203="",M203="",N203=""),DATE(Übersicht!$B$4,J203,K203),NA()),IF(I203="easterOffsetDays",IF(AND(ISNUMBER(L203),L203=INT(L203),L203&gt;=-366,L203&lt;=366,J203="",K203="",M203="",N203=""),$AD$23+L203,NA()),IF(I203="nthWeekdayOfMonth",IF(AND(ISNUMBER(J203),J203=INT(J203),J203&gt;=1,J203&lt;=12,ISNUMBER(M203),M203=INT(M203),M203&gt;=1,M203&lt;=7,ISNUMBER(N203),N203=INT(N203),N203&gt;=1,N203&lt;=5,MONTH(DATE(Übersicht!$B$4,J203,1)+MOD(M203-WEEKDAY(DATE(Übersicht!$B$4,J203,1),2),7)+7*(N203-1))=J203,K203="",L203=""),DATE(Übersicht!$B$4,J203,1)+MOD(M203-WEEKDAY(DATE(Übersicht!$B$4,J203,1),2),7)+7*(N203-1),NA()),IF(I203="nthWeekdayOffsetDays",IF(AND(ISNUMBER(J203),J203=INT(J203),J203&gt;=1,J203&lt;=12,ISNUMBER(M203),M203=INT(M203),M203&gt;=1,M203&lt;=7,ISNUMBER(N203),N203=INT(N203),N203&gt;=1,N203&lt;=5,MONTH(DATE(Übersicht!$B$4,J203,1)+MOD(M203-WEEKDAY(DATE(Übersicht!$B$4,J203,1),2),7)+7*(N203-1))=J203,K203="",ISNUMBER(L203),L203=INT(L203),L203&gt;=-366,L203&lt;=366),DATE(Übersicht!$B$4,J203,1)+MOD(M203-WEEKDAY(DATE(Übersicht!$B$4,J203,1),2),7)+7*(N203-1)+L203,NA()),NA())))),NA())</f>
        <v>46909</v>
      </c>
      <c r="X203" s="14">
        <f t="shared" si="3"/>
        <v>46909</v>
      </c>
      <c r="Y203" s="10" t="s">
        <v>953</v>
      </c>
      <c r="Z203" s="10" t="s">
        <v>954</v>
      </c>
      <c r="AA203" s="24" t="s">
        <v>768</v>
      </c>
    </row>
    <row r="204" spans="1:27" ht="44" customHeight="1">
      <c r="A204" s="11" t="s">
        <v>287</v>
      </c>
      <c r="B204" s="11" t="s">
        <v>280</v>
      </c>
      <c r="C204" s="11" t="s">
        <v>952</v>
      </c>
      <c r="D204" s="26" t="s">
        <v>759</v>
      </c>
      <c r="E204" s="26" t="s">
        <v>760</v>
      </c>
      <c r="F204" s="27" t="s">
        <v>874</v>
      </c>
      <c r="G204" s="27" t="s">
        <v>875</v>
      </c>
      <c r="H204" s="11" t="s">
        <v>761</v>
      </c>
      <c r="I204" s="11" t="s">
        <v>762</v>
      </c>
      <c r="J204" s="30">
        <v>8</v>
      </c>
      <c r="K204" s="30">
        <v>1</v>
      </c>
      <c r="L204" s="26"/>
      <c r="M204" s="26"/>
      <c r="N204" s="26"/>
      <c r="O204" s="31">
        <v>46023</v>
      </c>
      <c r="P204" s="31"/>
      <c r="Q204" s="26">
        <v>100</v>
      </c>
      <c r="R204" s="26" t="s">
        <v>69</v>
      </c>
      <c r="S204" s="11"/>
      <c r="T204" s="11" t="s">
        <v>764</v>
      </c>
      <c r="U204" s="11"/>
      <c r="V204" s="11" t="s">
        <v>824</v>
      </c>
      <c r="W204" s="15">
        <f>IF(AND(ISNUMBER(Übersicht!$B$4),Übersicht!$B$4=INT(Übersicht!$B$4),Übersicht!$B$4&gt;=2026,Übersicht!$B$4&lt;=2028),IF(I204="fixedMonthDay",IF(AND(ISNUMBER(J204),J204=INT(J204),J204&gt;=1,J204&lt;=12,ISNUMBER(K204),K204=INT(K204),K204&gt;=1,K204&lt;=31,MONTH(DATE(Übersicht!$B$4,J204,K204))=J204,DAY(DATE(Übersicht!$B$4,J204,K204))=K204,L204="",M204="",N204=""),DATE(Übersicht!$B$4,J204,K204),NA()),IF(I204="easterOffsetDays",IF(AND(ISNUMBER(L204),L204=INT(L204),L204&gt;=-366,L204&lt;=366,J204="",K204="",M204="",N204=""),$AD$23+L204,NA()),IF(I204="nthWeekdayOfMonth",IF(AND(ISNUMBER(J204),J204=INT(J204),J204&gt;=1,J204&lt;=12,ISNUMBER(M204),M204=INT(M204),M204&gt;=1,M204&lt;=7,ISNUMBER(N204),N204=INT(N204),N204&gt;=1,N204&lt;=5,MONTH(DATE(Übersicht!$B$4,J204,1)+MOD(M204-WEEKDAY(DATE(Übersicht!$B$4,J204,1),2),7)+7*(N204-1))=J204,K204="",L204=""),DATE(Übersicht!$B$4,J204,1)+MOD(M204-WEEKDAY(DATE(Übersicht!$B$4,J204,1),2),7)+7*(N204-1),NA()),IF(I204="nthWeekdayOffsetDays",IF(AND(ISNUMBER(J204),J204=INT(J204),J204&gt;=1,J204&lt;=12,ISNUMBER(M204),M204=INT(M204),M204&gt;=1,M204&lt;=7,ISNUMBER(N204),N204=INT(N204),N204&gt;=1,N204&lt;=5,MONTH(DATE(Übersicht!$B$4,J204,1)+MOD(M204-WEEKDAY(DATE(Übersicht!$B$4,J204,1),2),7)+7*(N204-1))=J204,K204="",ISNUMBER(L204),L204=INT(L204),L204&gt;=-366,L204&lt;=366),DATE(Übersicht!$B$4,J204,1)+MOD(M204-WEEKDAY(DATE(Übersicht!$B$4,J204,1),2),7)+7*(N204-1)+L204,NA()),NA())))),NA())</f>
        <v>46966</v>
      </c>
      <c r="X204" s="15">
        <f t="shared" si="3"/>
        <v>46966</v>
      </c>
      <c r="Y204" s="11" t="s">
        <v>766</v>
      </c>
      <c r="Z204" s="11" t="s">
        <v>955</v>
      </c>
      <c r="AA204" s="26" t="s">
        <v>768</v>
      </c>
    </row>
    <row r="205" spans="1:27" ht="44" customHeight="1">
      <c r="A205" s="10" t="s">
        <v>288</v>
      </c>
      <c r="B205" s="10" t="s">
        <v>280</v>
      </c>
      <c r="C205" s="10" t="s">
        <v>952</v>
      </c>
      <c r="D205" s="24" t="s">
        <v>803</v>
      </c>
      <c r="E205" s="24" t="s">
        <v>804</v>
      </c>
      <c r="F205" s="25" t="s">
        <v>882</v>
      </c>
      <c r="G205" s="25" t="s">
        <v>883</v>
      </c>
      <c r="H205" s="10" t="s">
        <v>761</v>
      </c>
      <c r="I205" s="10" t="s">
        <v>762</v>
      </c>
      <c r="J205" s="28">
        <v>12</v>
      </c>
      <c r="K205" s="28">
        <v>25</v>
      </c>
      <c r="L205" s="24"/>
      <c r="M205" s="24"/>
      <c r="N205" s="24"/>
      <c r="O205" s="29">
        <v>46023</v>
      </c>
      <c r="P205" s="29"/>
      <c r="Q205" s="24">
        <v>100</v>
      </c>
      <c r="R205" s="24" t="s">
        <v>69</v>
      </c>
      <c r="S205" s="10"/>
      <c r="T205" s="10" t="s">
        <v>764</v>
      </c>
      <c r="U205" s="10"/>
      <c r="V205" s="10" t="s">
        <v>824</v>
      </c>
      <c r="W205" s="14">
        <f>IF(AND(ISNUMBER(Übersicht!$B$4),Übersicht!$B$4=INT(Übersicht!$B$4),Übersicht!$B$4&gt;=2026,Übersicht!$B$4&lt;=2028),IF(I205="fixedMonthDay",IF(AND(ISNUMBER(J205),J205=INT(J205),J205&gt;=1,J205&lt;=12,ISNUMBER(K205),K205=INT(K205),K205&gt;=1,K205&lt;=31,MONTH(DATE(Übersicht!$B$4,J205,K205))=J205,DAY(DATE(Übersicht!$B$4,J205,K205))=K205,L205="",M205="",N205=""),DATE(Übersicht!$B$4,J205,K205),NA()),IF(I205="easterOffsetDays",IF(AND(ISNUMBER(L205),L205=INT(L205),L205&gt;=-366,L205&lt;=366,J205="",K205="",M205="",N205=""),$AD$23+L205,NA()),IF(I205="nthWeekdayOfMonth",IF(AND(ISNUMBER(J205),J205=INT(J205),J205&gt;=1,J205&lt;=12,ISNUMBER(M205),M205=INT(M205),M205&gt;=1,M205&lt;=7,ISNUMBER(N205),N205=INT(N205),N205&gt;=1,N205&lt;=5,MONTH(DATE(Übersicht!$B$4,J205,1)+MOD(M205-WEEKDAY(DATE(Übersicht!$B$4,J205,1),2),7)+7*(N205-1))=J205,K205="",L205=""),DATE(Übersicht!$B$4,J205,1)+MOD(M205-WEEKDAY(DATE(Übersicht!$B$4,J205,1),2),7)+7*(N205-1),NA()),IF(I205="nthWeekdayOffsetDays",IF(AND(ISNUMBER(J205),J205=INT(J205),J205&gt;=1,J205&lt;=12,ISNUMBER(M205),M205=INT(M205),M205&gt;=1,M205&lt;=7,ISNUMBER(N205),N205=INT(N205),N205&gt;=1,N205&lt;=5,MONTH(DATE(Übersicht!$B$4,J205,1)+MOD(M205-WEEKDAY(DATE(Übersicht!$B$4,J205,1),2),7)+7*(N205-1))=J205,K205="",ISNUMBER(L205),L205=INT(L205),L205&gt;=-366,L205&lt;=366),DATE(Übersicht!$B$4,J205,1)+MOD(M205-WEEKDAY(DATE(Übersicht!$B$4,J205,1),2),7)+7*(N205-1)+L205,NA()),NA())))),NA())</f>
        <v>47112</v>
      </c>
      <c r="X205" s="14">
        <f t="shared" si="3"/>
        <v>47112</v>
      </c>
      <c r="Y205" s="10" t="s">
        <v>953</v>
      </c>
      <c r="Z205" s="10" t="s">
        <v>954</v>
      </c>
      <c r="AA205" s="24" t="s">
        <v>768</v>
      </c>
    </row>
    <row r="206" spans="1:27" ht="44" customHeight="1">
      <c r="A206" s="11" t="s">
        <v>289</v>
      </c>
      <c r="B206" s="11" t="s">
        <v>280</v>
      </c>
      <c r="C206" s="11" t="s">
        <v>952</v>
      </c>
      <c r="D206" s="26" t="s">
        <v>806</v>
      </c>
      <c r="E206" s="26" t="s">
        <v>807</v>
      </c>
      <c r="F206" s="27" t="s">
        <v>884</v>
      </c>
      <c r="G206" s="27" t="s">
        <v>885</v>
      </c>
      <c r="H206" s="11" t="s">
        <v>761</v>
      </c>
      <c r="I206" s="11" t="s">
        <v>762</v>
      </c>
      <c r="J206" s="30">
        <v>12</v>
      </c>
      <c r="K206" s="30">
        <v>26</v>
      </c>
      <c r="L206" s="26"/>
      <c r="M206" s="26"/>
      <c r="N206" s="26"/>
      <c r="O206" s="31">
        <v>46023</v>
      </c>
      <c r="P206" s="31"/>
      <c r="Q206" s="26">
        <v>100</v>
      </c>
      <c r="R206" s="26" t="s">
        <v>69</v>
      </c>
      <c r="S206" s="11"/>
      <c r="T206" s="11" t="s">
        <v>764</v>
      </c>
      <c r="U206" s="11"/>
      <c r="V206" s="11" t="s">
        <v>824</v>
      </c>
      <c r="W206" s="15">
        <f>IF(AND(ISNUMBER(Übersicht!$B$4),Übersicht!$B$4=INT(Übersicht!$B$4),Übersicht!$B$4&gt;=2026,Übersicht!$B$4&lt;=2028),IF(I206="fixedMonthDay",IF(AND(ISNUMBER(J206),J206=INT(J206),J206&gt;=1,J206&lt;=12,ISNUMBER(K206),K206=INT(K206),K206&gt;=1,K206&lt;=31,MONTH(DATE(Übersicht!$B$4,J206,K206))=J206,DAY(DATE(Übersicht!$B$4,J206,K206))=K206,L206="",M206="",N206=""),DATE(Übersicht!$B$4,J206,K206),NA()),IF(I206="easterOffsetDays",IF(AND(ISNUMBER(L206),L206=INT(L206),L206&gt;=-366,L206&lt;=366,J206="",K206="",M206="",N206=""),$AD$23+L206,NA()),IF(I206="nthWeekdayOfMonth",IF(AND(ISNUMBER(J206),J206=INT(J206),J206&gt;=1,J206&lt;=12,ISNUMBER(M206),M206=INT(M206),M206&gt;=1,M206&lt;=7,ISNUMBER(N206),N206=INT(N206),N206&gt;=1,N206&lt;=5,MONTH(DATE(Übersicht!$B$4,J206,1)+MOD(M206-WEEKDAY(DATE(Übersicht!$B$4,J206,1),2),7)+7*(N206-1))=J206,K206="",L206=""),DATE(Übersicht!$B$4,J206,1)+MOD(M206-WEEKDAY(DATE(Übersicht!$B$4,J206,1),2),7)+7*(N206-1),NA()),IF(I206="nthWeekdayOffsetDays",IF(AND(ISNUMBER(J206),J206=INT(J206),J206&gt;=1,J206&lt;=12,ISNUMBER(M206),M206=INT(M206),M206&gt;=1,M206&lt;=7,ISNUMBER(N206),N206=INT(N206),N206&gt;=1,N206&lt;=5,MONTH(DATE(Übersicht!$B$4,J206,1)+MOD(M206-WEEKDAY(DATE(Übersicht!$B$4,J206,1),2),7)+7*(N206-1))=J206,K206="",ISNUMBER(L206),L206=INT(L206),L206&gt;=-366,L206&lt;=366),DATE(Übersicht!$B$4,J206,1)+MOD(M206-WEEKDAY(DATE(Übersicht!$B$4,J206,1),2),7)+7*(N206-1)+L206,NA()),NA())))),NA())</f>
        <v>47113</v>
      </c>
      <c r="X206" s="15">
        <f t="shared" si="3"/>
        <v>47113</v>
      </c>
      <c r="Y206" s="11" t="s">
        <v>953</v>
      </c>
      <c r="Z206" s="11" t="s">
        <v>954</v>
      </c>
      <c r="AA206" s="26" t="s">
        <v>768</v>
      </c>
    </row>
    <row r="207" spans="1:27" ht="44" customHeight="1">
      <c r="A207" s="10" t="s">
        <v>290</v>
      </c>
      <c r="B207" s="10" t="s">
        <v>280</v>
      </c>
      <c r="C207" s="10" t="s">
        <v>952</v>
      </c>
      <c r="D207" s="24" t="s">
        <v>846</v>
      </c>
      <c r="E207" s="24" t="s">
        <v>847</v>
      </c>
      <c r="F207" s="25" t="s">
        <v>862</v>
      </c>
      <c r="G207" s="25" t="s">
        <v>863</v>
      </c>
      <c r="H207" s="10" t="s">
        <v>761</v>
      </c>
      <c r="I207" s="10" t="s">
        <v>762</v>
      </c>
      <c r="J207" s="28">
        <v>5</v>
      </c>
      <c r="K207" s="28">
        <v>1</v>
      </c>
      <c r="L207" s="24"/>
      <c r="M207" s="24"/>
      <c r="N207" s="24"/>
      <c r="O207" s="29">
        <v>46023</v>
      </c>
      <c r="P207" s="29"/>
      <c r="Q207" s="24">
        <v>100</v>
      </c>
      <c r="R207" s="24" t="s">
        <v>69</v>
      </c>
      <c r="S207" s="10"/>
      <c r="T207" s="10" t="s">
        <v>764</v>
      </c>
      <c r="U207" s="10"/>
      <c r="V207" s="10" t="s">
        <v>824</v>
      </c>
      <c r="W207" s="14">
        <f>IF(AND(ISNUMBER(Übersicht!$B$4),Übersicht!$B$4=INT(Übersicht!$B$4),Übersicht!$B$4&gt;=2026,Übersicht!$B$4&lt;=2028),IF(I207="fixedMonthDay",IF(AND(ISNUMBER(J207),J207=INT(J207),J207&gt;=1,J207&lt;=12,ISNUMBER(K207),K207=INT(K207),K207&gt;=1,K207&lt;=31,MONTH(DATE(Übersicht!$B$4,J207,K207))=J207,DAY(DATE(Übersicht!$B$4,J207,K207))=K207,L207="",M207="",N207=""),DATE(Übersicht!$B$4,J207,K207),NA()),IF(I207="easterOffsetDays",IF(AND(ISNUMBER(L207),L207=INT(L207),L207&gt;=-366,L207&lt;=366,J207="",K207="",M207="",N207=""),$AD$23+L207,NA()),IF(I207="nthWeekdayOfMonth",IF(AND(ISNUMBER(J207),J207=INT(J207),J207&gt;=1,J207&lt;=12,ISNUMBER(M207),M207=INT(M207),M207&gt;=1,M207&lt;=7,ISNUMBER(N207),N207=INT(N207),N207&gt;=1,N207&lt;=5,MONTH(DATE(Übersicht!$B$4,J207,1)+MOD(M207-WEEKDAY(DATE(Übersicht!$B$4,J207,1),2),7)+7*(N207-1))=J207,K207="",L207=""),DATE(Übersicht!$B$4,J207,1)+MOD(M207-WEEKDAY(DATE(Übersicht!$B$4,J207,1),2),7)+7*(N207-1),NA()),IF(I207="nthWeekdayOffsetDays",IF(AND(ISNUMBER(J207),J207=INT(J207),J207&gt;=1,J207&lt;=12,ISNUMBER(M207),M207=INT(M207),M207&gt;=1,M207&lt;=7,ISNUMBER(N207),N207=INT(N207),N207&gt;=1,N207&lt;=5,MONTH(DATE(Übersicht!$B$4,J207,1)+MOD(M207-WEEKDAY(DATE(Übersicht!$B$4,J207,1),2),7)+7*(N207-1))=J207,K207="",ISNUMBER(L207),L207=INT(L207),L207&gt;=-366,L207&lt;=366),DATE(Übersicht!$B$4,J207,1)+MOD(M207-WEEKDAY(DATE(Übersicht!$B$4,J207,1),2),7)+7*(N207-1)+L207,NA()),NA())))),NA())</f>
        <v>46874</v>
      </c>
      <c r="X207" s="14">
        <f t="shared" si="3"/>
        <v>46874</v>
      </c>
      <c r="Y207" s="10" t="s">
        <v>953</v>
      </c>
      <c r="Z207" s="10" t="s">
        <v>954</v>
      </c>
      <c r="AA207" s="24" t="s">
        <v>768</v>
      </c>
    </row>
    <row r="208" spans="1:27" ht="44" customHeight="1">
      <c r="A208" s="11" t="s">
        <v>291</v>
      </c>
      <c r="B208" s="11" t="s">
        <v>280</v>
      </c>
      <c r="C208" s="11" t="s">
        <v>952</v>
      </c>
      <c r="D208" s="26" t="s">
        <v>784</v>
      </c>
      <c r="E208" s="26" t="s">
        <v>785</v>
      </c>
      <c r="F208" s="27" t="s">
        <v>892</v>
      </c>
      <c r="G208" s="27" t="s">
        <v>893</v>
      </c>
      <c r="H208" s="11" t="s">
        <v>761</v>
      </c>
      <c r="I208" s="11" t="s">
        <v>781</v>
      </c>
      <c r="J208" s="30"/>
      <c r="K208" s="30"/>
      <c r="L208" s="26">
        <v>0</v>
      </c>
      <c r="M208" s="26"/>
      <c r="N208" s="26"/>
      <c r="O208" s="31">
        <v>46023</v>
      </c>
      <c r="P208" s="31"/>
      <c r="Q208" s="26">
        <v>100</v>
      </c>
      <c r="R208" s="26" t="s">
        <v>69</v>
      </c>
      <c r="S208" s="11"/>
      <c r="T208" s="11" t="s">
        <v>764</v>
      </c>
      <c r="U208" s="11"/>
      <c r="V208" s="11" t="s">
        <v>824</v>
      </c>
      <c r="W208" s="15">
        <f>IF(AND(ISNUMBER(Übersicht!$B$4),Übersicht!$B$4=INT(Übersicht!$B$4),Übersicht!$B$4&gt;=2026,Übersicht!$B$4&lt;=2028),IF(I208="fixedMonthDay",IF(AND(ISNUMBER(J208),J208=INT(J208),J208&gt;=1,J208&lt;=12,ISNUMBER(K208),K208=INT(K208),K208&gt;=1,K208&lt;=31,MONTH(DATE(Übersicht!$B$4,J208,K208))=J208,DAY(DATE(Übersicht!$B$4,J208,K208))=K208,L208="",M208="",N208=""),DATE(Übersicht!$B$4,J208,K208),NA()),IF(I208="easterOffsetDays",IF(AND(ISNUMBER(L208),L208=INT(L208),L208&gt;=-366,L208&lt;=366,J208="",K208="",M208="",N208=""),$AD$23+L208,NA()),IF(I208="nthWeekdayOfMonth",IF(AND(ISNUMBER(J208),J208=INT(J208),J208&gt;=1,J208&lt;=12,ISNUMBER(M208),M208=INT(M208),M208&gt;=1,M208&lt;=7,ISNUMBER(N208),N208=INT(N208),N208&gt;=1,N208&lt;=5,MONTH(DATE(Übersicht!$B$4,J208,1)+MOD(M208-WEEKDAY(DATE(Übersicht!$B$4,J208,1),2),7)+7*(N208-1))=J208,K208="",L208=""),DATE(Übersicht!$B$4,J208,1)+MOD(M208-WEEKDAY(DATE(Übersicht!$B$4,J208,1),2),7)+7*(N208-1),NA()),IF(I208="nthWeekdayOffsetDays",IF(AND(ISNUMBER(J208),J208=INT(J208),J208&gt;=1,J208&lt;=12,ISNUMBER(M208),M208=INT(M208),M208&gt;=1,M208&lt;=7,ISNUMBER(N208),N208=INT(N208),N208&gt;=1,N208&lt;=5,MONTH(DATE(Übersicht!$B$4,J208,1)+MOD(M208-WEEKDAY(DATE(Übersicht!$B$4,J208,1),2),7)+7*(N208-1))=J208,K208="",ISNUMBER(L208),L208=INT(L208),L208&gt;=-366,L208&lt;=366),DATE(Übersicht!$B$4,J208,1)+MOD(M208-WEEKDAY(DATE(Übersicht!$B$4,J208,1),2),7)+7*(N208-1)+L208,NA()),NA())))),NA())</f>
        <v>46859</v>
      </c>
      <c r="X208" s="15">
        <f t="shared" si="3"/>
        <v>46859</v>
      </c>
      <c r="Y208" s="11" t="s">
        <v>953</v>
      </c>
      <c r="Z208" s="11" t="s">
        <v>954</v>
      </c>
      <c r="AA208" s="26" t="s">
        <v>768</v>
      </c>
    </row>
    <row r="209" spans="1:27" ht="44" customHeight="1">
      <c r="A209" s="10" t="s">
        <v>292</v>
      </c>
      <c r="B209" s="10" t="s">
        <v>280</v>
      </c>
      <c r="C209" s="10" t="s">
        <v>952</v>
      </c>
      <c r="D209" s="24" t="s">
        <v>793</v>
      </c>
      <c r="E209" s="24" t="s">
        <v>794</v>
      </c>
      <c r="F209" s="25" t="s">
        <v>896</v>
      </c>
      <c r="G209" s="25" t="s">
        <v>897</v>
      </c>
      <c r="H209" s="10" t="s">
        <v>761</v>
      </c>
      <c r="I209" s="10" t="s">
        <v>781</v>
      </c>
      <c r="J209" s="28"/>
      <c r="K209" s="28"/>
      <c r="L209" s="24">
        <v>49</v>
      </c>
      <c r="M209" s="24"/>
      <c r="N209" s="24"/>
      <c r="O209" s="29">
        <v>46023</v>
      </c>
      <c r="P209" s="29"/>
      <c r="Q209" s="24">
        <v>100</v>
      </c>
      <c r="R209" s="24" t="s">
        <v>69</v>
      </c>
      <c r="S209" s="10"/>
      <c r="T209" s="10" t="s">
        <v>764</v>
      </c>
      <c r="U209" s="10"/>
      <c r="V209" s="10" t="s">
        <v>824</v>
      </c>
      <c r="W209" s="14">
        <f>IF(AND(ISNUMBER(Übersicht!$B$4),Übersicht!$B$4=INT(Übersicht!$B$4),Übersicht!$B$4&gt;=2026,Übersicht!$B$4&lt;=2028),IF(I209="fixedMonthDay",IF(AND(ISNUMBER(J209),J209=INT(J209),J209&gt;=1,J209&lt;=12,ISNUMBER(K209),K209=INT(K209),K209&gt;=1,K209&lt;=31,MONTH(DATE(Übersicht!$B$4,J209,K209))=J209,DAY(DATE(Übersicht!$B$4,J209,K209))=K209,L209="",M209="",N209=""),DATE(Übersicht!$B$4,J209,K209),NA()),IF(I209="easterOffsetDays",IF(AND(ISNUMBER(L209),L209=INT(L209),L209&gt;=-366,L209&lt;=366,J209="",K209="",M209="",N209=""),$AD$23+L209,NA()),IF(I209="nthWeekdayOfMonth",IF(AND(ISNUMBER(J209),J209=INT(J209),J209&gt;=1,J209&lt;=12,ISNUMBER(M209),M209=INT(M209),M209&gt;=1,M209&lt;=7,ISNUMBER(N209),N209=INT(N209),N209&gt;=1,N209&lt;=5,MONTH(DATE(Übersicht!$B$4,J209,1)+MOD(M209-WEEKDAY(DATE(Übersicht!$B$4,J209,1),2),7)+7*(N209-1))=J209,K209="",L209=""),DATE(Übersicht!$B$4,J209,1)+MOD(M209-WEEKDAY(DATE(Übersicht!$B$4,J209,1),2),7)+7*(N209-1),NA()),IF(I209="nthWeekdayOffsetDays",IF(AND(ISNUMBER(J209),J209=INT(J209),J209&gt;=1,J209&lt;=12,ISNUMBER(M209),M209=INT(M209),M209&gt;=1,M209&lt;=7,ISNUMBER(N209),N209=INT(N209),N209&gt;=1,N209&lt;=5,MONTH(DATE(Übersicht!$B$4,J209,1)+MOD(M209-WEEKDAY(DATE(Übersicht!$B$4,J209,1),2),7)+7*(N209-1))=J209,K209="",ISNUMBER(L209),L209=INT(L209),L209&gt;=-366,L209&lt;=366),DATE(Übersicht!$B$4,J209,1)+MOD(M209-WEEKDAY(DATE(Übersicht!$B$4,J209,1),2),7)+7*(N209-1)+L209,NA()),NA())))),NA())</f>
        <v>46908</v>
      </c>
      <c r="X209" s="14">
        <f t="shared" si="3"/>
        <v>46908</v>
      </c>
      <c r="Y209" s="10" t="s">
        <v>953</v>
      </c>
      <c r="Z209" s="10" t="s">
        <v>954</v>
      </c>
      <c r="AA209" s="24" t="s">
        <v>768</v>
      </c>
    </row>
    <row r="210" spans="1:27" ht="44" customHeight="1">
      <c r="A210" s="11" t="s">
        <v>293</v>
      </c>
      <c r="B210" s="11" t="s">
        <v>280</v>
      </c>
      <c r="C210" s="11" t="s">
        <v>952</v>
      </c>
      <c r="D210" s="26" t="s">
        <v>799</v>
      </c>
      <c r="E210" s="26" t="s">
        <v>800</v>
      </c>
      <c r="F210" s="27" t="s">
        <v>899</v>
      </c>
      <c r="G210" s="27" t="s">
        <v>900</v>
      </c>
      <c r="H210" s="11" t="s">
        <v>761</v>
      </c>
      <c r="I210" s="11" t="s">
        <v>801</v>
      </c>
      <c r="J210" s="30">
        <v>9</v>
      </c>
      <c r="K210" s="30"/>
      <c r="L210" s="26"/>
      <c r="M210" s="26">
        <v>7</v>
      </c>
      <c r="N210" s="26">
        <v>3</v>
      </c>
      <c r="O210" s="31">
        <v>46023</v>
      </c>
      <c r="P210" s="31"/>
      <c r="Q210" s="26">
        <v>100</v>
      </c>
      <c r="R210" s="26" t="s">
        <v>69</v>
      </c>
      <c r="S210" s="11"/>
      <c r="T210" s="11" t="s">
        <v>764</v>
      </c>
      <c r="U210" s="11"/>
      <c r="V210" s="11" t="s">
        <v>824</v>
      </c>
      <c r="W210" s="15">
        <f>IF(AND(ISNUMBER(Übersicht!$B$4),Übersicht!$B$4=INT(Übersicht!$B$4),Übersicht!$B$4&gt;=2026,Übersicht!$B$4&lt;=2028),IF(I210="fixedMonthDay",IF(AND(ISNUMBER(J210),J210=INT(J210),J210&gt;=1,J210&lt;=12,ISNUMBER(K210),K210=INT(K210),K210&gt;=1,K210&lt;=31,MONTH(DATE(Übersicht!$B$4,J210,K210))=J210,DAY(DATE(Übersicht!$B$4,J210,K210))=K210,L210="",M210="",N210=""),DATE(Übersicht!$B$4,J210,K210),NA()),IF(I210="easterOffsetDays",IF(AND(ISNUMBER(L210),L210=INT(L210),L210&gt;=-366,L210&lt;=366,J210="",K210="",M210="",N210=""),$AD$23+L210,NA()),IF(I210="nthWeekdayOfMonth",IF(AND(ISNUMBER(J210),J210=INT(J210),J210&gt;=1,J210&lt;=12,ISNUMBER(M210),M210=INT(M210),M210&gt;=1,M210&lt;=7,ISNUMBER(N210),N210=INT(N210),N210&gt;=1,N210&lt;=5,MONTH(DATE(Übersicht!$B$4,J210,1)+MOD(M210-WEEKDAY(DATE(Übersicht!$B$4,J210,1),2),7)+7*(N210-1))=J210,K210="",L210=""),DATE(Übersicht!$B$4,J210,1)+MOD(M210-WEEKDAY(DATE(Übersicht!$B$4,J210,1),2),7)+7*(N210-1),NA()),IF(I210="nthWeekdayOffsetDays",IF(AND(ISNUMBER(J210),J210=INT(J210),J210&gt;=1,J210&lt;=12,ISNUMBER(M210),M210=INT(M210),M210&gt;=1,M210&lt;=7,ISNUMBER(N210),N210=INT(N210),N210&gt;=1,N210&lt;=5,MONTH(DATE(Übersicht!$B$4,J210,1)+MOD(M210-WEEKDAY(DATE(Übersicht!$B$4,J210,1),2),7)+7*(N210-1))=J210,K210="",ISNUMBER(L210),L210=INT(L210),L210&gt;=-366,L210&lt;=366),DATE(Übersicht!$B$4,J210,1)+MOD(M210-WEEKDAY(DATE(Übersicht!$B$4,J210,1),2),7)+7*(N210-1)+L210,NA()),NA())))),NA())</f>
        <v>47013</v>
      </c>
      <c r="X210" s="15">
        <f t="shared" si="3"/>
        <v>47013</v>
      </c>
      <c r="Y210" s="11" t="s">
        <v>953</v>
      </c>
      <c r="Z210" s="11" t="s">
        <v>954</v>
      </c>
      <c r="AA210" s="26" t="s">
        <v>768</v>
      </c>
    </row>
    <row r="211" spans="1:27" ht="44" customHeight="1">
      <c r="A211" s="10" t="s">
        <v>295</v>
      </c>
      <c r="B211" s="10" t="s">
        <v>280</v>
      </c>
      <c r="C211" s="10" t="s">
        <v>956</v>
      </c>
      <c r="D211" s="24" t="s">
        <v>771</v>
      </c>
      <c r="E211" s="24" t="s">
        <v>772</v>
      </c>
      <c r="F211" s="25" t="s">
        <v>849</v>
      </c>
      <c r="G211" s="25" t="s">
        <v>850</v>
      </c>
      <c r="H211" s="10" t="s">
        <v>823</v>
      </c>
      <c r="I211" s="10" t="s">
        <v>762</v>
      </c>
      <c r="J211" s="28">
        <v>1</v>
      </c>
      <c r="K211" s="28">
        <v>1</v>
      </c>
      <c r="L211" s="24"/>
      <c r="M211" s="24"/>
      <c r="N211" s="24"/>
      <c r="O211" s="29">
        <v>46023</v>
      </c>
      <c r="P211" s="29"/>
      <c r="Q211" s="24">
        <v>100</v>
      </c>
      <c r="R211" s="24" t="s">
        <v>69</v>
      </c>
      <c r="S211" s="10"/>
      <c r="T211" s="10" t="s">
        <v>764</v>
      </c>
      <c r="U211" s="10"/>
      <c r="V211" s="10" t="s">
        <v>824</v>
      </c>
      <c r="W211" s="14">
        <f>IF(AND(ISNUMBER(Übersicht!$B$4),Übersicht!$B$4=INT(Übersicht!$B$4),Übersicht!$B$4&gt;=2026,Übersicht!$B$4&lt;=2028),IF(I211="fixedMonthDay",IF(AND(ISNUMBER(J211),J211=INT(J211),J211&gt;=1,J211&lt;=12,ISNUMBER(K211),K211=INT(K211),K211&gt;=1,K211&lt;=31,MONTH(DATE(Übersicht!$B$4,J211,K211))=J211,DAY(DATE(Übersicht!$B$4,J211,K211))=K211,L211="",M211="",N211=""),DATE(Übersicht!$B$4,J211,K211),NA()),IF(I211="easterOffsetDays",IF(AND(ISNUMBER(L211),L211=INT(L211),L211&gt;=-366,L211&lt;=366,J211="",K211="",M211="",N211=""),$AD$23+L211,NA()),IF(I211="nthWeekdayOfMonth",IF(AND(ISNUMBER(J211),J211=INT(J211),J211&gt;=1,J211&lt;=12,ISNUMBER(M211),M211=INT(M211),M211&gt;=1,M211&lt;=7,ISNUMBER(N211),N211=INT(N211),N211&gt;=1,N211&lt;=5,MONTH(DATE(Übersicht!$B$4,J211,1)+MOD(M211-WEEKDAY(DATE(Übersicht!$B$4,J211,1),2),7)+7*(N211-1))=J211,K211="",L211=""),DATE(Übersicht!$B$4,J211,1)+MOD(M211-WEEKDAY(DATE(Übersicht!$B$4,J211,1),2),7)+7*(N211-1),NA()),IF(I211="nthWeekdayOffsetDays",IF(AND(ISNUMBER(J211),J211=INT(J211),J211&gt;=1,J211&lt;=12,ISNUMBER(M211),M211=INT(M211),M211&gt;=1,M211&lt;=7,ISNUMBER(N211),N211=INT(N211),N211&gt;=1,N211&lt;=5,MONTH(DATE(Übersicht!$B$4,J211,1)+MOD(M211-WEEKDAY(DATE(Übersicht!$B$4,J211,1),2),7)+7*(N211-1))=J211,K211="",ISNUMBER(L211),L211=INT(L211),L211&gt;=-366,L211&lt;=366),DATE(Übersicht!$B$4,J211,1)+MOD(M211-WEEKDAY(DATE(Übersicht!$B$4,J211,1),2),7)+7*(N211-1)+L211,NA()),NA())))),NA())</f>
        <v>46753</v>
      </c>
      <c r="X211" s="14">
        <f t="shared" si="3"/>
        <v>46753</v>
      </c>
      <c r="Y211" s="10" t="s">
        <v>957</v>
      </c>
      <c r="Z211" s="10" t="s">
        <v>958</v>
      </c>
      <c r="AA211" s="24" t="s">
        <v>768</v>
      </c>
    </row>
    <row r="212" spans="1:27" ht="44" customHeight="1">
      <c r="A212" s="11" t="s">
        <v>296</v>
      </c>
      <c r="B212" s="11" t="s">
        <v>280</v>
      </c>
      <c r="C212" s="11" t="s">
        <v>956</v>
      </c>
      <c r="D212" s="26" t="s">
        <v>779</v>
      </c>
      <c r="E212" s="26" t="s">
        <v>780</v>
      </c>
      <c r="F212" s="27" t="s">
        <v>889</v>
      </c>
      <c r="G212" s="27" t="s">
        <v>890</v>
      </c>
      <c r="H212" s="11" t="s">
        <v>823</v>
      </c>
      <c r="I212" s="11" t="s">
        <v>781</v>
      </c>
      <c r="J212" s="30"/>
      <c r="K212" s="30"/>
      <c r="L212" s="26">
        <v>-2</v>
      </c>
      <c r="M212" s="26"/>
      <c r="N212" s="26"/>
      <c r="O212" s="31">
        <v>46023</v>
      </c>
      <c r="P212" s="31"/>
      <c r="Q212" s="26">
        <v>100</v>
      </c>
      <c r="R212" s="26" t="s">
        <v>69</v>
      </c>
      <c r="S212" s="11"/>
      <c r="T212" s="11" t="s">
        <v>764</v>
      </c>
      <c r="U212" s="11"/>
      <c r="V212" s="11" t="s">
        <v>824</v>
      </c>
      <c r="W212" s="15">
        <f>IF(AND(ISNUMBER(Übersicht!$B$4),Übersicht!$B$4=INT(Übersicht!$B$4),Übersicht!$B$4&gt;=2026,Übersicht!$B$4&lt;=2028),IF(I212="fixedMonthDay",IF(AND(ISNUMBER(J212),J212=INT(J212),J212&gt;=1,J212&lt;=12,ISNUMBER(K212),K212=INT(K212),K212&gt;=1,K212&lt;=31,MONTH(DATE(Übersicht!$B$4,J212,K212))=J212,DAY(DATE(Übersicht!$B$4,J212,K212))=K212,L212="",M212="",N212=""),DATE(Übersicht!$B$4,J212,K212),NA()),IF(I212="easterOffsetDays",IF(AND(ISNUMBER(L212),L212=INT(L212),L212&gt;=-366,L212&lt;=366,J212="",K212="",M212="",N212=""),$AD$23+L212,NA()),IF(I212="nthWeekdayOfMonth",IF(AND(ISNUMBER(J212),J212=INT(J212),J212&gt;=1,J212&lt;=12,ISNUMBER(M212),M212=INT(M212),M212&gt;=1,M212&lt;=7,ISNUMBER(N212),N212=INT(N212),N212&gt;=1,N212&lt;=5,MONTH(DATE(Übersicht!$B$4,J212,1)+MOD(M212-WEEKDAY(DATE(Übersicht!$B$4,J212,1),2),7)+7*(N212-1))=J212,K212="",L212=""),DATE(Übersicht!$B$4,J212,1)+MOD(M212-WEEKDAY(DATE(Übersicht!$B$4,J212,1),2),7)+7*(N212-1),NA()),IF(I212="nthWeekdayOffsetDays",IF(AND(ISNUMBER(J212),J212=INT(J212),J212&gt;=1,J212&lt;=12,ISNUMBER(M212),M212=INT(M212),M212&gt;=1,M212&lt;=7,ISNUMBER(N212),N212=INT(N212),N212&gt;=1,N212&lt;=5,MONTH(DATE(Übersicht!$B$4,J212,1)+MOD(M212-WEEKDAY(DATE(Übersicht!$B$4,J212,1),2),7)+7*(N212-1))=J212,K212="",ISNUMBER(L212),L212=INT(L212),L212&gt;=-366,L212&lt;=366),DATE(Übersicht!$B$4,J212,1)+MOD(M212-WEEKDAY(DATE(Übersicht!$B$4,J212,1),2),7)+7*(N212-1)+L212,NA()),NA())))),NA())</f>
        <v>46857</v>
      </c>
      <c r="X212" s="15">
        <f t="shared" si="3"/>
        <v>46857</v>
      </c>
      <c r="Y212" s="11" t="s">
        <v>957</v>
      </c>
      <c r="Z212" s="11" t="s">
        <v>958</v>
      </c>
      <c r="AA212" s="26" t="s">
        <v>768</v>
      </c>
    </row>
    <row r="213" spans="1:27" ht="44" customHeight="1">
      <c r="A213" s="10" t="s">
        <v>297</v>
      </c>
      <c r="B213" s="10" t="s">
        <v>280</v>
      </c>
      <c r="C213" s="10" t="s">
        <v>956</v>
      </c>
      <c r="D213" s="24" t="s">
        <v>787</v>
      </c>
      <c r="E213" s="24" t="s">
        <v>788</v>
      </c>
      <c r="F213" s="25" t="s">
        <v>860</v>
      </c>
      <c r="G213" s="25" t="s">
        <v>861</v>
      </c>
      <c r="H213" s="10" t="s">
        <v>823</v>
      </c>
      <c r="I213" s="10" t="s">
        <v>781</v>
      </c>
      <c r="J213" s="28"/>
      <c r="K213" s="28"/>
      <c r="L213" s="24">
        <v>1</v>
      </c>
      <c r="M213" s="24"/>
      <c r="N213" s="24"/>
      <c r="O213" s="29">
        <v>46023</v>
      </c>
      <c r="P213" s="29"/>
      <c r="Q213" s="24">
        <v>100</v>
      </c>
      <c r="R213" s="24" t="s">
        <v>69</v>
      </c>
      <c r="S213" s="10"/>
      <c r="T213" s="10" t="s">
        <v>764</v>
      </c>
      <c r="U213" s="10"/>
      <c r="V213" s="10" t="s">
        <v>824</v>
      </c>
      <c r="W213" s="14">
        <f>IF(AND(ISNUMBER(Übersicht!$B$4),Übersicht!$B$4=INT(Übersicht!$B$4),Übersicht!$B$4&gt;=2026,Übersicht!$B$4&lt;=2028),IF(I213="fixedMonthDay",IF(AND(ISNUMBER(J213),J213=INT(J213),J213&gt;=1,J213&lt;=12,ISNUMBER(K213),K213=INT(K213),K213&gt;=1,K213&lt;=31,MONTH(DATE(Übersicht!$B$4,J213,K213))=J213,DAY(DATE(Übersicht!$B$4,J213,K213))=K213,L213="",M213="",N213=""),DATE(Übersicht!$B$4,J213,K213),NA()),IF(I213="easterOffsetDays",IF(AND(ISNUMBER(L213),L213=INT(L213),L213&gt;=-366,L213&lt;=366,J213="",K213="",M213="",N213=""),$AD$23+L213,NA()),IF(I213="nthWeekdayOfMonth",IF(AND(ISNUMBER(J213),J213=INT(J213),J213&gt;=1,J213&lt;=12,ISNUMBER(M213),M213=INT(M213),M213&gt;=1,M213&lt;=7,ISNUMBER(N213),N213=INT(N213),N213&gt;=1,N213&lt;=5,MONTH(DATE(Übersicht!$B$4,J213,1)+MOD(M213-WEEKDAY(DATE(Übersicht!$B$4,J213,1),2),7)+7*(N213-1))=J213,K213="",L213=""),DATE(Übersicht!$B$4,J213,1)+MOD(M213-WEEKDAY(DATE(Übersicht!$B$4,J213,1),2),7)+7*(N213-1),NA()),IF(I213="nthWeekdayOffsetDays",IF(AND(ISNUMBER(J213),J213=INT(J213),J213&gt;=1,J213&lt;=12,ISNUMBER(M213),M213=INT(M213),M213&gt;=1,M213&lt;=7,ISNUMBER(N213),N213=INT(N213),N213&gt;=1,N213&lt;=5,MONTH(DATE(Übersicht!$B$4,J213,1)+MOD(M213-WEEKDAY(DATE(Übersicht!$B$4,J213,1),2),7)+7*(N213-1))=J213,K213="",ISNUMBER(L213),L213=INT(L213),L213&gt;=-366,L213&lt;=366),DATE(Übersicht!$B$4,J213,1)+MOD(M213-WEEKDAY(DATE(Übersicht!$B$4,J213,1),2),7)+7*(N213-1)+L213,NA()),NA())))),NA())</f>
        <v>46860</v>
      </c>
      <c r="X213" s="14">
        <f t="shared" si="3"/>
        <v>46860</v>
      </c>
      <c r="Y213" s="10" t="s">
        <v>957</v>
      </c>
      <c r="Z213" s="10" t="s">
        <v>958</v>
      </c>
      <c r="AA213" s="24" t="s">
        <v>768</v>
      </c>
    </row>
    <row r="214" spans="1:27" ht="44" customHeight="1">
      <c r="A214" s="11" t="s">
        <v>298</v>
      </c>
      <c r="B214" s="11" t="s">
        <v>280</v>
      </c>
      <c r="C214" s="11" t="s">
        <v>956</v>
      </c>
      <c r="D214" s="26" t="s">
        <v>790</v>
      </c>
      <c r="E214" s="26" t="s">
        <v>791</v>
      </c>
      <c r="F214" s="27" t="s">
        <v>864</v>
      </c>
      <c r="G214" s="27" t="s">
        <v>865</v>
      </c>
      <c r="H214" s="11" t="s">
        <v>823</v>
      </c>
      <c r="I214" s="11" t="s">
        <v>781</v>
      </c>
      <c r="J214" s="30"/>
      <c r="K214" s="30"/>
      <c r="L214" s="26">
        <v>39</v>
      </c>
      <c r="M214" s="26"/>
      <c r="N214" s="26"/>
      <c r="O214" s="31">
        <v>46023</v>
      </c>
      <c r="P214" s="31"/>
      <c r="Q214" s="26">
        <v>100</v>
      </c>
      <c r="R214" s="26" t="s">
        <v>69</v>
      </c>
      <c r="S214" s="11"/>
      <c r="T214" s="11" t="s">
        <v>764</v>
      </c>
      <c r="U214" s="11"/>
      <c r="V214" s="11" t="s">
        <v>824</v>
      </c>
      <c r="W214" s="15">
        <f>IF(AND(ISNUMBER(Übersicht!$B$4),Übersicht!$B$4=INT(Übersicht!$B$4),Übersicht!$B$4&gt;=2026,Übersicht!$B$4&lt;=2028),IF(I214="fixedMonthDay",IF(AND(ISNUMBER(J214),J214=INT(J214),J214&gt;=1,J214&lt;=12,ISNUMBER(K214),K214=INT(K214),K214&gt;=1,K214&lt;=31,MONTH(DATE(Übersicht!$B$4,J214,K214))=J214,DAY(DATE(Übersicht!$B$4,J214,K214))=K214,L214="",M214="",N214=""),DATE(Übersicht!$B$4,J214,K214),NA()),IF(I214="easterOffsetDays",IF(AND(ISNUMBER(L214),L214=INT(L214),L214&gt;=-366,L214&lt;=366,J214="",K214="",M214="",N214=""),$AD$23+L214,NA()),IF(I214="nthWeekdayOfMonth",IF(AND(ISNUMBER(J214),J214=INT(J214),J214&gt;=1,J214&lt;=12,ISNUMBER(M214),M214=INT(M214),M214&gt;=1,M214&lt;=7,ISNUMBER(N214),N214=INT(N214),N214&gt;=1,N214&lt;=5,MONTH(DATE(Übersicht!$B$4,J214,1)+MOD(M214-WEEKDAY(DATE(Übersicht!$B$4,J214,1),2),7)+7*(N214-1))=J214,K214="",L214=""),DATE(Übersicht!$B$4,J214,1)+MOD(M214-WEEKDAY(DATE(Übersicht!$B$4,J214,1),2),7)+7*(N214-1),NA()),IF(I214="nthWeekdayOffsetDays",IF(AND(ISNUMBER(J214),J214=INT(J214),J214&gt;=1,J214&lt;=12,ISNUMBER(M214),M214=INT(M214),M214&gt;=1,M214&lt;=7,ISNUMBER(N214),N214=INT(N214),N214&gt;=1,N214&lt;=5,MONTH(DATE(Übersicht!$B$4,J214,1)+MOD(M214-WEEKDAY(DATE(Übersicht!$B$4,J214,1),2),7)+7*(N214-1))=J214,K214="",ISNUMBER(L214),L214=INT(L214),L214&gt;=-366,L214&lt;=366),DATE(Übersicht!$B$4,J214,1)+MOD(M214-WEEKDAY(DATE(Übersicht!$B$4,J214,1),2),7)+7*(N214-1)+L214,NA()),NA())))),NA())</f>
        <v>46898</v>
      </c>
      <c r="X214" s="15">
        <f t="shared" si="3"/>
        <v>46898</v>
      </c>
      <c r="Y214" s="11" t="s">
        <v>957</v>
      </c>
      <c r="Z214" s="11" t="s">
        <v>958</v>
      </c>
      <c r="AA214" s="26" t="s">
        <v>768</v>
      </c>
    </row>
    <row r="215" spans="1:27" ht="44" customHeight="1">
      <c r="A215" s="10" t="s">
        <v>299</v>
      </c>
      <c r="B215" s="10" t="s">
        <v>280</v>
      </c>
      <c r="C215" s="10" t="s">
        <v>956</v>
      </c>
      <c r="D215" s="24" t="s">
        <v>796</v>
      </c>
      <c r="E215" s="24" t="s">
        <v>797</v>
      </c>
      <c r="F215" s="25" t="s">
        <v>866</v>
      </c>
      <c r="G215" s="25" t="s">
        <v>867</v>
      </c>
      <c r="H215" s="10" t="s">
        <v>823</v>
      </c>
      <c r="I215" s="10" t="s">
        <v>781</v>
      </c>
      <c r="J215" s="28"/>
      <c r="K215" s="28"/>
      <c r="L215" s="24">
        <v>50</v>
      </c>
      <c r="M215" s="24"/>
      <c r="N215" s="24"/>
      <c r="O215" s="29">
        <v>46023</v>
      </c>
      <c r="P215" s="29"/>
      <c r="Q215" s="24">
        <v>100</v>
      </c>
      <c r="R215" s="24" t="s">
        <v>69</v>
      </c>
      <c r="S215" s="10"/>
      <c r="T215" s="10" t="s">
        <v>764</v>
      </c>
      <c r="U215" s="10"/>
      <c r="V215" s="10" t="s">
        <v>824</v>
      </c>
      <c r="W215" s="14">
        <f>IF(AND(ISNUMBER(Übersicht!$B$4),Übersicht!$B$4=INT(Übersicht!$B$4),Übersicht!$B$4&gt;=2026,Übersicht!$B$4&lt;=2028),IF(I215="fixedMonthDay",IF(AND(ISNUMBER(J215),J215=INT(J215),J215&gt;=1,J215&lt;=12,ISNUMBER(K215),K215=INT(K215),K215&gt;=1,K215&lt;=31,MONTH(DATE(Übersicht!$B$4,J215,K215))=J215,DAY(DATE(Übersicht!$B$4,J215,K215))=K215,L215="",M215="",N215=""),DATE(Übersicht!$B$4,J215,K215),NA()),IF(I215="easterOffsetDays",IF(AND(ISNUMBER(L215),L215=INT(L215),L215&gt;=-366,L215&lt;=366,J215="",K215="",M215="",N215=""),$AD$23+L215,NA()),IF(I215="nthWeekdayOfMonth",IF(AND(ISNUMBER(J215),J215=INT(J215),J215&gt;=1,J215&lt;=12,ISNUMBER(M215),M215=INT(M215),M215&gt;=1,M215&lt;=7,ISNUMBER(N215),N215=INT(N215),N215&gt;=1,N215&lt;=5,MONTH(DATE(Übersicht!$B$4,J215,1)+MOD(M215-WEEKDAY(DATE(Übersicht!$B$4,J215,1),2),7)+7*(N215-1))=J215,K215="",L215=""),DATE(Übersicht!$B$4,J215,1)+MOD(M215-WEEKDAY(DATE(Übersicht!$B$4,J215,1),2),7)+7*(N215-1),NA()),IF(I215="nthWeekdayOffsetDays",IF(AND(ISNUMBER(J215),J215=INT(J215),J215&gt;=1,J215&lt;=12,ISNUMBER(M215),M215=INT(M215),M215&gt;=1,M215&lt;=7,ISNUMBER(N215),N215=INT(N215),N215&gt;=1,N215&lt;=5,MONTH(DATE(Übersicht!$B$4,J215,1)+MOD(M215-WEEKDAY(DATE(Übersicht!$B$4,J215,1),2),7)+7*(N215-1))=J215,K215="",ISNUMBER(L215),L215=INT(L215),L215&gt;=-366,L215&lt;=366),DATE(Übersicht!$B$4,J215,1)+MOD(M215-WEEKDAY(DATE(Übersicht!$B$4,J215,1),2),7)+7*(N215-1)+L215,NA()),NA())))),NA())</f>
        <v>46909</v>
      </c>
      <c r="X215" s="14">
        <f t="shared" si="3"/>
        <v>46909</v>
      </c>
      <c r="Y215" s="10" t="s">
        <v>957</v>
      </c>
      <c r="Z215" s="10" t="s">
        <v>958</v>
      </c>
      <c r="AA215" s="24" t="s">
        <v>768</v>
      </c>
    </row>
    <row r="216" spans="1:27" ht="44" customHeight="1">
      <c r="A216" s="11" t="s">
        <v>300</v>
      </c>
      <c r="B216" s="11" t="s">
        <v>280</v>
      </c>
      <c r="C216" s="11" t="s">
        <v>956</v>
      </c>
      <c r="D216" s="26" t="s">
        <v>759</v>
      </c>
      <c r="E216" s="26" t="s">
        <v>760</v>
      </c>
      <c r="F216" s="27" t="s">
        <v>874</v>
      </c>
      <c r="G216" s="27" t="s">
        <v>875</v>
      </c>
      <c r="H216" s="11" t="s">
        <v>823</v>
      </c>
      <c r="I216" s="11" t="s">
        <v>762</v>
      </c>
      <c r="J216" s="30">
        <v>8</v>
      </c>
      <c r="K216" s="30">
        <v>1</v>
      </c>
      <c r="L216" s="26"/>
      <c r="M216" s="26"/>
      <c r="N216" s="26"/>
      <c r="O216" s="31">
        <v>46023</v>
      </c>
      <c r="P216" s="31"/>
      <c r="Q216" s="26">
        <v>100</v>
      </c>
      <c r="R216" s="26" t="s">
        <v>69</v>
      </c>
      <c r="S216" s="11"/>
      <c r="T216" s="11" t="s">
        <v>764</v>
      </c>
      <c r="U216" s="11"/>
      <c r="V216" s="11" t="s">
        <v>824</v>
      </c>
      <c r="W216" s="15">
        <f>IF(AND(ISNUMBER(Übersicht!$B$4),Übersicht!$B$4=INT(Übersicht!$B$4),Übersicht!$B$4&gt;=2026,Übersicht!$B$4&lt;=2028),IF(I216="fixedMonthDay",IF(AND(ISNUMBER(J216),J216=INT(J216),J216&gt;=1,J216&lt;=12,ISNUMBER(K216),K216=INT(K216),K216&gt;=1,K216&lt;=31,MONTH(DATE(Übersicht!$B$4,J216,K216))=J216,DAY(DATE(Übersicht!$B$4,J216,K216))=K216,L216="",M216="",N216=""),DATE(Übersicht!$B$4,J216,K216),NA()),IF(I216="easterOffsetDays",IF(AND(ISNUMBER(L216),L216=INT(L216),L216&gt;=-366,L216&lt;=366,J216="",K216="",M216="",N216=""),$AD$23+L216,NA()),IF(I216="nthWeekdayOfMonth",IF(AND(ISNUMBER(J216),J216=INT(J216),J216&gt;=1,J216&lt;=12,ISNUMBER(M216),M216=INT(M216),M216&gt;=1,M216&lt;=7,ISNUMBER(N216),N216=INT(N216),N216&gt;=1,N216&lt;=5,MONTH(DATE(Übersicht!$B$4,J216,1)+MOD(M216-WEEKDAY(DATE(Übersicht!$B$4,J216,1),2),7)+7*(N216-1))=J216,K216="",L216=""),DATE(Übersicht!$B$4,J216,1)+MOD(M216-WEEKDAY(DATE(Übersicht!$B$4,J216,1),2),7)+7*(N216-1),NA()),IF(I216="nthWeekdayOffsetDays",IF(AND(ISNUMBER(J216),J216=INT(J216),J216&gt;=1,J216&lt;=12,ISNUMBER(M216),M216=INT(M216),M216&gt;=1,M216&lt;=7,ISNUMBER(N216),N216=INT(N216),N216&gt;=1,N216&lt;=5,MONTH(DATE(Übersicht!$B$4,J216,1)+MOD(M216-WEEKDAY(DATE(Übersicht!$B$4,J216,1),2),7)+7*(N216-1))=J216,K216="",ISNUMBER(L216),L216=INT(L216),L216&gt;=-366,L216&lt;=366),DATE(Übersicht!$B$4,J216,1)+MOD(M216-WEEKDAY(DATE(Übersicht!$B$4,J216,1),2),7)+7*(N216-1)+L216,NA()),NA())))),NA())</f>
        <v>46966</v>
      </c>
      <c r="X216" s="15">
        <f t="shared" si="3"/>
        <v>46966</v>
      </c>
      <c r="Y216" s="11" t="s">
        <v>957</v>
      </c>
      <c r="Z216" s="11" t="s">
        <v>958</v>
      </c>
      <c r="AA216" s="26" t="s">
        <v>768</v>
      </c>
    </row>
    <row r="217" spans="1:27" ht="44" customHeight="1">
      <c r="A217" s="10" t="s">
        <v>301</v>
      </c>
      <c r="B217" s="10" t="s">
        <v>280</v>
      </c>
      <c r="C217" s="10" t="s">
        <v>956</v>
      </c>
      <c r="D217" s="24" t="s">
        <v>803</v>
      </c>
      <c r="E217" s="24" t="s">
        <v>804</v>
      </c>
      <c r="F217" s="25" t="s">
        <v>882</v>
      </c>
      <c r="G217" s="25" t="s">
        <v>883</v>
      </c>
      <c r="H217" s="10" t="s">
        <v>823</v>
      </c>
      <c r="I217" s="10" t="s">
        <v>762</v>
      </c>
      <c r="J217" s="28">
        <v>12</v>
      </c>
      <c r="K217" s="28">
        <v>25</v>
      </c>
      <c r="L217" s="24"/>
      <c r="M217" s="24"/>
      <c r="N217" s="24"/>
      <c r="O217" s="29">
        <v>46023</v>
      </c>
      <c r="P217" s="29"/>
      <c r="Q217" s="24">
        <v>100</v>
      </c>
      <c r="R217" s="24" t="s">
        <v>69</v>
      </c>
      <c r="S217" s="10"/>
      <c r="T217" s="10" t="s">
        <v>764</v>
      </c>
      <c r="U217" s="10"/>
      <c r="V217" s="10" t="s">
        <v>824</v>
      </c>
      <c r="W217" s="14">
        <f>IF(AND(ISNUMBER(Übersicht!$B$4),Übersicht!$B$4=INT(Übersicht!$B$4),Übersicht!$B$4&gt;=2026,Übersicht!$B$4&lt;=2028),IF(I217="fixedMonthDay",IF(AND(ISNUMBER(J217),J217=INT(J217),J217&gt;=1,J217&lt;=12,ISNUMBER(K217),K217=INT(K217),K217&gt;=1,K217&lt;=31,MONTH(DATE(Übersicht!$B$4,J217,K217))=J217,DAY(DATE(Übersicht!$B$4,J217,K217))=K217,L217="",M217="",N217=""),DATE(Übersicht!$B$4,J217,K217),NA()),IF(I217="easterOffsetDays",IF(AND(ISNUMBER(L217),L217=INT(L217),L217&gt;=-366,L217&lt;=366,J217="",K217="",M217="",N217=""),$AD$23+L217,NA()),IF(I217="nthWeekdayOfMonth",IF(AND(ISNUMBER(J217),J217=INT(J217),J217&gt;=1,J217&lt;=12,ISNUMBER(M217),M217=INT(M217),M217&gt;=1,M217&lt;=7,ISNUMBER(N217),N217=INT(N217),N217&gt;=1,N217&lt;=5,MONTH(DATE(Übersicht!$B$4,J217,1)+MOD(M217-WEEKDAY(DATE(Übersicht!$B$4,J217,1),2),7)+7*(N217-1))=J217,K217="",L217=""),DATE(Übersicht!$B$4,J217,1)+MOD(M217-WEEKDAY(DATE(Übersicht!$B$4,J217,1),2),7)+7*(N217-1),NA()),IF(I217="nthWeekdayOffsetDays",IF(AND(ISNUMBER(J217),J217=INT(J217),J217&gt;=1,J217&lt;=12,ISNUMBER(M217),M217=INT(M217),M217&gt;=1,M217&lt;=7,ISNUMBER(N217),N217=INT(N217),N217&gt;=1,N217&lt;=5,MONTH(DATE(Übersicht!$B$4,J217,1)+MOD(M217-WEEKDAY(DATE(Übersicht!$B$4,J217,1),2),7)+7*(N217-1))=J217,K217="",ISNUMBER(L217),L217=INT(L217),L217&gt;=-366,L217&lt;=366),DATE(Übersicht!$B$4,J217,1)+MOD(M217-WEEKDAY(DATE(Übersicht!$B$4,J217,1),2),7)+7*(N217-1)+L217,NA()),NA())))),NA())</f>
        <v>47112</v>
      </c>
      <c r="X217" s="14">
        <f t="shared" si="3"/>
        <v>47112</v>
      </c>
      <c r="Y217" s="10" t="s">
        <v>957</v>
      </c>
      <c r="Z217" s="10" t="s">
        <v>958</v>
      </c>
      <c r="AA217" s="24" t="s">
        <v>768</v>
      </c>
    </row>
    <row r="218" spans="1:27" ht="44" customHeight="1">
      <c r="A218" s="11" t="s">
        <v>302</v>
      </c>
      <c r="B218" s="11" t="s">
        <v>280</v>
      </c>
      <c r="C218" s="11" t="s">
        <v>956</v>
      </c>
      <c r="D218" s="26" t="s">
        <v>806</v>
      </c>
      <c r="E218" s="26" t="s">
        <v>807</v>
      </c>
      <c r="F218" s="27" t="s">
        <v>884</v>
      </c>
      <c r="G218" s="27" t="s">
        <v>885</v>
      </c>
      <c r="H218" s="11" t="s">
        <v>823</v>
      </c>
      <c r="I218" s="11" t="s">
        <v>762</v>
      </c>
      <c r="J218" s="30">
        <v>12</v>
      </c>
      <c r="K218" s="30">
        <v>26</v>
      </c>
      <c r="L218" s="26"/>
      <c r="M218" s="26"/>
      <c r="N218" s="26"/>
      <c r="O218" s="31">
        <v>46023</v>
      </c>
      <c r="P218" s="31"/>
      <c r="Q218" s="26">
        <v>100</v>
      </c>
      <c r="R218" s="26" t="s">
        <v>69</v>
      </c>
      <c r="S218" s="11"/>
      <c r="T218" s="11" t="s">
        <v>764</v>
      </c>
      <c r="U218" s="11"/>
      <c r="V218" s="11" t="s">
        <v>824</v>
      </c>
      <c r="W218" s="15">
        <f>IF(AND(ISNUMBER(Übersicht!$B$4),Übersicht!$B$4=INT(Übersicht!$B$4),Übersicht!$B$4&gt;=2026,Übersicht!$B$4&lt;=2028),IF(I218="fixedMonthDay",IF(AND(ISNUMBER(J218),J218=INT(J218),J218&gt;=1,J218&lt;=12,ISNUMBER(K218),K218=INT(K218),K218&gt;=1,K218&lt;=31,MONTH(DATE(Übersicht!$B$4,J218,K218))=J218,DAY(DATE(Übersicht!$B$4,J218,K218))=K218,L218="",M218="",N218=""),DATE(Übersicht!$B$4,J218,K218),NA()),IF(I218="easterOffsetDays",IF(AND(ISNUMBER(L218),L218=INT(L218),L218&gt;=-366,L218&lt;=366,J218="",K218="",M218="",N218=""),$AD$23+L218,NA()),IF(I218="nthWeekdayOfMonth",IF(AND(ISNUMBER(J218),J218=INT(J218),J218&gt;=1,J218&lt;=12,ISNUMBER(M218),M218=INT(M218),M218&gt;=1,M218&lt;=7,ISNUMBER(N218),N218=INT(N218),N218&gt;=1,N218&lt;=5,MONTH(DATE(Übersicht!$B$4,J218,1)+MOD(M218-WEEKDAY(DATE(Übersicht!$B$4,J218,1),2),7)+7*(N218-1))=J218,K218="",L218=""),DATE(Übersicht!$B$4,J218,1)+MOD(M218-WEEKDAY(DATE(Übersicht!$B$4,J218,1),2),7)+7*(N218-1),NA()),IF(I218="nthWeekdayOffsetDays",IF(AND(ISNUMBER(J218),J218=INT(J218),J218&gt;=1,J218&lt;=12,ISNUMBER(M218),M218=INT(M218),M218&gt;=1,M218&lt;=7,ISNUMBER(N218),N218=INT(N218),N218&gt;=1,N218&lt;=5,MONTH(DATE(Übersicht!$B$4,J218,1)+MOD(M218-WEEKDAY(DATE(Übersicht!$B$4,J218,1),2),7)+7*(N218-1))=J218,K218="",ISNUMBER(L218),L218=INT(L218),L218&gt;=-366,L218&lt;=366),DATE(Übersicht!$B$4,J218,1)+MOD(M218-WEEKDAY(DATE(Übersicht!$B$4,J218,1),2),7)+7*(N218-1)+L218,NA()),NA())))),NA())</f>
        <v>47113</v>
      </c>
      <c r="X218" s="15">
        <f t="shared" si="3"/>
        <v>47113</v>
      </c>
      <c r="Y218" s="11" t="s">
        <v>957</v>
      </c>
      <c r="Z218" s="11" t="s">
        <v>958</v>
      </c>
      <c r="AA218" s="26" t="s">
        <v>768</v>
      </c>
    </row>
    <row r="219" spans="1:27" ht="44" customHeight="1">
      <c r="A219" s="10" t="s">
        <v>303</v>
      </c>
      <c r="B219" s="10" t="s">
        <v>280</v>
      </c>
      <c r="C219" s="10" t="s">
        <v>956</v>
      </c>
      <c r="D219" s="24" t="s">
        <v>846</v>
      </c>
      <c r="E219" s="24" t="s">
        <v>847</v>
      </c>
      <c r="F219" s="25" t="s">
        <v>862</v>
      </c>
      <c r="G219" s="25" t="s">
        <v>863</v>
      </c>
      <c r="H219" s="10" t="s">
        <v>823</v>
      </c>
      <c r="I219" s="10" t="s">
        <v>762</v>
      </c>
      <c r="J219" s="28">
        <v>5</v>
      </c>
      <c r="K219" s="28">
        <v>1</v>
      </c>
      <c r="L219" s="24"/>
      <c r="M219" s="24"/>
      <c r="N219" s="24"/>
      <c r="O219" s="29">
        <v>46023</v>
      </c>
      <c r="P219" s="29"/>
      <c r="Q219" s="24">
        <v>100</v>
      </c>
      <c r="R219" s="24" t="s">
        <v>69</v>
      </c>
      <c r="S219" s="10"/>
      <c r="T219" s="10" t="s">
        <v>764</v>
      </c>
      <c r="U219" s="10"/>
      <c r="V219" s="10" t="s">
        <v>824</v>
      </c>
      <c r="W219" s="14">
        <f>IF(AND(ISNUMBER(Übersicht!$B$4),Übersicht!$B$4=INT(Übersicht!$B$4),Übersicht!$B$4&gt;=2026,Übersicht!$B$4&lt;=2028),IF(I219="fixedMonthDay",IF(AND(ISNUMBER(J219),J219=INT(J219),J219&gt;=1,J219&lt;=12,ISNUMBER(K219),K219=INT(K219),K219&gt;=1,K219&lt;=31,MONTH(DATE(Übersicht!$B$4,J219,K219))=J219,DAY(DATE(Übersicht!$B$4,J219,K219))=K219,L219="",M219="",N219=""),DATE(Übersicht!$B$4,J219,K219),NA()),IF(I219="easterOffsetDays",IF(AND(ISNUMBER(L219),L219=INT(L219),L219&gt;=-366,L219&lt;=366,J219="",K219="",M219="",N219=""),$AD$23+L219,NA()),IF(I219="nthWeekdayOfMonth",IF(AND(ISNUMBER(J219),J219=INT(J219),J219&gt;=1,J219&lt;=12,ISNUMBER(M219),M219=INT(M219),M219&gt;=1,M219&lt;=7,ISNUMBER(N219),N219=INT(N219),N219&gt;=1,N219&lt;=5,MONTH(DATE(Übersicht!$B$4,J219,1)+MOD(M219-WEEKDAY(DATE(Übersicht!$B$4,J219,1),2),7)+7*(N219-1))=J219,K219="",L219=""),DATE(Übersicht!$B$4,J219,1)+MOD(M219-WEEKDAY(DATE(Übersicht!$B$4,J219,1),2),7)+7*(N219-1),NA()),IF(I219="nthWeekdayOffsetDays",IF(AND(ISNUMBER(J219),J219=INT(J219),J219&gt;=1,J219&lt;=12,ISNUMBER(M219),M219=INT(M219),M219&gt;=1,M219&lt;=7,ISNUMBER(N219),N219=INT(N219),N219&gt;=1,N219&lt;=5,MONTH(DATE(Übersicht!$B$4,J219,1)+MOD(M219-WEEKDAY(DATE(Übersicht!$B$4,J219,1),2),7)+7*(N219-1))=J219,K219="",ISNUMBER(L219),L219=INT(L219),L219&gt;=-366,L219&lt;=366),DATE(Übersicht!$B$4,J219,1)+MOD(M219-WEEKDAY(DATE(Übersicht!$B$4,J219,1),2),7)+7*(N219-1)+L219,NA()),NA())))),NA())</f>
        <v>46874</v>
      </c>
      <c r="X219" s="14">
        <f t="shared" si="3"/>
        <v>46874</v>
      </c>
      <c r="Y219" s="10" t="s">
        <v>957</v>
      </c>
      <c r="Z219" s="10" t="s">
        <v>958</v>
      </c>
      <c r="AA219" s="24" t="s">
        <v>768</v>
      </c>
    </row>
    <row r="220" spans="1:27" ht="44" customHeight="1">
      <c r="A220" s="11" t="s">
        <v>304</v>
      </c>
      <c r="B220" s="11" t="s">
        <v>280</v>
      </c>
      <c r="C220" s="11" t="s">
        <v>956</v>
      </c>
      <c r="D220" s="26" t="s">
        <v>776</v>
      </c>
      <c r="E220" s="26" t="s">
        <v>777</v>
      </c>
      <c r="F220" s="27" t="s">
        <v>919</v>
      </c>
      <c r="G220" s="27" t="s">
        <v>920</v>
      </c>
      <c r="H220" s="11" t="s">
        <v>823</v>
      </c>
      <c r="I220" s="11" t="s">
        <v>762</v>
      </c>
      <c r="J220" s="30">
        <v>1</v>
      </c>
      <c r="K220" s="30">
        <v>2</v>
      </c>
      <c r="L220" s="26"/>
      <c r="M220" s="26"/>
      <c r="N220" s="26"/>
      <c r="O220" s="31">
        <v>46023</v>
      </c>
      <c r="P220" s="31"/>
      <c r="Q220" s="26">
        <v>100</v>
      </c>
      <c r="R220" s="26" t="s">
        <v>69</v>
      </c>
      <c r="S220" s="11"/>
      <c r="T220" s="11" t="s">
        <v>764</v>
      </c>
      <c r="U220" s="11"/>
      <c r="V220" s="11" t="s">
        <v>824</v>
      </c>
      <c r="W220" s="15">
        <f>IF(AND(ISNUMBER(Übersicht!$B$4),Übersicht!$B$4=INT(Übersicht!$B$4),Übersicht!$B$4&gt;=2026,Übersicht!$B$4&lt;=2028),IF(I220="fixedMonthDay",IF(AND(ISNUMBER(J220),J220=INT(J220),J220&gt;=1,J220&lt;=12,ISNUMBER(K220),K220=INT(K220),K220&gt;=1,K220&lt;=31,MONTH(DATE(Übersicht!$B$4,J220,K220))=J220,DAY(DATE(Übersicht!$B$4,J220,K220))=K220,L220="",M220="",N220=""),DATE(Übersicht!$B$4,J220,K220),NA()),IF(I220="easterOffsetDays",IF(AND(ISNUMBER(L220),L220=INT(L220),L220&gt;=-366,L220&lt;=366,J220="",K220="",M220="",N220=""),$AD$23+L220,NA()),IF(I220="nthWeekdayOfMonth",IF(AND(ISNUMBER(J220),J220=INT(J220),J220&gt;=1,J220&lt;=12,ISNUMBER(M220),M220=INT(M220),M220&gt;=1,M220&lt;=7,ISNUMBER(N220),N220=INT(N220),N220&gt;=1,N220&lt;=5,MONTH(DATE(Übersicht!$B$4,J220,1)+MOD(M220-WEEKDAY(DATE(Übersicht!$B$4,J220,1),2),7)+7*(N220-1))=J220,K220="",L220=""),DATE(Übersicht!$B$4,J220,1)+MOD(M220-WEEKDAY(DATE(Übersicht!$B$4,J220,1),2),7)+7*(N220-1),NA()),IF(I220="nthWeekdayOffsetDays",IF(AND(ISNUMBER(J220),J220=INT(J220),J220&gt;=1,J220&lt;=12,ISNUMBER(M220),M220=INT(M220),M220&gt;=1,M220&lt;=7,ISNUMBER(N220),N220=INT(N220),N220&gt;=1,N220&lt;=5,MONTH(DATE(Übersicht!$B$4,J220,1)+MOD(M220-WEEKDAY(DATE(Übersicht!$B$4,J220,1),2),7)+7*(N220-1))=J220,K220="",ISNUMBER(L220),L220=INT(L220),L220&gt;=-366,L220&lt;=366),DATE(Übersicht!$B$4,J220,1)+MOD(M220-WEEKDAY(DATE(Übersicht!$B$4,J220,1),2),7)+7*(N220-1)+L220,NA()),NA())))),NA())</f>
        <v>46754</v>
      </c>
      <c r="X220" s="15">
        <f t="shared" si="3"/>
        <v>46754</v>
      </c>
      <c r="Y220" s="11" t="s">
        <v>957</v>
      </c>
      <c r="Z220" s="11" t="s">
        <v>958</v>
      </c>
      <c r="AA220" s="26" t="s">
        <v>768</v>
      </c>
    </row>
    <row r="221" spans="1:27" ht="44" customHeight="1">
      <c r="A221" s="10" t="s">
        <v>307</v>
      </c>
      <c r="B221" s="10" t="s">
        <v>305</v>
      </c>
      <c r="C221" s="10" t="s">
        <v>959</v>
      </c>
      <c r="D221" s="24" t="s">
        <v>771</v>
      </c>
      <c r="E221" s="24" t="s">
        <v>772</v>
      </c>
      <c r="F221" s="25" t="s">
        <v>849</v>
      </c>
      <c r="G221" s="25" t="s">
        <v>850</v>
      </c>
      <c r="H221" s="10" t="s">
        <v>761</v>
      </c>
      <c r="I221" s="10" t="s">
        <v>762</v>
      </c>
      <c r="J221" s="28">
        <v>1</v>
      </c>
      <c r="K221" s="28">
        <v>1</v>
      </c>
      <c r="L221" s="24"/>
      <c r="M221" s="24"/>
      <c r="N221" s="24"/>
      <c r="O221" s="29">
        <v>46023</v>
      </c>
      <c r="P221" s="29"/>
      <c r="Q221" s="24">
        <v>100</v>
      </c>
      <c r="R221" s="24" t="s">
        <v>69</v>
      </c>
      <c r="S221" s="10"/>
      <c r="T221" s="10" t="s">
        <v>764</v>
      </c>
      <c r="U221" s="10"/>
      <c r="V221" s="10" t="s">
        <v>824</v>
      </c>
      <c r="W221" s="14">
        <f>IF(AND(ISNUMBER(Übersicht!$B$4),Übersicht!$B$4=INT(Übersicht!$B$4),Übersicht!$B$4&gt;=2026,Übersicht!$B$4&lt;=2028),IF(I221="fixedMonthDay",IF(AND(ISNUMBER(J221),J221=INT(J221),J221&gt;=1,J221&lt;=12,ISNUMBER(K221),K221=INT(K221),K221&gt;=1,K221&lt;=31,MONTH(DATE(Übersicht!$B$4,J221,K221))=J221,DAY(DATE(Übersicht!$B$4,J221,K221))=K221,L221="",M221="",N221=""),DATE(Übersicht!$B$4,J221,K221),NA()),IF(I221="easterOffsetDays",IF(AND(ISNUMBER(L221),L221=INT(L221),L221&gt;=-366,L221&lt;=366,J221="",K221="",M221="",N221=""),$AD$23+L221,NA()),IF(I221="nthWeekdayOfMonth",IF(AND(ISNUMBER(J221),J221=INT(J221),J221&gt;=1,J221&lt;=12,ISNUMBER(M221),M221=INT(M221),M221&gt;=1,M221&lt;=7,ISNUMBER(N221),N221=INT(N221),N221&gt;=1,N221&lt;=5,MONTH(DATE(Übersicht!$B$4,J221,1)+MOD(M221-WEEKDAY(DATE(Übersicht!$B$4,J221,1),2),7)+7*(N221-1))=J221,K221="",L221=""),DATE(Übersicht!$B$4,J221,1)+MOD(M221-WEEKDAY(DATE(Übersicht!$B$4,J221,1),2),7)+7*(N221-1),NA()),IF(I221="nthWeekdayOffsetDays",IF(AND(ISNUMBER(J221),J221=INT(J221),J221&gt;=1,J221&lt;=12,ISNUMBER(M221),M221=INT(M221),M221&gt;=1,M221&lt;=7,ISNUMBER(N221),N221=INT(N221),N221&gt;=1,N221&lt;=5,MONTH(DATE(Übersicht!$B$4,J221,1)+MOD(M221-WEEKDAY(DATE(Übersicht!$B$4,J221,1),2),7)+7*(N221-1))=J221,K221="",ISNUMBER(L221),L221=INT(L221),L221&gt;=-366,L221&lt;=366),DATE(Übersicht!$B$4,J221,1)+MOD(M221-WEEKDAY(DATE(Übersicht!$B$4,J221,1),2),7)+7*(N221-1)+L221,NA()),NA())))),NA())</f>
        <v>46753</v>
      </c>
      <c r="X221" s="14">
        <f t="shared" si="3"/>
        <v>46753</v>
      </c>
      <c r="Y221" s="10" t="s">
        <v>960</v>
      </c>
      <c r="Z221" s="10" t="s">
        <v>961</v>
      </c>
      <c r="AA221" s="24" t="s">
        <v>768</v>
      </c>
    </row>
    <row r="222" spans="1:27" ht="44" customHeight="1">
      <c r="A222" s="11" t="s">
        <v>308</v>
      </c>
      <c r="B222" s="11" t="s">
        <v>305</v>
      </c>
      <c r="C222" s="11" t="s">
        <v>959</v>
      </c>
      <c r="D222" s="26" t="s">
        <v>779</v>
      </c>
      <c r="E222" s="26" t="s">
        <v>780</v>
      </c>
      <c r="F222" s="27" t="s">
        <v>889</v>
      </c>
      <c r="G222" s="27" t="s">
        <v>890</v>
      </c>
      <c r="H222" s="11" t="s">
        <v>761</v>
      </c>
      <c r="I222" s="11" t="s">
        <v>781</v>
      </c>
      <c r="J222" s="30"/>
      <c r="K222" s="30"/>
      <c r="L222" s="26">
        <v>-2</v>
      </c>
      <c r="M222" s="26"/>
      <c r="N222" s="26"/>
      <c r="O222" s="31">
        <v>46023</v>
      </c>
      <c r="P222" s="31"/>
      <c r="Q222" s="26">
        <v>100</v>
      </c>
      <c r="R222" s="26" t="s">
        <v>69</v>
      </c>
      <c r="S222" s="11"/>
      <c r="T222" s="11" t="s">
        <v>764</v>
      </c>
      <c r="U222" s="11"/>
      <c r="V222" s="11" t="s">
        <v>824</v>
      </c>
      <c r="W222" s="15">
        <f>IF(AND(ISNUMBER(Übersicht!$B$4),Übersicht!$B$4=INT(Übersicht!$B$4),Übersicht!$B$4&gt;=2026,Übersicht!$B$4&lt;=2028),IF(I222="fixedMonthDay",IF(AND(ISNUMBER(J222),J222=INT(J222),J222&gt;=1,J222&lt;=12,ISNUMBER(K222),K222=INT(K222),K222&gt;=1,K222&lt;=31,MONTH(DATE(Übersicht!$B$4,J222,K222))=J222,DAY(DATE(Übersicht!$B$4,J222,K222))=K222,L222="",M222="",N222=""),DATE(Übersicht!$B$4,J222,K222),NA()),IF(I222="easterOffsetDays",IF(AND(ISNUMBER(L222),L222=INT(L222),L222&gt;=-366,L222&lt;=366,J222="",K222="",M222="",N222=""),$AD$23+L222,NA()),IF(I222="nthWeekdayOfMonth",IF(AND(ISNUMBER(J222),J222=INT(J222),J222&gt;=1,J222&lt;=12,ISNUMBER(M222),M222=INT(M222),M222&gt;=1,M222&lt;=7,ISNUMBER(N222),N222=INT(N222),N222&gt;=1,N222&lt;=5,MONTH(DATE(Übersicht!$B$4,J222,1)+MOD(M222-WEEKDAY(DATE(Übersicht!$B$4,J222,1),2),7)+7*(N222-1))=J222,K222="",L222=""),DATE(Übersicht!$B$4,J222,1)+MOD(M222-WEEKDAY(DATE(Übersicht!$B$4,J222,1),2),7)+7*(N222-1),NA()),IF(I222="nthWeekdayOffsetDays",IF(AND(ISNUMBER(J222),J222=INT(J222),J222&gt;=1,J222&lt;=12,ISNUMBER(M222),M222=INT(M222),M222&gt;=1,M222&lt;=7,ISNUMBER(N222),N222=INT(N222),N222&gt;=1,N222&lt;=5,MONTH(DATE(Übersicht!$B$4,J222,1)+MOD(M222-WEEKDAY(DATE(Übersicht!$B$4,J222,1),2),7)+7*(N222-1))=J222,K222="",ISNUMBER(L222),L222=INT(L222),L222&gt;=-366,L222&lt;=366),DATE(Übersicht!$B$4,J222,1)+MOD(M222-WEEKDAY(DATE(Übersicht!$B$4,J222,1),2),7)+7*(N222-1)+L222,NA()),NA())))),NA())</f>
        <v>46857</v>
      </c>
      <c r="X222" s="15">
        <f t="shared" si="3"/>
        <v>46857</v>
      </c>
      <c r="Y222" s="11" t="s">
        <v>960</v>
      </c>
      <c r="Z222" s="11" t="s">
        <v>961</v>
      </c>
      <c r="AA222" s="26" t="s">
        <v>768</v>
      </c>
    </row>
    <row r="223" spans="1:27" ht="44" customHeight="1">
      <c r="A223" s="10" t="s">
        <v>309</v>
      </c>
      <c r="B223" s="10" t="s">
        <v>305</v>
      </c>
      <c r="C223" s="10" t="s">
        <v>959</v>
      </c>
      <c r="D223" s="24" t="s">
        <v>787</v>
      </c>
      <c r="E223" s="24" t="s">
        <v>788</v>
      </c>
      <c r="F223" s="25" t="s">
        <v>860</v>
      </c>
      <c r="G223" s="25" t="s">
        <v>861</v>
      </c>
      <c r="H223" s="10" t="s">
        <v>761</v>
      </c>
      <c r="I223" s="10" t="s">
        <v>781</v>
      </c>
      <c r="J223" s="28"/>
      <c r="K223" s="28"/>
      <c r="L223" s="24">
        <v>1</v>
      </c>
      <c r="M223" s="24"/>
      <c r="N223" s="24"/>
      <c r="O223" s="29">
        <v>46023</v>
      </c>
      <c r="P223" s="29"/>
      <c r="Q223" s="24">
        <v>100</v>
      </c>
      <c r="R223" s="24" t="s">
        <v>69</v>
      </c>
      <c r="S223" s="10"/>
      <c r="T223" s="10" t="s">
        <v>764</v>
      </c>
      <c r="U223" s="10"/>
      <c r="V223" s="10" t="s">
        <v>824</v>
      </c>
      <c r="W223" s="14">
        <f>IF(AND(ISNUMBER(Übersicht!$B$4),Übersicht!$B$4=INT(Übersicht!$B$4),Übersicht!$B$4&gt;=2026,Übersicht!$B$4&lt;=2028),IF(I223="fixedMonthDay",IF(AND(ISNUMBER(J223),J223=INT(J223),J223&gt;=1,J223&lt;=12,ISNUMBER(K223),K223=INT(K223),K223&gt;=1,K223&lt;=31,MONTH(DATE(Übersicht!$B$4,J223,K223))=J223,DAY(DATE(Übersicht!$B$4,J223,K223))=K223,L223="",M223="",N223=""),DATE(Übersicht!$B$4,J223,K223),NA()),IF(I223="easterOffsetDays",IF(AND(ISNUMBER(L223),L223=INT(L223),L223&gt;=-366,L223&lt;=366,J223="",K223="",M223="",N223=""),$AD$23+L223,NA()),IF(I223="nthWeekdayOfMonth",IF(AND(ISNUMBER(J223),J223=INT(J223),J223&gt;=1,J223&lt;=12,ISNUMBER(M223),M223=INT(M223),M223&gt;=1,M223&lt;=7,ISNUMBER(N223),N223=INT(N223),N223&gt;=1,N223&lt;=5,MONTH(DATE(Übersicht!$B$4,J223,1)+MOD(M223-WEEKDAY(DATE(Übersicht!$B$4,J223,1),2),7)+7*(N223-1))=J223,K223="",L223=""),DATE(Übersicht!$B$4,J223,1)+MOD(M223-WEEKDAY(DATE(Übersicht!$B$4,J223,1),2),7)+7*(N223-1),NA()),IF(I223="nthWeekdayOffsetDays",IF(AND(ISNUMBER(J223),J223=INT(J223),J223&gt;=1,J223&lt;=12,ISNUMBER(M223),M223=INT(M223),M223&gt;=1,M223&lt;=7,ISNUMBER(N223),N223=INT(N223),N223&gt;=1,N223&lt;=5,MONTH(DATE(Übersicht!$B$4,J223,1)+MOD(M223-WEEKDAY(DATE(Übersicht!$B$4,J223,1),2),7)+7*(N223-1))=J223,K223="",ISNUMBER(L223),L223=INT(L223),L223&gt;=-366,L223&lt;=366),DATE(Übersicht!$B$4,J223,1)+MOD(M223-WEEKDAY(DATE(Übersicht!$B$4,J223,1),2),7)+7*(N223-1)+L223,NA()),NA())))),NA())</f>
        <v>46860</v>
      </c>
      <c r="X223" s="14">
        <f t="shared" si="3"/>
        <v>46860</v>
      </c>
      <c r="Y223" s="10" t="s">
        <v>960</v>
      </c>
      <c r="Z223" s="10" t="s">
        <v>961</v>
      </c>
      <c r="AA223" s="24" t="s">
        <v>768</v>
      </c>
    </row>
    <row r="224" spans="1:27" ht="44" customHeight="1">
      <c r="A224" s="11" t="s">
        <v>310</v>
      </c>
      <c r="B224" s="11" t="s">
        <v>305</v>
      </c>
      <c r="C224" s="11" t="s">
        <v>959</v>
      </c>
      <c r="D224" s="26" t="s">
        <v>790</v>
      </c>
      <c r="E224" s="26" t="s">
        <v>791</v>
      </c>
      <c r="F224" s="27" t="s">
        <v>864</v>
      </c>
      <c r="G224" s="27" t="s">
        <v>865</v>
      </c>
      <c r="H224" s="11" t="s">
        <v>761</v>
      </c>
      <c r="I224" s="11" t="s">
        <v>781</v>
      </c>
      <c r="J224" s="30"/>
      <c r="K224" s="30"/>
      <c r="L224" s="26">
        <v>39</v>
      </c>
      <c r="M224" s="26"/>
      <c r="N224" s="26"/>
      <c r="O224" s="31">
        <v>46023</v>
      </c>
      <c r="P224" s="31"/>
      <c r="Q224" s="26">
        <v>100</v>
      </c>
      <c r="R224" s="26" t="s">
        <v>69</v>
      </c>
      <c r="S224" s="11"/>
      <c r="T224" s="11" t="s">
        <v>764</v>
      </c>
      <c r="U224" s="11"/>
      <c r="V224" s="11" t="s">
        <v>824</v>
      </c>
      <c r="W224" s="15">
        <f>IF(AND(ISNUMBER(Übersicht!$B$4),Übersicht!$B$4=INT(Übersicht!$B$4),Übersicht!$B$4&gt;=2026,Übersicht!$B$4&lt;=2028),IF(I224="fixedMonthDay",IF(AND(ISNUMBER(J224),J224=INT(J224),J224&gt;=1,J224&lt;=12,ISNUMBER(K224),K224=INT(K224),K224&gt;=1,K224&lt;=31,MONTH(DATE(Übersicht!$B$4,J224,K224))=J224,DAY(DATE(Übersicht!$B$4,J224,K224))=K224,L224="",M224="",N224=""),DATE(Übersicht!$B$4,J224,K224),NA()),IF(I224="easterOffsetDays",IF(AND(ISNUMBER(L224),L224=INT(L224),L224&gt;=-366,L224&lt;=366,J224="",K224="",M224="",N224=""),$AD$23+L224,NA()),IF(I224="nthWeekdayOfMonth",IF(AND(ISNUMBER(J224),J224=INT(J224),J224&gt;=1,J224&lt;=12,ISNUMBER(M224),M224=INT(M224),M224&gt;=1,M224&lt;=7,ISNUMBER(N224),N224=INT(N224),N224&gt;=1,N224&lt;=5,MONTH(DATE(Übersicht!$B$4,J224,1)+MOD(M224-WEEKDAY(DATE(Übersicht!$B$4,J224,1),2),7)+7*(N224-1))=J224,K224="",L224=""),DATE(Übersicht!$B$4,J224,1)+MOD(M224-WEEKDAY(DATE(Übersicht!$B$4,J224,1),2),7)+7*(N224-1),NA()),IF(I224="nthWeekdayOffsetDays",IF(AND(ISNUMBER(J224),J224=INT(J224),J224&gt;=1,J224&lt;=12,ISNUMBER(M224),M224=INT(M224),M224&gt;=1,M224&lt;=7,ISNUMBER(N224),N224=INT(N224),N224&gt;=1,N224&lt;=5,MONTH(DATE(Übersicht!$B$4,J224,1)+MOD(M224-WEEKDAY(DATE(Übersicht!$B$4,J224,1),2),7)+7*(N224-1))=J224,K224="",ISNUMBER(L224),L224=INT(L224),L224&gt;=-366,L224&lt;=366),DATE(Übersicht!$B$4,J224,1)+MOD(M224-WEEKDAY(DATE(Übersicht!$B$4,J224,1),2),7)+7*(N224-1)+L224,NA()),NA())))),NA())</f>
        <v>46898</v>
      </c>
      <c r="X224" s="15">
        <f t="shared" si="3"/>
        <v>46898</v>
      </c>
      <c r="Y224" s="11" t="s">
        <v>960</v>
      </c>
      <c r="Z224" s="11" t="s">
        <v>961</v>
      </c>
      <c r="AA224" s="26" t="s">
        <v>768</v>
      </c>
    </row>
    <row r="225" spans="1:27" ht="44" customHeight="1">
      <c r="A225" s="10" t="s">
        <v>311</v>
      </c>
      <c r="B225" s="10" t="s">
        <v>305</v>
      </c>
      <c r="C225" s="10" t="s">
        <v>959</v>
      </c>
      <c r="D225" s="24" t="s">
        <v>796</v>
      </c>
      <c r="E225" s="24" t="s">
        <v>797</v>
      </c>
      <c r="F225" s="25" t="s">
        <v>866</v>
      </c>
      <c r="G225" s="25" t="s">
        <v>867</v>
      </c>
      <c r="H225" s="10" t="s">
        <v>761</v>
      </c>
      <c r="I225" s="10" t="s">
        <v>781</v>
      </c>
      <c r="J225" s="28"/>
      <c r="K225" s="28"/>
      <c r="L225" s="24">
        <v>50</v>
      </c>
      <c r="M225" s="24"/>
      <c r="N225" s="24"/>
      <c r="O225" s="29">
        <v>46023</v>
      </c>
      <c r="P225" s="29"/>
      <c r="Q225" s="24">
        <v>100</v>
      </c>
      <c r="R225" s="24" t="s">
        <v>69</v>
      </c>
      <c r="S225" s="10"/>
      <c r="T225" s="10" t="s">
        <v>764</v>
      </c>
      <c r="U225" s="10"/>
      <c r="V225" s="10" t="s">
        <v>824</v>
      </c>
      <c r="W225" s="14">
        <f>IF(AND(ISNUMBER(Übersicht!$B$4),Übersicht!$B$4=INT(Übersicht!$B$4),Übersicht!$B$4&gt;=2026,Übersicht!$B$4&lt;=2028),IF(I225="fixedMonthDay",IF(AND(ISNUMBER(J225),J225=INT(J225),J225&gt;=1,J225&lt;=12,ISNUMBER(K225),K225=INT(K225),K225&gt;=1,K225&lt;=31,MONTH(DATE(Übersicht!$B$4,J225,K225))=J225,DAY(DATE(Übersicht!$B$4,J225,K225))=K225,L225="",M225="",N225=""),DATE(Übersicht!$B$4,J225,K225),NA()),IF(I225="easterOffsetDays",IF(AND(ISNUMBER(L225),L225=INT(L225),L225&gt;=-366,L225&lt;=366,J225="",K225="",M225="",N225=""),$AD$23+L225,NA()),IF(I225="nthWeekdayOfMonth",IF(AND(ISNUMBER(J225),J225=INT(J225),J225&gt;=1,J225&lt;=12,ISNUMBER(M225),M225=INT(M225),M225&gt;=1,M225&lt;=7,ISNUMBER(N225),N225=INT(N225),N225&gt;=1,N225&lt;=5,MONTH(DATE(Übersicht!$B$4,J225,1)+MOD(M225-WEEKDAY(DATE(Übersicht!$B$4,J225,1),2),7)+7*(N225-1))=J225,K225="",L225=""),DATE(Übersicht!$B$4,J225,1)+MOD(M225-WEEKDAY(DATE(Übersicht!$B$4,J225,1),2),7)+7*(N225-1),NA()),IF(I225="nthWeekdayOffsetDays",IF(AND(ISNUMBER(J225),J225=INT(J225),J225&gt;=1,J225&lt;=12,ISNUMBER(M225),M225=INT(M225),M225&gt;=1,M225&lt;=7,ISNUMBER(N225),N225=INT(N225),N225&gt;=1,N225&lt;=5,MONTH(DATE(Übersicht!$B$4,J225,1)+MOD(M225-WEEKDAY(DATE(Übersicht!$B$4,J225,1),2),7)+7*(N225-1))=J225,K225="",ISNUMBER(L225),L225=INT(L225),L225&gt;=-366,L225&lt;=366),DATE(Übersicht!$B$4,J225,1)+MOD(M225-WEEKDAY(DATE(Übersicht!$B$4,J225,1),2),7)+7*(N225-1)+L225,NA()),NA())))),NA())</f>
        <v>46909</v>
      </c>
      <c r="X225" s="14">
        <f t="shared" si="3"/>
        <v>46909</v>
      </c>
      <c r="Y225" s="10" t="s">
        <v>960</v>
      </c>
      <c r="Z225" s="10" t="s">
        <v>961</v>
      </c>
      <c r="AA225" s="24" t="s">
        <v>768</v>
      </c>
    </row>
    <row r="226" spans="1:27" ht="44" customHeight="1">
      <c r="A226" s="11" t="s">
        <v>312</v>
      </c>
      <c r="B226" s="11" t="s">
        <v>305</v>
      </c>
      <c r="C226" s="11" t="s">
        <v>959</v>
      </c>
      <c r="D226" s="26" t="s">
        <v>759</v>
      </c>
      <c r="E226" s="26" t="s">
        <v>760</v>
      </c>
      <c r="F226" s="27" t="s">
        <v>874</v>
      </c>
      <c r="G226" s="27" t="s">
        <v>875</v>
      </c>
      <c r="H226" s="11" t="s">
        <v>761</v>
      </c>
      <c r="I226" s="11" t="s">
        <v>762</v>
      </c>
      <c r="J226" s="30">
        <v>8</v>
      </c>
      <c r="K226" s="30">
        <v>1</v>
      </c>
      <c r="L226" s="26"/>
      <c r="M226" s="26"/>
      <c r="N226" s="26"/>
      <c r="O226" s="31">
        <v>46023</v>
      </c>
      <c r="P226" s="31"/>
      <c r="Q226" s="26">
        <v>100</v>
      </c>
      <c r="R226" s="26" t="s">
        <v>69</v>
      </c>
      <c r="S226" s="11"/>
      <c r="T226" s="11" t="s">
        <v>764</v>
      </c>
      <c r="U226" s="11"/>
      <c r="V226" s="11" t="s">
        <v>824</v>
      </c>
      <c r="W226" s="15">
        <f>IF(AND(ISNUMBER(Übersicht!$B$4),Übersicht!$B$4=INT(Übersicht!$B$4),Übersicht!$B$4&gt;=2026,Übersicht!$B$4&lt;=2028),IF(I226="fixedMonthDay",IF(AND(ISNUMBER(J226),J226=INT(J226),J226&gt;=1,J226&lt;=12,ISNUMBER(K226),K226=INT(K226),K226&gt;=1,K226&lt;=31,MONTH(DATE(Übersicht!$B$4,J226,K226))=J226,DAY(DATE(Übersicht!$B$4,J226,K226))=K226,L226="",M226="",N226=""),DATE(Übersicht!$B$4,J226,K226),NA()),IF(I226="easterOffsetDays",IF(AND(ISNUMBER(L226),L226=INT(L226),L226&gt;=-366,L226&lt;=366,J226="",K226="",M226="",N226=""),$AD$23+L226,NA()),IF(I226="nthWeekdayOfMonth",IF(AND(ISNUMBER(J226),J226=INT(J226),J226&gt;=1,J226&lt;=12,ISNUMBER(M226),M226=INT(M226),M226&gt;=1,M226&lt;=7,ISNUMBER(N226),N226=INT(N226),N226&gt;=1,N226&lt;=5,MONTH(DATE(Übersicht!$B$4,J226,1)+MOD(M226-WEEKDAY(DATE(Übersicht!$B$4,J226,1),2),7)+7*(N226-1))=J226,K226="",L226=""),DATE(Übersicht!$B$4,J226,1)+MOD(M226-WEEKDAY(DATE(Übersicht!$B$4,J226,1),2),7)+7*(N226-1),NA()),IF(I226="nthWeekdayOffsetDays",IF(AND(ISNUMBER(J226),J226=INT(J226),J226&gt;=1,J226&lt;=12,ISNUMBER(M226),M226=INT(M226),M226&gt;=1,M226&lt;=7,ISNUMBER(N226),N226=INT(N226),N226&gt;=1,N226&lt;=5,MONTH(DATE(Übersicht!$B$4,J226,1)+MOD(M226-WEEKDAY(DATE(Übersicht!$B$4,J226,1),2),7)+7*(N226-1))=J226,K226="",ISNUMBER(L226),L226=INT(L226),L226&gt;=-366,L226&lt;=366),DATE(Übersicht!$B$4,J226,1)+MOD(M226-WEEKDAY(DATE(Übersicht!$B$4,J226,1),2),7)+7*(N226-1)+L226,NA()),NA())))),NA())</f>
        <v>46966</v>
      </c>
      <c r="X226" s="15">
        <f t="shared" si="3"/>
        <v>46966</v>
      </c>
      <c r="Y226" s="11" t="s">
        <v>766</v>
      </c>
      <c r="Z226" s="11" t="s">
        <v>955</v>
      </c>
      <c r="AA226" s="26" t="s">
        <v>768</v>
      </c>
    </row>
    <row r="227" spans="1:27" ht="44" customHeight="1">
      <c r="A227" s="10" t="s">
        <v>313</v>
      </c>
      <c r="B227" s="10" t="s">
        <v>305</v>
      </c>
      <c r="C227" s="10" t="s">
        <v>959</v>
      </c>
      <c r="D227" s="24" t="s">
        <v>803</v>
      </c>
      <c r="E227" s="24" t="s">
        <v>804</v>
      </c>
      <c r="F227" s="25" t="s">
        <v>882</v>
      </c>
      <c r="G227" s="25" t="s">
        <v>883</v>
      </c>
      <c r="H227" s="10" t="s">
        <v>761</v>
      </c>
      <c r="I227" s="10" t="s">
        <v>762</v>
      </c>
      <c r="J227" s="28">
        <v>12</v>
      </c>
      <c r="K227" s="28">
        <v>25</v>
      </c>
      <c r="L227" s="24"/>
      <c r="M227" s="24"/>
      <c r="N227" s="24"/>
      <c r="O227" s="29">
        <v>46023</v>
      </c>
      <c r="P227" s="29"/>
      <c r="Q227" s="24">
        <v>100</v>
      </c>
      <c r="R227" s="24" t="s">
        <v>69</v>
      </c>
      <c r="S227" s="10"/>
      <c r="T227" s="10" t="s">
        <v>764</v>
      </c>
      <c r="U227" s="10"/>
      <c r="V227" s="10" t="s">
        <v>824</v>
      </c>
      <c r="W227" s="14">
        <f>IF(AND(ISNUMBER(Übersicht!$B$4),Übersicht!$B$4=INT(Übersicht!$B$4),Übersicht!$B$4&gt;=2026,Übersicht!$B$4&lt;=2028),IF(I227="fixedMonthDay",IF(AND(ISNUMBER(J227),J227=INT(J227),J227&gt;=1,J227&lt;=12,ISNUMBER(K227),K227=INT(K227),K227&gt;=1,K227&lt;=31,MONTH(DATE(Übersicht!$B$4,J227,K227))=J227,DAY(DATE(Übersicht!$B$4,J227,K227))=K227,L227="",M227="",N227=""),DATE(Übersicht!$B$4,J227,K227),NA()),IF(I227="easterOffsetDays",IF(AND(ISNUMBER(L227),L227=INT(L227),L227&gt;=-366,L227&lt;=366,J227="",K227="",M227="",N227=""),$AD$23+L227,NA()),IF(I227="nthWeekdayOfMonth",IF(AND(ISNUMBER(J227),J227=INT(J227),J227&gt;=1,J227&lt;=12,ISNUMBER(M227),M227=INT(M227),M227&gt;=1,M227&lt;=7,ISNUMBER(N227),N227=INT(N227),N227&gt;=1,N227&lt;=5,MONTH(DATE(Übersicht!$B$4,J227,1)+MOD(M227-WEEKDAY(DATE(Übersicht!$B$4,J227,1),2),7)+7*(N227-1))=J227,K227="",L227=""),DATE(Übersicht!$B$4,J227,1)+MOD(M227-WEEKDAY(DATE(Übersicht!$B$4,J227,1),2),7)+7*(N227-1),NA()),IF(I227="nthWeekdayOffsetDays",IF(AND(ISNUMBER(J227),J227=INT(J227),J227&gt;=1,J227&lt;=12,ISNUMBER(M227),M227=INT(M227),M227&gt;=1,M227&lt;=7,ISNUMBER(N227),N227=INT(N227),N227&gt;=1,N227&lt;=5,MONTH(DATE(Übersicht!$B$4,J227,1)+MOD(M227-WEEKDAY(DATE(Übersicht!$B$4,J227,1),2),7)+7*(N227-1))=J227,K227="",ISNUMBER(L227),L227=INT(L227),L227&gt;=-366,L227&lt;=366),DATE(Übersicht!$B$4,J227,1)+MOD(M227-WEEKDAY(DATE(Übersicht!$B$4,J227,1),2),7)+7*(N227-1)+L227,NA()),NA())))),NA())</f>
        <v>47112</v>
      </c>
      <c r="X227" s="14">
        <f t="shared" si="3"/>
        <v>47112</v>
      </c>
      <c r="Y227" s="10" t="s">
        <v>960</v>
      </c>
      <c r="Z227" s="10" t="s">
        <v>961</v>
      </c>
      <c r="AA227" s="24" t="s">
        <v>768</v>
      </c>
    </row>
    <row r="228" spans="1:27" ht="44" customHeight="1">
      <c r="A228" s="11" t="s">
        <v>314</v>
      </c>
      <c r="B228" s="11" t="s">
        <v>305</v>
      </c>
      <c r="C228" s="11" t="s">
        <v>959</v>
      </c>
      <c r="D228" s="26" t="s">
        <v>806</v>
      </c>
      <c r="E228" s="26" t="s">
        <v>807</v>
      </c>
      <c r="F228" s="27" t="s">
        <v>884</v>
      </c>
      <c r="G228" s="27" t="s">
        <v>885</v>
      </c>
      <c r="H228" s="11" t="s">
        <v>761</v>
      </c>
      <c r="I228" s="11" t="s">
        <v>762</v>
      </c>
      <c r="J228" s="30">
        <v>12</v>
      </c>
      <c r="K228" s="30">
        <v>26</v>
      </c>
      <c r="L228" s="26"/>
      <c r="M228" s="26"/>
      <c r="N228" s="26"/>
      <c r="O228" s="31">
        <v>46023</v>
      </c>
      <c r="P228" s="31"/>
      <c r="Q228" s="26">
        <v>100</v>
      </c>
      <c r="R228" s="26" t="s">
        <v>69</v>
      </c>
      <c r="S228" s="11"/>
      <c r="T228" s="11" t="s">
        <v>764</v>
      </c>
      <c r="U228" s="11"/>
      <c r="V228" s="11" t="s">
        <v>824</v>
      </c>
      <c r="W228" s="15">
        <f>IF(AND(ISNUMBER(Übersicht!$B$4),Übersicht!$B$4=INT(Übersicht!$B$4),Übersicht!$B$4&gt;=2026,Übersicht!$B$4&lt;=2028),IF(I228="fixedMonthDay",IF(AND(ISNUMBER(J228),J228=INT(J228),J228&gt;=1,J228&lt;=12,ISNUMBER(K228),K228=INT(K228),K228&gt;=1,K228&lt;=31,MONTH(DATE(Übersicht!$B$4,J228,K228))=J228,DAY(DATE(Übersicht!$B$4,J228,K228))=K228,L228="",M228="",N228=""),DATE(Übersicht!$B$4,J228,K228),NA()),IF(I228="easterOffsetDays",IF(AND(ISNUMBER(L228),L228=INT(L228),L228&gt;=-366,L228&lt;=366,J228="",K228="",M228="",N228=""),$AD$23+L228,NA()),IF(I228="nthWeekdayOfMonth",IF(AND(ISNUMBER(J228),J228=INT(J228),J228&gt;=1,J228&lt;=12,ISNUMBER(M228),M228=INT(M228),M228&gt;=1,M228&lt;=7,ISNUMBER(N228),N228=INT(N228),N228&gt;=1,N228&lt;=5,MONTH(DATE(Übersicht!$B$4,J228,1)+MOD(M228-WEEKDAY(DATE(Übersicht!$B$4,J228,1),2),7)+7*(N228-1))=J228,K228="",L228=""),DATE(Übersicht!$B$4,J228,1)+MOD(M228-WEEKDAY(DATE(Übersicht!$B$4,J228,1),2),7)+7*(N228-1),NA()),IF(I228="nthWeekdayOffsetDays",IF(AND(ISNUMBER(J228),J228=INT(J228),J228&gt;=1,J228&lt;=12,ISNUMBER(M228),M228=INT(M228),M228&gt;=1,M228&lt;=7,ISNUMBER(N228),N228=INT(N228),N228&gt;=1,N228&lt;=5,MONTH(DATE(Übersicht!$B$4,J228,1)+MOD(M228-WEEKDAY(DATE(Übersicht!$B$4,J228,1),2),7)+7*(N228-1))=J228,K228="",ISNUMBER(L228),L228=INT(L228),L228&gt;=-366,L228&lt;=366),DATE(Übersicht!$B$4,J228,1)+MOD(M228-WEEKDAY(DATE(Übersicht!$B$4,J228,1),2),7)+7*(N228-1)+L228,NA()),NA())))),NA())</f>
        <v>47113</v>
      </c>
      <c r="X228" s="15">
        <f t="shared" si="3"/>
        <v>47113</v>
      </c>
      <c r="Y228" s="11" t="s">
        <v>960</v>
      </c>
      <c r="Z228" s="11" t="s">
        <v>961</v>
      </c>
      <c r="AA228" s="26" t="s">
        <v>768</v>
      </c>
    </row>
    <row r="229" spans="1:27" ht="44" customHeight="1">
      <c r="A229" s="10" t="s">
        <v>315</v>
      </c>
      <c r="B229" s="10" t="s">
        <v>305</v>
      </c>
      <c r="C229" s="10" t="s">
        <v>959</v>
      </c>
      <c r="D229" s="24" t="s">
        <v>846</v>
      </c>
      <c r="E229" s="24" t="s">
        <v>847</v>
      </c>
      <c r="F229" s="25" t="s">
        <v>862</v>
      </c>
      <c r="G229" s="25" t="s">
        <v>863</v>
      </c>
      <c r="H229" s="10" t="s">
        <v>761</v>
      </c>
      <c r="I229" s="10" t="s">
        <v>762</v>
      </c>
      <c r="J229" s="28">
        <v>5</v>
      </c>
      <c r="K229" s="28">
        <v>1</v>
      </c>
      <c r="L229" s="24"/>
      <c r="M229" s="24"/>
      <c r="N229" s="24"/>
      <c r="O229" s="29">
        <v>46023</v>
      </c>
      <c r="P229" s="29"/>
      <c r="Q229" s="24">
        <v>100</v>
      </c>
      <c r="R229" s="24" t="s">
        <v>69</v>
      </c>
      <c r="S229" s="10"/>
      <c r="T229" s="10" t="s">
        <v>764</v>
      </c>
      <c r="U229" s="10"/>
      <c r="V229" s="10" t="s">
        <v>824</v>
      </c>
      <c r="W229" s="14">
        <f>IF(AND(ISNUMBER(Übersicht!$B$4),Übersicht!$B$4=INT(Übersicht!$B$4),Übersicht!$B$4&gt;=2026,Übersicht!$B$4&lt;=2028),IF(I229="fixedMonthDay",IF(AND(ISNUMBER(J229),J229=INT(J229),J229&gt;=1,J229&lt;=12,ISNUMBER(K229),K229=INT(K229),K229&gt;=1,K229&lt;=31,MONTH(DATE(Übersicht!$B$4,J229,K229))=J229,DAY(DATE(Übersicht!$B$4,J229,K229))=K229,L229="",M229="",N229=""),DATE(Übersicht!$B$4,J229,K229),NA()),IF(I229="easterOffsetDays",IF(AND(ISNUMBER(L229),L229=INT(L229),L229&gt;=-366,L229&lt;=366,J229="",K229="",M229="",N229=""),$AD$23+L229,NA()),IF(I229="nthWeekdayOfMonth",IF(AND(ISNUMBER(J229),J229=INT(J229),J229&gt;=1,J229&lt;=12,ISNUMBER(M229),M229=INT(M229),M229&gt;=1,M229&lt;=7,ISNUMBER(N229),N229=INT(N229),N229&gt;=1,N229&lt;=5,MONTH(DATE(Übersicht!$B$4,J229,1)+MOD(M229-WEEKDAY(DATE(Übersicht!$B$4,J229,1),2),7)+7*(N229-1))=J229,K229="",L229=""),DATE(Übersicht!$B$4,J229,1)+MOD(M229-WEEKDAY(DATE(Übersicht!$B$4,J229,1),2),7)+7*(N229-1),NA()),IF(I229="nthWeekdayOffsetDays",IF(AND(ISNUMBER(J229),J229=INT(J229),J229&gt;=1,J229&lt;=12,ISNUMBER(M229),M229=INT(M229),M229&gt;=1,M229&lt;=7,ISNUMBER(N229),N229=INT(N229),N229&gt;=1,N229&lt;=5,MONTH(DATE(Übersicht!$B$4,J229,1)+MOD(M229-WEEKDAY(DATE(Übersicht!$B$4,J229,1),2),7)+7*(N229-1))=J229,K229="",ISNUMBER(L229),L229=INT(L229),L229&gt;=-366,L229&lt;=366),DATE(Übersicht!$B$4,J229,1)+MOD(M229-WEEKDAY(DATE(Übersicht!$B$4,J229,1),2),7)+7*(N229-1)+L229,NA()),NA())))),NA())</f>
        <v>46874</v>
      </c>
      <c r="X229" s="14">
        <f t="shared" si="3"/>
        <v>46874</v>
      </c>
      <c r="Y229" s="10" t="s">
        <v>960</v>
      </c>
      <c r="Z229" s="10" t="s">
        <v>961</v>
      </c>
      <c r="AA229" s="24" t="s">
        <v>768</v>
      </c>
    </row>
    <row r="230" spans="1:27" ht="44" customHeight="1">
      <c r="A230" s="11" t="s">
        <v>316</v>
      </c>
      <c r="B230" s="11" t="s">
        <v>305</v>
      </c>
      <c r="C230" s="11" t="s">
        <v>959</v>
      </c>
      <c r="D230" s="26" t="s">
        <v>784</v>
      </c>
      <c r="E230" s="26" t="s">
        <v>785</v>
      </c>
      <c r="F230" s="27" t="s">
        <v>892</v>
      </c>
      <c r="G230" s="27" t="s">
        <v>893</v>
      </c>
      <c r="H230" s="11" t="s">
        <v>761</v>
      </c>
      <c r="I230" s="11" t="s">
        <v>781</v>
      </c>
      <c r="J230" s="30"/>
      <c r="K230" s="30"/>
      <c r="L230" s="26">
        <v>0</v>
      </c>
      <c r="M230" s="26"/>
      <c r="N230" s="26"/>
      <c r="O230" s="31">
        <v>46023</v>
      </c>
      <c r="P230" s="31"/>
      <c r="Q230" s="26">
        <v>100</v>
      </c>
      <c r="R230" s="26" t="s">
        <v>69</v>
      </c>
      <c r="S230" s="11"/>
      <c r="T230" s="11" t="s">
        <v>764</v>
      </c>
      <c r="U230" s="11"/>
      <c r="V230" s="11" t="s">
        <v>824</v>
      </c>
      <c r="W230" s="15">
        <f>IF(AND(ISNUMBER(Übersicht!$B$4),Übersicht!$B$4=INT(Übersicht!$B$4),Übersicht!$B$4&gt;=2026,Übersicht!$B$4&lt;=2028),IF(I230="fixedMonthDay",IF(AND(ISNUMBER(J230),J230=INT(J230),J230&gt;=1,J230&lt;=12,ISNUMBER(K230),K230=INT(K230),K230&gt;=1,K230&lt;=31,MONTH(DATE(Übersicht!$B$4,J230,K230))=J230,DAY(DATE(Übersicht!$B$4,J230,K230))=K230,L230="",M230="",N230=""),DATE(Übersicht!$B$4,J230,K230),NA()),IF(I230="easterOffsetDays",IF(AND(ISNUMBER(L230),L230=INT(L230),L230&gt;=-366,L230&lt;=366,J230="",K230="",M230="",N230=""),$AD$23+L230,NA()),IF(I230="nthWeekdayOfMonth",IF(AND(ISNUMBER(J230),J230=INT(J230),J230&gt;=1,J230&lt;=12,ISNUMBER(M230),M230=INT(M230),M230&gt;=1,M230&lt;=7,ISNUMBER(N230),N230=INT(N230),N230&gt;=1,N230&lt;=5,MONTH(DATE(Übersicht!$B$4,J230,1)+MOD(M230-WEEKDAY(DATE(Übersicht!$B$4,J230,1),2),7)+7*(N230-1))=J230,K230="",L230=""),DATE(Übersicht!$B$4,J230,1)+MOD(M230-WEEKDAY(DATE(Übersicht!$B$4,J230,1),2),7)+7*(N230-1),NA()),IF(I230="nthWeekdayOffsetDays",IF(AND(ISNUMBER(J230),J230=INT(J230),J230&gt;=1,J230&lt;=12,ISNUMBER(M230),M230=INT(M230),M230&gt;=1,M230&lt;=7,ISNUMBER(N230),N230=INT(N230),N230&gt;=1,N230&lt;=5,MONTH(DATE(Übersicht!$B$4,J230,1)+MOD(M230-WEEKDAY(DATE(Übersicht!$B$4,J230,1),2),7)+7*(N230-1))=J230,K230="",ISNUMBER(L230),L230=INT(L230),L230&gt;=-366,L230&lt;=366),DATE(Übersicht!$B$4,J230,1)+MOD(M230-WEEKDAY(DATE(Übersicht!$B$4,J230,1),2),7)+7*(N230-1)+L230,NA()),NA())))),NA())</f>
        <v>46859</v>
      </c>
      <c r="X230" s="15">
        <f t="shared" si="3"/>
        <v>46859</v>
      </c>
      <c r="Y230" s="11" t="s">
        <v>960</v>
      </c>
      <c r="Z230" s="11" t="s">
        <v>961</v>
      </c>
      <c r="AA230" s="26" t="s">
        <v>768</v>
      </c>
    </row>
    <row r="231" spans="1:27" ht="44" customHeight="1">
      <c r="A231" s="10" t="s">
        <v>317</v>
      </c>
      <c r="B231" s="10" t="s">
        <v>305</v>
      </c>
      <c r="C231" s="10" t="s">
        <v>959</v>
      </c>
      <c r="D231" s="24" t="s">
        <v>793</v>
      </c>
      <c r="E231" s="24" t="s">
        <v>794</v>
      </c>
      <c r="F231" s="25" t="s">
        <v>896</v>
      </c>
      <c r="G231" s="25" t="s">
        <v>897</v>
      </c>
      <c r="H231" s="10" t="s">
        <v>761</v>
      </c>
      <c r="I231" s="10" t="s">
        <v>781</v>
      </c>
      <c r="J231" s="28"/>
      <c r="K231" s="28"/>
      <c r="L231" s="24">
        <v>49</v>
      </c>
      <c r="M231" s="24"/>
      <c r="N231" s="24"/>
      <c r="O231" s="29">
        <v>46023</v>
      </c>
      <c r="P231" s="29"/>
      <c r="Q231" s="24">
        <v>100</v>
      </c>
      <c r="R231" s="24" t="s">
        <v>69</v>
      </c>
      <c r="S231" s="10"/>
      <c r="T231" s="10" t="s">
        <v>764</v>
      </c>
      <c r="U231" s="10"/>
      <c r="V231" s="10" t="s">
        <v>824</v>
      </c>
      <c r="W231" s="14">
        <f>IF(AND(ISNUMBER(Übersicht!$B$4),Übersicht!$B$4=INT(Übersicht!$B$4),Übersicht!$B$4&gt;=2026,Übersicht!$B$4&lt;=2028),IF(I231="fixedMonthDay",IF(AND(ISNUMBER(J231),J231=INT(J231),J231&gt;=1,J231&lt;=12,ISNUMBER(K231),K231=INT(K231),K231&gt;=1,K231&lt;=31,MONTH(DATE(Übersicht!$B$4,J231,K231))=J231,DAY(DATE(Übersicht!$B$4,J231,K231))=K231,L231="",M231="",N231=""),DATE(Übersicht!$B$4,J231,K231),NA()),IF(I231="easterOffsetDays",IF(AND(ISNUMBER(L231),L231=INT(L231),L231&gt;=-366,L231&lt;=366,J231="",K231="",M231="",N231=""),$AD$23+L231,NA()),IF(I231="nthWeekdayOfMonth",IF(AND(ISNUMBER(J231),J231=INT(J231),J231&gt;=1,J231&lt;=12,ISNUMBER(M231),M231=INT(M231),M231&gt;=1,M231&lt;=7,ISNUMBER(N231),N231=INT(N231),N231&gt;=1,N231&lt;=5,MONTH(DATE(Übersicht!$B$4,J231,1)+MOD(M231-WEEKDAY(DATE(Übersicht!$B$4,J231,1),2),7)+7*(N231-1))=J231,K231="",L231=""),DATE(Übersicht!$B$4,J231,1)+MOD(M231-WEEKDAY(DATE(Übersicht!$B$4,J231,1),2),7)+7*(N231-1),NA()),IF(I231="nthWeekdayOffsetDays",IF(AND(ISNUMBER(J231),J231=INT(J231),J231&gt;=1,J231&lt;=12,ISNUMBER(M231),M231=INT(M231),M231&gt;=1,M231&lt;=7,ISNUMBER(N231),N231=INT(N231),N231&gt;=1,N231&lt;=5,MONTH(DATE(Übersicht!$B$4,J231,1)+MOD(M231-WEEKDAY(DATE(Übersicht!$B$4,J231,1),2),7)+7*(N231-1))=J231,K231="",ISNUMBER(L231),L231=INT(L231),L231&gt;=-366,L231&lt;=366),DATE(Übersicht!$B$4,J231,1)+MOD(M231-WEEKDAY(DATE(Übersicht!$B$4,J231,1),2),7)+7*(N231-1)+L231,NA()),NA())))),NA())</f>
        <v>46908</v>
      </c>
      <c r="X231" s="14">
        <f t="shared" si="3"/>
        <v>46908</v>
      </c>
      <c r="Y231" s="10" t="s">
        <v>960</v>
      </c>
      <c r="Z231" s="10" t="s">
        <v>961</v>
      </c>
      <c r="AA231" s="24" t="s">
        <v>768</v>
      </c>
    </row>
    <row r="232" spans="1:27" ht="44" customHeight="1">
      <c r="A232" s="11" t="s">
        <v>318</v>
      </c>
      <c r="B232" s="11" t="s">
        <v>305</v>
      </c>
      <c r="C232" s="11" t="s">
        <v>959</v>
      </c>
      <c r="D232" s="26" t="s">
        <v>799</v>
      </c>
      <c r="E232" s="26" t="s">
        <v>800</v>
      </c>
      <c r="F232" s="27" t="s">
        <v>899</v>
      </c>
      <c r="G232" s="27" t="s">
        <v>900</v>
      </c>
      <c r="H232" s="11" t="s">
        <v>761</v>
      </c>
      <c r="I232" s="11" t="s">
        <v>801</v>
      </c>
      <c r="J232" s="30">
        <v>9</v>
      </c>
      <c r="K232" s="30"/>
      <c r="L232" s="26"/>
      <c r="M232" s="26">
        <v>7</v>
      </c>
      <c r="N232" s="26">
        <v>3</v>
      </c>
      <c r="O232" s="31">
        <v>46023</v>
      </c>
      <c r="P232" s="31"/>
      <c r="Q232" s="26">
        <v>100</v>
      </c>
      <c r="R232" s="26" t="s">
        <v>69</v>
      </c>
      <c r="S232" s="11"/>
      <c r="T232" s="11" t="s">
        <v>764</v>
      </c>
      <c r="U232" s="11"/>
      <c r="V232" s="11" t="s">
        <v>824</v>
      </c>
      <c r="W232" s="15">
        <f>IF(AND(ISNUMBER(Übersicht!$B$4),Übersicht!$B$4=INT(Übersicht!$B$4),Übersicht!$B$4&gt;=2026,Übersicht!$B$4&lt;=2028),IF(I232="fixedMonthDay",IF(AND(ISNUMBER(J232),J232=INT(J232),J232&gt;=1,J232&lt;=12,ISNUMBER(K232),K232=INT(K232),K232&gt;=1,K232&lt;=31,MONTH(DATE(Übersicht!$B$4,J232,K232))=J232,DAY(DATE(Übersicht!$B$4,J232,K232))=K232,L232="",M232="",N232=""),DATE(Übersicht!$B$4,J232,K232),NA()),IF(I232="easterOffsetDays",IF(AND(ISNUMBER(L232),L232=INT(L232),L232&gt;=-366,L232&lt;=366,J232="",K232="",M232="",N232=""),$AD$23+L232,NA()),IF(I232="nthWeekdayOfMonth",IF(AND(ISNUMBER(J232),J232=INT(J232),J232&gt;=1,J232&lt;=12,ISNUMBER(M232),M232=INT(M232),M232&gt;=1,M232&lt;=7,ISNUMBER(N232),N232=INT(N232),N232&gt;=1,N232&lt;=5,MONTH(DATE(Übersicht!$B$4,J232,1)+MOD(M232-WEEKDAY(DATE(Übersicht!$B$4,J232,1),2),7)+7*(N232-1))=J232,K232="",L232=""),DATE(Übersicht!$B$4,J232,1)+MOD(M232-WEEKDAY(DATE(Übersicht!$B$4,J232,1),2),7)+7*(N232-1),NA()),IF(I232="nthWeekdayOffsetDays",IF(AND(ISNUMBER(J232),J232=INT(J232),J232&gt;=1,J232&lt;=12,ISNUMBER(M232),M232=INT(M232),M232&gt;=1,M232&lt;=7,ISNUMBER(N232),N232=INT(N232),N232&gt;=1,N232&lt;=5,MONTH(DATE(Übersicht!$B$4,J232,1)+MOD(M232-WEEKDAY(DATE(Übersicht!$B$4,J232,1),2),7)+7*(N232-1))=J232,K232="",ISNUMBER(L232),L232=INT(L232),L232&gt;=-366,L232&lt;=366),DATE(Übersicht!$B$4,J232,1)+MOD(M232-WEEKDAY(DATE(Übersicht!$B$4,J232,1),2),7)+7*(N232-1)+L232,NA()),NA())))),NA())</f>
        <v>47013</v>
      </c>
      <c r="X232" s="15">
        <f t="shared" si="3"/>
        <v>47013</v>
      </c>
      <c r="Y232" s="11" t="s">
        <v>960</v>
      </c>
      <c r="Z232" s="11" t="s">
        <v>961</v>
      </c>
      <c r="AA232" s="26" t="s">
        <v>768</v>
      </c>
    </row>
    <row r="233" spans="1:27" ht="44" customHeight="1">
      <c r="A233" s="10" t="s">
        <v>320</v>
      </c>
      <c r="B233" s="10" t="s">
        <v>305</v>
      </c>
      <c r="C233" s="10" t="s">
        <v>962</v>
      </c>
      <c r="D233" s="24" t="s">
        <v>776</v>
      </c>
      <c r="E233" s="24" t="s">
        <v>777</v>
      </c>
      <c r="F233" s="25" t="s">
        <v>919</v>
      </c>
      <c r="G233" s="25" t="s">
        <v>920</v>
      </c>
      <c r="H233" s="10" t="s">
        <v>823</v>
      </c>
      <c r="I233" s="10" t="s">
        <v>762</v>
      </c>
      <c r="J233" s="28">
        <v>1</v>
      </c>
      <c r="K233" s="28">
        <v>2</v>
      </c>
      <c r="L233" s="24"/>
      <c r="M233" s="24"/>
      <c r="N233" s="24"/>
      <c r="O233" s="29">
        <v>46023</v>
      </c>
      <c r="P233" s="29"/>
      <c r="Q233" s="24">
        <v>100</v>
      </c>
      <c r="R233" s="24" t="s">
        <v>69</v>
      </c>
      <c r="S233" s="10"/>
      <c r="T233" s="10" t="s">
        <v>764</v>
      </c>
      <c r="U233" s="10"/>
      <c r="V233" s="10" t="s">
        <v>824</v>
      </c>
      <c r="W233" s="14">
        <f>IF(AND(ISNUMBER(Übersicht!$B$4),Übersicht!$B$4=INT(Übersicht!$B$4),Übersicht!$B$4&gt;=2026,Übersicht!$B$4&lt;=2028),IF(I233="fixedMonthDay",IF(AND(ISNUMBER(J233),J233=INT(J233),J233&gt;=1,J233&lt;=12,ISNUMBER(K233),K233=INT(K233),K233&gt;=1,K233&lt;=31,MONTH(DATE(Übersicht!$B$4,J233,K233))=J233,DAY(DATE(Übersicht!$B$4,J233,K233))=K233,L233="",M233="",N233=""),DATE(Übersicht!$B$4,J233,K233),NA()),IF(I233="easterOffsetDays",IF(AND(ISNUMBER(L233),L233=INT(L233),L233&gt;=-366,L233&lt;=366,J233="",K233="",M233="",N233=""),$AD$23+L233,NA()),IF(I233="nthWeekdayOfMonth",IF(AND(ISNUMBER(J233),J233=INT(J233),J233&gt;=1,J233&lt;=12,ISNUMBER(M233),M233=INT(M233),M233&gt;=1,M233&lt;=7,ISNUMBER(N233),N233=INT(N233),N233&gt;=1,N233&lt;=5,MONTH(DATE(Übersicht!$B$4,J233,1)+MOD(M233-WEEKDAY(DATE(Übersicht!$B$4,J233,1),2),7)+7*(N233-1))=J233,K233="",L233=""),DATE(Übersicht!$B$4,J233,1)+MOD(M233-WEEKDAY(DATE(Übersicht!$B$4,J233,1),2),7)+7*(N233-1),NA()),IF(I233="nthWeekdayOffsetDays",IF(AND(ISNUMBER(J233),J233=INT(J233),J233&gt;=1,J233&lt;=12,ISNUMBER(M233),M233=INT(M233),M233&gt;=1,M233&lt;=7,ISNUMBER(N233),N233=INT(N233),N233&gt;=1,N233&lt;=5,MONTH(DATE(Übersicht!$B$4,J233,1)+MOD(M233-WEEKDAY(DATE(Übersicht!$B$4,J233,1),2),7)+7*(N233-1))=J233,K233="",ISNUMBER(L233),L233=INT(L233),L233&gt;=-366,L233&lt;=366),DATE(Übersicht!$B$4,J233,1)+MOD(M233-WEEKDAY(DATE(Übersicht!$B$4,J233,1),2),7)+7*(N233-1)+L233,NA()),NA())))),NA())</f>
        <v>46754</v>
      </c>
      <c r="X233" s="14">
        <f t="shared" si="3"/>
        <v>46754</v>
      </c>
      <c r="Y233" s="10" t="s">
        <v>963</v>
      </c>
      <c r="Z233" s="10" t="s">
        <v>964</v>
      </c>
      <c r="AA233" s="24" t="s">
        <v>768</v>
      </c>
    </row>
    <row r="234" spans="1:27" ht="44" customHeight="1">
      <c r="A234" s="11" t="s">
        <v>323</v>
      </c>
      <c r="B234" s="11" t="s">
        <v>321</v>
      </c>
      <c r="C234" s="11" t="s">
        <v>965</v>
      </c>
      <c r="D234" s="26" t="s">
        <v>771</v>
      </c>
      <c r="E234" s="26" t="s">
        <v>772</v>
      </c>
      <c r="F234" s="27" t="s">
        <v>849</v>
      </c>
      <c r="G234" s="27" t="s">
        <v>850</v>
      </c>
      <c r="H234" s="11" t="s">
        <v>761</v>
      </c>
      <c r="I234" s="11" t="s">
        <v>762</v>
      </c>
      <c r="J234" s="30">
        <v>1</v>
      </c>
      <c r="K234" s="30">
        <v>1</v>
      </c>
      <c r="L234" s="26"/>
      <c r="M234" s="26"/>
      <c r="N234" s="26"/>
      <c r="O234" s="31">
        <v>46023</v>
      </c>
      <c r="P234" s="31"/>
      <c r="Q234" s="26">
        <v>100</v>
      </c>
      <c r="R234" s="26" t="s">
        <v>69</v>
      </c>
      <c r="S234" s="11"/>
      <c r="T234" s="11" t="s">
        <v>764</v>
      </c>
      <c r="U234" s="11"/>
      <c r="V234" s="11" t="s">
        <v>824</v>
      </c>
      <c r="W234" s="15">
        <f>IF(AND(ISNUMBER(Übersicht!$B$4),Übersicht!$B$4=INT(Übersicht!$B$4),Übersicht!$B$4&gt;=2026,Übersicht!$B$4&lt;=2028),IF(I234="fixedMonthDay",IF(AND(ISNUMBER(J234),J234=INT(J234),J234&gt;=1,J234&lt;=12,ISNUMBER(K234),K234=INT(K234),K234&gt;=1,K234&lt;=31,MONTH(DATE(Übersicht!$B$4,J234,K234))=J234,DAY(DATE(Übersicht!$B$4,J234,K234))=K234,L234="",M234="",N234=""),DATE(Übersicht!$B$4,J234,K234),NA()),IF(I234="easterOffsetDays",IF(AND(ISNUMBER(L234),L234=INT(L234),L234&gt;=-366,L234&lt;=366,J234="",K234="",M234="",N234=""),$AD$23+L234,NA()),IF(I234="nthWeekdayOfMonth",IF(AND(ISNUMBER(J234),J234=INT(J234),J234&gt;=1,J234&lt;=12,ISNUMBER(M234),M234=INT(M234),M234&gt;=1,M234&lt;=7,ISNUMBER(N234),N234=INT(N234),N234&gt;=1,N234&lt;=5,MONTH(DATE(Übersicht!$B$4,J234,1)+MOD(M234-WEEKDAY(DATE(Übersicht!$B$4,J234,1),2),7)+7*(N234-1))=J234,K234="",L234=""),DATE(Übersicht!$B$4,J234,1)+MOD(M234-WEEKDAY(DATE(Übersicht!$B$4,J234,1),2),7)+7*(N234-1),NA()),IF(I234="nthWeekdayOffsetDays",IF(AND(ISNUMBER(J234),J234=INT(J234),J234&gt;=1,J234&lt;=12,ISNUMBER(M234),M234=INT(M234),M234&gt;=1,M234&lt;=7,ISNUMBER(N234),N234=INT(N234),N234&gt;=1,N234&lt;=5,MONTH(DATE(Übersicht!$B$4,J234,1)+MOD(M234-WEEKDAY(DATE(Übersicht!$B$4,J234,1),2),7)+7*(N234-1))=J234,K234="",ISNUMBER(L234),L234=INT(L234),L234&gt;=-366,L234&lt;=366),DATE(Übersicht!$B$4,J234,1)+MOD(M234-WEEKDAY(DATE(Übersicht!$B$4,J234,1),2),7)+7*(N234-1)+L234,NA()),NA())))),NA())</f>
        <v>46753</v>
      </c>
      <c r="X234" s="15">
        <f t="shared" si="3"/>
        <v>46753</v>
      </c>
      <c r="Y234" s="11" t="s">
        <v>966</v>
      </c>
      <c r="Z234" s="11" t="s">
        <v>967</v>
      </c>
      <c r="AA234" s="26" t="s">
        <v>768</v>
      </c>
    </row>
    <row r="235" spans="1:27" ht="44" customHeight="1">
      <c r="A235" s="10" t="s">
        <v>324</v>
      </c>
      <c r="B235" s="10" t="s">
        <v>321</v>
      </c>
      <c r="C235" s="10" t="s">
        <v>965</v>
      </c>
      <c r="D235" s="24" t="s">
        <v>779</v>
      </c>
      <c r="E235" s="24" t="s">
        <v>780</v>
      </c>
      <c r="F235" s="25" t="s">
        <v>889</v>
      </c>
      <c r="G235" s="25" t="s">
        <v>890</v>
      </c>
      <c r="H235" s="10" t="s">
        <v>761</v>
      </c>
      <c r="I235" s="10" t="s">
        <v>781</v>
      </c>
      <c r="J235" s="28"/>
      <c r="K235" s="28"/>
      <c r="L235" s="24">
        <v>-2</v>
      </c>
      <c r="M235" s="24"/>
      <c r="N235" s="24"/>
      <c r="O235" s="29">
        <v>46023</v>
      </c>
      <c r="P235" s="29"/>
      <c r="Q235" s="24">
        <v>100</v>
      </c>
      <c r="R235" s="24" t="s">
        <v>69</v>
      </c>
      <c r="S235" s="10"/>
      <c r="T235" s="10" t="s">
        <v>764</v>
      </c>
      <c r="U235" s="10"/>
      <c r="V235" s="10" t="s">
        <v>824</v>
      </c>
      <c r="W235" s="14">
        <f>IF(AND(ISNUMBER(Übersicht!$B$4),Übersicht!$B$4=INT(Übersicht!$B$4),Übersicht!$B$4&gt;=2026,Übersicht!$B$4&lt;=2028),IF(I235="fixedMonthDay",IF(AND(ISNUMBER(J235),J235=INT(J235),J235&gt;=1,J235&lt;=12,ISNUMBER(K235),K235=INT(K235),K235&gt;=1,K235&lt;=31,MONTH(DATE(Übersicht!$B$4,J235,K235))=J235,DAY(DATE(Übersicht!$B$4,J235,K235))=K235,L235="",M235="",N235=""),DATE(Übersicht!$B$4,J235,K235),NA()),IF(I235="easterOffsetDays",IF(AND(ISNUMBER(L235),L235=INT(L235),L235&gt;=-366,L235&lt;=366,J235="",K235="",M235="",N235=""),$AD$23+L235,NA()),IF(I235="nthWeekdayOfMonth",IF(AND(ISNUMBER(J235),J235=INT(J235),J235&gt;=1,J235&lt;=12,ISNUMBER(M235),M235=INT(M235),M235&gt;=1,M235&lt;=7,ISNUMBER(N235),N235=INT(N235),N235&gt;=1,N235&lt;=5,MONTH(DATE(Übersicht!$B$4,J235,1)+MOD(M235-WEEKDAY(DATE(Übersicht!$B$4,J235,1),2),7)+7*(N235-1))=J235,K235="",L235=""),DATE(Übersicht!$B$4,J235,1)+MOD(M235-WEEKDAY(DATE(Übersicht!$B$4,J235,1),2),7)+7*(N235-1),NA()),IF(I235="nthWeekdayOffsetDays",IF(AND(ISNUMBER(J235),J235=INT(J235),J235&gt;=1,J235&lt;=12,ISNUMBER(M235),M235=INT(M235),M235&gt;=1,M235&lt;=7,ISNUMBER(N235),N235=INT(N235),N235&gt;=1,N235&lt;=5,MONTH(DATE(Übersicht!$B$4,J235,1)+MOD(M235-WEEKDAY(DATE(Übersicht!$B$4,J235,1),2),7)+7*(N235-1))=J235,K235="",ISNUMBER(L235),L235=INT(L235),L235&gt;=-366,L235&lt;=366),DATE(Übersicht!$B$4,J235,1)+MOD(M235-WEEKDAY(DATE(Übersicht!$B$4,J235,1),2),7)+7*(N235-1)+L235,NA()),NA())))),NA())</f>
        <v>46857</v>
      </c>
      <c r="X235" s="14">
        <f t="shared" si="3"/>
        <v>46857</v>
      </c>
      <c r="Y235" s="10" t="s">
        <v>966</v>
      </c>
      <c r="Z235" s="10" t="s">
        <v>967</v>
      </c>
      <c r="AA235" s="24" t="s">
        <v>768</v>
      </c>
    </row>
    <row r="236" spans="1:27" ht="44" customHeight="1">
      <c r="A236" s="11" t="s">
        <v>325</v>
      </c>
      <c r="B236" s="11" t="s">
        <v>321</v>
      </c>
      <c r="C236" s="11" t="s">
        <v>965</v>
      </c>
      <c r="D236" s="26" t="s">
        <v>787</v>
      </c>
      <c r="E236" s="26" t="s">
        <v>788</v>
      </c>
      <c r="F236" s="27" t="s">
        <v>860</v>
      </c>
      <c r="G236" s="27" t="s">
        <v>861</v>
      </c>
      <c r="H236" s="11" t="s">
        <v>761</v>
      </c>
      <c r="I236" s="11" t="s">
        <v>781</v>
      </c>
      <c r="J236" s="30"/>
      <c r="K236" s="30"/>
      <c r="L236" s="26">
        <v>1</v>
      </c>
      <c r="M236" s="26"/>
      <c r="N236" s="26"/>
      <c r="O236" s="31">
        <v>46023</v>
      </c>
      <c r="P236" s="31"/>
      <c r="Q236" s="26">
        <v>100</v>
      </c>
      <c r="R236" s="26" t="s">
        <v>69</v>
      </c>
      <c r="S236" s="11"/>
      <c r="T236" s="11" t="s">
        <v>764</v>
      </c>
      <c r="U236" s="11"/>
      <c r="V236" s="11" t="s">
        <v>824</v>
      </c>
      <c r="W236" s="15">
        <f>IF(AND(ISNUMBER(Übersicht!$B$4),Übersicht!$B$4=INT(Übersicht!$B$4),Übersicht!$B$4&gt;=2026,Übersicht!$B$4&lt;=2028),IF(I236="fixedMonthDay",IF(AND(ISNUMBER(J236),J236=INT(J236),J236&gt;=1,J236&lt;=12,ISNUMBER(K236),K236=INT(K236),K236&gt;=1,K236&lt;=31,MONTH(DATE(Übersicht!$B$4,J236,K236))=J236,DAY(DATE(Übersicht!$B$4,J236,K236))=K236,L236="",M236="",N236=""),DATE(Übersicht!$B$4,J236,K236),NA()),IF(I236="easterOffsetDays",IF(AND(ISNUMBER(L236),L236=INT(L236),L236&gt;=-366,L236&lt;=366,J236="",K236="",M236="",N236=""),$AD$23+L236,NA()),IF(I236="nthWeekdayOfMonth",IF(AND(ISNUMBER(J236),J236=INT(J236),J236&gt;=1,J236&lt;=12,ISNUMBER(M236),M236=INT(M236),M236&gt;=1,M236&lt;=7,ISNUMBER(N236),N236=INT(N236),N236&gt;=1,N236&lt;=5,MONTH(DATE(Übersicht!$B$4,J236,1)+MOD(M236-WEEKDAY(DATE(Übersicht!$B$4,J236,1),2),7)+7*(N236-1))=J236,K236="",L236=""),DATE(Übersicht!$B$4,J236,1)+MOD(M236-WEEKDAY(DATE(Übersicht!$B$4,J236,1),2),7)+7*(N236-1),NA()),IF(I236="nthWeekdayOffsetDays",IF(AND(ISNUMBER(J236),J236=INT(J236),J236&gt;=1,J236&lt;=12,ISNUMBER(M236),M236=INT(M236),M236&gt;=1,M236&lt;=7,ISNUMBER(N236),N236=INT(N236),N236&gt;=1,N236&lt;=5,MONTH(DATE(Übersicht!$B$4,J236,1)+MOD(M236-WEEKDAY(DATE(Übersicht!$B$4,J236,1),2),7)+7*(N236-1))=J236,K236="",ISNUMBER(L236),L236=INT(L236),L236&gt;=-366,L236&lt;=366),DATE(Übersicht!$B$4,J236,1)+MOD(M236-WEEKDAY(DATE(Übersicht!$B$4,J236,1),2),7)+7*(N236-1)+L236,NA()),NA())))),NA())</f>
        <v>46860</v>
      </c>
      <c r="X236" s="15">
        <f t="shared" si="3"/>
        <v>46860</v>
      </c>
      <c r="Y236" s="11" t="s">
        <v>966</v>
      </c>
      <c r="Z236" s="11" t="s">
        <v>967</v>
      </c>
      <c r="AA236" s="26" t="s">
        <v>768</v>
      </c>
    </row>
    <row r="237" spans="1:27" ht="44" customHeight="1">
      <c r="A237" s="10" t="s">
        <v>326</v>
      </c>
      <c r="B237" s="10" t="s">
        <v>321</v>
      </c>
      <c r="C237" s="10" t="s">
        <v>965</v>
      </c>
      <c r="D237" s="24" t="s">
        <v>790</v>
      </c>
      <c r="E237" s="24" t="s">
        <v>791</v>
      </c>
      <c r="F237" s="25" t="s">
        <v>864</v>
      </c>
      <c r="G237" s="25" t="s">
        <v>865</v>
      </c>
      <c r="H237" s="10" t="s">
        <v>761</v>
      </c>
      <c r="I237" s="10" t="s">
        <v>781</v>
      </c>
      <c r="J237" s="28"/>
      <c r="K237" s="28"/>
      <c r="L237" s="24">
        <v>39</v>
      </c>
      <c r="M237" s="24"/>
      <c r="N237" s="24"/>
      <c r="O237" s="29">
        <v>46023</v>
      </c>
      <c r="P237" s="29"/>
      <c r="Q237" s="24">
        <v>100</v>
      </c>
      <c r="R237" s="24" t="s">
        <v>69</v>
      </c>
      <c r="S237" s="10"/>
      <c r="T237" s="10" t="s">
        <v>764</v>
      </c>
      <c r="U237" s="10"/>
      <c r="V237" s="10" t="s">
        <v>824</v>
      </c>
      <c r="W237" s="14">
        <f>IF(AND(ISNUMBER(Übersicht!$B$4),Übersicht!$B$4=INT(Übersicht!$B$4),Übersicht!$B$4&gt;=2026,Übersicht!$B$4&lt;=2028),IF(I237="fixedMonthDay",IF(AND(ISNUMBER(J237),J237=INT(J237),J237&gt;=1,J237&lt;=12,ISNUMBER(K237),K237=INT(K237),K237&gt;=1,K237&lt;=31,MONTH(DATE(Übersicht!$B$4,J237,K237))=J237,DAY(DATE(Übersicht!$B$4,J237,K237))=K237,L237="",M237="",N237=""),DATE(Übersicht!$B$4,J237,K237),NA()),IF(I237="easterOffsetDays",IF(AND(ISNUMBER(L237),L237=INT(L237),L237&gt;=-366,L237&lt;=366,J237="",K237="",M237="",N237=""),$AD$23+L237,NA()),IF(I237="nthWeekdayOfMonth",IF(AND(ISNUMBER(J237),J237=INT(J237),J237&gt;=1,J237&lt;=12,ISNUMBER(M237),M237=INT(M237),M237&gt;=1,M237&lt;=7,ISNUMBER(N237),N237=INT(N237),N237&gt;=1,N237&lt;=5,MONTH(DATE(Übersicht!$B$4,J237,1)+MOD(M237-WEEKDAY(DATE(Übersicht!$B$4,J237,1),2),7)+7*(N237-1))=J237,K237="",L237=""),DATE(Übersicht!$B$4,J237,1)+MOD(M237-WEEKDAY(DATE(Übersicht!$B$4,J237,1),2),7)+7*(N237-1),NA()),IF(I237="nthWeekdayOffsetDays",IF(AND(ISNUMBER(J237),J237=INT(J237),J237&gt;=1,J237&lt;=12,ISNUMBER(M237),M237=INT(M237),M237&gt;=1,M237&lt;=7,ISNUMBER(N237),N237=INT(N237),N237&gt;=1,N237&lt;=5,MONTH(DATE(Übersicht!$B$4,J237,1)+MOD(M237-WEEKDAY(DATE(Übersicht!$B$4,J237,1),2),7)+7*(N237-1))=J237,K237="",ISNUMBER(L237),L237=INT(L237),L237&gt;=-366,L237&lt;=366),DATE(Übersicht!$B$4,J237,1)+MOD(M237-WEEKDAY(DATE(Übersicht!$B$4,J237,1),2),7)+7*(N237-1)+L237,NA()),NA())))),NA())</f>
        <v>46898</v>
      </c>
      <c r="X237" s="14">
        <f t="shared" si="3"/>
        <v>46898</v>
      </c>
      <c r="Y237" s="10" t="s">
        <v>966</v>
      </c>
      <c r="Z237" s="10" t="s">
        <v>967</v>
      </c>
      <c r="AA237" s="24" t="s">
        <v>768</v>
      </c>
    </row>
    <row r="238" spans="1:27" ht="44" customHeight="1">
      <c r="A238" s="11" t="s">
        <v>327</v>
      </c>
      <c r="B238" s="11" t="s">
        <v>321</v>
      </c>
      <c r="C238" s="11" t="s">
        <v>965</v>
      </c>
      <c r="D238" s="26" t="s">
        <v>796</v>
      </c>
      <c r="E238" s="26" t="s">
        <v>797</v>
      </c>
      <c r="F238" s="27" t="s">
        <v>866</v>
      </c>
      <c r="G238" s="27" t="s">
        <v>867</v>
      </c>
      <c r="H238" s="11" t="s">
        <v>761</v>
      </c>
      <c r="I238" s="11" t="s">
        <v>781</v>
      </c>
      <c r="J238" s="30"/>
      <c r="K238" s="30"/>
      <c r="L238" s="26">
        <v>50</v>
      </c>
      <c r="M238" s="26"/>
      <c r="N238" s="26"/>
      <c r="O238" s="31">
        <v>46023</v>
      </c>
      <c r="P238" s="31"/>
      <c r="Q238" s="26">
        <v>100</v>
      </c>
      <c r="R238" s="26" t="s">
        <v>69</v>
      </c>
      <c r="S238" s="11"/>
      <c r="T238" s="11" t="s">
        <v>764</v>
      </c>
      <c r="U238" s="11"/>
      <c r="V238" s="11" t="s">
        <v>824</v>
      </c>
      <c r="W238" s="15">
        <f>IF(AND(ISNUMBER(Übersicht!$B$4),Übersicht!$B$4=INT(Übersicht!$B$4),Übersicht!$B$4&gt;=2026,Übersicht!$B$4&lt;=2028),IF(I238="fixedMonthDay",IF(AND(ISNUMBER(J238),J238=INT(J238),J238&gt;=1,J238&lt;=12,ISNUMBER(K238),K238=INT(K238),K238&gt;=1,K238&lt;=31,MONTH(DATE(Übersicht!$B$4,J238,K238))=J238,DAY(DATE(Übersicht!$B$4,J238,K238))=K238,L238="",M238="",N238=""),DATE(Übersicht!$B$4,J238,K238),NA()),IF(I238="easterOffsetDays",IF(AND(ISNUMBER(L238),L238=INT(L238),L238&gt;=-366,L238&lt;=366,J238="",K238="",M238="",N238=""),$AD$23+L238,NA()),IF(I238="nthWeekdayOfMonth",IF(AND(ISNUMBER(J238),J238=INT(J238),J238&gt;=1,J238&lt;=12,ISNUMBER(M238),M238=INT(M238),M238&gt;=1,M238&lt;=7,ISNUMBER(N238),N238=INT(N238),N238&gt;=1,N238&lt;=5,MONTH(DATE(Übersicht!$B$4,J238,1)+MOD(M238-WEEKDAY(DATE(Übersicht!$B$4,J238,1),2),7)+7*(N238-1))=J238,K238="",L238=""),DATE(Übersicht!$B$4,J238,1)+MOD(M238-WEEKDAY(DATE(Übersicht!$B$4,J238,1),2),7)+7*(N238-1),NA()),IF(I238="nthWeekdayOffsetDays",IF(AND(ISNUMBER(J238),J238=INT(J238),J238&gt;=1,J238&lt;=12,ISNUMBER(M238),M238=INT(M238),M238&gt;=1,M238&lt;=7,ISNUMBER(N238),N238=INT(N238),N238&gt;=1,N238&lt;=5,MONTH(DATE(Übersicht!$B$4,J238,1)+MOD(M238-WEEKDAY(DATE(Übersicht!$B$4,J238,1),2),7)+7*(N238-1))=J238,K238="",ISNUMBER(L238),L238=INT(L238),L238&gt;=-366,L238&lt;=366),DATE(Übersicht!$B$4,J238,1)+MOD(M238-WEEKDAY(DATE(Übersicht!$B$4,J238,1),2),7)+7*(N238-1)+L238,NA()),NA())))),NA())</f>
        <v>46909</v>
      </c>
      <c r="X238" s="15">
        <f t="shared" si="3"/>
        <v>46909</v>
      </c>
      <c r="Y238" s="11" t="s">
        <v>966</v>
      </c>
      <c r="Z238" s="11" t="s">
        <v>967</v>
      </c>
      <c r="AA238" s="26" t="s">
        <v>768</v>
      </c>
    </row>
    <row r="239" spans="1:27" ht="44" customHeight="1">
      <c r="A239" s="10" t="s">
        <v>328</v>
      </c>
      <c r="B239" s="10" t="s">
        <v>321</v>
      </c>
      <c r="C239" s="10" t="s">
        <v>965</v>
      </c>
      <c r="D239" s="24" t="s">
        <v>759</v>
      </c>
      <c r="E239" s="24" t="s">
        <v>760</v>
      </c>
      <c r="F239" s="25" t="s">
        <v>874</v>
      </c>
      <c r="G239" s="25" t="s">
        <v>875</v>
      </c>
      <c r="H239" s="10" t="s">
        <v>761</v>
      </c>
      <c r="I239" s="10" t="s">
        <v>762</v>
      </c>
      <c r="J239" s="28">
        <v>8</v>
      </c>
      <c r="K239" s="28">
        <v>1</v>
      </c>
      <c r="L239" s="24"/>
      <c r="M239" s="24"/>
      <c r="N239" s="24"/>
      <c r="O239" s="29">
        <v>46023</v>
      </c>
      <c r="P239" s="29"/>
      <c r="Q239" s="24">
        <v>100</v>
      </c>
      <c r="R239" s="24" t="s">
        <v>69</v>
      </c>
      <c r="S239" s="10"/>
      <c r="T239" s="10" t="s">
        <v>764</v>
      </c>
      <c r="U239" s="10"/>
      <c r="V239" s="10" t="s">
        <v>824</v>
      </c>
      <c r="W239" s="14">
        <f>IF(AND(ISNUMBER(Übersicht!$B$4),Übersicht!$B$4=INT(Übersicht!$B$4),Übersicht!$B$4&gt;=2026,Übersicht!$B$4&lt;=2028),IF(I239="fixedMonthDay",IF(AND(ISNUMBER(J239),J239=INT(J239),J239&gt;=1,J239&lt;=12,ISNUMBER(K239),K239=INT(K239),K239&gt;=1,K239&lt;=31,MONTH(DATE(Übersicht!$B$4,J239,K239))=J239,DAY(DATE(Übersicht!$B$4,J239,K239))=K239,L239="",M239="",N239=""),DATE(Übersicht!$B$4,J239,K239),NA()),IF(I239="easterOffsetDays",IF(AND(ISNUMBER(L239),L239=INT(L239),L239&gt;=-366,L239&lt;=366,J239="",K239="",M239="",N239=""),$AD$23+L239,NA()),IF(I239="nthWeekdayOfMonth",IF(AND(ISNUMBER(J239),J239=INT(J239),J239&gt;=1,J239&lt;=12,ISNUMBER(M239),M239=INT(M239),M239&gt;=1,M239&lt;=7,ISNUMBER(N239),N239=INT(N239),N239&gt;=1,N239&lt;=5,MONTH(DATE(Übersicht!$B$4,J239,1)+MOD(M239-WEEKDAY(DATE(Übersicht!$B$4,J239,1),2),7)+7*(N239-1))=J239,K239="",L239=""),DATE(Übersicht!$B$4,J239,1)+MOD(M239-WEEKDAY(DATE(Übersicht!$B$4,J239,1),2),7)+7*(N239-1),NA()),IF(I239="nthWeekdayOffsetDays",IF(AND(ISNUMBER(J239),J239=INT(J239),J239&gt;=1,J239&lt;=12,ISNUMBER(M239),M239=INT(M239),M239&gt;=1,M239&lt;=7,ISNUMBER(N239),N239=INT(N239),N239&gt;=1,N239&lt;=5,MONTH(DATE(Übersicht!$B$4,J239,1)+MOD(M239-WEEKDAY(DATE(Übersicht!$B$4,J239,1),2),7)+7*(N239-1))=J239,K239="",ISNUMBER(L239),L239=INT(L239),L239&gt;=-366,L239&lt;=366),DATE(Übersicht!$B$4,J239,1)+MOD(M239-WEEKDAY(DATE(Übersicht!$B$4,J239,1),2),7)+7*(N239-1)+L239,NA()),NA())))),NA())</f>
        <v>46966</v>
      </c>
      <c r="X239" s="14">
        <f t="shared" si="3"/>
        <v>46966</v>
      </c>
      <c r="Y239" s="10" t="s">
        <v>766</v>
      </c>
      <c r="Z239" s="10" t="s">
        <v>955</v>
      </c>
      <c r="AA239" s="24" t="s">
        <v>768</v>
      </c>
    </row>
    <row r="240" spans="1:27" ht="44" customHeight="1">
      <c r="A240" s="11" t="s">
        <v>329</v>
      </c>
      <c r="B240" s="11" t="s">
        <v>321</v>
      </c>
      <c r="C240" s="11" t="s">
        <v>965</v>
      </c>
      <c r="D240" s="26" t="s">
        <v>803</v>
      </c>
      <c r="E240" s="26" t="s">
        <v>804</v>
      </c>
      <c r="F240" s="27" t="s">
        <v>882</v>
      </c>
      <c r="G240" s="27" t="s">
        <v>883</v>
      </c>
      <c r="H240" s="11" t="s">
        <v>761</v>
      </c>
      <c r="I240" s="11" t="s">
        <v>762</v>
      </c>
      <c r="J240" s="30">
        <v>12</v>
      </c>
      <c r="K240" s="30">
        <v>25</v>
      </c>
      <c r="L240" s="26"/>
      <c r="M240" s="26"/>
      <c r="N240" s="26"/>
      <c r="O240" s="31">
        <v>46023</v>
      </c>
      <c r="P240" s="31"/>
      <c r="Q240" s="26">
        <v>100</v>
      </c>
      <c r="R240" s="26" t="s">
        <v>69</v>
      </c>
      <c r="S240" s="11"/>
      <c r="T240" s="11" t="s">
        <v>764</v>
      </c>
      <c r="U240" s="11"/>
      <c r="V240" s="11" t="s">
        <v>824</v>
      </c>
      <c r="W240" s="15">
        <f>IF(AND(ISNUMBER(Übersicht!$B$4),Übersicht!$B$4=INT(Übersicht!$B$4),Übersicht!$B$4&gt;=2026,Übersicht!$B$4&lt;=2028),IF(I240="fixedMonthDay",IF(AND(ISNUMBER(J240),J240=INT(J240),J240&gt;=1,J240&lt;=12,ISNUMBER(K240),K240=INT(K240),K240&gt;=1,K240&lt;=31,MONTH(DATE(Übersicht!$B$4,J240,K240))=J240,DAY(DATE(Übersicht!$B$4,J240,K240))=K240,L240="",M240="",N240=""),DATE(Übersicht!$B$4,J240,K240),NA()),IF(I240="easterOffsetDays",IF(AND(ISNUMBER(L240),L240=INT(L240),L240&gt;=-366,L240&lt;=366,J240="",K240="",M240="",N240=""),$AD$23+L240,NA()),IF(I240="nthWeekdayOfMonth",IF(AND(ISNUMBER(J240),J240=INT(J240),J240&gt;=1,J240&lt;=12,ISNUMBER(M240),M240=INT(M240),M240&gt;=1,M240&lt;=7,ISNUMBER(N240),N240=INT(N240),N240&gt;=1,N240&lt;=5,MONTH(DATE(Übersicht!$B$4,J240,1)+MOD(M240-WEEKDAY(DATE(Übersicht!$B$4,J240,1),2),7)+7*(N240-1))=J240,K240="",L240=""),DATE(Übersicht!$B$4,J240,1)+MOD(M240-WEEKDAY(DATE(Übersicht!$B$4,J240,1),2),7)+7*(N240-1),NA()),IF(I240="nthWeekdayOffsetDays",IF(AND(ISNUMBER(J240),J240=INT(J240),J240&gt;=1,J240&lt;=12,ISNUMBER(M240),M240=INT(M240),M240&gt;=1,M240&lt;=7,ISNUMBER(N240),N240=INT(N240),N240&gt;=1,N240&lt;=5,MONTH(DATE(Übersicht!$B$4,J240,1)+MOD(M240-WEEKDAY(DATE(Übersicht!$B$4,J240,1),2),7)+7*(N240-1))=J240,K240="",ISNUMBER(L240),L240=INT(L240),L240&gt;=-366,L240&lt;=366),DATE(Übersicht!$B$4,J240,1)+MOD(M240-WEEKDAY(DATE(Übersicht!$B$4,J240,1),2),7)+7*(N240-1)+L240,NA()),NA())))),NA())</f>
        <v>47112</v>
      </c>
      <c r="X240" s="15">
        <f t="shared" si="3"/>
        <v>47112</v>
      </c>
      <c r="Y240" s="11" t="s">
        <v>966</v>
      </c>
      <c r="Z240" s="11" t="s">
        <v>967</v>
      </c>
      <c r="AA240" s="26" t="s">
        <v>768</v>
      </c>
    </row>
    <row r="241" spans="1:27" ht="44" customHeight="1">
      <c r="A241" s="10" t="s">
        <v>330</v>
      </c>
      <c r="B241" s="10" t="s">
        <v>321</v>
      </c>
      <c r="C241" s="10" t="s">
        <v>965</v>
      </c>
      <c r="D241" s="24" t="s">
        <v>806</v>
      </c>
      <c r="E241" s="24" t="s">
        <v>807</v>
      </c>
      <c r="F241" s="25" t="s">
        <v>884</v>
      </c>
      <c r="G241" s="25" t="s">
        <v>885</v>
      </c>
      <c r="H241" s="10" t="s">
        <v>761</v>
      </c>
      <c r="I241" s="10" t="s">
        <v>762</v>
      </c>
      <c r="J241" s="28">
        <v>12</v>
      </c>
      <c r="K241" s="28">
        <v>26</v>
      </c>
      <c r="L241" s="24"/>
      <c r="M241" s="24"/>
      <c r="N241" s="24"/>
      <c r="O241" s="29">
        <v>46023</v>
      </c>
      <c r="P241" s="29"/>
      <c r="Q241" s="24">
        <v>100</v>
      </c>
      <c r="R241" s="24" t="s">
        <v>69</v>
      </c>
      <c r="S241" s="10"/>
      <c r="T241" s="10" t="s">
        <v>764</v>
      </c>
      <c r="U241" s="10"/>
      <c r="V241" s="10" t="s">
        <v>824</v>
      </c>
      <c r="W241" s="14">
        <f>IF(AND(ISNUMBER(Übersicht!$B$4),Übersicht!$B$4=INT(Übersicht!$B$4),Übersicht!$B$4&gt;=2026,Übersicht!$B$4&lt;=2028),IF(I241="fixedMonthDay",IF(AND(ISNUMBER(J241),J241=INT(J241),J241&gt;=1,J241&lt;=12,ISNUMBER(K241),K241=INT(K241),K241&gt;=1,K241&lt;=31,MONTH(DATE(Übersicht!$B$4,J241,K241))=J241,DAY(DATE(Übersicht!$B$4,J241,K241))=K241,L241="",M241="",N241=""),DATE(Übersicht!$B$4,J241,K241),NA()),IF(I241="easterOffsetDays",IF(AND(ISNUMBER(L241),L241=INT(L241),L241&gt;=-366,L241&lt;=366,J241="",K241="",M241="",N241=""),$AD$23+L241,NA()),IF(I241="nthWeekdayOfMonth",IF(AND(ISNUMBER(J241),J241=INT(J241),J241&gt;=1,J241&lt;=12,ISNUMBER(M241),M241=INT(M241),M241&gt;=1,M241&lt;=7,ISNUMBER(N241),N241=INT(N241),N241&gt;=1,N241&lt;=5,MONTH(DATE(Übersicht!$B$4,J241,1)+MOD(M241-WEEKDAY(DATE(Übersicht!$B$4,J241,1),2),7)+7*(N241-1))=J241,K241="",L241=""),DATE(Übersicht!$B$4,J241,1)+MOD(M241-WEEKDAY(DATE(Übersicht!$B$4,J241,1),2),7)+7*(N241-1),NA()),IF(I241="nthWeekdayOffsetDays",IF(AND(ISNUMBER(J241),J241=INT(J241),J241&gt;=1,J241&lt;=12,ISNUMBER(M241),M241=INT(M241),M241&gt;=1,M241&lt;=7,ISNUMBER(N241),N241=INT(N241),N241&gt;=1,N241&lt;=5,MONTH(DATE(Übersicht!$B$4,J241,1)+MOD(M241-WEEKDAY(DATE(Übersicht!$B$4,J241,1),2),7)+7*(N241-1))=J241,K241="",ISNUMBER(L241),L241=INT(L241),L241&gt;=-366,L241&lt;=366),DATE(Übersicht!$B$4,J241,1)+MOD(M241-WEEKDAY(DATE(Übersicht!$B$4,J241,1),2),7)+7*(N241-1)+L241,NA()),NA())))),NA())</f>
        <v>47113</v>
      </c>
      <c r="X241" s="14">
        <f t="shared" si="3"/>
        <v>47113</v>
      </c>
      <c r="Y241" s="10" t="s">
        <v>966</v>
      </c>
      <c r="Z241" s="10" t="s">
        <v>967</v>
      </c>
      <c r="AA241" s="24" t="s">
        <v>768</v>
      </c>
    </row>
    <row r="242" spans="1:27" ht="44" customHeight="1">
      <c r="A242" s="11" t="s">
        <v>331</v>
      </c>
      <c r="B242" s="11" t="s">
        <v>321</v>
      </c>
      <c r="C242" s="11" t="s">
        <v>965</v>
      </c>
      <c r="D242" s="26" t="s">
        <v>846</v>
      </c>
      <c r="E242" s="26" t="s">
        <v>847</v>
      </c>
      <c r="F242" s="27" t="s">
        <v>862</v>
      </c>
      <c r="G242" s="27" t="s">
        <v>863</v>
      </c>
      <c r="H242" s="11" t="s">
        <v>761</v>
      </c>
      <c r="I242" s="11" t="s">
        <v>762</v>
      </c>
      <c r="J242" s="30">
        <v>5</v>
      </c>
      <c r="K242" s="30">
        <v>1</v>
      </c>
      <c r="L242" s="26"/>
      <c r="M242" s="26"/>
      <c r="N242" s="26"/>
      <c r="O242" s="31">
        <v>46023</v>
      </c>
      <c r="P242" s="31"/>
      <c r="Q242" s="26">
        <v>100</v>
      </c>
      <c r="R242" s="26" t="s">
        <v>69</v>
      </c>
      <c r="S242" s="11"/>
      <c r="T242" s="11" t="s">
        <v>764</v>
      </c>
      <c r="U242" s="11"/>
      <c r="V242" s="11" t="s">
        <v>824</v>
      </c>
      <c r="W242" s="15">
        <f>IF(AND(ISNUMBER(Übersicht!$B$4),Übersicht!$B$4=INT(Übersicht!$B$4),Übersicht!$B$4&gt;=2026,Übersicht!$B$4&lt;=2028),IF(I242="fixedMonthDay",IF(AND(ISNUMBER(J242),J242=INT(J242),J242&gt;=1,J242&lt;=12,ISNUMBER(K242),K242=INT(K242),K242&gt;=1,K242&lt;=31,MONTH(DATE(Übersicht!$B$4,J242,K242))=J242,DAY(DATE(Übersicht!$B$4,J242,K242))=K242,L242="",M242="",N242=""),DATE(Übersicht!$B$4,J242,K242),NA()),IF(I242="easterOffsetDays",IF(AND(ISNUMBER(L242),L242=INT(L242),L242&gt;=-366,L242&lt;=366,J242="",K242="",M242="",N242=""),$AD$23+L242,NA()),IF(I242="nthWeekdayOfMonth",IF(AND(ISNUMBER(J242),J242=INT(J242),J242&gt;=1,J242&lt;=12,ISNUMBER(M242),M242=INT(M242),M242&gt;=1,M242&lt;=7,ISNUMBER(N242),N242=INT(N242),N242&gt;=1,N242&lt;=5,MONTH(DATE(Übersicht!$B$4,J242,1)+MOD(M242-WEEKDAY(DATE(Übersicht!$B$4,J242,1),2),7)+7*(N242-1))=J242,K242="",L242=""),DATE(Übersicht!$B$4,J242,1)+MOD(M242-WEEKDAY(DATE(Übersicht!$B$4,J242,1),2),7)+7*(N242-1),NA()),IF(I242="nthWeekdayOffsetDays",IF(AND(ISNUMBER(J242),J242=INT(J242),J242&gt;=1,J242&lt;=12,ISNUMBER(M242),M242=INT(M242),M242&gt;=1,M242&lt;=7,ISNUMBER(N242),N242=INT(N242),N242&gt;=1,N242&lt;=5,MONTH(DATE(Übersicht!$B$4,J242,1)+MOD(M242-WEEKDAY(DATE(Übersicht!$B$4,J242,1),2),7)+7*(N242-1))=J242,K242="",ISNUMBER(L242),L242=INT(L242),L242&gt;=-366,L242&lt;=366),DATE(Übersicht!$B$4,J242,1)+MOD(M242-WEEKDAY(DATE(Übersicht!$B$4,J242,1),2),7)+7*(N242-1)+L242,NA()),NA())))),NA())</f>
        <v>46874</v>
      </c>
      <c r="X242" s="15">
        <f t="shared" si="3"/>
        <v>46874</v>
      </c>
      <c r="Y242" s="11" t="s">
        <v>966</v>
      </c>
      <c r="Z242" s="11" t="s">
        <v>967</v>
      </c>
      <c r="AA242" s="26" t="s">
        <v>768</v>
      </c>
    </row>
    <row r="243" spans="1:27" ht="44" customHeight="1">
      <c r="A243" s="10" t="s">
        <v>332</v>
      </c>
      <c r="B243" s="10" t="s">
        <v>321</v>
      </c>
      <c r="C243" s="10" t="s">
        <v>965</v>
      </c>
      <c r="D243" s="24" t="s">
        <v>776</v>
      </c>
      <c r="E243" s="24" t="s">
        <v>777</v>
      </c>
      <c r="F243" s="25" t="s">
        <v>919</v>
      </c>
      <c r="G243" s="25" t="s">
        <v>920</v>
      </c>
      <c r="H243" s="10" t="s">
        <v>761</v>
      </c>
      <c r="I243" s="10" t="s">
        <v>762</v>
      </c>
      <c r="J243" s="28">
        <v>1</v>
      </c>
      <c r="K243" s="28">
        <v>2</v>
      </c>
      <c r="L243" s="24"/>
      <c r="M243" s="24"/>
      <c r="N243" s="24"/>
      <c r="O243" s="29">
        <v>46023</v>
      </c>
      <c r="P243" s="29"/>
      <c r="Q243" s="24">
        <v>100</v>
      </c>
      <c r="R243" s="24" t="s">
        <v>69</v>
      </c>
      <c r="S243" s="10"/>
      <c r="T243" s="10" t="s">
        <v>764</v>
      </c>
      <c r="U243" s="10"/>
      <c r="V243" s="10" t="s">
        <v>824</v>
      </c>
      <c r="W243" s="14">
        <f>IF(AND(ISNUMBER(Übersicht!$B$4),Übersicht!$B$4=INT(Übersicht!$B$4),Übersicht!$B$4&gt;=2026,Übersicht!$B$4&lt;=2028),IF(I243="fixedMonthDay",IF(AND(ISNUMBER(J243),J243=INT(J243),J243&gt;=1,J243&lt;=12,ISNUMBER(K243),K243=INT(K243),K243&gt;=1,K243&lt;=31,MONTH(DATE(Übersicht!$B$4,J243,K243))=J243,DAY(DATE(Übersicht!$B$4,J243,K243))=K243,L243="",M243="",N243=""),DATE(Übersicht!$B$4,J243,K243),NA()),IF(I243="easterOffsetDays",IF(AND(ISNUMBER(L243),L243=INT(L243),L243&gt;=-366,L243&lt;=366,J243="",K243="",M243="",N243=""),$AD$23+L243,NA()),IF(I243="nthWeekdayOfMonth",IF(AND(ISNUMBER(J243),J243=INT(J243),J243&gt;=1,J243&lt;=12,ISNUMBER(M243),M243=INT(M243),M243&gt;=1,M243&lt;=7,ISNUMBER(N243),N243=INT(N243),N243&gt;=1,N243&lt;=5,MONTH(DATE(Übersicht!$B$4,J243,1)+MOD(M243-WEEKDAY(DATE(Übersicht!$B$4,J243,1),2),7)+7*(N243-1))=J243,K243="",L243=""),DATE(Übersicht!$B$4,J243,1)+MOD(M243-WEEKDAY(DATE(Übersicht!$B$4,J243,1),2),7)+7*(N243-1),NA()),IF(I243="nthWeekdayOffsetDays",IF(AND(ISNUMBER(J243),J243=INT(J243),J243&gt;=1,J243&lt;=12,ISNUMBER(M243),M243=INT(M243),M243&gt;=1,M243&lt;=7,ISNUMBER(N243),N243=INT(N243),N243&gt;=1,N243&lt;=5,MONTH(DATE(Übersicht!$B$4,J243,1)+MOD(M243-WEEKDAY(DATE(Übersicht!$B$4,J243,1),2),7)+7*(N243-1))=J243,K243="",ISNUMBER(L243),L243=INT(L243),L243&gt;=-366,L243&lt;=366),DATE(Übersicht!$B$4,J243,1)+MOD(M243-WEEKDAY(DATE(Übersicht!$B$4,J243,1),2),7)+7*(N243-1)+L243,NA()),NA())))),NA())</f>
        <v>46754</v>
      </c>
      <c r="X243" s="14">
        <f t="shared" si="3"/>
        <v>46754</v>
      </c>
      <c r="Y243" s="10" t="s">
        <v>966</v>
      </c>
      <c r="Z243" s="10" t="s">
        <v>967</v>
      </c>
      <c r="AA243" s="24" t="s">
        <v>768</v>
      </c>
    </row>
    <row r="244" spans="1:27" ht="44" customHeight="1">
      <c r="A244" s="11" t="s">
        <v>333</v>
      </c>
      <c r="B244" s="11" t="s">
        <v>321</v>
      </c>
      <c r="C244" s="11" t="s">
        <v>965</v>
      </c>
      <c r="D244" s="26" t="s">
        <v>784</v>
      </c>
      <c r="E244" s="26" t="s">
        <v>785</v>
      </c>
      <c r="F244" s="27" t="s">
        <v>892</v>
      </c>
      <c r="G244" s="27" t="s">
        <v>893</v>
      </c>
      <c r="H244" s="11" t="s">
        <v>761</v>
      </c>
      <c r="I244" s="11" t="s">
        <v>781</v>
      </c>
      <c r="J244" s="30"/>
      <c r="K244" s="30"/>
      <c r="L244" s="26">
        <v>0</v>
      </c>
      <c r="M244" s="26"/>
      <c r="N244" s="26"/>
      <c r="O244" s="31">
        <v>46023</v>
      </c>
      <c r="P244" s="31"/>
      <c r="Q244" s="26">
        <v>100</v>
      </c>
      <c r="R244" s="26" t="s">
        <v>69</v>
      </c>
      <c r="S244" s="11"/>
      <c r="T244" s="11" t="s">
        <v>764</v>
      </c>
      <c r="U244" s="11"/>
      <c r="V244" s="11" t="s">
        <v>824</v>
      </c>
      <c r="W244" s="15">
        <f>IF(AND(ISNUMBER(Übersicht!$B$4),Übersicht!$B$4=INT(Übersicht!$B$4),Übersicht!$B$4&gt;=2026,Übersicht!$B$4&lt;=2028),IF(I244="fixedMonthDay",IF(AND(ISNUMBER(J244),J244=INT(J244),J244&gt;=1,J244&lt;=12,ISNUMBER(K244),K244=INT(K244),K244&gt;=1,K244&lt;=31,MONTH(DATE(Übersicht!$B$4,J244,K244))=J244,DAY(DATE(Übersicht!$B$4,J244,K244))=K244,L244="",M244="",N244=""),DATE(Übersicht!$B$4,J244,K244),NA()),IF(I244="easterOffsetDays",IF(AND(ISNUMBER(L244),L244=INT(L244),L244&gt;=-366,L244&lt;=366,J244="",K244="",M244="",N244=""),$AD$23+L244,NA()),IF(I244="nthWeekdayOfMonth",IF(AND(ISNUMBER(J244),J244=INT(J244),J244&gt;=1,J244&lt;=12,ISNUMBER(M244),M244=INT(M244),M244&gt;=1,M244&lt;=7,ISNUMBER(N244),N244=INT(N244),N244&gt;=1,N244&lt;=5,MONTH(DATE(Übersicht!$B$4,J244,1)+MOD(M244-WEEKDAY(DATE(Übersicht!$B$4,J244,1),2),7)+7*(N244-1))=J244,K244="",L244=""),DATE(Übersicht!$B$4,J244,1)+MOD(M244-WEEKDAY(DATE(Übersicht!$B$4,J244,1),2),7)+7*(N244-1),NA()),IF(I244="nthWeekdayOffsetDays",IF(AND(ISNUMBER(J244),J244=INT(J244),J244&gt;=1,J244&lt;=12,ISNUMBER(M244),M244=INT(M244),M244&gt;=1,M244&lt;=7,ISNUMBER(N244),N244=INT(N244),N244&gt;=1,N244&lt;=5,MONTH(DATE(Übersicht!$B$4,J244,1)+MOD(M244-WEEKDAY(DATE(Übersicht!$B$4,J244,1),2),7)+7*(N244-1))=J244,K244="",ISNUMBER(L244),L244=INT(L244),L244&gt;=-366,L244&lt;=366),DATE(Übersicht!$B$4,J244,1)+MOD(M244-WEEKDAY(DATE(Übersicht!$B$4,J244,1),2),7)+7*(N244-1)+L244,NA()),NA())))),NA())</f>
        <v>46859</v>
      </c>
      <c r="X244" s="15">
        <f t="shared" si="3"/>
        <v>46859</v>
      </c>
      <c r="Y244" s="11" t="s">
        <v>966</v>
      </c>
      <c r="Z244" s="11" t="s">
        <v>967</v>
      </c>
      <c r="AA244" s="26" t="s">
        <v>768</v>
      </c>
    </row>
    <row r="245" spans="1:27" ht="44" customHeight="1">
      <c r="A245" s="10" t="s">
        <v>334</v>
      </c>
      <c r="B245" s="10" t="s">
        <v>321</v>
      </c>
      <c r="C245" s="10" t="s">
        <v>965</v>
      </c>
      <c r="D245" s="24" t="s">
        <v>793</v>
      </c>
      <c r="E245" s="24" t="s">
        <v>794</v>
      </c>
      <c r="F245" s="25" t="s">
        <v>896</v>
      </c>
      <c r="G245" s="25" t="s">
        <v>897</v>
      </c>
      <c r="H245" s="10" t="s">
        <v>761</v>
      </c>
      <c r="I245" s="10" t="s">
        <v>781</v>
      </c>
      <c r="J245" s="28"/>
      <c r="K245" s="28"/>
      <c r="L245" s="24">
        <v>49</v>
      </c>
      <c r="M245" s="24"/>
      <c r="N245" s="24"/>
      <c r="O245" s="29">
        <v>46023</v>
      </c>
      <c r="P245" s="29"/>
      <c r="Q245" s="24">
        <v>100</v>
      </c>
      <c r="R245" s="24" t="s">
        <v>69</v>
      </c>
      <c r="S245" s="10"/>
      <c r="T245" s="10" t="s">
        <v>764</v>
      </c>
      <c r="U245" s="10"/>
      <c r="V245" s="10" t="s">
        <v>824</v>
      </c>
      <c r="W245" s="14">
        <f>IF(AND(ISNUMBER(Übersicht!$B$4),Übersicht!$B$4=INT(Übersicht!$B$4),Übersicht!$B$4&gt;=2026,Übersicht!$B$4&lt;=2028),IF(I245="fixedMonthDay",IF(AND(ISNUMBER(J245),J245=INT(J245),J245&gt;=1,J245&lt;=12,ISNUMBER(K245),K245=INT(K245),K245&gt;=1,K245&lt;=31,MONTH(DATE(Übersicht!$B$4,J245,K245))=J245,DAY(DATE(Übersicht!$B$4,J245,K245))=K245,L245="",M245="",N245=""),DATE(Übersicht!$B$4,J245,K245),NA()),IF(I245="easterOffsetDays",IF(AND(ISNUMBER(L245),L245=INT(L245),L245&gt;=-366,L245&lt;=366,J245="",K245="",M245="",N245=""),$AD$23+L245,NA()),IF(I245="nthWeekdayOfMonth",IF(AND(ISNUMBER(J245),J245=INT(J245),J245&gt;=1,J245&lt;=12,ISNUMBER(M245),M245=INT(M245),M245&gt;=1,M245&lt;=7,ISNUMBER(N245),N245=INT(N245),N245&gt;=1,N245&lt;=5,MONTH(DATE(Übersicht!$B$4,J245,1)+MOD(M245-WEEKDAY(DATE(Übersicht!$B$4,J245,1),2),7)+7*(N245-1))=J245,K245="",L245=""),DATE(Übersicht!$B$4,J245,1)+MOD(M245-WEEKDAY(DATE(Übersicht!$B$4,J245,1),2),7)+7*(N245-1),NA()),IF(I245="nthWeekdayOffsetDays",IF(AND(ISNUMBER(J245),J245=INT(J245),J245&gt;=1,J245&lt;=12,ISNUMBER(M245),M245=INT(M245),M245&gt;=1,M245&lt;=7,ISNUMBER(N245),N245=INT(N245),N245&gt;=1,N245&lt;=5,MONTH(DATE(Übersicht!$B$4,J245,1)+MOD(M245-WEEKDAY(DATE(Übersicht!$B$4,J245,1),2),7)+7*(N245-1))=J245,K245="",ISNUMBER(L245),L245=INT(L245),L245&gt;=-366,L245&lt;=366),DATE(Übersicht!$B$4,J245,1)+MOD(M245-WEEKDAY(DATE(Übersicht!$B$4,J245,1),2),7)+7*(N245-1)+L245,NA()),NA())))),NA())</f>
        <v>46908</v>
      </c>
      <c r="X245" s="14">
        <f t="shared" si="3"/>
        <v>46908</v>
      </c>
      <c r="Y245" s="10" t="s">
        <v>966</v>
      </c>
      <c r="Z245" s="10" t="s">
        <v>967</v>
      </c>
      <c r="AA245" s="24" t="s">
        <v>768</v>
      </c>
    </row>
    <row r="246" spans="1:27" ht="44" customHeight="1">
      <c r="A246" s="11" t="s">
        <v>335</v>
      </c>
      <c r="B246" s="11" t="s">
        <v>321</v>
      </c>
      <c r="C246" s="11" t="s">
        <v>965</v>
      </c>
      <c r="D246" s="26" t="s">
        <v>799</v>
      </c>
      <c r="E246" s="26" t="s">
        <v>800</v>
      </c>
      <c r="F246" s="27" t="s">
        <v>899</v>
      </c>
      <c r="G246" s="27" t="s">
        <v>900</v>
      </c>
      <c r="H246" s="11" t="s">
        <v>761</v>
      </c>
      <c r="I246" s="11" t="s">
        <v>801</v>
      </c>
      <c r="J246" s="30">
        <v>9</v>
      </c>
      <c r="K246" s="30"/>
      <c r="L246" s="26"/>
      <c r="M246" s="26">
        <v>7</v>
      </c>
      <c r="N246" s="26">
        <v>3</v>
      </c>
      <c r="O246" s="31">
        <v>46023</v>
      </c>
      <c r="P246" s="31"/>
      <c r="Q246" s="26">
        <v>100</v>
      </c>
      <c r="R246" s="26" t="s">
        <v>69</v>
      </c>
      <c r="S246" s="11"/>
      <c r="T246" s="11" t="s">
        <v>764</v>
      </c>
      <c r="U246" s="11"/>
      <c r="V246" s="11" t="s">
        <v>824</v>
      </c>
      <c r="W246" s="15">
        <f>IF(AND(ISNUMBER(Übersicht!$B$4),Übersicht!$B$4=INT(Übersicht!$B$4),Übersicht!$B$4&gt;=2026,Übersicht!$B$4&lt;=2028),IF(I246="fixedMonthDay",IF(AND(ISNUMBER(J246),J246=INT(J246),J246&gt;=1,J246&lt;=12,ISNUMBER(K246),K246=INT(K246),K246&gt;=1,K246&lt;=31,MONTH(DATE(Übersicht!$B$4,J246,K246))=J246,DAY(DATE(Übersicht!$B$4,J246,K246))=K246,L246="",M246="",N246=""),DATE(Übersicht!$B$4,J246,K246),NA()),IF(I246="easterOffsetDays",IF(AND(ISNUMBER(L246),L246=INT(L246),L246&gt;=-366,L246&lt;=366,J246="",K246="",M246="",N246=""),$AD$23+L246,NA()),IF(I246="nthWeekdayOfMonth",IF(AND(ISNUMBER(J246),J246=INT(J246),J246&gt;=1,J246&lt;=12,ISNUMBER(M246),M246=INT(M246),M246&gt;=1,M246&lt;=7,ISNUMBER(N246),N246=INT(N246),N246&gt;=1,N246&lt;=5,MONTH(DATE(Übersicht!$B$4,J246,1)+MOD(M246-WEEKDAY(DATE(Übersicht!$B$4,J246,1),2),7)+7*(N246-1))=J246,K246="",L246=""),DATE(Übersicht!$B$4,J246,1)+MOD(M246-WEEKDAY(DATE(Übersicht!$B$4,J246,1),2),7)+7*(N246-1),NA()),IF(I246="nthWeekdayOffsetDays",IF(AND(ISNUMBER(J246),J246=INT(J246),J246&gt;=1,J246&lt;=12,ISNUMBER(M246),M246=INT(M246),M246&gt;=1,M246&lt;=7,ISNUMBER(N246),N246=INT(N246),N246&gt;=1,N246&lt;=5,MONTH(DATE(Übersicht!$B$4,J246,1)+MOD(M246-WEEKDAY(DATE(Übersicht!$B$4,J246,1),2),7)+7*(N246-1))=J246,K246="",ISNUMBER(L246),L246=INT(L246),L246&gt;=-366,L246&lt;=366),DATE(Übersicht!$B$4,J246,1)+MOD(M246-WEEKDAY(DATE(Übersicht!$B$4,J246,1),2),7)+7*(N246-1)+L246,NA()),NA())))),NA())</f>
        <v>47013</v>
      </c>
      <c r="X246" s="15">
        <f t="shared" si="3"/>
        <v>47013</v>
      </c>
      <c r="Y246" s="11" t="s">
        <v>966</v>
      </c>
      <c r="Z246" s="11" t="s">
        <v>967</v>
      </c>
      <c r="AA246" s="26" t="s">
        <v>768</v>
      </c>
    </row>
    <row r="247" spans="1:27" ht="44" customHeight="1">
      <c r="A247" s="10" t="s">
        <v>338</v>
      </c>
      <c r="B247" s="10" t="s">
        <v>336</v>
      </c>
      <c r="C247" s="10" t="s">
        <v>968</v>
      </c>
      <c r="D247" s="24" t="s">
        <v>771</v>
      </c>
      <c r="E247" s="24" t="s">
        <v>772</v>
      </c>
      <c r="F247" s="25" t="s">
        <v>849</v>
      </c>
      <c r="G247" s="25" t="s">
        <v>850</v>
      </c>
      <c r="H247" s="10" t="s">
        <v>761</v>
      </c>
      <c r="I247" s="10" t="s">
        <v>762</v>
      </c>
      <c r="J247" s="28">
        <v>1</v>
      </c>
      <c r="K247" s="28">
        <v>1</v>
      </c>
      <c r="L247" s="24"/>
      <c r="M247" s="24"/>
      <c r="N247" s="24"/>
      <c r="O247" s="29">
        <v>46023</v>
      </c>
      <c r="P247" s="29"/>
      <c r="Q247" s="24">
        <v>100</v>
      </c>
      <c r="R247" s="24" t="s">
        <v>69</v>
      </c>
      <c r="S247" s="10"/>
      <c r="T247" s="10" t="s">
        <v>764</v>
      </c>
      <c r="U247" s="10"/>
      <c r="V247" s="10" t="s">
        <v>824</v>
      </c>
      <c r="W247" s="14">
        <f>IF(AND(ISNUMBER(Übersicht!$B$4),Übersicht!$B$4=INT(Übersicht!$B$4),Übersicht!$B$4&gt;=2026,Übersicht!$B$4&lt;=2028),IF(I247="fixedMonthDay",IF(AND(ISNUMBER(J247),J247=INT(J247),J247&gt;=1,J247&lt;=12,ISNUMBER(K247),K247=INT(K247),K247&gt;=1,K247&lt;=31,MONTH(DATE(Übersicht!$B$4,J247,K247))=J247,DAY(DATE(Übersicht!$B$4,J247,K247))=K247,L247="",M247="",N247=""),DATE(Übersicht!$B$4,J247,K247),NA()),IF(I247="easterOffsetDays",IF(AND(ISNUMBER(L247),L247=INT(L247),L247&gt;=-366,L247&lt;=366,J247="",K247="",M247="",N247=""),$AD$23+L247,NA()),IF(I247="nthWeekdayOfMonth",IF(AND(ISNUMBER(J247),J247=INT(J247),J247&gt;=1,J247&lt;=12,ISNUMBER(M247),M247=INT(M247),M247&gt;=1,M247&lt;=7,ISNUMBER(N247),N247=INT(N247),N247&gt;=1,N247&lt;=5,MONTH(DATE(Übersicht!$B$4,J247,1)+MOD(M247-WEEKDAY(DATE(Übersicht!$B$4,J247,1),2),7)+7*(N247-1))=J247,K247="",L247=""),DATE(Übersicht!$B$4,J247,1)+MOD(M247-WEEKDAY(DATE(Übersicht!$B$4,J247,1),2),7)+7*(N247-1),NA()),IF(I247="nthWeekdayOffsetDays",IF(AND(ISNUMBER(J247),J247=INT(J247),J247&gt;=1,J247&lt;=12,ISNUMBER(M247),M247=INT(M247),M247&gt;=1,M247&lt;=7,ISNUMBER(N247),N247=INT(N247),N247&gt;=1,N247&lt;=5,MONTH(DATE(Übersicht!$B$4,J247,1)+MOD(M247-WEEKDAY(DATE(Übersicht!$B$4,J247,1),2),7)+7*(N247-1))=J247,K247="",ISNUMBER(L247),L247=INT(L247),L247&gt;=-366,L247&lt;=366),DATE(Übersicht!$B$4,J247,1)+MOD(M247-WEEKDAY(DATE(Übersicht!$B$4,J247,1),2),7)+7*(N247-1)+L247,NA()),NA())))),NA())</f>
        <v>46753</v>
      </c>
      <c r="X247" s="14">
        <f t="shared" si="3"/>
        <v>46753</v>
      </c>
      <c r="Y247" s="10" t="s">
        <v>969</v>
      </c>
      <c r="Z247" s="10" t="s">
        <v>970</v>
      </c>
      <c r="AA247" s="24" t="s">
        <v>768</v>
      </c>
    </row>
    <row r="248" spans="1:27" ht="44" customHeight="1">
      <c r="A248" s="11" t="s">
        <v>339</v>
      </c>
      <c r="B248" s="11" t="s">
        <v>336</v>
      </c>
      <c r="C248" s="11" t="s">
        <v>968</v>
      </c>
      <c r="D248" s="26" t="s">
        <v>779</v>
      </c>
      <c r="E248" s="26" t="s">
        <v>780</v>
      </c>
      <c r="F248" s="27" t="s">
        <v>889</v>
      </c>
      <c r="G248" s="27" t="s">
        <v>890</v>
      </c>
      <c r="H248" s="11" t="s">
        <v>761</v>
      </c>
      <c r="I248" s="11" t="s">
        <v>781</v>
      </c>
      <c r="J248" s="30"/>
      <c r="K248" s="30"/>
      <c r="L248" s="26">
        <v>-2</v>
      </c>
      <c r="M248" s="26"/>
      <c r="N248" s="26"/>
      <c r="O248" s="31">
        <v>46023</v>
      </c>
      <c r="P248" s="31"/>
      <c r="Q248" s="26">
        <v>100</v>
      </c>
      <c r="R248" s="26" t="s">
        <v>69</v>
      </c>
      <c r="S248" s="11"/>
      <c r="T248" s="11" t="s">
        <v>764</v>
      </c>
      <c r="U248" s="11"/>
      <c r="V248" s="11" t="s">
        <v>824</v>
      </c>
      <c r="W248" s="15">
        <f>IF(AND(ISNUMBER(Übersicht!$B$4),Übersicht!$B$4=INT(Übersicht!$B$4),Übersicht!$B$4&gt;=2026,Übersicht!$B$4&lt;=2028),IF(I248="fixedMonthDay",IF(AND(ISNUMBER(J248),J248=INT(J248),J248&gt;=1,J248&lt;=12,ISNUMBER(K248),K248=INT(K248),K248&gt;=1,K248&lt;=31,MONTH(DATE(Übersicht!$B$4,J248,K248))=J248,DAY(DATE(Übersicht!$B$4,J248,K248))=K248,L248="",M248="",N248=""),DATE(Übersicht!$B$4,J248,K248),NA()),IF(I248="easterOffsetDays",IF(AND(ISNUMBER(L248),L248=INT(L248),L248&gt;=-366,L248&lt;=366,J248="",K248="",M248="",N248=""),$AD$23+L248,NA()),IF(I248="nthWeekdayOfMonth",IF(AND(ISNUMBER(J248),J248=INT(J248),J248&gt;=1,J248&lt;=12,ISNUMBER(M248),M248=INT(M248),M248&gt;=1,M248&lt;=7,ISNUMBER(N248),N248=INT(N248),N248&gt;=1,N248&lt;=5,MONTH(DATE(Übersicht!$B$4,J248,1)+MOD(M248-WEEKDAY(DATE(Übersicht!$B$4,J248,1),2),7)+7*(N248-1))=J248,K248="",L248=""),DATE(Übersicht!$B$4,J248,1)+MOD(M248-WEEKDAY(DATE(Übersicht!$B$4,J248,1),2),7)+7*(N248-1),NA()),IF(I248="nthWeekdayOffsetDays",IF(AND(ISNUMBER(J248),J248=INT(J248),J248&gt;=1,J248&lt;=12,ISNUMBER(M248),M248=INT(M248),M248&gt;=1,M248&lt;=7,ISNUMBER(N248),N248=INT(N248),N248&gt;=1,N248&lt;=5,MONTH(DATE(Übersicht!$B$4,J248,1)+MOD(M248-WEEKDAY(DATE(Übersicht!$B$4,J248,1),2),7)+7*(N248-1))=J248,K248="",ISNUMBER(L248),L248=INT(L248),L248&gt;=-366,L248&lt;=366),DATE(Übersicht!$B$4,J248,1)+MOD(M248-WEEKDAY(DATE(Übersicht!$B$4,J248,1),2),7)+7*(N248-1)+L248,NA()),NA())))),NA())</f>
        <v>46857</v>
      </c>
      <c r="X248" s="15">
        <f t="shared" si="3"/>
        <v>46857</v>
      </c>
      <c r="Y248" s="11" t="s">
        <v>969</v>
      </c>
      <c r="Z248" s="11" t="s">
        <v>970</v>
      </c>
      <c r="AA248" s="26" t="s">
        <v>768</v>
      </c>
    </row>
    <row r="249" spans="1:27" ht="44" customHeight="1">
      <c r="A249" s="10" t="s">
        <v>340</v>
      </c>
      <c r="B249" s="10" t="s">
        <v>336</v>
      </c>
      <c r="C249" s="10" t="s">
        <v>968</v>
      </c>
      <c r="D249" s="24" t="s">
        <v>787</v>
      </c>
      <c r="E249" s="24" t="s">
        <v>788</v>
      </c>
      <c r="F249" s="25" t="s">
        <v>860</v>
      </c>
      <c r="G249" s="25" t="s">
        <v>861</v>
      </c>
      <c r="H249" s="10" t="s">
        <v>761</v>
      </c>
      <c r="I249" s="10" t="s">
        <v>781</v>
      </c>
      <c r="J249" s="28"/>
      <c r="K249" s="28"/>
      <c r="L249" s="24">
        <v>1</v>
      </c>
      <c r="M249" s="24"/>
      <c r="N249" s="24"/>
      <c r="O249" s="29">
        <v>46023</v>
      </c>
      <c r="P249" s="29"/>
      <c r="Q249" s="24">
        <v>100</v>
      </c>
      <c r="R249" s="24" t="s">
        <v>69</v>
      </c>
      <c r="S249" s="10"/>
      <c r="T249" s="10" t="s">
        <v>764</v>
      </c>
      <c r="U249" s="10"/>
      <c r="V249" s="10" t="s">
        <v>824</v>
      </c>
      <c r="W249" s="14">
        <f>IF(AND(ISNUMBER(Übersicht!$B$4),Übersicht!$B$4=INT(Übersicht!$B$4),Übersicht!$B$4&gt;=2026,Übersicht!$B$4&lt;=2028),IF(I249="fixedMonthDay",IF(AND(ISNUMBER(J249),J249=INT(J249),J249&gt;=1,J249&lt;=12,ISNUMBER(K249),K249=INT(K249),K249&gt;=1,K249&lt;=31,MONTH(DATE(Übersicht!$B$4,J249,K249))=J249,DAY(DATE(Übersicht!$B$4,J249,K249))=K249,L249="",M249="",N249=""),DATE(Übersicht!$B$4,J249,K249),NA()),IF(I249="easterOffsetDays",IF(AND(ISNUMBER(L249),L249=INT(L249),L249&gt;=-366,L249&lt;=366,J249="",K249="",M249="",N249=""),$AD$23+L249,NA()),IF(I249="nthWeekdayOfMonth",IF(AND(ISNUMBER(J249),J249=INT(J249),J249&gt;=1,J249&lt;=12,ISNUMBER(M249),M249=INT(M249),M249&gt;=1,M249&lt;=7,ISNUMBER(N249),N249=INT(N249),N249&gt;=1,N249&lt;=5,MONTH(DATE(Übersicht!$B$4,J249,1)+MOD(M249-WEEKDAY(DATE(Übersicht!$B$4,J249,1),2),7)+7*(N249-1))=J249,K249="",L249=""),DATE(Übersicht!$B$4,J249,1)+MOD(M249-WEEKDAY(DATE(Übersicht!$B$4,J249,1),2),7)+7*(N249-1),NA()),IF(I249="nthWeekdayOffsetDays",IF(AND(ISNUMBER(J249),J249=INT(J249),J249&gt;=1,J249&lt;=12,ISNUMBER(M249),M249=INT(M249),M249&gt;=1,M249&lt;=7,ISNUMBER(N249),N249=INT(N249),N249&gt;=1,N249&lt;=5,MONTH(DATE(Übersicht!$B$4,J249,1)+MOD(M249-WEEKDAY(DATE(Übersicht!$B$4,J249,1),2),7)+7*(N249-1))=J249,K249="",ISNUMBER(L249),L249=INT(L249),L249&gt;=-366,L249&lt;=366),DATE(Übersicht!$B$4,J249,1)+MOD(M249-WEEKDAY(DATE(Übersicht!$B$4,J249,1),2),7)+7*(N249-1)+L249,NA()),NA())))),NA())</f>
        <v>46860</v>
      </c>
      <c r="X249" s="14">
        <f t="shared" si="3"/>
        <v>46860</v>
      </c>
      <c r="Y249" s="10" t="s">
        <v>969</v>
      </c>
      <c r="Z249" s="10" t="s">
        <v>970</v>
      </c>
      <c r="AA249" s="24" t="s">
        <v>768</v>
      </c>
    </row>
    <row r="250" spans="1:27" ht="44" customHeight="1">
      <c r="A250" s="11" t="s">
        <v>341</v>
      </c>
      <c r="B250" s="11" t="s">
        <v>336</v>
      </c>
      <c r="C250" s="11" t="s">
        <v>968</v>
      </c>
      <c r="D250" s="26" t="s">
        <v>790</v>
      </c>
      <c r="E250" s="26" t="s">
        <v>791</v>
      </c>
      <c r="F250" s="27" t="s">
        <v>864</v>
      </c>
      <c r="G250" s="27" t="s">
        <v>865</v>
      </c>
      <c r="H250" s="11" t="s">
        <v>761</v>
      </c>
      <c r="I250" s="11" t="s">
        <v>781</v>
      </c>
      <c r="J250" s="30"/>
      <c r="K250" s="30"/>
      <c r="L250" s="26">
        <v>39</v>
      </c>
      <c r="M250" s="26"/>
      <c r="N250" s="26"/>
      <c r="O250" s="31">
        <v>46023</v>
      </c>
      <c r="P250" s="31"/>
      <c r="Q250" s="26">
        <v>100</v>
      </c>
      <c r="R250" s="26" t="s">
        <v>69</v>
      </c>
      <c r="S250" s="11"/>
      <c r="T250" s="11" t="s">
        <v>764</v>
      </c>
      <c r="U250" s="11"/>
      <c r="V250" s="11" t="s">
        <v>824</v>
      </c>
      <c r="W250" s="15">
        <f>IF(AND(ISNUMBER(Übersicht!$B$4),Übersicht!$B$4=INT(Übersicht!$B$4),Übersicht!$B$4&gt;=2026,Übersicht!$B$4&lt;=2028),IF(I250="fixedMonthDay",IF(AND(ISNUMBER(J250),J250=INT(J250),J250&gt;=1,J250&lt;=12,ISNUMBER(K250),K250=INT(K250),K250&gt;=1,K250&lt;=31,MONTH(DATE(Übersicht!$B$4,J250,K250))=J250,DAY(DATE(Übersicht!$B$4,J250,K250))=K250,L250="",M250="",N250=""),DATE(Übersicht!$B$4,J250,K250),NA()),IF(I250="easterOffsetDays",IF(AND(ISNUMBER(L250),L250=INT(L250),L250&gt;=-366,L250&lt;=366,J250="",K250="",M250="",N250=""),$AD$23+L250,NA()),IF(I250="nthWeekdayOfMonth",IF(AND(ISNUMBER(J250),J250=INT(J250),J250&gt;=1,J250&lt;=12,ISNUMBER(M250),M250=INT(M250),M250&gt;=1,M250&lt;=7,ISNUMBER(N250),N250=INT(N250),N250&gt;=1,N250&lt;=5,MONTH(DATE(Übersicht!$B$4,J250,1)+MOD(M250-WEEKDAY(DATE(Übersicht!$B$4,J250,1),2),7)+7*(N250-1))=J250,K250="",L250=""),DATE(Übersicht!$B$4,J250,1)+MOD(M250-WEEKDAY(DATE(Übersicht!$B$4,J250,1),2),7)+7*(N250-1),NA()),IF(I250="nthWeekdayOffsetDays",IF(AND(ISNUMBER(J250),J250=INT(J250),J250&gt;=1,J250&lt;=12,ISNUMBER(M250),M250=INT(M250),M250&gt;=1,M250&lt;=7,ISNUMBER(N250),N250=INT(N250),N250&gt;=1,N250&lt;=5,MONTH(DATE(Übersicht!$B$4,J250,1)+MOD(M250-WEEKDAY(DATE(Übersicht!$B$4,J250,1),2),7)+7*(N250-1))=J250,K250="",ISNUMBER(L250),L250=INT(L250),L250&gt;=-366,L250&lt;=366),DATE(Übersicht!$B$4,J250,1)+MOD(M250-WEEKDAY(DATE(Übersicht!$B$4,J250,1),2),7)+7*(N250-1)+L250,NA()),NA())))),NA())</f>
        <v>46898</v>
      </c>
      <c r="X250" s="15">
        <f t="shared" si="3"/>
        <v>46898</v>
      </c>
      <c r="Y250" s="11" t="s">
        <v>969</v>
      </c>
      <c r="Z250" s="11" t="s">
        <v>970</v>
      </c>
      <c r="AA250" s="26" t="s">
        <v>768</v>
      </c>
    </row>
    <row r="251" spans="1:27" ht="44" customHeight="1">
      <c r="A251" s="10" t="s">
        <v>342</v>
      </c>
      <c r="B251" s="10" t="s">
        <v>336</v>
      </c>
      <c r="C251" s="10" t="s">
        <v>968</v>
      </c>
      <c r="D251" s="24" t="s">
        <v>796</v>
      </c>
      <c r="E251" s="24" t="s">
        <v>797</v>
      </c>
      <c r="F251" s="25" t="s">
        <v>866</v>
      </c>
      <c r="G251" s="25" t="s">
        <v>867</v>
      </c>
      <c r="H251" s="10" t="s">
        <v>761</v>
      </c>
      <c r="I251" s="10" t="s">
        <v>781</v>
      </c>
      <c r="J251" s="28"/>
      <c r="K251" s="28"/>
      <c r="L251" s="24">
        <v>50</v>
      </c>
      <c r="M251" s="24"/>
      <c r="N251" s="24"/>
      <c r="O251" s="29">
        <v>46023</v>
      </c>
      <c r="P251" s="29"/>
      <c r="Q251" s="24">
        <v>100</v>
      </c>
      <c r="R251" s="24" t="s">
        <v>69</v>
      </c>
      <c r="S251" s="10"/>
      <c r="T251" s="10" t="s">
        <v>764</v>
      </c>
      <c r="U251" s="10"/>
      <c r="V251" s="10" t="s">
        <v>824</v>
      </c>
      <c r="W251" s="14">
        <f>IF(AND(ISNUMBER(Übersicht!$B$4),Übersicht!$B$4=INT(Übersicht!$B$4),Übersicht!$B$4&gt;=2026,Übersicht!$B$4&lt;=2028),IF(I251="fixedMonthDay",IF(AND(ISNUMBER(J251),J251=INT(J251),J251&gt;=1,J251&lt;=12,ISNUMBER(K251),K251=INT(K251),K251&gt;=1,K251&lt;=31,MONTH(DATE(Übersicht!$B$4,J251,K251))=J251,DAY(DATE(Übersicht!$B$4,J251,K251))=K251,L251="",M251="",N251=""),DATE(Übersicht!$B$4,J251,K251),NA()),IF(I251="easterOffsetDays",IF(AND(ISNUMBER(L251),L251=INT(L251),L251&gt;=-366,L251&lt;=366,J251="",K251="",M251="",N251=""),$AD$23+L251,NA()),IF(I251="nthWeekdayOfMonth",IF(AND(ISNUMBER(J251),J251=INT(J251),J251&gt;=1,J251&lt;=12,ISNUMBER(M251),M251=INT(M251),M251&gt;=1,M251&lt;=7,ISNUMBER(N251),N251=INT(N251),N251&gt;=1,N251&lt;=5,MONTH(DATE(Übersicht!$B$4,J251,1)+MOD(M251-WEEKDAY(DATE(Übersicht!$B$4,J251,1),2),7)+7*(N251-1))=J251,K251="",L251=""),DATE(Übersicht!$B$4,J251,1)+MOD(M251-WEEKDAY(DATE(Übersicht!$B$4,J251,1),2),7)+7*(N251-1),NA()),IF(I251="nthWeekdayOffsetDays",IF(AND(ISNUMBER(J251),J251=INT(J251),J251&gt;=1,J251&lt;=12,ISNUMBER(M251),M251=INT(M251),M251&gt;=1,M251&lt;=7,ISNUMBER(N251),N251=INT(N251),N251&gt;=1,N251&lt;=5,MONTH(DATE(Übersicht!$B$4,J251,1)+MOD(M251-WEEKDAY(DATE(Übersicht!$B$4,J251,1),2),7)+7*(N251-1))=J251,K251="",ISNUMBER(L251),L251=INT(L251),L251&gt;=-366,L251&lt;=366),DATE(Übersicht!$B$4,J251,1)+MOD(M251-WEEKDAY(DATE(Übersicht!$B$4,J251,1),2),7)+7*(N251-1)+L251,NA()),NA())))),NA())</f>
        <v>46909</v>
      </c>
      <c r="X251" s="14">
        <f t="shared" si="3"/>
        <v>46909</v>
      </c>
      <c r="Y251" s="10" t="s">
        <v>969</v>
      </c>
      <c r="Z251" s="10" t="s">
        <v>970</v>
      </c>
      <c r="AA251" s="24" t="s">
        <v>768</v>
      </c>
    </row>
    <row r="252" spans="1:27" ht="44" customHeight="1">
      <c r="A252" s="11" t="s">
        <v>343</v>
      </c>
      <c r="B252" s="11" t="s">
        <v>336</v>
      </c>
      <c r="C252" s="11" t="s">
        <v>968</v>
      </c>
      <c r="D252" s="26" t="s">
        <v>759</v>
      </c>
      <c r="E252" s="26" t="s">
        <v>760</v>
      </c>
      <c r="F252" s="27" t="s">
        <v>874</v>
      </c>
      <c r="G252" s="27" t="s">
        <v>875</v>
      </c>
      <c r="H252" s="11" t="s">
        <v>761</v>
      </c>
      <c r="I252" s="11" t="s">
        <v>762</v>
      </c>
      <c r="J252" s="30">
        <v>8</v>
      </c>
      <c r="K252" s="30">
        <v>1</v>
      </c>
      <c r="L252" s="26"/>
      <c r="M252" s="26"/>
      <c r="N252" s="26"/>
      <c r="O252" s="31">
        <v>46023</v>
      </c>
      <c r="P252" s="31"/>
      <c r="Q252" s="26">
        <v>100</v>
      </c>
      <c r="R252" s="26" t="s">
        <v>69</v>
      </c>
      <c r="S252" s="11"/>
      <c r="T252" s="11" t="s">
        <v>764</v>
      </c>
      <c r="U252" s="11"/>
      <c r="V252" s="11" t="s">
        <v>824</v>
      </c>
      <c r="W252" s="15">
        <f>IF(AND(ISNUMBER(Übersicht!$B$4),Übersicht!$B$4=INT(Übersicht!$B$4),Übersicht!$B$4&gt;=2026,Übersicht!$B$4&lt;=2028),IF(I252="fixedMonthDay",IF(AND(ISNUMBER(J252),J252=INT(J252),J252&gt;=1,J252&lt;=12,ISNUMBER(K252),K252=INT(K252),K252&gt;=1,K252&lt;=31,MONTH(DATE(Übersicht!$B$4,J252,K252))=J252,DAY(DATE(Übersicht!$B$4,J252,K252))=K252,L252="",M252="",N252=""),DATE(Übersicht!$B$4,J252,K252),NA()),IF(I252="easterOffsetDays",IF(AND(ISNUMBER(L252),L252=INT(L252),L252&gt;=-366,L252&lt;=366,J252="",K252="",M252="",N252=""),$AD$23+L252,NA()),IF(I252="nthWeekdayOfMonth",IF(AND(ISNUMBER(J252),J252=INT(J252),J252&gt;=1,J252&lt;=12,ISNUMBER(M252),M252=INT(M252),M252&gt;=1,M252&lt;=7,ISNUMBER(N252),N252=INT(N252),N252&gt;=1,N252&lt;=5,MONTH(DATE(Übersicht!$B$4,J252,1)+MOD(M252-WEEKDAY(DATE(Übersicht!$B$4,J252,1),2),7)+7*(N252-1))=J252,K252="",L252=""),DATE(Übersicht!$B$4,J252,1)+MOD(M252-WEEKDAY(DATE(Übersicht!$B$4,J252,1),2),7)+7*(N252-1),NA()),IF(I252="nthWeekdayOffsetDays",IF(AND(ISNUMBER(J252),J252=INT(J252),J252&gt;=1,J252&lt;=12,ISNUMBER(M252),M252=INT(M252),M252&gt;=1,M252&lt;=7,ISNUMBER(N252),N252=INT(N252),N252&gt;=1,N252&lt;=5,MONTH(DATE(Übersicht!$B$4,J252,1)+MOD(M252-WEEKDAY(DATE(Übersicht!$B$4,J252,1),2),7)+7*(N252-1))=J252,K252="",ISNUMBER(L252),L252=INT(L252),L252&gt;=-366,L252&lt;=366),DATE(Übersicht!$B$4,J252,1)+MOD(M252-WEEKDAY(DATE(Übersicht!$B$4,J252,1),2),7)+7*(N252-1)+L252,NA()),NA())))),NA())</f>
        <v>46966</v>
      </c>
      <c r="X252" s="15">
        <f t="shared" si="3"/>
        <v>46966</v>
      </c>
      <c r="Y252" s="11" t="s">
        <v>766</v>
      </c>
      <c r="Z252" s="11" t="s">
        <v>955</v>
      </c>
      <c r="AA252" s="26" t="s">
        <v>768</v>
      </c>
    </row>
    <row r="253" spans="1:27" ht="44" customHeight="1">
      <c r="A253" s="10" t="s">
        <v>344</v>
      </c>
      <c r="B253" s="10" t="s">
        <v>336</v>
      </c>
      <c r="C253" s="10" t="s">
        <v>968</v>
      </c>
      <c r="D253" s="24" t="s">
        <v>803</v>
      </c>
      <c r="E253" s="24" t="s">
        <v>804</v>
      </c>
      <c r="F253" s="25" t="s">
        <v>882</v>
      </c>
      <c r="G253" s="25" t="s">
        <v>883</v>
      </c>
      <c r="H253" s="10" t="s">
        <v>761</v>
      </c>
      <c r="I253" s="10" t="s">
        <v>762</v>
      </c>
      <c r="J253" s="28">
        <v>12</v>
      </c>
      <c r="K253" s="28">
        <v>25</v>
      </c>
      <c r="L253" s="24"/>
      <c r="M253" s="24"/>
      <c r="N253" s="24"/>
      <c r="O253" s="29">
        <v>46023</v>
      </c>
      <c r="P253" s="29"/>
      <c r="Q253" s="24">
        <v>100</v>
      </c>
      <c r="R253" s="24" t="s">
        <v>69</v>
      </c>
      <c r="S253" s="10"/>
      <c r="T253" s="10" t="s">
        <v>764</v>
      </c>
      <c r="U253" s="10"/>
      <c r="V253" s="10" t="s">
        <v>824</v>
      </c>
      <c r="W253" s="14">
        <f>IF(AND(ISNUMBER(Übersicht!$B$4),Übersicht!$B$4=INT(Übersicht!$B$4),Übersicht!$B$4&gt;=2026,Übersicht!$B$4&lt;=2028),IF(I253="fixedMonthDay",IF(AND(ISNUMBER(J253),J253=INT(J253),J253&gt;=1,J253&lt;=12,ISNUMBER(K253),K253=INT(K253),K253&gt;=1,K253&lt;=31,MONTH(DATE(Übersicht!$B$4,J253,K253))=J253,DAY(DATE(Übersicht!$B$4,J253,K253))=K253,L253="",M253="",N253=""),DATE(Übersicht!$B$4,J253,K253),NA()),IF(I253="easterOffsetDays",IF(AND(ISNUMBER(L253),L253=INT(L253),L253&gt;=-366,L253&lt;=366,J253="",K253="",M253="",N253=""),$AD$23+L253,NA()),IF(I253="nthWeekdayOfMonth",IF(AND(ISNUMBER(J253),J253=INT(J253),J253&gt;=1,J253&lt;=12,ISNUMBER(M253),M253=INT(M253),M253&gt;=1,M253&lt;=7,ISNUMBER(N253),N253=INT(N253),N253&gt;=1,N253&lt;=5,MONTH(DATE(Übersicht!$B$4,J253,1)+MOD(M253-WEEKDAY(DATE(Übersicht!$B$4,J253,1),2),7)+7*(N253-1))=J253,K253="",L253=""),DATE(Übersicht!$B$4,J253,1)+MOD(M253-WEEKDAY(DATE(Übersicht!$B$4,J253,1),2),7)+7*(N253-1),NA()),IF(I253="nthWeekdayOffsetDays",IF(AND(ISNUMBER(J253),J253=INT(J253),J253&gt;=1,J253&lt;=12,ISNUMBER(M253),M253=INT(M253),M253&gt;=1,M253&lt;=7,ISNUMBER(N253),N253=INT(N253),N253&gt;=1,N253&lt;=5,MONTH(DATE(Übersicht!$B$4,J253,1)+MOD(M253-WEEKDAY(DATE(Übersicht!$B$4,J253,1),2),7)+7*(N253-1))=J253,K253="",ISNUMBER(L253),L253=INT(L253),L253&gt;=-366,L253&lt;=366),DATE(Übersicht!$B$4,J253,1)+MOD(M253-WEEKDAY(DATE(Übersicht!$B$4,J253,1),2),7)+7*(N253-1)+L253,NA()),NA())))),NA())</f>
        <v>47112</v>
      </c>
      <c r="X253" s="14">
        <f t="shared" si="3"/>
        <v>47112</v>
      </c>
      <c r="Y253" s="10" t="s">
        <v>969</v>
      </c>
      <c r="Z253" s="10" t="s">
        <v>970</v>
      </c>
      <c r="AA253" s="24" t="s">
        <v>768</v>
      </c>
    </row>
    <row r="254" spans="1:27" ht="44" customHeight="1">
      <c r="A254" s="11" t="s">
        <v>345</v>
      </c>
      <c r="B254" s="11" t="s">
        <v>336</v>
      </c>
      <c r="C254" s="11" t="s">
        <v>968</v>
      </c>
      <c r="D254" s="26" t="s">
        <v>806</v>
      </c>
      <c r="E254" s="26" t="s">
        <v>807</v>
      </c>
      <c r="F254" s="27" t="s">
        <v>884</v>
      </c>
      <c r="G254" s="27" t="s">
        <v>885</v>
      </c>
      <c r="H254" s="11" t="s">
        <v>761</v>
      </c>
      <c r="I254" s="11" t="s">
        <v>762</v>
      </c>
      <c r="J254" s="30">
        <v>12</v>
      </c>
      <c r="K254" s="30">
        <v>26</v>
      </c>
      <c r="L254" s="26"/>
      <c r="M254" s="26"/>
      <c r="N254" s="26"/>
      <c r="O254" s="31">
        <v>46023</v>
      </c>
      <c r="P254" s="31"/>
      <c r="Q254" s="26">
        <v>100</v>
      </c>
      <c r="R254" s="26" t="s">
        <v>69</v>
      </c>
      <c r="S254" s="11"/>
      <c r="T254" s="11" t="s">
        <v>764</v>
      </c>
      <c r="U254" s="11"/>
      <c r="V254" s="11" t="s">
        <v>824</v>
      </c>
      <c r="W254" s="15">
        <f>IF(AND(ISNUMBER(Übersicht!$B$4),Übersicht!$B$4=INT(Übersicht!$B$4),Übersicht!$B$4&gt;=2026,Übersicht!$B$4&lt;=2028),IF(I254="fixedMonthDay",IF(AND(ISNUMBER(J254),J254=INT(J254),J254&gt;=1,J254&lt;=12,ISNUMBER(K254),K254=INT(K254),K254&gt;=1,K254&lt;=31,MONTH(DATE(Übersicht!$B$4,J254,K254))=J254,DAY(DATE(Übersicht!$B$4,J254,K254))=K254,L254="",M254="",N254=""),DATE(Übersicht!$B$4,J254,K254),NA()),IF(I254="easterOffsetDays",IF(AND(ISNUMBER(L254),L254=INT(L254),L254&gt;=-366,L254&lt;=366,J254="",K254="",M254="",N254=""),$AD$23+L254,NA()),IF(I254="nthWeekdayOfMonth",IF(AND(ISNUMBER(J254),J254=INT(J254),J254&gt;=1,J254&lt;=12,ISNUMBER(M254),M254=INT(M254),M254&gt;=1,M254&lt;=7,ISNUMBER(N254),N254=INT(N254),N254&gt;=1,N254&lt;=5,MONTH(DATE(Übersicht!$B$4,J254,1)+MOD(M254-WEEKDAY(DATE(Übersicht!$B$4,J254,1),2),7)+7*(N254-1))=J254,K254="",L254=""),DATE(Übersicht!$B$4,J254,1)+MOD(M254-WEEKDAY(DATE(Übersicht!$B$4,J254,1),2),7)+7*(N254-1),NA()),IF(I254="nthWeekdayOffsetDays",IF(AND(ISNUMBER(J254),J254=INT(J254),J254&gt;=1,J254&lt;=12,ISNUMBER(M254),M254=INT(M254),M254&gt;=1,M254&lt;=7,ISNUMBER(N254),N254=INT(N254),N254&gt;=1,N254&lt;=5,MONTH(DATE(Übersicht!$B$4,J254,1)+MOD(M254-WEEKDAY(DATE(Übersicht!$B$4,J254,1),2),7)+7*(N254-1))=J254,K254="",ISNUMBER(L254),L254=INT(L254),L254&gt;=-366,L254&lt;=366),DATE(Übersicht!$B$4,J254,1)+MOD(M254-WEEKDAY(DATE(Übersicht!$B$4,J254,1),2),7)+7*(N254-1)+L254,NA()),NA())))),NA())</f>
        <v>47113</v>
      </c>
      <c r="X254" s="15">
        <f t="shared" si="3"/>
        <v>47113</v>
      </c>
      <c r="Y254" s="11" t="s">
        <v>969</v>
      </c>
      <c r="Z254" s="11" t="s">
        <v>970</v>
      </c>
      <c r="AA254" s="26" t="s">
        <v>768</v>
      </c>
    </row>
    <row r="255" spans="1:27" ht="44" customHeight="1">
      <c r="A255" s="10" t="s">
        <v>346</v>
      </c>
      <c r="B255" s="10" t="s">
        <v>336</v>
      </c>
      <c r="C255" s="10" t="s">
        <v>968</v>
      </c>
      <c r="D255" s="24" t="s">
        <v>821</v>
      </c>
      <c r="E255" s="24" t="s">
        <v>822</v>
      </c>
      <c r="F255" s="25" t="s">
        <v>878</v>
      </c>
      <c r="G255" s="25" t="s">
        <v>879</v>
      </c>
      <c r="H255" s="10" t="s">
        <v>761</v>
      </c>
      <c r="I255" s="10" t="s">
        <v>762</v>
      </c>
      <c r="J255" s="28">
        <v>11</v>
      </c>
      <c r="K255" s="28">
        <v>1</v>
      </c>
      <c r="L255" s="24"/>
      <c r="M255" s="24"/>
      <c r="N255" s="24"/>
      <c r="O255" s="29">
        <v>46023</v>
      </c>
      <c r="P255" s="29"/>
      <c r="Q255" s="24">
        <v>100</v>
      </c>
      <c r="R255" s="24" t="s">
        <v>69</v>
      </c>
      <c r="S255" s="10"/>
      <c r="T255" s="10" t="s">
        <v>764</v>
      </c>
      <c r="U255" s="10"/>
      <c r="V255" s="10" t="s">
        <v>824</v>
      </c>
      <c r="W255" s="14">
        <f>IF(AND(ISNUMBER(Übersicht!$B$4),Übersicht!$B$4=INT(Übersicht!$B$4),Übersicht!$B$4&gt;=2026,Übersicht!$B$4&lt;=2028),IF(I255="fixedMonthDay",IF(AND(ISNUMBER(J255),J255=INT(J255),J255&gt;=1,J255&lt;=12,ISNUMBER(K255),K255=INT(K255),K255&gt;=1,K255&lt;=31,MONTH(DATE(Übersicht!$B$4,J255,K255))=J255,DAY(DATE(Übersicht!$B$4,J255,K255))=K255,L255="",M255="",N255=""),DATE(Übersicht!$B$4,J255,K255),NA()),IF(I255="easterOffsetDays",IF(AND(ISNUMBER(L255),L255=INT(L255),L255&gt;=-366,L255&lt;=366,J255="",K255="",M255="",N255=""),$AD$23+L255,NA()),IF(I255="nthWeekdayOfMonth",IF(AND(ISNUMBER(J255),J255=INT(J255),J255&gt;=1,J255&lt;=12,ISNUMBER(M255),M255=INT(M255),M255&gt;=1,M255&lt;=7,ISNUMBER(N255),N255=INT(N255),N255&gt;=1,N255&lt;=5,MONTH(DATE(Übersicht!$B$4,J255,1)+MOD(M255-WEEKDAY(DATE(Übersicht!$B$4,J255,1),2),7)+7*(N255-1))=J255,K255="",L255=""),DATE(Übersicht!$B$4,J255,1)+MOD(M255-WEEKDAY(DATE(Übersicht!$B$4,J255,1),2),7)+7*(N255-1),NA()),IF(I255="nthWeekdayOffsetDays",IF(AND(ISNUMBER(J255),J255=INT(J255),J255&gt;=1,J255&lt;=12,ISNUMBER(M255),M255=INT(M255),M255&gt;=1,M255&lt;=7,ISNUMBER(N255),N255=INT(N255),N255&gt;=1,N255&lt;=5,MONTH(DATE(Übersicht!$B$4,J255,1)+MOD(M255-WEEKDAY(DATE(Übersicht!$B$4,J255,1),2),7)+7*(N255-1))=J255,K255="",ISNUMBER(L255),L255=INT(L255),L255&gt;=-366,L255&lt;=366),DATE(Übersicht!$B$4,J255,1)+MOD(M255-WEEKDAY(DATE(Übersicht!$B$4,J255,1),2),7)+7*(N255-1)+L255,NA()),NA())))),NA())</f>
        <v>47058</v>
      </c>
      <c r="X255" s="14">
        <f t="shared" si="3"/>
        <v>47058</v>
      </c>
      <c r="Y255" s="10" t="s">
        <v>969</v>
      </c>
      <c r="Z255" s="10" t="s">
        <v>970</v>
      </c>
      <c r="AA255" s="24" t="s">
        <v>768</v>
      </c>
    </row>
    <row r="256" spans="1:27" ht="44" customHeight="1">
      <c r="A256" s="11" t="s">
        <v>347</v>
      </c>
      <c r="B256" s="11" t="s">
        <v>336</v>
      </c>
      <c r="C256" s="11" t="s">
        <v>968</v>
      </c>
      <c r="D256" s="26" t="s">
        <v>784</v>
      </c>
      <c r="E256" s="26" t="s">
        <v>785</v>
      </c>
      <c r="F256" s="27" t="s">
        <v>892</v>
      </c>
      <c r="G256" s="27" t="s">
        <v>893</v>
      </c>
      <c r="H256" s="11" t="s">
        <v>761</v>
      </c>
      <c r="I256" s="11" t="s">
        <v>781</v>
      </c>
      <c r="J256" s="30"/>
      <c r="K256" s="30"/>
      <c r="L256" s="26">
        <v>0</v>
      </c>
      <c r="M256" s="26"/>
      <c r="N256" s="26"/>
      <c r="O256" s="31">
        <v>46023</v>
      </c>
      <c r="P256" s="31"/>
      <c r="Q256" s="26">
        <v>100</v>
      </c>
      <c r="R256" s="26" t="s">
        <v>69</v>
      </c>
      <c r="S256" s="11"/>
      <c r="T256" s="11" t="s">
        <v>764</v>
      </c>
      <c r="U256" s="11"/>
      <c r="V256" s="11" t="s">
        <v>824</v>
      </c>
      <c r="W256" s="15">
        <f>IF(AND(ISNUMBER(Übersicht!$B$4),Übersicht!$B$4=INT(Übersicht!$B$4),Übersicht!$B$4&gt;=2026,Übersicht!$B$4&lt;=2028),IF(I256="fixedMonthDay",IF(AND(ISNUMBER(J256),J256=INT(J256),J256&gt;=1,J256&lt;=12,ISNUMBER(K256),K256=INT(K256),K256&gt;=1,K256&lt;=31,MONTH(DATE(Übersicht!$B$4,J256,K256))=J256,DAY(DATE(Übersicht!$B$4,J256,K256))=K256,L256="",M256="",N256=""),DATE(Übersicht!$B$4,J256,K256),NA()),IF(I256="easterOffsetDays",IF(AND(ISNUMBER(L256),L256=INT(L256),L256&gt;=-366,L256&lt;=366,J256="",K256="",M256="",N256=""),$AD$23+L256,NA()),IF(I256="nthWeekdayOfMonth",IF(AND(ISNUMBER(J256),J256=INT(J256),J256&gt;=1,J256&lt;=12,ISNUMBER(M256),M256=INT(M256),M256&gt;=1,M256&lt;=7,ISNUMBER(N256),N256=INT(N256),N256&gt;=1,N256&lt;=5,MONTH(DATE(Übersicht!$B$4,J256,1)+MOD(M256-WEEKDAY(DATE(Übersicht!$B$4,J256,1),2),7)+7*(N256-1))=J256,K256="",L256=""),DATE(Übersicht!$B$4,J256,1)+MOD(M256-WEEKDAY(DATE(Übersicht!$B$4,J256,1),2),7)+7*(N256-1),NA()),IF(I256="nthWeekdayOffsetDays",IF(AND(ISNUMBER(J256),J256=INT(J256),J256&gt;=1,J256&lt;=12,ISNUMBER(M256),M256=INT(M256),M256&gt;=1,M256&lt;=7,ISNUMBER(N256),N256=INT(N256),N256&gt;=1,N256&lt;=5,MONTH(DATE(Übersicht!$B$4,J256,1)+MOD(M256-WEEKDAY(DATE(Übersicht!$B$4,J256,1),2),7)+7*(N256-1))=J256,K256="",ISNUMBER(L256),L256=INT(L256),L256&gt;=-366,L256&lt;=366),DATE(Übersicht!$B$4,J256,1)+MOD(M256-WEEKDAY(DATE(Übersicht!$B$4,J256,1),2),7)+7*(N256-1)+L256,NA()),NA())))),NA())</f>
        <v>46859</v>
      </c>
      <c r="X256" s="15">
        <f t="shared" si="3"/>
        <v>46859</v>
      </c>
      <c r="Y256" s="11" t="s">
        <v>969</v>
      </c>
      <c r="Z256" s="11" t="s">
        <v>970</v>
      </c>
      <c r="AA256" s="26" t="s">
        <v>768</v>
      </c>
    </row>
    <row r="257" spans="1:27" ht="44" customHeight="1">
      <c r="A257" s="10" t="s">
        <v>348</v>
      </c>
      <c r="B257" s="10" t="s">
        <v>336</v>
      </c>
      <c r="C257" s="10" t="s">
        <v>968</v>
      </c>
      <c r="D257" s="24" t="s">
        <v>793</v>
      </c>
      <c r="E257" s="24" t="s">
        <v>794</v>
      </c>
      <c r="F257" s="25" t="s">
        <v>896</v>
      </c>
      <c r="G257" s="25" t="s">
        <v>897</v>
      </c>
      <c r="H257" s="10" t="s">
        <v>761</v>
      </c>
      <c r="I257" s="10" t="s">
        <v>781</v>
      </c>
      <c r="J257" s="28"/>
      <c r="K257" s="28"/>
      <c r="L257" s="24">
        <v>49</v>
      </c>
      <c r="M257" s="24"/>
      <c r="N257" s="24"/>
      <c r="O257" s="29">
        <v>46023</v>
      </c>
      <c r="P257" s="29"/>
      <c r="Q257" s="24">
        <v>100</v>
      </c>
      <c r="R257" s="24" t="s">
        <v>69</v>
      </c>
      <c r="S257" s="10"/>
      <c r="T257" s="10" t="s">
        <v>764</v>
      </c>
      <c r="U257" s="10"/>
      <c r="V257" s="10" t="s">
        <v>824</v>
      </c>
      <c r="W257" s="14">
        <f>IF(AND(ISNUMBER(Übersicht!$B$4),Übersicht!$B$4=INT(Übersicht!$B$4),Übersicht!$B$4&gt;=2026,Übersicht!$B$4&lt;=2028),IF(I257="fixedMonthDay",IF(AND(ISNUMBER(J257),J257=INT(J257),J257&gt;=1,J257&lt;=12,ISNUMBER(K257),K257=INT(K257),K257&gt;=1,K257&lt;=31,MONTH(DATE(Übersicht!$B$4,J257,K257))=J257,DAY(DATE(Übersicht!$B$4,J257,K257))=K257,L257="",M257="",N257=""),DATE(Übersicht!$B$4,J257,K257),NA()),IF(I257="easterOffsetDays",IF(AND(ISNUMBER(L257),L257=INT(L257),L257&gt;=-366,L257&lt;=366,J257="",K257="",M257="",N257=""),$AD$23+L257,NA()),IF(I257="nthWeekdayOfMonth",IF(AND(ISNUMBER(J257),J257=INT(J257),J257&gt;=1,J257&lt;=12,ISNUMBER(M257),M257=INT(M257),M257&gt;=1,M257&lt;=7,ISNUMBER(N257),N257=INT(N257),N257&gt;=1,N257&lt;=5,MONTH(DATE(Übersicht!$B$4,J257,1)+MOD(M257-WEEKDAY(DATE(Übersicht!$B$4,J257,1),2),7)+7*(N257-1))=J257,K257="",L257=""),DATE(Übersicht!$B$4,J257,1)+MOD(M257-WEEKDAY(DATE(Übersicht!$B$4,J257,1),2),7)+7*(N257-1),NA()),IF(I257="nthWeekdayOffsetDays",IF(AND(ISNUMBER(J257),J257=INT(J257),J257&gt;=1,J257&lt;=12,ISNUMBER(M257),M257=INT(M257),M257&gt;=1,M257&lt;=7,ISNUMBER(N257),N257=INT(N257),N257&gt;=1,N257&lt;=5,MONTH(DATE(Übersicht!$B$4,J257,1)+MOD(M257-WEEKDAY(DATE(Übersicht!$B$4,J257,1),2),7)+7*(N257-1))=J257,K257="",ISNUMBER(L257),L257=INT(L257),L257&gt;=-366,L257&lt;=366),DATE(Übersicht!$B$4,J257,1)+MOD(M257-WEEKDAY(DATE(Übersicht!$B$4,J257,1),2),7)+7*(N257-1)+L257,NA()),NA())))),NA())</f>
        <v>46908</v>
      </c>
      <c r="X257" s="14">
        <f t="shared" si="3"/>
        <v>46908</v>
      </c>
      <c r="Y257" s="10" t="s">
        <v>969</v>
      </c>
      <c r="Z257" s="10" t="s">
        <v>970</v>
      </c>
      <c r="AA257" s="24" t="s">
        <v>768</v>
      </c>
    </row>
    <row r="258" spans="1:27" ht="44" customHeight="1">
      <c r="A258" s="11" t="s">
        <v>349</v>
      </c>
      <c r="B258" s="11" t="s">
        <v>336</v>
      </c>
      <c r="C258" s="11" t="s">
        <v>968</v>
      </c>
      <c r="D258" s="26" t="s">
        <v>799</v>
      </c>
      <c r="E258" s="26" t="s">
        <v>800</v>
      </c>
      <c r="F258" s="27" t="s">
        <v>899</v>
      </c>
      <c r="G258" s="27" t="s">
        <v>900</v>
      </c>
      <c r="H258" s="11" t="s">
        <v>761</v>
      </c>
      <c r="I258" s="11" t="s">
        <v>801</v>
      </c>
      <c r="J258" s="30">
        <v>9</v>
      </c>
      <c r="K258" s="30"/>
      <c r="L258" s="26"/>
      <c r="M258" s="26">
        <v>7</v>
      </c>
      <c r="N258" s="26">
        <v>3</v>
      </c>
      <c r="O258" s="31">
        <v>46023</v>
      </c>
      <c r="P258" s="31"/>
      <c r="Q258" s="26">
        <v>100</v>
      </c>
      <c r="R258" s="26" t="s">
        <v>69</v>
      </c>
      <c r="S258" s="11"/>
      <c r="T258" s="11" t="s">
        <v>764</v>
      </c>
      <c r="U258" s="11"/>
      <c r="V258" s="11" t="s">
        <v>824</v>
      </c>
      <c r="W258" s="15">
        <f>IF(AND(ISNUMBER(Übersicht!$B$4),Übersicht!$B$4=INT(Übersicht!$B$4),Übersicht!$B$4&gt;=2026,Übersicht!$B$4&lt;=2028),IF(I258="fixedMonthDay",IF(AND(ISNUMBER(J258),J258=INT(J258),J258&gt;=1,J258&lt;=12,ISNUMBER(K258),K258=INT(K258),K258&gt;=1,K258&lt;=31,MONTH(DATE(Übersicht!$B$4,J258,K258))=J258,DAY(DATE(Übersicht!$B$4,J258,K258))=K258,L258="",M258="",N258=""),DATE(Übersicht!$B$4,J258,K258),NA()),IF(I258="easterOffsetDays",IF(AND(ISNUMBER(L258),L258=INT(L258),L258&gt;=-366,L258&lt;=366,J258="",K258="",M258="",N258=""),$AD$23+L258,NA()),IF(I258="nthWeekdayOfMonth",IF(AND(ISNUMBER(J258),J258=INT(J258),J258&gt;=1,J258&lt;=12,ISNUMBER(M258),M258=INT(M258),M258&gt;=1,M258&lt;=7,ISNUMBER(N258),N258=INT(N258),N258&gt;=1,N258&lt;=5,MONTH(DATE(Übersicht!$B$4,J258,1)+MOD(M258-WEEKDAY(DATE(Übersicht!$B$4,J258,1),2),7)+7*(N258-1))=J258,K258="",L258=""),DATE(Übersicht!$B$4,J258,1)+MOD(M258-WEEKDAY(DATE(Übersicht!$B$4,J258,1),2),7)+7*(N258-1),NA()),IF(I258="nthWeekdayOffsetDays",IF(AND(ISNUMBER(J258),J258=INT(J258),J258&gt;=1,J258&lt;=12,ISNUMBER(M258),M258=INT(M258),M258&gt;=1,M258&lt;=7,ISNUMBER(N258),N258=INT(N258),N258&gt;=1,N258&lt;=5,MONTH(DATE(Übersicht!$B$4,J258,1)+MOD(M258-WEEKDAY(DATE(Übersicht!$B$4,J258,1),2),7)+7*(N258-1))=J258,K258="",ISNUMBER(L258),L258=INT(L258),L258&gt;=-366,L258&lt;=366),DATE(Übersicht!$B$4,J258,1)+MOD(M258-WEEKDAY(DATE(Übersicht!$B$4,J258,1),2),7)+7*(N258-1)+L258,NA()),NA())))),NA())</f>
        <v>47013</v>
      </c>
      <c r="X258" s="15">
        <f t="shared" si="3"/>
        <v>47013</v>
      </c>
      <c r="Y258" s="11" t="s">
        <v>969</v>
      </c>
      <c r="Z258" s="11" t="s">
        <v>970</v>
      </c>
      <c r="AA258" s="26" t="s">
        <v>768</v>
      </c>
    </row>
    <row r="259" spans="1:27" ht="44" customHeight="1">
      <c r="A259" s="10" t="s">
        <v>351</v>
      </c>
      <c r="B259" s="10" t="s">
        <v>336</v>
      </c>
      <c r="C259" s="10" t="s">
        <v>971</v>
      </c>
      <c r="D259" s="24" t="s">
        <v>776</v>
      </c>
      <c r="E259" s="24" t="s">
        <v>777</v>
      </c>
      <c r="F259" s="25" t="s">
        <v>919</v>
      </c>
      <c r="G259" s="25" t="s">
        <v>920</v>
      </c>
      <c r="H259" s="10" t="s">
        <v>823</v>
      </c>
      <c r="I259" s="10" t="s">
        <v>762</v>
      </c>
      <c r="J259" s="28">
        <v>1</v>
      </c>
      <c r="K259" s="28">
        <v>2</v>
      </c>
      <c r="L259" s="24"/>
      <c r="M259" s="24"/>
      <c r="N259" s="24"/>
      <c r="O259" s="29">
        <v>46023</v>
      </c>
      <c r="P259" s="29"/>
      <c r="Q259" s="24">
        <v>100</v>
      </c>
      <c r="R259" s="24" t="s">
        <v>69</v>
      </c>
      <c r="S259" s="10"/>
      <c r="T259" s="10" t="s">
        <v>764</v>
      </c>
      <c r="U259" s="10"/>
      <c r="V259" s="10" t="s">
        <v>824</v>
      </c>
      <c r="W259" s="14">
        <f>IF(AND(ISNUMBER(Übersicht!$B$4),Übersicht!$B$4=INT(Übersicht!$B$4),Übersicht!$B$4&gt;=2026,Übersicht!$B$4&lt;=2028),IF(I259="fixedMonthDay",IF(AND(ISNUMBER(J259),J259=INT(J259),J259&gt;=1,J259&lt;=12,ISNUMBER(K259),K259=INT(K259),K259&gt;=1,K259&lt;=31,MONTH(DATE(Übersicht!$B$4,J259,K259))=J259,DAY(DATE(Übersicht!$B$4,J259,K259))=K259,L259="",M259="",N259=""),DATE(Übersicht!$B$4,J259,K259),NA()),IF(I259="easterOffsetDays",IF(AND(ISNUMBER(L259),L259=INT(L259),L259&gt;=-366,L259&lt;=366,J259="",K259="",M259="",N259=""),$AD$23+L259,NA()),IF(I259="nthWeekdayOfMonth",IF(AND(ISNUMBER(J259),J259=INT(J259),J259&gt;=1,J259&lt;=12,ISNUMBER(M259),M259=INT(M259),M259&gt;=1,M259&lt;=7,ISNUMBER(N259),N259=INT(N259),N259&gt;=1,N259&lt;=5,MONTH(DATE(Übersicht!$B$4,J259,1)+MOD(M259-WEEKDAY(DATE(Übersicht!$B$4,J259,1),2),7)+7*(N259-1))=J259,K259="",L259=""),DATE(Übersicht!$B$4,J259,1)+MOD(M259-WEEKDAY(DATE(Übersicht!$B$4,J259,1),2),7)+7*(N259-1),NA()),IF(I259="nthWeekdayOffsetDays",IF(AND(ISNUMBER(J259),J259=INT(J259),J259&gt;=1,J259&lt;=12,ISNUMBER(M259),M259=INT(M259),M259&gt;=1,M259&lt;=7,ISNUMBER(N259),N259=INT(N259),N259&gt;=1,N259&lt;=5,MONTH(DATE(Übersicht!$B$4,J259,1)+MOD(M259-WEEKDAY(DATE(Übersicht!$B$4,J259,1),2),7)+7*(N259-1))=J259,K259="",ISNUMBER(L259),L259=INT(L259),L259&gt;=-366,L259&lt;=366),DATE(Übersicht!$B$4,J259,1)+MOD(M259-WEEKDAY(DATE(Übersicht!$B$4,J259,1),2),7)+7*(N259-1)+L259,NA()),NA())))),NA())</f>
        <v>46754</v>
      </c>
      <c r="X259" s="14">
        <f t="shared" si="3"/>
        <v>46754</v>
      </c>
      <c r="Y259" s="10" t="s">
        <v>972</v>
      </c>
      <c r="Z259" s="10" t="s">
        <v>973</v>
      </c>
      <c r="AA259" s="24" t="s">
        <v>768</v>
      </c>
    </row>
    <row r="260" spans="1:27" ht="44" customHeight="1">
      <c r="A260" s="11" t="s">
        <v>354</v>
      </c>
      <c r="B260" s="11" t="s">
        <v>352</v>
      </c>
      <c r="C260" s="11" t="s">
        <v>974</v>
      </c>
      <c r="D260" s="26" t="s">
        <v>771</v>
      </c>
      <c r="E260" s="26" t="s">
        <v>772</v>
      </c>
      <c r="F260" s="27" t="s">
        <v>849</v>
      </c>
      <c r="G260" s="27" t="s">
        <v>850</v>
      </c>
      <c r="H260" s="11" t="s">
        <v>812</v>
      </c>
      <c r="I260" s="11" t="s">
        <v>762</v>
      </c>
      <c r="J260" s="30">
        <v>1</v>
      </c>
      <c r="K260" s="30">
        <v>1</v>
      </c>
      <c r="L260" s="26"/>
      <c r="M260" s="26"/>
      <c r="N260" s="26"/>
      <c r="O260" s="31">
        <v>46023</v>
      </c>
      <c r="P260" s="31"/>
      <c r="Q260" s="26">
        <v>100</v>
      </c>
      <c r="R260" s="26" t="s">
        <v>69</v>
      </c>
      <c r="S260" s="11"/>
      <c r="T260" s="11" t="s">
        <v>764</v>
      </c>
      <c r="U260" s="11"/>
      <c r="V260" s="11" t="s">
        <v>824</v>
      </c>
      <c r="W260" s="15">
        <f>IF(AND(ISNUMBER(Übersicht!$B$4),Übersicht!$B$4=INT(Übersicht!$B$4),Übersicht!$B$4&gt;=2026,Übersicht!$B$4&lt;=2028),IF(I260="fixedMonthDay",IF(AND(ISNUMBER(J260),J260=INT(J260),J260&gt;=1,J260&lt;=12,ISNUMBER(K260),K260=INT(K260),K260&gt;=1,K260&lt;=31,MONTH(DATE(Übersicht!$B$4,J260,K260))=J260,DAY(DATE(Übersicht!$B$4,J260,K260))=K260,L260="",M260="",N260=""),DATE(Übersicht!$B$4,J260,K260),NA()),IF(I260="easterOffsetDays",IF(AND(ISNUMBER(L260),L260=INT(L260),L260&gt;=-366,L260&lt;=366,J260="",K260="",M260="",N260=""),$AD$23+L260,NA()),IF(I260="nthWeekdayOfMonth",IF(AND(ISNUMBER(J260),J260=INT(J260),J260&gt;=1,J260&lt;=12,ISNUMBER(M260),M260=INT(M260),M260&gt;=1,M260&lt;=7,ISNUMBER(N260),N260=INT(N260),N260&gt;=1,N260&lt;=5,MONTH(DATE(Übersicht!$B$4,J260,1)+MOD(M260-WEEKDAY(DATE(Übersicht!$B$4,J260,1),2),7)+7*(N260-1))=J260,K260="",L260=""),DATE(Übersicht!$B$4,J260,1)+MOD(M260-WEEKDAY(DATE(Übersicht!$B$4,J260,1),2),7)+7*(N260-1),NA()),IF(I260="nthWeekdayOffsetDays",IF(AND(ISNUMBER(J260),J260=INT(J260),J260&gt;=1,J260&lt;=12,ISNUMBER(M260),M260=INT(M260),M260&gt;=1,M260&lt;=7,ISNUMBER(N260),N260=INT(N260),N260&gt;=1,N260&lt;=5,MONTH(DATE(Übersicht!$B$4,J260,1)+MOD(M260-WEEKDAY(DATE(Übersicht!$B$4,J260,1),2),7)+7*(N260-1))=J260,K260="",ISNUMBER(L260),L260=INT(L260),L260&gt;=-366,L260&lt;=366),DATE(Übersicht!$B$4,J260,1)+MOD(M260-WEEKDAY(DATE(Übersicht!$B$4,J260,1),2),7)+7*(N260-1)+L260,NA()),NA())))),NA())</f>
        <v>46753</v>
      </c>
      <c r="X260" s="15">
        <f t="shared" si="3"/>
        <v>46753</v>
      </c>
      <c r="Y260" s="11" t="s">
        <v>975</v>
      </c>
      <c r="Z260" s="11" t="s">
        <v>976</v>
      </c>
      <c r="AA260" s="26" t="s">
        <v>768</v>
      </c>
    </row>
    <row r="261" spans="1:27" ht="44" customHeight="1">
      <c r="A261" s="10" t="s">
        <v>355</v>
      </c>
      <c r="B261" s="10" t="s">
        <v>352</v>
      </c>
      <c r="C261" s="10" t="s">
        <v>974</v>
      </c>
      <c r="D261" s="24" t="s">
        <v>779</v>
      </c>
      <c r="E261" s="24" t="s">
        <v>780</v>
      </c>
      <c r="F261" s="25" t="s">
        <v>889</v>
      </c>
      <c r="G261" s="25" t="s">
        <v>890</v>
      </c>
      <c r="H261" s="10" t="s">
        <v>812</v>
      </c>
      <c r="I261" s="10" t="s">
        <v>781</v>
      </c>
      <c r="J261" s="28"/>
      <c r="K261" s="28"/>
      <c r="L261" s="24">
        <v>-2</v>
      </c>
      <c r="M261" s="24"/>
      <c r="N261" s="24"/>
      <c r="O261" s="29">
        <v>46023</v>
      </c>
      <c r="P261" s="29"/>
      <c r="Q261" s="24">
        <v>100</v>
      </c>
      <c r="R261" s="24" t="s">
        <v>69</v>
      </c>
      <c r="S261" s="10"/>
      <c r="T261" s="10" t="s">
        <v>764</v>
      </c>
      <c r="U261" s="10"/>
      <c r="V261" s="10" t="s">
        <v>824</v>
      </c>
      <c r="W261" s="14">
        <f>IF(AND(ISNUMBER(Übersicht!$B$4),Übersicht!$B$4=INT(Übersicht!$B$4),Übersicht!$B$4&gt;=2026,Übersicht!$B$4&lt;=2028),IF(I261="fixedMonthDay",IF(AND(ISNUMBER(J261),J261=INT(J261),J261&gt;=1,J261&lt;=12,ISNUMBER(K261),K261=INT(K261),K261&gt;=1,K261&lt;=31,MONTH(DATE(Übersicht!$B$4,J261,K261))=J261,DAY(DATE(Übersicht!$B$4,J261,K261))=K261,L261="",M261="",N261=""),DATE(Übersicht!$B$4,J261,K261),NA()),IF(I261="easterOffsetDays",IF(AND(ISNUMBER(L261),L261=INT(L261),L261&gt;=-366,L261&lt;=366,J261="",K261="",M261="",N261=""),$AD$23+L261,NA()),IF(I261="nthWeekdayOfMonth",IF(AND(ISNUMBER(J261),J261=INT(J261),J261&gt;=1,J261&lt;=12,ISNUMBER(M261),M261=INT(M261),M261&gt;=1,M261&lt;=7,ISNUMBER(N261),N261=INT(N261),N261&gt;=1,N261&lt;=5,MONTH(DATE(Übersicht!$B$4,J261,1)+MOD(M261-WEEKDAY(DATE(Übersicht!$B$4,J261,1),2),7)+7*(N261-1))=J261,K261="",L261=""),DATE(Übersicht!$B$4,J261,1)+MOD(M261-WEEKDAY(DATE(Übersicht!$B$4,J261,1),2),7)+7*(N261-1),NA()),IF(I261="nthWeekdayOffsetDays",IF(AND(ISNUMBER(J261),J261=INT(J261),J261&gt;=1,J261&lt;=12,ISNUMBER(M261),M261=INT(M261),M261&gt;=1,M261&lt;=7,ISNUMBER(N261),N261=INT(N261),N261&gt;=1,N261&lt;=5,MONTH(DATE(Übersicht!$B$4,J261,1)+MOD(M261-WEEKDAY(DATE(Übersicht!$B$4,J261,1),2),7)+7*(N261-1))=J261,K261="",ISNUMBER(L261),L261=INT(L261),L261&gt;=-366,L261&lt;=366),DATE(Übersicht!$B$4,J261,1)+MOD(M261-WEEKDAY(DATE(Übersicht!$B$4,J261,1),2),7)+7*(N261-1)+L261,NA()),NA())))),NA())</f>
        <v>46857</v>
      </c>
      <c r="X261" s="14">
        <f t="shared" si="3"/>
        <v>46857</v>
      </c>
      <c r="Y261" s="10" t="s">
        <v>975</v>
      </c>
      <c r="Z261" s="10" t="s">
        <v>976</v>
      </c>
      <c r="AA261" s="24" t="s">
        <v>768</v>
      </c>
    </row>
    <row r="262" spans="1:27" ht="44" customHeight="1">
      <c r="A262" s="11" t="s">
        <v>356</v>
      </c>
      <c r="B262" s="11" t="s">
        <v>352</v>
      </c>
      <c r="C262" s="11" t="s">
        <v>974</v>
      </c>
      <c r="D262" s="26" t="s">
        <v>787</v>
      </c>
      <c r="E262" s="26" t="s">
        <v>788</v>
      </c>
      <c r="F262" s="27" t="s">
        <v>860</v>
      </c>
      <c r="G262" s="27" t="s">
        <v>861</v>
      </c>
      <c r="H262" s="11" t="s">
        <v>812</v>
      </c>
      <c r="I262" s="11" t="s">
        <v>781</v>
      </c>
      <c r="J262" s="30"/>
      <c r="K262" s="30"/>
      <c r="L262" s="26">
        <v>1</v>
      </c>
      <c r="M262" s="26"/>
      <c r="N262" s="26"/>
      <c r="O262" s="31">
        <v>46023</v>
      </c>
      <c r="P262" s="31"/>
      <c r="Q262" s="26">
        <v>100</v>
      </c>
      <c r="R262" s="26" t="s">
        <v>69</v>
      </c>
      <c r="S262" s="11"/>
      <c r="T262" s="11" t="s">
        <v>764</v>
      </c>
      <c r="U262" s="11"/>
      <c r="V262" s="11" t="s">
        <v>824</v>
      </c>
      <c r="W262" s="15">
        <f>IF(AND(ISNUMBER(Übersicht!$B$4),Übersicht!$B$4=INT(Übersicht!$B$4),Übersicht!$B$4&gt;=2026,Übersicht!$B$4&lt;=2028),IF(I262="fixedMonthDay",IF(AND(ISNUMBER(J262),J262=INT(J262),J262&gt;=1,J262&lt;=12,ISNUMBER(K262),K262=INT(K262),K262&gt;=1,K262&lt;=31,MONTH(DATE(Übersicht!$B$4,J262,K262))=J262,DAY(DATE(Übersicht!$B$4,J262,K262))=K262,L262="",M262="",N262=""),DATE(Übersicht!$B$4,J262,K262),NA()),IF(I262="easterOffsetDays",IF(AND(ISNUMBER(L262),L262=INT(L262),L262&gt;=-366,L262&lt;=366,J262="",K262="",M262="",N262=""),$AD$23+L262,NA()),IF(I262="nthWeekdayOfMonth",IF(AND(ISNUMBER(J262),J262=INT(J262),J262&gt;=1,J262&lt;=12,ISNUMBER(M262),M262=INT(M262),M262&gt;=1,M262&lt;=7,ISNUMBER(N262),N262=INT(N262),N262&gt;=1,N262&lt;=5,MONTH(DATE(Übersicht!$B$4,J262,1)+MOD(M262-WEEKDAY(DATE(Übersicht!$B$4,J262,1),2),7)+7*(N262-1))=J262,K262="",L262=""),DATE(Übersicht!$B$4,J262,1)+MOD(M262-WEEKDAY(DATE(Übersicht!$B$4,J262,1),2),7)+7*(N262-1),NA()),IF(I262="nthWeekdayOffsetDays",IF(AND(ISNUMBER(J262),J262=INT(J262),J262&gt;=1,J262&lt;=12,ISNUMBER(M262),M262=INT(M262),M262&gt;=1,M262&lt;=7,ISNUMBER(N262),N262=INT(N262),N262&gt;=1,N262&lt;=5,MONTH(DATE(Übersicht!$B$4,J262,1)+MOD(M262-WEEKDAY(DATE(Übersicht!$B$4,J262,1),2),7)+7*(N262-1))=J262,K262="",ISNUMBER(L262),L262=INT(L262),L262&gt;=-366,L262&lt;=366),DATE(Übersicht!$B$4,J262,1)+MOD(M262-WEEKDAY(DATE(Übersicht!$B$4,J262,1),2),7)+7*(N262-1)+L262,NA()),NA())))),NA())</f>
        <v>46860</v>
      </c>
      <c r="X262" s="15">
        <f t="shared" si="3"/>
        <v>46860</v>
      </c>
      <c r="Y262" s="11" t="s">
        <v>975</v>
      </c>
      <c r="Z262" s="11" t="s">
        <v>976</v>
      </c>
      <c r="AA262" s="26" t="s">
        <v>768</v>
      </c>
    </row>
    <row r="263" spans="1:27" ht="44" customHeight="1">
      <c r="A263" s="10" t="s">
        <v>357</v>
      </c>
      <c r="B263" s="10" t="s">
        <v>352</v>
      </c>
      <c r="C263" s="10" t="s">
        <v>974</v>
      </c>
      <c r="D263" s="24" t="s">
        <v>790</v>
      </c>
      <c r="E263" s="24" t="s">
        <v>791</v>
      </c>
      <c r="F263" s="25" t="s">
        <v>864</v>
      </c>
      <c r="G263" s="25" t="s">
        <v>865</v>
      </c>
      <c r="H263" s="10" t="s">
        <v>812</v>
      </c>
      <c r="I263" s="10" t="s">
        <v>781</v>
      </c>
      <c r="J263" s="28"/>
      <c r="K263" s="28"/>
      <c r="L263" s="24">
        <v>39</v>
      </c>
      <c r="M263" s="24"/>
      <c r="N263" s="24"/>
      <c r="O263" s="29">
        <v>46023</v>
      </c>
      <c r="P263" s="29"/>
      <c r="Q263" s="24">
        <v>100</v>
      </c>
      <c r="R263" s="24" t="s">
        <v>69</v>
      </c>
      <c r="S263" s="10"/>
      <c r="T263" s="10" t="s">
        <v>764</v>
      </c>
      <c r="U263" s="10"/>
      <c r="V263" s="10" t="s">
        <v>824</v>
      </c>
      <c r="W263" s="14">
        <f>IF(AND(ISNUMBER(Übersicht!$B$4),Übersicht!$B$4=INT(Übersicht!$B$4),Übersicht!$B$4&gt;=2026,Übersicht!$B$4&lt;=2028),IF(I263="fixedMonthDay",IF(AND(ISNUMBER(J263),J263=INT(J263),J263&gt;=1,J263&lt;=12,ISNUMBER(K263),K263=INT(K263),K263&gt;=1,K263&lt;=31,MONTH(DATE(Übersicht!$B$4,J263,K263))=J263,DAY(DATE(Übersicht!$B$4,J263,K263))=K263,L263="",M263="",N263=""),DATE(Übersicht!$B$4,J263,K263),NA()),IF(I263="easterOffsetDays",IF(AND(ISNUMBER(L263),L263=INT(L263),L263&gt;=-366,L263&lt;=366,J263="",K263="",M263="",N263=""),$AD$23+L263,NA()),IF(I263="nthWeekdayOfMonth",IF(AND(ISNUMBER(J263),J263=INT(J263),J263&gt;=1,J263&lt;=12,ISNUMBER(M263),M263=INT(M263),M263&gt;=1,M263&lt;=7,ISNUMBER(N263),N263=INT(N263),N263&gt;=1,N263&lt;=5,MONTH(DATE(Übersicht!$B$4,J263,1)+MOD(M263-WEEKDAY(DATE(Übersicht!$B$4,J263,1),2),7)+7*(N263-1))=J263,K263="",L263=""),DATE(Übersicht!$B$4,J263,1)+MOD(M263-WEEKDAY(DATE(Übersicht!$B$4,J263,1),2),7)+7*(N263-1),NA()),IF(I263="nthWeekdayOffsetDays",IF(AND(ISNUMBER(J263),J263=INT(J263),J263&gt;=1,J263&lt;=12,ISNUMBER(M263),M263=INT(M263),M263&gt;=1,M263&lt;=7,ISNUMBER(N263),N263=INT(N263),N263&gt;=1,N263&lt;=5,MONTH(DATE(Übersicht!$B$4,J263,1)+MOD(M263-WEEKDAY(DATE(Übersicht!$B$4,J263,1),2),7)+7*(N263-1))=J263,K263="",ISNUMBER(L263),L263=INT(L263),L263&gt;=-366,L263&lt;=366),DATE(Übersicht!$B$4,J263,1)+MOD(M263-WEEKDAY(DATE(Übersicht!$B$4,J263,1),2),7)+7*(N263-1)+L263,NA()),NA())))),NA())</f>
        <v>46898</v>
      </c>
      <c r="X263" s="14">
        <f t="shared" ref="X263:X326" si="4">IF(AND(ISNUMBER(O263),O263=INT(O263),O263&gt;=-115780,O263&lt;=2958465,OR(P263="",AND(ISNUMBER(P263),P263=INT(P263),P263&gt;=-115780,P263&lt;=2958465,P263&gt;=O263)),OR(AA263="Ganztägig",AA263="Ab 12.00 Uhr")),IF(AND(W263&gt;=O263,OR(P263="",W263&lt;=P263)),W263,"Ausserhalb Geltung"),NA())</f>
        <v>46898</v>
      </c>
      <c r="Y263" s="10" t="s">
        <v>975</v>
      </c>
      <c r="Z263" s="10" t="s">
        <v>976</v>
      </c>
      <c r="AA263" s="24" t="s">
        <v>768</v>
      </c>
    </row>
    <row r="264" spans="1:27" ht="44" customHeight="1">
      <c r="A264" s="11" t="s">
        <v>358</v>
      </c>
      <c r="B264" s="11" t="s">
        <v>352</v>
      </c>
      <c r="C264" s="11" t="s">
        <v>974</v>
      </c>
      <c r="D264" s="26" t="s">
        <v>796</v>
      </c>
      <c r="E264" s="26" t="s">
        <v>797</v>
      </c>
      <c r="F264" s="27" t="s">
        <v>866</v>
      </c>
      <c r="G264" s="27" t="s">
        <v>867</v>
      </c>
      <c r="H264" s="11" t="s">
        <v>812</v>
      </c>
      <c r="I264" s="11" t="s">
        <v>781</v>
      </c>
      <c r="J264" s="30"/>
      <c r="K264" s="30"/>
      <c r="L264" s="26">
        <v>50</v>
      </c>
      <c r="M264" s="26"/>
      <c r="N264" s="26"/>
      <c r="O264" s="31">
        <v>46023</v>
      </c>
      <c r="P264" s="31"/>
      <c r="Q264" s="26">
        <v>100</v>
      </c>
      <c r="R264" s="26" t="s">
        <v>69</v>
      </c>
      <c r="S264" s="11"/>
      <c r="T264" s="11" t="s">
        <v>764</v>
      </c>
      <c r="U264" s="11"/>
      <c r="V264" s="11" t="s">
        <v>824</v>
      </c>
      <c r="W264" s="15">
        <f>IF(AND(ISNUMBER(Übersicht!$B$4),Übersicht!$B$4=INT(Übersicht!$B$4),Übersicht!$B$4&gt;=2026,Übersicht!$B$4&lt;=2028),IF(I264="fixedMonthDay",IF(AND(ISNUMBER(J264),J264=INT(J264),J264&gt;=1,J264&lt;=12,ISNUMBER(K264),K264=INT(K264),K264&gt;=1,K264&lt;=31,MONTH(DATE(Übersicht!$B$4,J264,K264))=J264,DAY(DATE(Übersicht!$B$4,J264,K264))=K264,L264="",M264="",N264=""),DATE(Übersicht!$B$4,J264,K264),NA()),IF(I264="easterOffsetDays",IF(AND(ISNUMBER(L264),L264=INT(L264),L264&gt;=-366,L264&lt;=366,J264="",K264="",M264="",N264=""),$AD$23+L264,NA()),IF(I264="nthWeekdayOfMonth",IF(AND(ISNUMBER(J264),J264=INT(J264),J264&gt;=1,J264&lt;=12,ISNUMBER(M264),M264=INT(M264),M264&gt;=1,M264&lt;=7,ISNUMBER(N264),N264=INT(N264),N264&gt;=1,N264&lt;=5,MONTH(DATE(Übersicht!$B$4,J264,1)+MOD(M264-WEEKDAY(DATE(Übersicht!$B$4,J264,1),2),7)+7*(N264-1))=J264,K264="",L264=""),DATE(Übersicht!$B$4,J264,1)+MOD(M264-WEEKDAY(DATE(Übersicht!$B$4,J264,1),2),7)+7*(N264-1),NA()),IF(I264="nthWeekdayOffsetDays",IF(AND(ISNUMBER(J264),J264=INT(J264),J264&gt;=1,J264&lt;=12,ISNUMBER(M264),M264=INT(M264),M264&gt;=1,M264&lt;=7,ISNUMBER(N264),N264=INT(N264),N264&gt;=1,N264&lt;=5,MONTH(DATE(Übersicht!$B$4,J264,1)+MOD(M264-WEEKDAY(DATE(Übersicht!$B$4,J264,1),2),7)+7*(N264-1))=J264,K264="",ISNUMBER(L264),L264=INT(L264),L264&gt;=-366,L264&lt;=366),DATE(Übersicht!$B$4,J264,1)+MOD(M264-WEEKDAY(DATE(Übersicht!$B$4,J264,1),2),7)+7*(N264-1)+L264,NA()),NA())))),NA())</f>
        <v>46909</v>
      </c>
      <c r="X264" s="15">
        <f t="shared" si="4"/>
        <v>46909</v>
      </c>
      <c r="Y264" s="11" t="s">
        <v>975</v>
      </c>
      <c r="Z264" s="11" t="s">
        <v>976</v>
      </c>
      <c r="AA264" s="26" t="s">
        <v>768</v>
      </c>
    </row>
    <row r="265" spans="1:27" ht="44" customHeight="1">
      <c r="A265" s="10" t="s">
        <v>359</v>
      </c>
      <c r="B265" s="10" t="s">
        <v>352</v>
      </c>
      <c r="C265" s="10" t="s">
        <v>974</v>
      </c>
      <c r="D265" s="24" t="s">
        <v>759</v>
      </c>
      <c r="E265" s="24" t="s">
        <v>760</v>
      </c>
      <c r="F265" s="25" t="s">
        <v>874</v>
      </c>
      <c r="G265" s="25" t="s">
        <v>875</v>
      </c>
      <c r="H265" s="10" t="s">
        <v>761</v>
      </c>
      <c r="I265" s="10" t="s">
        <v>762</v>
      </c>
      <c r="J265" s="28">
        <v>8</v>
      </c>
      <c r="K265" s="28">
        <v>1</v>
      </c>
      <c r="L265" s="24"/>
      <c r="M265" s="24"/>
      <c r="N265" s="24"/>
      <c r="O265" s="29">
        <v>46023</v>
      </c>
      <c r="P265" s="29"/>
      <c r="Q265" s="24">
        <v>100</v>
      </c>
      <c r="R265" s="24" t="s">
        <v>69</v>
      </c>
      <c r="S265" s="10"/>
      <c r="T265" s="10" t="s">
        <v>764</v>
      </c>
      <c r="U265" s="10"/>
      <c r="V265" s="10" t="s">
        <v>824</v>
      </c>
      <c r="W265" s="14">
        <f>IF(AND(ISNUMBER(Übersicht!$B$4),Übersicht!$B$4=INT(Übersicht!$B$4),Übersicht!$B$4&gt;=2026,Übersicht!$B$4&lt;=2028),IF(I265="fixedMonthDay",IF(AND(ISNUMBER(J265),J265=INT(J265),J265&gt;=1,J265&lt;=12,ISNUMBER(K265),K265=INT(K265),K265&gt;=1,K265&lt;=31,MONTH(DATE(Übersicht!$B$4,J265,K265))=J265,DAY(DATE(Übersicht!$B$4,J265,K265))=K265,L265="",M265="",N265=""),DATE(Übersicht!$B$4,J265,K265),NA()),IF(I265="easterOffsetDays",IF(AND(ISNUMBER(L265),L265=INT(L265),L265&gt;=-366,L265&lt;=366,J265="",K265="",M265="",N265=""),$AD$23+L265,NA()),IF(I265="nthWeekdayOfMonth",IF(AND(ISNUMBER(J265),J265=INT(J265),J265&gt;=1,J265&lt;=12,ISNUMBER(M265),M265=INT(M265),M265&gt;=1,M265&lt;=7,ISNUMBER(N265),N265=INT(N265),N265&gt;=1,N265&lt;=5,MONTH(DATE(Übersicht!$B$4,J265,1)+MOD(M265-WEEKDAY(DATE(Übersicht!$B$4,J265,1),2),7)+7*(N265-1))=J265,K265="",L265=""),DATE(Übersicht!$B$4,J265,1)+MOD(M265-WEEKDAY(DATE(Übersicht!$B$4,J265,1),2),7)+7*(N265-1),NA()),IF(I265="nthWeekdayOffsetDays",IF(AND(ISNUMBER(J265),J265=INT(J265),J265&gt;=1,J265&lt;=12,ISNUMBER(M265),M265=INT(M265),M265&gt;=1,M265&lt;=7,ISNUMBER(N265),N265=INT(N265),N265&gt;=1,N265&lt;=5,MONTH(DATE(Übersicht!$B$4,J265,1)+MOD(M265-WEEKDAY(DATE(Übersicht!$B$4,J265,1),2),7)+7*(N265-1))=J265,K265="",ISNUMBER(L265),L265=INT(L265),L265&gt;=-366,L265&lt;=366),DATE(Übersicht!$B$4,J265,1)+MOD(M265-WEEKDAY(DATE(Übersicht!$B$4,J265,1),2),7)+7*(N265-1)+L265,NA()),NA())))),NA())</f>
        <v>46966</v>
      </c>
      <c r="X265" s="14">
        <f t="shared" si="4"/>
        <v>46966</v>
      </c>
      <c r="Y265" s="10" t="s">
        <v>766</v>
      </c>
      <c r="Z265" s="10" t="s">
        <v>955</v>
      </c>
      <c r="AA265" s="24" t="s">
        <v>768</v>
      </c>
    </row>
    <row r="266" spans="1:27" ht="44" customHeight="1">
      <c r="A266" s="11" t="s">
        <v>360</v>
      </c>
      <c r="B266" s="11" t="s">
        <v>352</v>
      </c>
      <c r="C266" s="11" t="s">
        <v>974</v>
      </c>
      <c r="D266" s="26" t="s">
        <v>803</v>
      </c>
      <c r="E266" s="26" t="s">
        <v>804</v>
      </c>
      <c r="F266" s="27" t="s">
        <v>882</v>
      </c>
      <c r="G266" s="27" t="s">
        <v>883</v>
      </c>
      <c r="H266" s="11" t="s">
        <v>812</v>
      </c>
      <c r="I266" s="11" t="s">
        <v>762</v>
      </c>
      <c r="J266" s="30">
        <v>12</v>
      </c>
      <c r="K266" s="30">
        <v>25</v>
      </c>
      <c r="L266" s="26"/>
      <c r="M266" s="26"/>
      <c r="N266" s="26"/>
      <c r="O266" s="31">
        <v>46023</v>
      </c>
      <c r="P266" s="31"/>
      <c r="Q266" s="26">
        <v>100</v>
      </c>
      <c r="R266" s="26" t="s">
        <v>69</v>
      </c>
      <c r="S266" s="11"/>
      <c r="T266" s="11" t="s">
        <v>764</v>
      </c>
      <c r="U266" s="11"/>
      <c r="V266" s="11" t="s">
        <v>824</v>
      </c>
      <c r="W266" s="15">
        <f>IF(AND(ISNUMBER(Übersicht!$B$4),Übersicht!$B$4=INT(Übersicht!$B$4),Übersicht!$B$4&gt;=2026,Übersicht!$B$4&lt;=2028),IF(I266="fixedMonthDay",IF(AND(ISNUMBER(J266),J266=INT(J266),J266&gt;=1,J266&lt;=12,ISNUMBER(K266),K266=INT(K266),K266&gt;=1,K266&lt;=31,MONTH(DATE(Übersicht!$B$4,J266,K266))=J266,DAY(DATE(Übersicht!$B$4,J266,K266))=K266,L266="",M266="",N266=""),DATE(Übersicht!$B$4,J266,K266),NA()),IF(I266="easterOffsetDays",IF(AND(ISNUMBER(L266),L266=INT(L266),L266&gt;=-366,L266&lt;=366,J266="",K266="",M266="",N266=""),$AD$23+L266,NA()),IF(I266="nthWeekdayOfMonth",IF(AND(ISNUMBER(J266),J266=INT(J266),J266&gt;=1,J266&lt;=12,ISNUMBER(M266),M266=INT(M266),M266&gt;=1,M266&lt;=7,ISNUMBER(N266),N266=INT(N266),N266&gt;=1,N266&lt;=5,MONTH(DATE(Übersicht!$B$4,J266,1)+MOD(M266-WEEKDAY(DATE(Übersicht!$B$4,J266,1),2),7)+7*(N266-1))=J266,K266="",L266=""),DATE(Übersicht!$B$4,J266,1)+MOD(M266-WEEKDAY(DATE(Übersicht!$B$4,J266,1),2),7)+7*(N266-1),NA()),IF(I266="nthWeekdayOffsetDays",IF(AND(ISNUMBER(J266),J266=INT(J266),J266&gt;=1,J266&lt;=12,ISNUMBER(M266),M266=INT(M266),M266&gt;=1,M266&lt;=7,ISNUMBER(N266),N266=INT(N266),N266&gt;=1,N266&lt;=5,MONTH(DATE(Übersicht!$B$4,J266,1)+MOD(M266-WEEKDAY(DATE(Übersicht!$B$4,J266,1),2),7)+7*(N266-1))=J266,K266="",ISNUMBER(L266),L266=INT(L266),L266&gt;=-366,L266&lt;=366),DATE(Übersicht!$B$4,J266,1)+MOD(M266-WEEKDAY(DATE(Übersicht!$B$4,J266,1),2),7)+7*(N266-1)+L266,NA()),NA())))),NA())</f>
        <v>47112</v>
      </c>
      <c r="X266" s="15">
        <f t="shared" si="4"/>
        <v>47112</v>
      </c>
      <c r="Y266" s="11" t="s">
        <v>975</v>
      </c>
      <c r="Z266" s="11" t="s">
        <v>976</v>
      </c>
      <c r="AA266" s="26" t="s">
        <v>768</v>
      </c>
    </row>
    <row r="267" spans="1:27" ht="44" customHeight="1">
      <c r="A267" s="10" t="s">
        <v>363</v>
      </c>
      <c r="B267" s="10" t="s">
        <v>361</v>
      </c>
      <c r="C267" s="10" t="s">
        <v>977</v>
      </c>
      <c r="D267" s="24" t="s">
        <v>771</v>
      </c>
      <c r="E267" s="24" t="s">
        <v>772</v>
      </c>
      <c r="F267" s="25" t="s">
        <v>849</v>
      </c>
      <c r="G267" s="25" t="s">
        <v>850</v>
      </c>
      <c r="H267" s="10" t="s">
        <v>761</v>
      </c>
      <c r="I267" s="10" t="s">
        <v>762</v>
      </c>
      <c r="J267" s="28">
        <v>1</v>
      </c>
      <c r="K267" s="28">
        <v>1</v>
      </c>
      <c r="L267" s="24"/>
      <c r="M267" s="24"/>
      <c r="N267" s="24"/>
      <c r="O267" s="29">
        <v>46023</v>
      </c>
      <c r="P267" s="29"/>
      <c r="Q267" s="24">
        <v>100</v>
      </c>
      <c r="R267" s="24" t="s">
        <v>69</v>
      </c>
      <c r="S267" s="10"/>
      <c r="T267" s="10" t="s">
        <v>764</v>
      </c>
      <c r="U267" s="10"/>
      <c r="V267" s="10" t="s">
        <v>824</v>
      </c>
      <c r="W267" s="14">
        <f>IF(AND(ISNUMBER(Übersicht!$B$4),Übersicht!$B$4=INT(Übersicht!$B$4),Übersicht!$B$4&gt;=2026,Übersicht!$B$4&lt;=2028),IF(I267="fixedMonthDay",IF(AND(ISNUMBER(J267),J267=INT(J267),J267&gt;=1,J267&lt;=12,ISNUMBER(K267),K267=INT(K267),K267&gt;=1,K267&lt;=31,MONTH(DATE(Übersicht!$B$4,J267,K267))=J267,DAY(DATE(Übersicht!$B$4,J267,K267))=K267,L267="",M267="",N267=""),DATE(Übersicht!$B$4,J267,K267),NA()),IF(I267="easterOffsetDays",IF(AND(ISNUMBER(L267),L267=INT(L267),L267&gt;=-366,L267&lt;=366,J267="",K267="",M267="",N267=""),$AD$23+L267,NA()),IF(I267="nthWeekdayOfMonth",IF(AND(ISNUMBER(J267),J267=INT(J267),J267&gt;=1,J267&lt;=12,ISNUMBER(M267),M267=INT(M267),M267&gt;=1,M267&lt;=7,ISNUMBER(N267),N267=INT(N267),N267&gt;=1,N267&lt;=5,MONTH(DATE(Übersicht!$B$4,J267,1)+MOD(M267-WEEKDAY(DATE(Übersicht!$B$4,J267,1),2),7)+7*(N267-1))=J267,K267="",L267=""),DATE(Übersicht!$B$4,J267,1)+MOD(M267-WEEKDAY(DATE(Übersicht!$B$4,J267,1),2),7)+7*(N267-1),NA()),IF(I267="nthWeekdayOffsetDays",IF(AND(ISNUMBER(J267),J267=INT(J267),J267&gt;=1,J267&lt;=12,ISNUMBER(M267),M267=INT(M267),M267&gt;=1,M267&lt;=7,ISNUMBER(N267),N267=INT(N267),N267&gt;=1,N267&lt;=5,MONTH(DATE(Übersicht!$B$4,J267,1)+MOD(M267-WEEKDAY(DATE(Übersicht!$B$4,J267,1),2),7)+7*(N267-1))=J267,K267="",ISNUMBER(L267),L267=INT(L267),L267&gt;=-366,L267&lt;=366),DATE(Übersicht!$B$4,J267,1)+MOD(M267-WEEKDAY(DATE(Übersicht!$B$4,J267,1),2),7)+7*(N267-1)+L267,NA()),NA())))),NA())</f>
        <v>46753</v>
      </c>
      <c r="X267" s="14">
        <f t="shared" si="4"/>
        <v>46753</v>
      </c>
      <c r="Y267" s="10" t="s">
        <v>978</v>
      </c>
      <c r="Z267" s="10" t="s">
        <v>979</v>
      </c>
      <c r="AA267" s="24" t="s">
        <v>768</v>
      </c>
    </row>
    <row r="268" spans="1:27" ht="44" customHeight="1">
      <c r="A268" s="11" t="s">
        <v>364</v>
      </c>
      <c r="B268" s="11" t="s">
        <v>361</v>
      </c>
      <c r="C268" s="11" t="s">
        <v>977</v>
      </c>
      <c r="D268" s="26" t="s">
        <v>779</v>
      </c>
      <c r="E268" s="26" t="s">
        <v>780</v>
      </c>
      <c r="F268" s="27" t="s">
        <v>889</v>
      </c>
      <c r="G268" s="27" t="s">
        <v>890</v>
      </c>
      <c r="H268" s="11" t="s">
        <v>761</v>
      </c>
      <c r="I268" s="11" t="s">
        <v>781</v>
      </c>
      <c r="J268" s="30"/>
      <c r="K268" s="30"/>
      <c r="L268" s="26">
        <v>-2</v>
      </c>
      <c r="M268" s="26"/>
      <c r="N268" s="26"/>
      <c r="O268" s="31">
        <v>46023</v>
      </c>
      <c r="P268" s="31"/>
      <c r="Q268" s="26">
        <v>100</v>
      </c>
      <c r="R268" s="26" t="s">
        <v>69</v>
      </c>
      <c r="S268" s="11"/>
      <c r="T268" s="11" t="s">
        <v>764</v>
      </c>
      <c r="U268" s="11"/>
      <c r="V268" s="11" t="s">
        <v>824</v>
      </c>
      <c r="W268" s="15">
        <f>IF(AND(ISNUMBER(Übersicht!$B$4),Übersicht!$B$4=INT(Übersicht!$B$4),Übersicht!$B$4&gt;=2026,Übersicht!$B$4&lt;=2028),IF(I268="fixedMonthDay",IF(AND(ISNUMBER(J268),J268=INT(J268),J268&gt;=1,J268&lt;=12,ISNUMBER(K268),K268=INT(K268),K268&gt;=1,K268&lt;=31,MONTH(DATE(Übersicht!$B$4,J268,K268))=J268,DAY(DATE(Übersicht!$B$4,J268,K268))=K268,L268="",M268="",N268=""),DATE(Übersicht!$B$4,J268,K268),NA()),IF(I268="easterOffsetDays",IF(AND(ISNUMBER(L268),L268=INT(L268),L268&gt;=-366,L268&lt;=366,J268="",K268="",M268="",N268=""),$AD$23+L268,NA()),IF(I268="nthWeekdayOfMonth",IF(AND(ISNUMBER(J268),J268=INT(J268),J268&gt;=1,J268&lt;=12,ISNUMBER(M268),M268=INT(M268),M268&gt;=1,M268&lt;=7,ISNUMBER(N268),N268=INT(N268),N268&gt;=1,N268&lt;=5,MONTH(DATE(Übersicht!$B$4,J268,1)+MOD(M268-WEEKDAY(DATE(Übersicht!$B$4,J268,1),2),7)+7*(N268-1))=J268,K268="",L268=""),DATE(Übersicht!$B$4,J268,1)+MOD(M268-WEEKDAY(DATE(Übersicht!$B$4,J268,1),2),7)+7*(N268-1),NA()),IF(I268="nthWeekdayOffsetDays",IF(AND(ISNUMBER(J268),J268=INT(J268),J268&gt;=1,J268&lt;=12,ISNUMBER(M268),M268=INT(M268),M268&gt;=1,M268&lt;=7,ISNUMBER(N268),N268=INT(N268),N268&gt;=1,N268&lt;=5,MONTH(DATE(Übersicht!$B$4,J268,1)+MOD(M268-WEEKDAY(DATE(Übersicht!$B$4,J268,1),2),7)+7*(N268-1))=J268,K268="",ISNUMBER(L268),L268=INT(L268),L268&gt;=-366,L268&lt;=366),DATE(Übersicht!$B$4,J268,1)+MOD(M268-WEEKDAY(DATE(Übersicht!$B$4,J268,1),2),7)+7*(N268-1)+L268,NA()),NA())))),NA())</f>
        <v>46857</v>
      </c>
      <c r="X268" s="15">
        <f t="shared" si="4"/>
        <v>46857</v>
      </c>
      <c r="Y268" s="11" t="s">
        <v>978</v>
      </c>
      <c r="Z268" s="11" t="s">
        <v>979</v>
      </c>
      <c r="AA268" s="26" t="s">
        <v>768</v>
      </c>
    </row>
    <row r="269" spans="1:27" ht="44" customHeight="1">
      <c r="A269" s="10" t="s">
        <v>365</v>
      </c>
      <c r="B269" s="10" t="s">
        <v>361</v>
      </c>
      <c r="C269" s="10" t="s">
        <v>977</v>
      </c>
      <c r="D269" s="24" t="s">
        <v>787</v>
      </c>
      <c r="E269" s="24" t="s">
        <v>788</v>
      </c>
      <c r="F269" s="25" t="s">
        <v>860</v>
      </c>
      <c r="G269" s="25" t="s">
        <v>861</v>
      </c>
      <c r="H269" s="10" t="s">
        <v>761</v>
      </c>
      <c r="I269" s="10" t="s">
        <v>781</v>
      </c>
      <c r="J269" s="28"/>
      <c r="K269" s="28"/>
      <c r="L269" s="24">
        <v>1</v>
      </c>
      <c r="M269" s="24"/>
      <c r="N269" s="24"/>
      <c r="O269" s="29">
        <v>46023</v>
      </c>
      <c r="P269" s="29"/>
      <c r="Q269" s="24">
        <v>100</v>
      </c>
      <c r="R269" s="24" t="s">
        <v>69</v>
      </c>
      <c r="S269" s="10"/>
      <c r="T269" s="10" t="s">
        <v>764</v>
      </c>
      <c r="U269" s="10"/>
      <c r="V269" s="10" t="s">
        <v>824</v>
      </c>
      <c r="W269" s="14">
        <f>IF(AND(ISNUMBER(Übersicht!$B$4),Übersicht!$B$4=INT(Übersicht!$B$4),Übersicht!$B$4&gt;=2026,Übersicht!$B$4&lt;=2028),IF(I269="fixedMonthDay",IF(AND(ISNUMBER(J269),J269=INT(J269),J269&gt;=1,J269&lt;=12,ISNUMBER(K269),K269=INT(K269),K269&gt;=1,K269&lt;=31,MONTH(DATE(Übersicht!$B$4,J269,K269))=J269,DAY(DATE(Übersicht!$B$4,J269,K269))=K269,L269="",M269="",N269=""),DATE(Übersicht!$B$4,J269,K269),NA()),IF(I269="easterOffsetDays",IF(AND(ISNUMBER(L269),L269=INT(L269),L269&gt;=-366,L269&lt;=366,J269="",K269="",M269="",N269=""),$AD$23+L269,NA()),IF(I269="nthWeekdayOfMonth",IF(AND(ISNUMBER(J269),J269=INT(J269),J269&gt;=1,J269&lt;=12,ISNUMBER(M269),M269=INT(M269),M269&gt;=1,M269&lt;=7,ISNUMBER(N269),N269=INT(N269),N269&gt;=1,N269&lt;=5,MONTH(DATE(Übersicht!$B$4,J269,1)+MOD(M269-WEEKDAY(DATE(Übersicht!$B$4,J269,1),2),7)+7*(N269-1))=J269,K269="",L269=""),DATE(Übersicht!$B$4,J269,1)+MOD(M269-WEEKDAY(DATE(Übersicht!$B$4,J269,1),2),7)+7*(N269-1),NA()),IF(I269="nthWeekdayOffsetDays",IF(AND(ISNUMBER(J269),J269=INT(J269),J269&gt;=1,J269&lt;=12,ISNUMBER(M269),M269=INT(M269),M269&gt;=1,M269&lt;=7,ISNUMBER(N269),N269=INT(N269),N269&gt;=1,N269&lt;=5,MONTH(DATE(Übersicht!$B$4,J269,1)+MOD(M269-WEEKDAY(DATE(Übersicht!$B$4,J269,1),2),7)+7*(N269-1))=J269,K269="",ISNUMBER(L269),L269=INT(L269),L269&gt;=-366,L269&lt;=366),DATE(Übersicht!$B$4,J269,1)+MOD(M269-WEEKDAY(DATE(Übersicht!$B$4,J269,1),2),7)+7*(N269-1)+L269,NA()),NA())))),NA())</f>
        <v>46860</v>
      </c>
      <c r="X269" s="14">
        <f t="shared" si="4"/>
        <v>46860</v>
      </c>
      <c r="Y269" s="10" t="s">
        <v>978</v>
      </c>
      <c r="Z269" s="10" t="s">
        <v>979</v>
      </c>
      <c r="AA269" s="24" t="s">
        <v>768</v>
      </c>
    </row>
    <row r="270" spans="1:27" ht="44" customHeight="1">
      <c r="A270" s="11" t="s">
        <v>366</v>
      </c>
      <c r="B270" s="11" t="s">
        <v>361</v>
      </c>
      <c r="C270" s="11" t="s">
        <v>977</v>
      </c>
      <c r="D270" s="26" t="s">
        <v>790</v>
      </c>
      <c r="E270" s="26" t="s">
        <v>791</v>
      </c>
      <c r="F270" s="27" t="s">
        <v>864</v>
      </c>
      <c r="G270" s="27" t="s">
        <v>865</v>
      </c>
      <c r="H270" s="11" t="s">
        <v>761</v>
      </c>
      <c r="I270" s="11" t="s">
        <v>781</v>
      </c>
      <c r="J270" s="30"/>
      <c r="K270" s="30"/>
      <c r="L270" s="26">
        <v>39</v>
      </c>
      <c r="M270" s="26"/>
      <c r="N270" s="26"/>
      <c r="O270" s="31">
        <v>46023</v>
      </c>
      <c r="P270" s="31"/>
      <c r="Q270" s="26">
        <v>100</v>
      </c>
      <c r="R270" s="26" t="s">
        <v>69</v>
      </c>
      <c r="S270" s="11"/>
      <c r="T270" s="11" t="s">
        <v>764</v>
      </c>
      <c r="U270" s="11"/>
      <c r="V270" s="11" t="s">
        <v>824</v>
      </c>
      <c r="W270" s="15">
        <f>IF(AND(ISNUMBER(Übersicht!$B$4),Übersicht!$B$4=INT(Übersicht!$B$4),Übersicht!$B$4&gt;=2026,Übersicht!$B$4&lt;=2028),IF(I270="fixedMonthDay",IF(AND(ISNUMBER(J270),J270=INT(J270),J270&gt;=1,J270&lt;=12,ISNUMBER(K270),K270=INT(K270),K270&gt;=1,K270&lt;=31,MONTH(DATE(Übersicht!$B$4,J270,K270))=J270,DAY(DATE(Übersicht!$B$4,J270,K270))=K270,L270="",M270="",N270=""),DATE(Übersicht!$B$4,J270,K270),NA()),IF(I270="easterOffsetDays",IF(AND(ISNUMBER(L270),L270=INT(L270),L270&gt;=-366,L270&lt;=366,J270="",K270="",M270="",N270=""),$AD$23+L270,NA()),IF(I270="nthWeekdayOfMonth",IF(AND(ISNUMBER(J270),J270=INT(J270),J270&gt;=1,J270&lt;=12,ISNUMBER(M270),M270=INT(M270),M270&gt;=1,M270&lt;=7,ISNUMBER(N270),N270=INT(N270),N270&gt;=1,N270&lt;=5,MONTH(DATE(Übersicht!$B$4,J270,1)+MOD(M270-WEEKDAY(DATE(Übersicht!$B$4,J270,1),2),7)+7*(N270-1))=J270,K270="",L270=""),DATE(Übersicht!$B$4,J270,1)+MOD(M270-WEEKDAY(DATE(Übersicht!$B$4,J270,1),2),7)+7*(N270-1),NA()),IF(I270="nthWeekdayOffsetDays",IF(AND(ISNUMBER(J270),J270=INT(J270),J270&gt;=1,J270&lt;=12,ISNUMBER(M270),M270=INT(M270),M270&gt;=1,M270&lt;=7,ISNUMBER(N270),N270=INT(N270),N270&gt;=1,N270&lt;=5,MONTH(DATE(Übersicht!$B$4,J270,1)+MOD(M270-WEEKDAY(DATE(Übersicht!$B$4,J270,1),2),7)+7*(N270-1))=J270,K270="",ISNUMBER(L270),L270=INT(L270),L270&gt;=-366,L270&lt;=366),DATE(Übersicht!$B$4,J270,1)+MOD(M270-WEEKDAY(DATE(Übersicht!$B$4,J270,1),2),7)+7*(N270-1)+L270,NA()),NA())))),NA())</f>
        <v>46898</v>
      </c>
      <c r="X270" s="15">
        <f t="shared" si="4"/>
        <v>46898</v>
      </c>
      <c r="Y270" s="11" t="s">
        <v>978</v>
      </c>
      <c r="Z270" s="11" t="s">
        <v>979</v>
      </c>
      <c r="AA270" s="26" t="s">
        <v>768</v>
      </c>
    </row>
    <row r="271" spans="1:27" ht="44" customHeight="1">
      <c r="A271" s="10" t="s">
        <v>367</v>
      </c>
      <c r="B271" s="10" t="s">
        <v>361</v>
      </c>
      <c r="C271" s="10" t="s">
        <v>977</v>
      </c>
      <c r="D271" s="24" t="s">
        <v>796</v>
      </c>
      <c r="E271" s="24" t="s">
        <v>797</v>
      </c>
      <c r="F271" s="25" t="s">
        <v>866</v>
      </c>
      <c r="G271" s="25" t="s">
        <v>867</v>
      </c>
      <c r="H271" s="10" t="s">
        <v>761</v>
      </c>
      <c r="I271" s="10" t="s">
        <v>781</v>
      </c>
      <c r="J271" s="28"/>
      <c r="K271" s="28"/>
      <c r="L271" s="24">
        <v>50</v>
      </c>
      <c r="M271" s="24"/>
      <c r="N271" s="24"/>
      <c r="O271" s="29">
        <v>46023</v>
      </c>
      <c r="P271" s="29"/>
      <c r="Q271" s="24">
        <v>100</v>
      </c>
      <c r="R271" s="24" t="s">
        <v>69</v>
      </c>
      <c r="S271" s="10"/>
      <c r="T271" s="10" t="s">
        <v>764</v>
      </c>
      <c r="U271" s="10"/>
      <c r="V271" s="10" t="s">
        <v>824</v>
      </c>
      <c r="W271" s="14">
        <f>IF(AND(ISNUMBER(Übersicht!$B$4),Übersicht!$B$4=INT(Übersicht!$B$4),Übersicht!$B$4&gt;=2026,Übersicht!$B$4&lt;=2028),IF(I271="fixedMonthDay",IF(AND(ISNUMBER(J271),J271=INT(J271),J271&gt;=1,J271&lt;=12,ISNUMBER(K271),K271=INT(K271),K271&gt;=1,K271&lt;=31,MONTH(DATE(Übersicht!$B$4,J271,K271))=J271,DAY(DATE(Übersicht!$B$4,J271,K271))=K271,L271="",M271="",N271=""),DATE(Übersicht!$B$4,J271,K271),NA()),IF(I271="easterOffsetDays",IF(AND(ISNUMBER(L271),L271=INT(L271),L271&gt;=-366,L271&lt;=366,J271="",K271="",M271="",N271=""),$AD$23+L271,NA()),IF(I271="nthWeekdayOfMonth",IF(AND(ISNUMBER(J271),J271=INT(J271),J271&gt;=1,J271&lt;=12,ISNUMBER(M271),M271=INT(M271),M271&gt;=1,M271&lt;=7,ISNUMBER(N271),N271=INT(N271),N271&gt;=1,N271&lt;=5,MONTH(DATE(Übersicht!$B$4,J271,1)+MOD(M271-WEEKDAY(DATE(Übersicht!$B$4,J271,1),2),7)+7*(N271-1))=J271,K271="",L271=""),DATE(Übersicht!$B$4,J271,1)+MOD(M271-WEEKDAY(DATE(Übersicht!$B$4,J271,1),2),7)+7*(N271-1),NA()),IF(I271="nthWeekdayOffsetDays",IF(AND(ISNUMBER(J271),J271=INT(J271),J271&gt;=1,J271&lt;=12,ISNUMBER(M271),M271=INT(M271),M271&gt;=1,M271&lt;=7,ISNUMBER(N271),N271=INT(N271),N271&gt;=1,N271&lt;=5,MONTH(DATE(Übersicht!$B$4,J271,1)+MOD(M271-WEEKDAY(DATE(Übersicht!$B$4,J271,1),2),7)+7*(N271-1))=J271,K271="",ISNUMBER(L271),L271=INT(L271),L271&gt;=-366,L271&lt;=366),DATE(Übersicht!$B$4,J271,1)+MOD(M271-WEEKDAY(DATE(Übersicht!$B$4,J271,1),2),7)+7*(N271-1)+L271,NA()),NA())))),NA())</f>
        <v>46909</v>
      </c>
      <c r="X271" s="14">
        <f t="shared" si="4"/>
        <v>46909</v>
      </c>
      <c r="Y271" s="10" t="s">
        <v>978</v>
      </c>
      <c r="Z271" s="10" t="s">
        <v>979</v>
      </c>
      <c r="AA271" s="24" t="s">
        <v>768</v>
      </c>
    </row>
    <row r="272" spans="1:27" ht="44" customHeight="1">
      <c r="A272" s="11" t="s">
        <v>368</v>
      </c>
      <c r="B272" s="11" t="s">
        <v>361</v>
      </c>
      <c r="C272" s="11" t="s">
        <v>977</v>
      </c>
      <c r="D272" s="26" t="s">
        <v>759</v>
      </c>
      <c r="E272" s="26" t="s">
        <v>760</v>
      </c>
      <c r="F272" s="27" t="s">
        <v>874</v>
      </c>
      <c r="G272" s="27" t="s">
        <v>875</v>
      </c>
      <c r="H272" s="11" t="s">
        <v>761</v>
      </c>
      <c r="I272" s="11" t="s">
        <v>762</v>
      </c>
      <c r="J272" s="30">
        <v>8</v>
      </c>
      <c r="K272" s="30">
        <v>1</v>
      </c>
      <c r="L272" s="26"/>
      <c r="M272" s="26"/>
      <c r="N272" s="26"/>
      <c r="O272" s="31">
        <v>46023</v>
      </c>
      <c r="P272" s="31"/>
      <c r="Q272" s="26">
        <v>100</v>
      </c>
      <c r="R272" s="26" t="s">
        <v>69</v>
      </c>
      <c r="S272" s="11"/>
      <c r="T272" s="11" t="s">
        <v>764</v>
      </c>
      <c r="U272" s="11"/>
      <c r="V272" s="11" t="s">
        <v>824</v>
      </c>
      <c r="W272" s="15">
        <f>IF(AND(ISNUMBER(Übersicht!$B$4),Übersicht!$B$4=INT(Übersicht!$B$4),Übersicht!$B$4&gt;=2026,Übersicht!$B$4&lt;=2028),IF(I272="fixedMonthDay",IF(AND(ISNUMBER(J272),J272=INT(J272),J272&gt;=1,J272&lt;=12,ISNUMBER(K272),K272=INT(K272),K272&gt;=1,K272&lt;=31,MONTH(DATE(Übersicht!$B$4,J272,K272))=J272,DAY(DATE(Übersicht!$B$4,J272,K272))=K272,L272="",M272="",N272=""),DATE(Übersicht!$B$4,J272,K272),NA()),IF(I272="easterOffsetDays",IF(AND(ISNUMBER(L272),L272=INT(L272),L272&gt;=-366,L272&lt;=366,J272="",K272="",M272="",N272=""),$AD$23+L272,NA()),IF(I272="nthWeekdayOfMonth",IF(AND(ISNUMBER(J272),J272=INT(J272),J272&gt;=1,J272&lt;=12,ISNUMBER(M272),M272=INT(M272),M272&gt;=1,M272&lt;=7,ISNUMBER(N272),N272=INT(N272),N272&gt;=1,N272&lt;=5,MONTH(DATE(Übersicht!$B$4,J272,1)+MOD(M272-WEEKDAY(DATE(Übersicht!$B$4,J272,1),2),7)+7*(N272-1))=J272,K272="",L272=""),DATE(Übersicht!$B$4,J272,1)+MOD(M272-WEEKDAY(DATE(Übersicht!$B$4,J272,1),2),7)+7*(N272-1),NA()),IF(I272="nthWeekdayOffsetDays",IF(AND(ISNUMBER(J272),J272=INT(J272),J272&gt;=1,J272&lt;=12,ISNUMBER(M272),M272=INT(M272),M272&gt;=1,M272&lt;=7,ISNUMBER(N272),N272=INT(N272),N272&gt;=1,N272&lt;=5,MONTH(DATE(Übersicht!$B$4,J272,1)+MOD(M272-WEEKDAY(DATE(Übersicht!$B$4,J272,1),2),7)+7*(N272-1))=J272,K272="",ISNUMBER(L272),L272=INT(L272),L272&gt;=-366,L272&lt;=366),DATE(Übersicht!$B$4,J272,1)+MOD(M272-WEEKDAY(DATE(Übersicht!$B$4,J272,1),2),7)+7*(N272-1)+L272,NA()),NA())))),NA())</f>
        <v>46966</v>
      </c>
      <c r="X272" s="15">
        <f t="shared" si="4"/>
        <v>46966</v>
      </c>
      <c r="Y272" s="11" t="s">
        <v>766</v>
      </c>
      <c r="Z272" s="11" t="s">
        <v>955</v>
      </c>
      <c r="AA272" s="26" t="s">
        <v>768</v>
      </c>
    </row>
    <row r="273" spans="1:27" ht="44" customHeight="1">
      <c r="A273" s="10" t="s">
        <v>369</v>
      </c>
      <c r="B273" s="10" t="s">
        <v>361</v>
      </c>
      <c r="C273" s="10" t="s">
        <v>977</v>
      </c>
      <c r="D273" s="24" t="s">
        <v>803</v>
      </c>
      <c r="E273" s="24" t="s">
        <v>804</v>
      </c>
      <c r="F273" s="25" t="s">
        <v>882</v>
      </c>
      <c r="G273" s="25" t="s">
        <v>883</v>
      </c>
      <c r="H273" s="10" t="s">
        <v>761</v>
      </c>
      <c r="I273" s="10" t="s">
        <v>762</v>
      </c>
      <c r="J273" s="28">
        <v>12</v>
      </c>
      <c r="K273" s="28">
        <v>25</v>
      </c>
      <c r="L273" s="24"/>
      <c r="M273" s="24"/>
      <c r="N273" s="24"/>
      <c r="O273" s="29">
        <v>46023</v>
      </c>
      <c r="P273" s="29"/>
      <c r="Q273" s="24">
        <v>100</v>
      </c>
      <c r="R273" s="24" t="s">
        <v>69</v>
      </c>
      <c r="S273" s="10"/>
      <c r="T273" s="10" t="s">
        <v>764</v>
      </c>
      <c r="U273" s="10"/>
      <c r="V273" s="10" t="s">
        <v>824</v>
      </c>
      <c r="W273" s="14">
        <f>IF(AND(ISNUMBER(Übersicht!$B$4),Übersicht!$B$4=INT(Übersicht!$B$4),Übersicht!$B$4&gt;=2026,Übersicht!$B$4&lt;=2028),IF(I273="fixedMonthDay",IF(AND(ISNUMBER(J273),J273=INT(J273),J273&gt;=1,J273&lt;=12,ISNUMBER(K273),K273=INT(K273),K273&gt;=1,K273&lt;=31,MONTH(DATE(Übersicht!$B$4,J273,K273))=J273,DAY(DATE(Übersicht!$B$4,J273,K273))=K273,L273="",M273="",N273=""),DATE(Übersicht!$B$4,J273,K273),NA()),IF(I273="easterOffsetDays",IF(AND(ISNUMBER(L273),L273=INT(L273),L273&gt;=-366,L273&lt;=366,J273="",K273="",M273="",N273=""),$AD$23+L273,NA()),IF(I273="nthWeekdayOfMonth",IF(AND(ISNUMBER(J273),J273=INT(J273),J273&gt;=1,J273&lt;=12,ISNUMBER(M273),M273=INT(M273),M273&gt;=1,M273&lt;=7,ISNUMBER(N273),N273=INT(N273),N273&gt;=1,N273&lt;=5,MONTH(DATE(Übersicht!$B$4,J273,1)+MOD(M273-WEEKDAY(DATE(Übersicht!$B$4,J273,1),2),7)+7*(N273-1))=J273,K273="",L273=""),DATE(Übersicht!$B$4,J273,1)+MOD(M273-WEEKDAY(DATE(Übersicht!$B$4,J273,1),2),7)+7*(N273-1),NA()),IF(I273="nthWeekdayOffsetDays",IF(AND(ISNUMBER(J273),J273=INT(J273),J273&gt;=1,J273&lt;=12,ISNUMBER(M273),M273=INT(M273),M273&gt;=1,M273&lt;=7,ISNUMBER(N273),N273=INT(N273),N273&gt;=1,N273&lt;=5,MONTH(DATE(Übersicht!$B$4,J273,1)+MOD(M273-WEEKDAY(DATE(Übersicht!$B$4,J273,1),2),7)+7*(N273-1))=J273,K273="",ISNUMBER(L273),L273=INT(L273),L273&gt;=-366,L273&lt;=366),DATE(Übersicht!$B$4,J273,1)+MOD(M273-WEEKDAY(DATE(Übersicht!$B$4,J273,1),2),7)+7*(N273-1)+L273,NA()),NA())))),NA())</f>
        <v>47112</v>
      </c>
      <c r="X273" s="14">
        <f t="shared" si="4"/>
        <v>47112</v>
      </c>
      <c r="Y273" s="10" t="s">
        <v>978</v>
      </c>
      <c r="Z273" s="10" t="s">
        <v>979</v>
      </c>
      <c r="AA273" s="24" t="s">
        <v>768</v>
      </c>
    </row>
    <row r="274" spans="1:27" ht="44" customHeight="1">
      <c r="A274" s="11" t="s">
        <v>370</v>
      </c>
      <c r="B274" s="11" t="s">
        <v>361</v>
      </c>
      <c r="C274" s="11" t="s">
        <v>977</v>
      </c>
      <c r="D274" s="26" t="s">
        <v>810</v>
      </c>
      <c r="E274" s="26" t="s">
        <v>811</v>
      </c>
      <c r="F274" s="27" t="s">
        <v>868</v>
      </c>
      <c r="G274" s="27" t="s">
        <v>869</v>
      </c>
      <c r="H274" s="11" t="s">
        <v>761</v>
      </c>
      <c r="I274" s="11" t="s">
        <v>781</v>
      </c>
      <c r="J274" s="30"/>
      <c r="K274" s="30"/>
      <c r="L274" s="26">
        <v>60</v>
      </c>
      <c r="M274" s="26"/>
      <c r="N274" s="26"/>
      <c r="O274" s="31">
        <v>46023</v>
      </c>
      <c r="P274" s="31"/>
      <c r="Q274" s="26">
        <v>100</v>
      </c>
      <c r="R274" s="26" t="s">
        <v>69</v>
      </c>
      <c r="S274" s="11"/>
      <c r="T274" s="11" t="s">
        <v>764</v>
      </c>
      <c r="U274" s="11"/>
      <c r="V274" s="11" t="s">
        <v>824</v>
      </c>
      <c r="W274" s="15">
        <f>IF(AND(ISNUMBER(Übersicht!$B$4),Übersicht!$B$4=INT(Übersicht!$B$4),Übersicht!$B$4&gt;=2026,Übersicht!$B$4&lt;=2028),IF(I274="fixedMonthDay",IF(AND(ISNUMBER(J274),J274=INT(J274),J274&gt;=1,J274&lt;=12,ISNUMBER(K274),K274=INT(K274),K274&gt;=1,K274&lt;=31,MONTH(DATE(Übersicht!$B$4,J274,K274))=J274,DAY(DATE(Übersicht!$B$4,J274,K274))=K274,L274="",M274="",N274=""),DATE(Übersicht!$B$4,J274,K274),NA()),IF(I274="easterOffsetDays",IF(AND(ISNUMBER(L274),L274=INT(L274),L274&gt;=-366,L274&lt;=366,J274="",K274="",M274="",N274=""),$AD$23+L274,NA()),IF(I274="nthWeekdayOfMonth",IF(AND(ISNUMBER(J274),J274=INT(J274),J274&gt;=1,J274&lt;=12,ISNUMBER(M274),M274=INT(M274),M274&gt;=1,M274&lt;=7,ISNUMBER(N274),N274=INT(N274),N274&gt;=1,N274&lt;=5,MONTH(DATE(Übersicht!$B$4,J274,1)+MOD(M274-WEEKDAY(DATE(Übersicht!$B$4,J274,1),2),7)+7*(N274-1))=J274,K274="",L274=""),DATE(Übersicht!$B$4,J274,1)+MOD(M274-WEEKDAY(DATE(Übersicht!$B$4,J274,1),2),7)+7*(N274-1),NA()),IF(I274="nthWeekdayOffsetDays",IF(AND(ISNUMBER(J274),J274=INT(J274),J274&gt;=1,J274&lt;=12,ISNUMBER(M274),M274=INT(M274),M274&gt;=1,M274&lt;=7,ISNUMBER(N274),N274=INT(N274),N274&gt;=1,N274&lt;=5,MONTH(DATE(Übersicht!$B$4,J274,1)+MOD(M274-WEEKDAY(DATE(Übersicht!$B$4,J274,1),2),7)+7*(N274-1))=J274,K274="",ISNUMBER(L274),L274=INT(L274),L274&gt;=-366,L274&lt;=366),DATE(Übersicht!$B$4,J274,1)+MOD(M274-WEEKDAY(DATE(Übersicht!$B$4,J274,1),2),7)+7*(N274-1)+L274,NA()),NA())))),NA())</f>
        <v>46919</v>
      </c>
      <c r="X274" s="15">
        <f t="shared" si="4"/>
        <v>46919</v>
      </c>
      <c r="Y274" s="11" t="s">
        <v>978</v>
      </c>
      <c r="Z274" s="11" t="s">
        <v>979</v>
      </c>
      <c r="AA274" s="26" t="s">
        <v>768</v>
      </c>
    </row>
    <row r="275" spans="1:27" ht="44" customHeight="1">
      <c r="A275" s="10" t="s">
        <v>371</v>
      </c>
      <c r="B275" s="10" t="s">
        <v>361</v>
      </c>
      <c r="C275" s="10" t="s">
        <v>977</v>
      </c>
      <c r="D275" s="24" t="s">
        <v>834</v>
      </c>
      <c r="E275" s="24" t="s">
        <v>835</v>
      </c>
      <c r="F275" s="25" t="s">
        <v>876</v>
      </c>
      <c r="G275" s="25" t="s">
        <v>877</v>
      </c>
      <c r="H275" s="10" t="s">
        <v>761</v>
      </c>
      <c r="I275" s="10" t="s">
        <v>762</v>
      </c>
      <c r="J275" s="28">
        <v>8</v>
      </c>
      <c r="K275" s="28">
        <v>15</v>
      </c>
      <c r="L275" s="24"/>
      <c r="M275" s="24"/>
      <c r="N275" s="24"/>
      <c r="O275" s="29">
        <v>46023</v>
      </c>
      <c r="P275" s="29"/>
      <c r="Q275" s="24">
        <v>100</v>
      </c>
      <c r="R275" s="24" t="s">
        <v>69</v>
      </c>
      <c r="S275" s="10"/>
      <c r="T275" s="10" t="s">
        <v>764</v>
      </c>
      <c r="U275" s="10"/>
      <c r="V275" s="10" t="s">
        <v>824</v>
      </c>
      <c r="W275" s="14">
        <f>IF(AND(ISNUMBER(Übersicht!$B$4),Übersicht!$B$4=INT(Übersicht!$B$4),Übersicht!$B$4&gt;=2026,Übersicht!$B$4&lt;=2028),IF(I275="fixedMonthDay",IF(AND(ISNUMBER(J275),J275=INT(J275),J275&gt;=1,J275&lt;=12,ISNUMBER(K275),K275=INT(K275),K275&gt;=1,K275&lt;=31,MONTH(DATE(Übersicht!$B$4,J275,K275))=J275,DAY(DATE(Übersicht!$B$4,J275,K275))=K275,L275="",M275="",N275=""),DATE(Übersicht!$B$4,J275,K275),NA()),IF(I275="easterOffsetDays",IF(AND(ISNUMBER(L275),L275=INT(L275),L275&gt;=-366,L275&lt;=366,J275="",K275="",M275="",N275=""),$AD$23+L275,NA()),IF(I275="nthWeekdayOfMonth",IF(AND(ISNUMBER(J275),J275=INT(J275),J275&gt;=1,J275&lt;=12,ISNUMBER(M275),M275=INT(M275),M275&gt;=1,M275&lt;=7,ISNUMBER(N275),N275=INT(N275),N275&gt;=1,N275&lt;=5,MONTH(DATE(Übersicht!$B$4,J275,1)+MOD(M275-WEEKDAY(DATE(Übersicht!$B$4,J275,1),2),7)+7*(N275-1))=J275,K275="",L275=""),DATE(Übersicht!$B$4,J275,1)+MOD(M275-WEEKDAY(DATE(Übersicht!$B$4,J275,1),2),7)+7*(N275-1),NA()),IF(I275="nthWeekdayOffsetDays",IF(AND(ISNUMBER(J275),J275=INT(J275),J275&gt;=1,J275&lt;=12,ISNUMBER(M275),M275=INT(M275),M275&gt;=1,M275&lt;=7,ISNUMBER(N275),N275=INT(N275),N275&gt;=1,N275&lt;=5,MONTH(DATE(Übersicht!$B$4,J275,1)+MOD(M275-WEEKDAY(DATE(Übersicht!$B$4,J275,1),2),7)+7*(N275-1))=J275,K275="",ISNUMBER(L275),L275=INT(L275),L275&gt;=-366,L275&lt;=366),DATE(Übersicht!$B$4,J275,1)+MOD(M275-WEEKDAY(DATE(Übersicht!$B$4,J275,1),2),7)+7*(N275-1)+L275,NA()),NA())))),NA())</f>
        <v>46980</v>
      </c>
      <c r="X275" s="14">
        <f t="shared" si="4"/>
        <v>46980</v>
      </c>
      <c r="Y275" s="10" t="s">
        <v>978</v>
      </c>
      <c r="Z275" s="10" t="s">
        <v>979</v>
      </c>
      <c r="AA275" s="24" t="s">
        <v>768</v>
      </c>
    </row>
    <row r="276" spans="1:27" ht="44" customHeight="1">
      <c r="A276" s="11" t="s">
        <v>372</v>
      </c>
      <c r="B276" s="11" t="s">
        <v>361</v>
      </c>
      <c r="C276" s="11" t="s">
        <v>977</v>
      </c>
      <c r="D276" s="26" t="s">
        <v>821</v>
      </c>
      <c r="E276" s="26" t="s">
        <v>822</v>
      </c>
      <c r="F276" s="27" t="s">
        <v>878</v>
      </c>
      <c r="G276" s="27" t="s">
        <v>879</v>
      </c>
      <c r="H276" s="11" t="s">
        <v>761</v>
      </c>
      <c r="I276" s="11" t="s">
        <v>762</v>
      </c>
      <c r="J276" s="30">
        <v>11</v>
      </c>
      <c r="K276" s="30">
        <v>1</v>
      </c>
      <c r="L276" s="26"/>
      <c r="M276" s="26"/>
      <c r="N276" s="26"/>
      <c r="O276" s="31">
        <v>46023</v>
      </c>
      <c r="P276" s="31"/>
      <c r="Q276" s="26">
        <v>100</v>
      </c>
      <c r="R276" s="26" t="s">
        <v>69</v>
      </c>
      <c r="S276" s="11"/>
      <c r="T276" s="11" t="s">
        <v>764</v>
      </c>
      <c r="U276" s="11"/>
      <c r="V276" s="11" t="s">
        <v>824</v>
      </c>
      <c r="W276" s="15">
        <f>IF(AND(ISNUMBER(Übersicht!$B$4),Übersicht!$B$4=INT(Übersicht!$B$4),Übersicht!$B$4&gt;=2026,Übersicht!$B$4&lt;=2028),IF(I276="fixedMonthDay",IF(AND(ISNUMBER(J276),J276=INT(J276),J276&gt;=1,J276&lt;=12,ISNUMBER(K276),K276=INT(K276),K276&gt;=1,K276&lt;=31,MONTH(DATE(Übersicht!$B$4,J276,K276))=J276,DAY(DATE(Übersicht!$B$4,J276,K276))=K276,L276="",M276="",N276=""),DATE(Übersicht!$B$4,J276,K276),NA()),IF(I276="easterOffsetDays",IF(AND(ISNUMBER(L276),L276=INT(L276),L276&gt;=-366,L276&lt;=366,J276="",K276="",M276="",N276=""),$AD$23+L276,NA()),IF(I276="nthWeekdayOfMonth",IF(AND(ISNUMBER(J276),J276=INT(J276),J276&gt;=1,J276&lt;=12,ISNUMBER(M276),M276=INT(M276),M276&gt;=1,M276&lt;=7,ISNUMBER(N276),N276=INT(N276),N276&gt;=1,N276&lt;=5,MONTH(DATE(Übersicht!$B$4,J276,1)+MOD(M276-WEEKDAY(DATE(Übersicht!$B$4,J276,1),2),7)+7*(N276-1))=J276,K276="",L276=""),DATE(Übersicht!$B$4,J276,1)+MOD(M276-WEEKDAY(DATE(Übersicht!$B$4,J276,1),2),7)+7*(N276-1),NA()),IF(I276="nthWeekdayOffsetDays",IF(AND(ISNUMBER(J276),J276=INT(J276),J276&gt;=1,J276&lt;=12,ISNUMBER(M276),M276=INT(M276),M276&gt;=1,M276&lt;=7,ISNUMBER(N276),N276=INT(N276),N276&gt;=1,N276&lt;=5,MONTH(DATE(Übersicht!$B$4,J276,1)+MOD(M276-WEEKDAY(DATE(Übersicht!$B$4,J276,1),2),7)+7*(N276-1))=J276,K276="",ISNUMBER(L276),L276=INT(L276),L276&gt;=-366,L276&lt;=366),DATE(Übersicht!$B$4,J276,1)+MOD(M276-WEEKDAY(DATE(Übersicht!$B$4,J276,1),2),7)+7*(N276-1)+L276,NA()),NA())))),NA())</f>
        <v>47058</v>
      </c>
      <c r="X276" s="15">
        <f t="shared" si="4"/>
        <v>47058</v>
      </c>
      <c r="Y276" s="11" t="s">
        <v>978</v>
      </c>
      <c r="Z276" s="11" t="s">
        <v>979</v>
      </c>
      <c r="AA276" s="26" t="s">
        <v>768</v>
      </c>
    </row>
    <row r="277" spans="1:27" ht="44" customHeight="1">
      <c r="A277" s="10" t="s">
        <v>373</v>
      </c>
      <c r="B277" s="10" t="s">
        <v>361</v>
      </c>
      <c r="C277" s="10" t="s">
        <v>977</v>
      </c>
      <c r="D277" s="24" t="s">
        <v>838</v>
      </c>
      <c r="E277" s="24" t="s">
        <v>839</v>
      </c>
      <c r="F277" s="25" t="s">
        <v>880</v>
      </c>
      <c r="G277" s="25" t="s">
        <v>881</v>
      </c>
      <c r="H277" s="10" t="s">
        <v>761</v>
      </c>
      <c r="I277" s="10" t="s">
        <v>762</v>
      </c>
      <c r="J277" s="28">
        <v>12</v>
      </c>
      <c r="K277" s="28">
        <v>8</v>
      </c>
      <c r="L277" s="24"/>
      <c r="M277" s="24"/>
      <c r="N277" s="24"/>
      <c r="O277" s="29">
        <v>46023</v>
      </c>
      <c r="P277" s="29"/>
      <c r="Q277" s="24">
        <v>100</v>
      </c>
      <c r="R277" s="24" t="s">
        <v>69</v>
      </c>
      <c r="S277" s="10"/>
      <c r="T277" s="10" t="s">
        <v>764</v>
      </c>
      <c r="U277" s="10"/>
      <c r="V277" s="10" t="s">
        <v>824</v>
      </c>
      <c r="W277" s="14">
        <f>IF(AND(ISNUMBER(Übersicht!$B$4),Übersicht!$B$4=INT(Übersicht!$B$4),Übersicht!$B$4&gt;=2026,Übersicht!$B$4&lt;=2028),IF(I277="fixedMonthDay",IF(AND(ISNUMBER(J277),J277=INT(J277),J277&gt;=1,J277&lt;=12,ISNUMBER(K277),K277=INT(K277),K277&gt;=1,K277&lt;=31,MONTH(DATE(Übersicht!$B$4,J277,K277))=J277,DAY(DATE(Übersicht!$B$4,J277,K277))=K277,L277="",M277="",N277=""),DATE(Übersicht!$B$4,J277,K277),NA()),IF(I277="easterOffsetDays",IF(AND(ISNUMBER(L277),L277=INT(L277),L277&gt;=-366,L277&lt;=366,J277="",K277="",M277="",N277=""),$AD$23+L277,NA()),IF(I277="nthWeekdayOfMonth",IF(AND(ISNUMBER(J277),J277=INT(J277),J277&gt;=1,J277&lt;=12,ISNUMBER(M277),M277=INT(M277),M277&gt;=1,M277&lt;=7,ISNUMBER(N277),N277=INT(N277),N277&gt;=1,N277&lt;=5,MONTH(DATE(Übersicht!$B$4,J277,1)+MOD(M277-WEEKDAY(DATE(Übersicht!$B$4,J277,1),2),7)+7*(N277-1))=J277,K277="",L277=""),DATE(Übersicht!$B$4,J277,1)+MOD(M277-WEEKDAY(DATE(Übersicht!$B$4,J277,1),2),7)+7*(N277-1),NA()),IF(I277="nthWeekdayOffsetDays",IF(AND(ISNUMBER(J277),J277=INT(J277),J277&gt;=1,J277&lt;=12,ISNUMBER(M277),M277=INT(M277),M277&gt;=1,M277&lt;=7,ISNUMBER(N277),N277=INT(N277),N277&gt;=1,N277&lt;=5,MONTH(DATE(Übersicht!$B$4,J277,1)+MOD(M277-WEEKDAY(DATE(Übersicht!$B$4,J277,1),2),7)+7*(N277-1))=J277,K277="",ISNUMBER(L277),L277=INT(L277),L277&gt;=-366,L277&lt;=366),DATE(Übersicht!$B$4,J277,1)+MOD(M277-WEEKDAY(DATE(Übersicht!$B$4,J277,1),2),7)+7*(N277-1)+L277,NA()),NA())))),NA())</f>
        <v>47095</v>
      </c>
      <c r="X277" s="14">
        <f t="shared" si="4"/>
        <v>47095</v>
      </c>
      <c r="Y277" s="10" t="s">
        <v>978</v>
      </c>
      <c r="Z277" s="10" t="s">
        <v>979</v>
      </c>
      <c r="AA277" s="24" t="s">
        <v>768</v>
      </c>
    </row>
    <row r="278" spans="1:27" ht="44" customHeight="1">
      <c r="A278" s="11" t="s">
        <v>374</v>
      </c>
      <c r="B278" s="11" t="s">
        <v>361</v>
      </c>
      <c r="C278" s="11" t="s">
        <v>977</v>
      </c>
      <c r="D278" s="26" t="s">
        <v>784</v>
      </c>
      <c r="E278" s="26" t="s">
        <v>785</v>
      </c>
      <c r="F278" s="27" t="s">
        <v>892</v>
      </c>
      <c r="G278" s="27" t="s">
        <v>893</v>
      </c>
      <c r="H278" s="11" t="s">
        <v>761</v>
      </c>
      <c r="I278" s="11" t="s">
        <v>781</v>
      </c>
      <c r="J278" s="30"/>
      <c r="K278" s="30"/>
      <c r="L278" s="26">
        <v>0</v>
      </c>
      <c r="M278" s="26"/>
      <c r="N278" s="26"/>
      <c r="O278" s="31">
        <v>46023</v>
      </c>
      <c r="P278" s="31"/>
      <c r="Q278" s="26">
        <v>100</v>
      </c>
      <c r="R278" s="26" t="s">
        <v>69</v>
      </c>
      <c r="S278" s="11"/>
      <c r="T278" s="11" t="s">
        <v>764</v>
      </c>
      <c r="U278" s="11"/>
      <c r="V278" s="11" t="s">
        <v>824</v>
      </c>
      <c r="W278" s="15">
        <f>IF(AND(ISNUMBER(Übersicht!$B$4),Übersicht!$B$4=INT(Übersicht!$B$4),Übersicht!$B$4&gt;=2026,Übersicht!$B$4&lt;=2028),IF(I278="fixedMonthDay",IF(AND(ISNUMBER(J278),J278=INT(J278),J278&gt;=1,J278&lt;=12,ISNUMBER(K278),K278=INT(K278),K278&gt;=1,K278&lt;=31,MONTH(DATE(Übersicht!$B$4,J278,K278))=J278,DAY(DATE(Übersicht!$B$4,J278,K278))=K278,L278="",M278="",N278=""),DATE(Übersicht!$B$4,J278,K278),NA()),IF(I278="easterOffsetDays",IF(AND(ISNUMBER(L278),L278=INT(L278),L278&gt;=-366,L278&lt;=366,J278="",K278="",M278="",N278=""),$AD$23+L278,NA()),IF(I278="nthWeekdayOfMonth",IF(AND(ISNUMBER(J278),J278=INT(J278),J278&gt;=1,J278&lt;=12,ISNUMBER(M278),M278=INT(M278),M278&gt;=1,M278&lt;=7,ISNUMBER(N278),N278=INT(N278),N278&gt;=1,N278&lt;=5,MONTH(DATE(Übersicht!$B$4,J278,1)+MOD(M278-WEEKDAY(DATE(Übersicht!$B$4,J278,1),2),7)+7*(N278-1))=J278,K278="",L278=""),DATE(Übersicht!$B$4,J278,1)+MOD(M278-WEEKDAY(DATE(Übersicht!$B$4,J278,1),2),7)+7*(N278-1),NA()),IF(I278="nthWeekdayOffsetDays",IF(AND(ISNUMBER(J278),J278=INT(J278),J278&gt;=1,J278&lt;=12,ISNUMBER(M278),M278=INT(M278),M278&gt;=1,M278&lt;=7,ISNUMBER(N278),N278=INT(N278),N278&gt;=1,N278&lt;=5,MONTH(DATE(Übersicht!$B$4,J278,1)+MOD(M278-WEEKDAY(DATE(Übersicht!$B$4,J278,1),2),7)+7*(N278-1))=J278,K278="",ISNUMBER(L278),L278=INT(L278),L278&gt;=-366,L278&lt;=366),DATE(Übersicht!$B$4,J278,1)+MOD(M278-WEEKDAY(DATE(Übersicht!$B$4,J278,1),2),7)+7*(N278-1)+L278,NA()),NA())))),NA())</f>
        <v>46859</v>
      </c>
      <c r="X278" s="15">
        <f t="shared" si="4"/>
        <v>46859</v>
      </c>
      <c r="Y278" s="11" t="s">
        <v>978</v>
      </c>
      <c r="Z278" s="11" t="s">
        <v>979</v>
      </c>
      <c r="AA278" s="26" t="s">
        <v>768</v>
      </c>
    </row>
    <row r="279" spans="1:27" ht="44" customHeight="1">
      <c r="A279" s="10" t="s">
        <v>375</v>
      </c>
      <c r="B279" s="10" t="s">
        <v>361</v>
      </c>
      <c r="C279" s="10" t="s">
        <v>977</v>
      </c>
      <c r="D279" s="24" t="s">
        <v>793</v>
      </c>
      <c r="E279" s="24" t="s">
        <v>794</v>
      </c>
      <c r="F279" s="25" t="s">
        <v>896</v>
      </c>
      <c r="G279" s="25" t="s">
        <v>897</v>
      </c>
      <c r="H279" s="10" t="s">
        <v>761</v>
      </c>
      <c r="I279" s="10" t="s">
        <v>781</v>
      </c>
      <c r="J279" s="28"/>
      <c r="K279" s="28"/>
      <c r="L279" s="24">
        <v>49</v>
      </c>
      <c r="M279" s="24"/>
      <c r="N279" s="24"/>
      <c r="O279" s="29">
        <v>46023</v>
      </c>
      <c r="P279" s="29"/>
      <c r="Q279" s="24">
        <v>100</v>
      </c>
      <c r="R279" s="24" t="s">
        <v>69</v>
      </c>
      <c r="S279" s="10"/>
      <c r="T279" s="10" t="s">
        <v>764</v>
      </c>
      <c r="U279" s="10"/>
      <c r="V279" s="10" t="s">
        <v>824</v>
      </c>
      <c r="W279" s="14">
        <f>IF(AND(ISNUMBER(Übersicht!$B$4),Übersicht!$B$4=INT(Übersicht!$B$4),Übersicht!$B$4&gt;=2026,Übersicht!$B$4&lt;=2028),IF(I279="fixedMonthDay",IF(AND(ISNUMBER(J279),J279=INT(J279),J279&gt;=1,J279&lt;=12,ISNUMBER(K279),K279=INT(K279),K279&gt;=1,K279&lt;=31,MONTH(DATE(Übersicht!$B$4,J279,K279))=J279,DAY(DATE(Übersicht!$B$4,J279,K279))=K279,L279="",M279="",N279=""),DATE(Übersicht!$B$4,J279,K279),NA()),IF(I279="easterOffsetDays",IF(AND(ISNUMBER(L279),L279=INT(L279),L279&gt;=-366,L279&lt;=366,J279="",K279="",M279="",N279=""),$AD$23+L279,NA()),IF(I279="nthWeekdayOfMonth",IF(AND(ISNUMBER(J279),J279=INT(J279),J279&gt;=1,J279&lt;=12,ISNUMBER(M279),M279=INT(M279),M279&gt;=1,M279&lt;=7,ISNUMBER(N279),N279=INT(N279),N279&gt;=1,N279&lt;=5,MONTH(DATE(Übersicht!$B$4,J279,1)+MOD(M279-WEEKDAY(DATE(Übersicht!$B$4,J279,1),2),7)+7*(N279-1))=J279,K279="",L279=""),DATE(Übersicht!$B$4,J279,1)+MOD(M279-WEEKDAY(DATE(Übersicht!$B$4,J279,1),2),7)+7*(N279-1),NA()),IF(I279="nthWeekdayOffsetDays",IF(AND(ISNUMBER(J279),J279=INT(J279),J279&gt;=1,J279&lt;=12,ISNUMBER(M279),M279=INT(M279),M279&gt;=1,M279&lt;=7,ISNUMBER(N279),N279=INT(N279),N279&gt;=1,N279&lt;=5,MONTH(DATE(Übersicht!$B$4,J279,1)+MOD(M279-WEEKDAY(DATE(Übersicht!$B$4,J279,1),2),7)+7*(N279-1))=J279,K279="",ISNUMBER(L279),L279=INT(L279),L279&gt;=-366,L279&lt;=366),DATE(Übersicht!$B$4,J279,1)+MOD(M279-WEEKDAY(DATE(Übersicht!$B$4,J279,1),2),7)+7*(N279-1)+L279,NA()),NA())))),NA())</f>
        <v>46908</v>
      </c>
      <c r="X279" s="14">
        <f t="shared" si="4"/>
        <v>46908</v>
      </c>
      <c r="Y279" s="10" t="s">
        <v>978</v>
      </c>
      <c r="Z279" s="10" t="s">
        <v>979</v>
      </c>
      <c r="AA279" s="24" t="s">
        <v>768</v>
      </c>
    </row>
    <row r="280" spans="1:27" ht="44" customHeight="1">
      <c r="A280" s="11" t="s">
        <v>376</v>
      </c>
      <c r="B280" s="11" t="s">
        <v>361</v>
      </c>
      <c r="C280" s="11" t="s">
        <v>977</v>
      </c>
      <c r="D280" s="26" t="s">
        <v>799</v>
      </c>
      <c r="E280" s="26" t="s">
        <v>800</v>
      </c>
      <c r="F280" s="27" t="s">
        <v>899</v>
      </c>
      <c r="G280" s="27" t="s">
        <v>900</v>
      </c>
      <c r="H280" s="11" t="s">
        <v>761</v>
      </c>
      <c r="I280" s="11" t="s">
        <v>801</v>
      </c>
      <c r="J280" s="30">
        <v>9</v>
      </c>
      <c r="K280" s="30"/>
      <c r="L280" s="26"/>
      <c r="M280" s="26">
        <v>7</v>
      </c>
      <c r="N280" s="26">
        <v>3</v>
      </c>
      <c r="O280" s="31">
        <v>46023</v>
      </c>
      <c r="P280" s="31"/>
      <c r="Q280" s="26">
        <v>100</v>
      </c>
      <c r="R280" s="26" t="s">
        <v>69</v>
      </c>
      <c r="S280" s="11"/>
      <c r="T280" s="11" t="s">
        <v>764</v>
      </c>
      <c r="U280" s="11"/>
      <c r="V280" s="11" t="s">
        <v>824</v>
      </c>
      <c r="W280" s="15">
        <f>IF(AND(ISNUMBER(Übersicht!$B$4),Übersicht!$B$4=INT(Übersicht!$B$4),Übersicht!$B$4&gt;=2026,Übersicht!$B$4&lt;=2028),IF(I280="fixedMonthDay",IF(AND(ISNUMBER(J280),J280=INT(J280),J280&gt;=1,J280&lt;=12,ISNUMBER(K280),K280=INT(K280),K280&gt;=1,K280&lt;=31,MONTH(DATE(Übersicht!$B$4,J280,K280))=J280,DAY(DATE(Übersicht!$B$4,J280,K280))=K280,L280="",M280="",N280=""),DATE(Übersicht!$B$4,J280,K280),NA()),IF(I280="easterOffsetDays",IF(AND(ISNUMBER(L280),L280=INT(L280),L280&gt;=-366,L280&lt;=366,J280="",K280="",M280="",N280=""),$AD$23+L280,NA()),IF(I280="nthWeekdayOfMonth",IF(AND(ISNUMBER(J280),J280=INT(J280),J280&gt;=1,J280&lt;=12,ISNUMBER(M280),M280=INT(M280),M280&gt;=1,M280&lt;=7,ISNUMBER(N280),N280=INT(N280),N280&gt;=1,N280&lt;=5,MONTH(DATE(Übersicht!$B$4,J280,1)+MOD(M280-WEEKDAY(DATE(Übersicht!$B$4,J280,1),2),7)+7*(N280-1))=J280,K280="",L280=""),DATE(Übersicht!$B$4,J280,1)+MOD(M280-WEEKDAY(DATE(Übersicht!$B$4,J280,1),2),7)+7*(N280-1),NA()),IF(I280="nthWeekdayOffsetDays",IF(AND(ISNUMBER(J280),J280=INT(J280),J280&gt;=1,J280&lt;=12,ISNUMBER(M280),M280=INT(M280),M280&gt;=1,M280&lt;=7,ISNUMBER(N280),N280=INT(N280),N280&gt;=1,N280&lt;=5,MONTH(DATE(Übersicht!$B$4,J280,1)+MOD(M280-WEEKDAY(DATE(Übersicht!$B$4,J280,1),2),7)+7*(N280-1))=J280,K280="",ISNUMBER(L280),L280=INT(L280),L280&gt;=-366,L280&lt;=366),DATE(Übersicht!$B$4,J280,1)+MOD(M280-WEEKDAY(DATE(Übersicht!$B$4,J280,1),2),7)+7*(N280-1)+L280,NA()),NA())))),NA())</f>
        <v>47013</v>
      </c>
      <c r="X280" s="15">
        <f t="shared" si="4"/>
        <v>47013</v>
      </c>
      <c r="Y280" s="11" t="s">
        <v>978</v>
      </c>
      <c r="Z280" s="11" t="s">
        <v>979</v>
      </c>
      <c r="AA280" s="26" t="s">
        <v>768</v>
      </c>
    </row>
    <row r="281" spans="1:27" ht="44" customHeight="1">
      <c r="A281" s="10" t="s">
        <v>378</v>
      </c>
      <c r="B281" s="10" t="s">
        <v>361</v>
      </c>
      <c r="C281" s="10" t="s">
        <v>980</v>
      </c>
      <c r="D281" s="24" t="s">
        <v>981</v>
      </c>
      <c r="E281" s="24" t="s">
        <v>982</v>
      </c>
      <c r="F281" s="25" t="s">
        <v>983</v>
      </c>
      <c r="G281" s="25" t="s">
        <v>984</v>
      </c>
      <c r="H281" s="10" t="s">
        <v>761</v>
      </c>
      <c r="I281" s="10" t="s">
        <v>762</v>
      </c>
      <c r="J281" s="28">
        <v>9</v>
      </c>
      <c r="K281" s="28">
        <v>22</v>
      </c>
      <c r="L281" s="24"/>
      <c r="M281" s="24"/>
      <c r="N281" s="24"/>
      <c r="O281" s="29">
        <v>46023</v>
      </c>
      <c r="P281" s="29"/>
      <c r="Q281" s="24">
        <v>100</v>
      </c>
      <c r="R281" s="24" t="s">
        <v>69</v>
      </c>
      <c r="S281" s="10"/>
      <c r="T281" s="10" t="s">
        <v>764</v>
      </c>
      <c r="U281" s="10"/>
      <c r="V281" s="10" t="s">
        <v>824</v>
      </c>
      <c r="W281" s="14">
        <f>IF(AND(ISNUMBER(Übersicht!$B$4),Übersicht!$B$4=INT(Übersicht!$B$4),Übersicht!$B$4&gt;=2026,Übersicht!$B$4&lt;=2028),IF(I281="fixedMonthDay",IF(AND(ISNUMBER(J281),J281=INT(J281),J281&gt;=1,J281&lt;=12,ISNUMBER(K281),K281=INT(K281),K281&gt;=1,K281&lt;=31,MONTH(DATE(Übersicht!$B$4,J281,K281))=J281,DAY(DATE(Übersicht!$B$4,J281,K281))=K281,L281="",M281="",N281=""),DATE(Übersicht!$B$4,J281,K281),NA()),IF(I281="easterOffsetDays",IF(AND(ISNUMBER(L281),L281=INT(L281),L281&gt;=-366,L281&lt;=366,J281="",K281="",M281="",N281=""),$AD$23+L281,NA()),IF(I281="nthWeekdayOfMonth",IF(AND(ISNUMBER(J281),J281=INT(J281),J281&gt;=1,J281&lt;=12,ISNUMBER(M281),M281=INT(M281),M281&gt;=1,M281&lt;=7,ISNUMBER(N281),N281=INT(N281),N281&gt;=1,N281&lt;=5,MONTH(DATE(Übersicht!$B$4,J281,1)+MOD(M281-WEEKDAY(DATE(Übersicht!$B$4,J281,1),2),7)+7*(N281-1))=J281,K281="",L281=""),DATE(Übersicht!$B$4,J281,1)+MOD(M281-WEEKDAY(DATE(Übersicht!$B$4,J281,1),2),7)+7*(N281-1),NA()),IF(I281="nthWeekdayOffsetDays",IF(AND(ISNUMBER(J281),J281=INT(J281),J281&gt;=1,J281&lt;=12,ISNUMBER(M281),M281=INT(M281),M281&gt;=1,M281&lt;=7,ISNUMBER(N281),N281=INT(N281),N281&gt;=1,N281&lt;=5,MONTH(DATE(Übersicht!$B$4,J281,1)+MOD(M281-WEEKDAY(DATE(Übersicht!$B$4,J281,1),2),7)+7*(N281-1))=J281,K281="",ISNUMBER(L281),L281=INT(L281),L281&gt;=-366,L281&lt;=366),DATE(Übersicht!$B$4,J281,1)+MOD(M281-WEEKDAY(DATE(Übersicht!$B$4,J281,1),2),7)+7*(N281-1)+L281,NA()),NA())))),NA())</f>
        <v>47018</v>
      </c>
      <c r="X281" s="14">
        <f t="shared" si="4"/>
        <v>47018</v>
      </c>
      <c r="Y281" s="10" t="s">
        <v>978</v>
      </c>
      <c r="Z281" s="10" t="s">
        <v>774</v>
      </c>
      <c r="AA281" s="24" t="s">
        <v>768</v>
      </c>
    </row>
    <row r="282" spans="1:27" ht="44" customHeight="1">
      <c r="A282" s="11" t="s">
        <v>381</v>
      </c>
      <c r="B282" s="11" t="s">
        <v>379</v>
      </c>
      <c r="C282" s="11" t="s">
        <v>985</v>
      </c>
      <c r="D282" s="26" t="s">
        <v>771</v>
      </c>
      <c r="E282" s="26" t="s">
        <v>772</v>
      </c>
      <c r="F282" s="27" t="s">
        <v>849</v>
      </c>
      <c r="G282" s="27" t="s">
        <v>850</v>
      </c>
      <c r="H282" s="11" t="s">
        <v>761</v>
      </c>
      <c r="I282" s="11" t="s">
        <v>762</v>
      </c>
      <c r="J282" s="30">
        <v>1</v>
      </c>
      <c r="K282" s="30">
        <v>1</v>
      </c>
      <c r="L282" s="26"/>
      <c r="M282" s="26"/>
      <c r="N282" s="26"/>
      <c r="O282" s="31">
        <v>46023</v>
      </c>
      <c r="P282" s="31"/>
      <c r="Q282" s="26">
        <v>100</v>
      </c>
      <c r="R282" s="26" t="s">
        <v>69</v>
      </c>
      <c r="S282" s="11"/>
      <c r="T282" s="11" t="s">
        <v>764</v>
      </c>
      <c r="U282" s="11"/>
      <c r="V282" s="11" t="s">
        <v>824</v>
      </c>
      <c r="W282" s="15">
        <f>IF(AND(ISNUMBER(Übersicht!$B$4),Übersicht!$B$4=INT(Übersicht!$B$4),Übersicht!$B$4&gt;=2026,Übersicht!$B$4&lt;=2028),IF(I282="fixedMonthDay",IF(AND(ISNUMBER(J282),J282=INT(J282),J282&gt;=1,J282&lt;=12,ISNUMBER(K282),K282=INT(K282),K282&gt;=1,K282&lt;=31,MONTH(DATE(Übersicht!$B$4,J282,K282))=J282,DAY(DATE(Übersicht!$B$4,J282,K282))=K282,L282="",M282="",N282=""),DATE(Übersicht!$B$4,J282,K282),NA()),IF(I282="easterOffsetDays",IF(AND(ISNUMBER(L282),L282=INT(L282),L282&gt;=-366,L282&lt;=366,J282="",K282="",M282="",N282=""),$AD$23+L282,NA()),IF(I282="nthWeekdayOfMonth",IF(AND(ISNUMBER(J282),J282=INT(J282),J282&gt;=1,J282&lt;=12,ISNUMBER(M282),M282=INT(M282),M282&gt;=1,M282&lt;=7,ISNUMBER(N282),N282=INT(N282),N282&gt;=1,N282&lt;=5,MONTH(DATE(Übersicht!$B$4,J282,1)+MOD(M282-WEEKDAY(DATE(Übersicht!$B$4,J282,1),2),7)+7*(N282-1))=J282,K282="",L282=""),DATE(Übersicht!$B$4,J282,1)+MOD(M282-WEEKDAY(DATE(Übersicht!$B$4,J282,1),2),7)+7*(N282-1),NA()),IF(I282="nthWeekdayOffsetDays",IF(AND(ISNUMBER(J282),J282=INT(J282),J282&gt;=1,J282&lt;=12,ISNUMBER(M282),M282=INT(M282),M282&gt;=1,M282&lt;=7,ISNUMBER(N282),N282=INT(N282),N282&gt;=1,N282&lt;=5,MONTH(DATE(Übersicht!$B$4,J282,1)+MOD(M282-WEEKDAY(DATE(Übersicht!$B$4,J282,1),2),7)+7*(N282-1))=J282,K282="",ISNUMBER(L282),L282=INT(L282),L282&gt;=-366,L282&lt;=366),DATE(Übersicht!$B$4,J282,1)+MOD(M282-WEEKDAY(DATE(Übersicht!$B$4,J282,1),2),7)+7*(N282-1)+L282,NA()),NA())))),NA())</f>
        <v>46753</v>
      </c>
      <c r="X282" s="15">
        <f t="shared" si="4"/>
        <v>46753</v>
      </c>
      <c r="Y282" s="11" t="s">
        <v>986</v>
      </c>
      <c r="Z282" s="11" t="s">
        <v>987</v>
      </c>
      <c r="AA282" s="26" t="s">
        <v>768</v>
      </c>
    </row>
    <row r="283" spans="1:27" ht="44" customHeight="1">
      <c r="A283" s="10" t="s">
        <v>382</v>
      </c>
      <c r="B283" s="10" t="s">
        <v>379</v>
      </c>
      <c r="C283" s="10" t="s">
        <v>985</v>
      </c>
      <c r="D283" s="24" t="s">
        <v>779</v>
      </c>
      <c r="E283" s="24" t="s">
        <v>780</v>
      </c>
      <c r="F283" s="25" t="s">
        <v>889</v>
      </c>
      <c r="G283" s="25" t="s">
        <v>890</v>
      </c>
      <c r="H283" s="10" t="s">
        <v>761</v>
      </c>
      <c r="I283" s="10" t="s">
        <v>781</v>
      </c>
      <c r="J283" s="28"/>
      <c r="K283" s="28"/>
      <c r="L283" s="24">
        <v>-2</v>
      </c>
      <c r="M283" s="24"/>
      <c r="N283" s="24"/>
      <c r="O283" s="29">
        <v>46023</v>
      </c>
      <c r="P283" s="29"/>
      <c r="Q283" s="24">
        <v>100</v>
      </c>
      <c r="R283" s="24" t="s">
        <v>69</v>
      </c>
      <c r="S283" s="10"/>
      <c r="T283" s="10" t="s">
        <v>764</v>
      </c>
      <c r="U283" s="10"/>
      <c r="V283" s="10" t="s">
        <v>824</v>
      </c>
      <c r="W283" s="14">
        <f>IF(AND(ISNUMBER(Übersicht!$B$4),Übersicht!$B$4=INT(Übersicht!$B$4),Übersicht!$B$4&gt;=2026,Übersicht!$B$4&lt;=2028),IF(I283="fixedMonthDay",IF(AND(ISNUMBER(J283),J283=INT(J283),J283&gt;=1,J283&lt;=12,ISNUMBER(K283),K283=INT(K283),K283&gt;=1,K283&lt;=31,MONTH(DATE(Übersicht!$B$4,J283,K283))=J283,DAY(DATE(Übersicht!$B$4,J283,K283))=K283,L283="",M283="",N283=""),DATE(Übersicht!$B$4,J283,K283),NA()),IF(I283="easterOffsetDays",IF(AND(ISNUMBER(L283),L283=INT(L283),L283&gt;=-366,L283&lt;=366,J283="",K283="",M283="",N283=""),$AD$23+L283,NA()),IF(I283="nthWeekdayOfMonth",IF(AND(ISNUMBER(J283),J283=INT(J283),J283&gt;=1,J283&lt;=12,ISNUMBER(M283),M283=INT(M283),M283&gt;=1,M283&lt;=7,ISNUMBER(N283),N283=INT(N283),N283&gt;=1,N283&lt;=5,MONTH(DATE(Übersicht!$B$4,J283,1)+MOD(M283-WEEKDAY(DATE(Übersicht!$B$4,J283,1),2),7)+7*(N283-1))=J283,K283="",L283=""),DATE(Übersicht!$B$4,J283,1)+MOD(M283-WEEKDAY(DATE(Übersicht!$B$4,J283,1),2),7)+7*(N283-1),NA()),IF(I283="nthWeekdayOffsetDays",IF(AND(ISNUMBER(J283),J283=INT(J283),J283&gt;=1,J283&lt;=12,ISNUMBER(M283),M283=INT(M283),M283&gt;=1,M283&lt;=7,ISNUMBER(N283),N283=INT(N283),N283&gt;=1,N283&lt;=5,MONTH(DATE(Übersicht!$B$4,J283,1)+MOD(M283-WEEKDAY(DATE(Übersicht!$B$4,J283,1),2),7)+7*(N283-1))=J283,K283="",ISNUMBER(L283),L283=INT(L283),L283&gt;=-366,L283&lt;=366),DATE(Übersicht!$B$4,J283,1)+MOD(M283-WEEKDAY(DATE(Übersicht!$B$4,J283,1),2),7)+7*(N283-1)+L283,NA()),NA())))),NA())</f>
        <v>46857</v>
      </c>
      <c r="X283" s="14">
        <f t="shared" si="4"/>
        <v>46857</v>
      </c>
      <c r="Y283" s="10" t="s">
        <v>986</v>
      </c>
      <c r="Z283" s="10" t="s">
        <v>988</v>
      </c>
      <c r="AA283" s="24" t="s">
        <v>768</v>
      </c>
    </row>
    <row r="284" spans="1:27" ht="44" customHeight="1">
      <c r="A284" s="11" t="s">
        <v>383</v>
      </c>
      <c r="B284" s="11" t="s">
        <v>379</v>
      </c>
      <c r="C284" s="11" t="s">
        <v>985</v>
      </c>
      <c r="D284" s="26" t="s">
        <v>784</v>
      </c>
      <c r="E284" s="26" t="s">
        <v>785</v>
      </c>
      <c r="F284" s="27" t="s">
        <v>892</v>
      </c>
      <c r="G284" s="27" t="s">
        <v>893</v>
      </c>
      <c r="H284" s="11" t="s">
        <v>761</v>
      </c>
      <c r="I284" s="11" t="s">
        <v>781</v>
      </c>
      <c r="J284" s="30"/>
      <c r="K284" s="30"/>
      <c r="L284" s="26">
        <v>0</v>
      </c>
      <c r="M284" s="26"/>
      <c r="N284" s="26"/>
      <c r="O284" s="31">
        <v>46023</v>
      </c>
      <c r="P284" s="31"/>
      <c r="Q284" s="26">
        <v>100</v>
      </c>
      <c r="R284" s="26" t="s">
        <v>69</v>
      </c>
      <c r="S284" s="11"/>
      <c r="T284" s="11" t="s">
        <v>764</v>
      </c>
      <c r="U284" s="11"/>
      <c r="V284" s="11" t="s">
        <v>824</v>
      </c>
      <c r="W284" s="15">
        <f>IF(AND(ISNUMBER(Übersicht!$B$4),Übersicht!$B$4=INT(Übersicht!$B$4),Übersicht!$B$4&gt;=2026,Übersicht!$B$4&lt;=2028),IF(I284="fixedMonthDay",IF(AND(ISNUMBER(J284),J284=INT(J284),J284&gt;=1,J284&lt;=12,ISNUMBER(K284),K284=INT(K284),K284&gt;=1,K284&lt;=31,MONTH(DATE(Übersicht!$B$4,J284,K284))=J284,DAY(DATE(Übersicht!$B$4,J284,K284))=K284,L284="",M284="",N284=""),DATE(Übersicht!$B$4,J284,K284),NA()),IF(I284="easterOffsetDays",IF(AND(ISNUMBER(L284),L284=INT(L284),L284&gt;=-366,L284&lt;=366,J284="",K284="",M284="",N284=""),$AD$23+L284,NA()),IF(I284="nthWeekdayOfMonth",IF(AND(ISNUMBER(J284),J284=INT(J284),J284&gt;=1,J284&lt;=12,ISNUMBER(M284),M284=INT(M284),M284&gt;=1,M284&lt;=7,ISNUMBER(N284),N284=INT(N284),N284&gt;=1,N284&lt;=5,MONTH(DATE(Übersicht!$B$4,J284,1)+MOD(M284-WEEKDAY(DATE(Übersicht!$B$4,J284,1),2),7)+7*(N284-1))=J284,K284="",L284=""),DATE(Übersicht!$B$4,J284,1)+MOD(M284-WEEKDAY(DATE(Übersicht!$B$4,J284,1),2),7)+7*(N284-1),NA()),IF(I284="nthWeekdayOffsetDays",IF(AND(ISNUMBER(J284),J284=INT(J284),J284&gt;=1,J284&lt;=12,ISNUMBER(M284),M284=INT(M284),M284&gt;=1,M284&lt;=7,ISNUMBER(N284),N284=INT(N284),N284&gt;=1,N284&lt;=5,MONTH(DATE(Übersicht!$B$4,J284,1)+MOD(M284-WEEKDAY(DATE(Übersicht!$B$4,J284,1),2),7)+7*(N284-1))=J284,K284="",ISNUMBER(L284),L284=INT(L284),L284&gt;=-366,L284&lt;=366),DATE(Übersicht!$B$4,J284,1)+MOD(M284-WEEKDAY(DATE(Übersicht!$B$4,J284,1),2),7)+7*(N284-1)+L284,NA()),NA())))),NA())</f>
        <v>46859</v>
      </c>
      <c r="X284" s="15">
        <f t="shared" si="4"/>
        <v>46859</v>
      </c>
      <c r="Y284" s="11" t="s">
        <v>986</v>
      </c>
      <c r="Z284" s="11" t="s">
        <v>988</v>
      </c>
      <c r="AA284" s="26" t="s">
        <v>768</v>
      </c>
    </row>
    <row r="285" spans="1:27" ht="44" customHeight="1">
      <c r="A285" s="10" t="s">
        <v>384</v>
      </c>
      <c r="B285" s="10" t="s">
        <v>379</v>
      </c>
      <c r="C285" s="10" t="s">
        <v>985</v>
      </c>
      <c r="D285" s="24" t="s">
        <v>790</v>
      </c>
      <c r="E285" s="24" t="s">
        <v>791</v>
      </c>
      <c r="F285" s="25" t="s">
        <v>864</v>
      </c>
      <c r="G285" s="25" t="s">
        <v>865</v>
      </c>
      <c r="H285" s="10" t="s">
        <v>761</v>
      </c>
      <c r="I285" s="10" t="s">
        <v>781</v>
      </c>
      <c r="J285" s="28"/>
      <c r="K285" s="28"/>
      <c r="L285" s="24">
        <v>39</v>
      </c>
      <c r="M285" s="24"/>
      <c r="N285" s="24"/>
      <c r="O285" s="29">
        <v>46023</v>
      </c>
      <c r="P285" s="29"/>
      <c r="Q285" s="24">
        <v>100</v>
      </c>
      <c r="R285" s="24" t="s">
        <v>69</v>
      </c>
      <c r="S285" s="10"/>
      <c r="T285" s="10" t="s">
        <v>764</v>
      </c>
      <c r="U285" s="10"/>
      <c r="V285" s="10" t="s">
        <v>824</v>
      </c>
      <c r="W285" s="14">
        <f>IF(AND(ISNUMBER(Übersicht!$B$4),Übersicht!$B$4=INT(Übersicht!$B$4),Übersicht!$B$4&gt;=2026,Übersicht!$B$4&lt;=2028),IF(I285="fixedMonthDay",IF(AND(ISNUMBER(J285),J285=INT(J285),J285&gt;=1,J285&lt;=12,ISNUMBER(K285),K285=INT(K285),K285&gt;=1,K285&lt;=31,MONTH(DATE(Übersicht!$B$4,J285,K285))=J285,DAY(DATE(Übersicht!$B$4,J285,K285))=K285,L285="",M285="",N285=""),DATE(Übersicht!$B$4,J285,K285),NA()),IF(I285="easterOffsetDays",IF(AND(ISNUMBER(L285),L285=INT(L285),L285&gt;=-366,L285&lt;=366,J285="",K285="",M285="",N285=""),$AD$23+L285,NA()),IF(I285="nthWeekdayOfMonth",IF(AND(ISNUMBER(J285),J285=INT(J285),J285&gt;=1,J285&lt;=12,ISNUMBER(M285),M285=INT(M285),M285&gt;=1,M285&lt;=7,ISNUMBER(N285),N285=INT(N285),N285&gt;=1,N285&lt;=5,MONTH(DATE(Übersicht!$B$4,J285,1)+MOD(M285-WEEKDAY(DATE(Übersicht!$B$4,J285,1),2),7)+7*(N285-1))=J285,K285="",L285=""),DATE(Übersicht!$B$4,J285,1)+MOD(M285-WEEKDAY(DATE(Übersicht!$B$4,J285,1),2),7)+7*(N285-1),NA()),IF(I285="nthWeekdayOffsetDays",IF(AND(ISNUMBER(J285),J285=INT(J285),J285&gt;=1,J285&lt;=12,ISNUMBER(M285),M285=INT(M285),M285&gt;=1,M285&lt;=7,ISNUMBER(N285),N285=INT(N285),N285&gt;=1,N285&lt;=5,MONTH(DATE(Übersicht!$B$4,J285,1)+MOD(M285-WEEKDAY(DATE(Übersicht!$B$4,J285,1),2),7)+7*(N285-1))=J285,K285="",ISNUMBER(L285),L285=INT(L285),L285&gt;=-366,L285&lt;=366),DATE(Übersicht!$B$4,J285,1)+MOD(M285-WEEKDAY(DATE(Übersicht!$B$4,J285,1),2),7)+7*(N285-1)+L285,NA()),NA())))),NA())</f>
        <v>46898</v>
      </c>
      <c r="X285" s="14">
        <f t="shared" si="4"/>
        <v>46898</v>
      </c>
      <c r="Y285" s="10" t="s">
        <v>986</v>
      </c>
      <c r="Z285" s="10" t="s">
        <v>987</v>
      </c>
      <c r="AA285" s="24" t="s">
        <v>768</v>
      </c>
    </row>
    <row r="286" spans="1:27" ht="44" customHeight="1">
      <c r="A286" s="11" t="s">
        <v>385</v>
      </c>
      <c r="B286" s="11" t="s">
        <v>379</v>
      </c>
      <c r="C286" s="11" t="s">
        <v>985</v>
      </c>
      <c r="D286" s="26" t="s">
        <v>793</v>
      </c>
      <c r="E286" s="26" t="s">
        <v>794</v>
      </c>
      <c r="F286" s="27" t="s">
        <v>896</v>
      </c>
      <c r="G286" s="27" t="s">
        <v>897</v>
      </c>
      <c r="H286" s="11" t="s">
        <v>761</v>
      </c>
      <c r="I286" s="11" t="s">
        <v>781</v>
      </c>
      <c r="J286" s="30"/>
      <c r="K286" s="30"/>
      <c r="L286" s="26">
        <v>49</v>
      </c>
      <c r="M286" s="26"/>
      <c r="N286" s="26"/>
      <c r="O286" s="31">
        <v>46023</v>
      </c>
      <c r="P286" s="31"/>
      <c r="Q286" s="26">
        <v>100</v>
      </c>
      <c r="R286" s="26" t="s">
        <v>69</v>
      </c>
      <c r="S286" s="11"/>
      <c r="T286" s="11" t="s">
        <v>764</v>
      </c>
      <c r="U286" s="11"/>
      <c r="V286" s="11" t="s">
        <v>824</v>
      </c>
      <c r="W286" s="15">
        <f>IF(AND(ISNUMBER(Übersicht!$B$4),Übersicht!$B$4=INT(Übersicht!$B$4),Übersicht!$B$4&gt;=2026,Übersicht!$B$4&lt;=2028),IF(I286="fixedMonthDay",IF(AND(ISNUMBER(J286),J286=INT(J286),J286&gt;=1,J286&lt;=12,ISNUMBER(K286),K286=INT(K286),K286&gt;=1,K286&lt;=31,MONTH(DATE(Übersicht!$B$4,J286,K286))=J286,DAY(DATE(Übersicht!$B$4,J286,K286))=K286,L286="",M286="",N286=""),DATE(Übersicht!$B$4,J286,K286),NA()),IF(I286="easterOffsetDays",IF(AND(ISNUMBER(L286),L286=INT(L286),L286&gt;=-366,L286&lt;=366,J286="",K286="",M286="",N286=""),$AD$23+L286,NA()),IF(I286="nthWeekdayOfMonth",IF(AND(ISNUMBER(J286),J286=INT(J286),J286&gt;=1,J286&lt;=12,ISNUMBER(M286),M286=INT(M286),M286&gt;=1,M286&lt;=7,ISNUMBER(N286),N286=INT(N286),N286&gt;=1,N286&lt;=5,MONTH(DATE(Übersicht!$B$4,J286,1)+MOD(M286-WEEKDAY(DATE(Übersicht!$B$4,J286,1),2),7)+7*(N286-1))=J286,K286="",L286=""),DATE(Übersicht!$B$4,J286,1)+MOD(M286-WEEKDAY(DATE(Übersicht!$B$4,J286,1),2),7)+7*(N286-1),NA()),IF(I286="nthWeekdayOffsetDays",IF(AND(ISNUMBER(J286),J286=INT(J286),J286&gt;=1,J286&lt;=12,ISNUMBER(M286),M286=INT(M286),M286&gt;=1,M286&lt;=7,ISNUMBER(N286),N286=INT(N286),N286&gt;=1,N286&lt;=5,MONTH(DATE(Übersicht!$B$4,J286,1)+MOD(M286-WEEKDAY(DATE(Übersicht!$B$4,J286,1),2),7)+7*(N286-1))=J286,K286="",ISNUMBER(L286),L286=INT(L286),L286&gt;=-366,L286&lt;=366),DATE(Übersicht!$B$4,J286,1)+MOD(M286-WEEKDAY(DATE(Übersicht!$B$4,J286,1),2),7)+7*(N286-1)+L286,NA()),NA())))),NA())</f>
        <v>46908</v>
      </c>
      <c r="X286" s="15">
        <f t="shared" si="4"/>
        <v>46908</v>
      </c>
      <c r="Y286" s="11" t="s">
        <v>986</v>
      </c>
      <c r="Z286" s="11" t="s">
        <v>988</v>
      </c>
      <c r="AA286" s="26" t="s">
        <v>768</v>
      </c>
    </row>
    <row r="287" spans="1:27" ht="44" customHeight="1">
      <c r="A287" s="10" t="s">
        <v>386</v>
      </c>
      <c r="B287" s="10" t="s">
        <v>379</v>
      </c>
      <c r="C287" s="10" t="s">
        <v>985</v>
      </c>
      <c r="D287" s="24" t="s">
        <v>810</v>
      </c>
      <c r="E287" s="24" t="s">
        <v>811</v>
      </c>
      <c r="F287" s="25" t="s">
        <v>868</v>
      </c>
      <c r="G287" s="25" t="s">
        <v>869</v>
      </c>
      <c r="H287" s="10" t="s">
        <v>761</v>
      </c>
      <c r="I287" s="10" t="s">
        <v>781</v>
      </c>
      <c r="J287" s="28"/>
      <c r="K287" s="28"/>
      <c r="L287" s="24">
        <v>60</v>
      </c>
      <c r="M287" s="24"/>
      <c r="N287" s="24"/>
      <c r="O287" s="29">
        <v>46023</v>
      </c>
      <c r="P287" s="29"/>
      <c r="Q287" s="24">
        <v>100</v>
      </c>
      <c r="R287" s="24" t="s">
        <v>69</v>
      </c>
      <c r="S287" s="10"/>
      <c r="T287" s="10" t="s">
        <v>764</v>
      </c>
      <c r="U287" s="10"/>
      <c r="V287" s="10" t="s">
        <v>824</v>
      </c>
      <c r="W287" s="14">
        <f>IF(AND(ISNUMBER(Übersicht!$B$4),Übersicht!$B$4=INT(Übersicht!$B$4),Übersicht!$B$4&gt;=2026,Übersicht!$B$4&lt;=2028),IF(I287="fixedMonthDay",IF(AND(ISNUMBER(J287),J287=INT(J287),J287&gt;=1,J287&lt;=12,ISNUMBER(K287),K287=INT(K287),K287&gt;=1,K287&lt;=31,MONTH(DATE(Übersicht!$B$4,J287,K287))=J287,DAY(DATE(Übersicht!$B$4,J287,K287))=K287,L287="",M287="",N287=""),DATE(Übersicht!$B$4,J287,K287),NA()),IF(I287="easterOffsetDays",IF(AND(ISNUMBER(L287),L287=INT(L287),L287&gt;=-366,L287&lt;=366,J287="",K287="",M287="",N287=""),$AD$23+L287,NA()),IF(I287="nthWeekdayOfMonth",IF(AND(ISNUMBER(J287),J287=INT(J287),J287&gt;=1,J287&lt;=12,ISNUMBER(M287),M287=INT(M287),M287&gt;=1,M287&lt;=7,ISNUMBER(N287),N287=INT(N287),N287&gt;=1,N287&lt;=5,MONTH(DATE(Übersicht!$B$4,J287,1)+MOD(M287-WEEKDAY(DATE(Übersicht!$B$4,J287,1),2),7)+7*(N287-1))=J287,K287="",L287=""),DATE(Übersicht!$B$4,J287,1)+MOD(M287-WEEKDAY(DATE(Übersicht!$B$4,J287,1),2),7)+7*(N287-1),NA()),IF(I287="nthWeekdayOffsetDays",IF(AND(ISNUMBER(J287),J287=INT(J287),J287&gt;=1,J287&lt;=12,ISNUMBER(M287),M287=INT(M287),M287&gt;=1,M287&lt;=7,ISNUMBER(N287),N287=INT(N287),N287&gt;=1,N287&lt;=5,MONTH(DATE(Übersicht!$B$4,J287,1)+MOD(M287-WEEKDAY(DATE(Übersicht!$B$4,J287,1),2),7)+7*(N287-1))=J287,K287="",ISNUMBER(L287),L287=INT(L287),L287&gt;=-366,L287&lt;=366),DATE(Übersicht!$B$4,J287,1)+MOD(M287-WEEKDAY(DATE(Übersicht!$B$4,J287,1),2),7)+7*(N287-1)+L287,NA()),NA())))),NA())</f>
        <v>46919</v>
      </c>
      <c r="X287" s="14">
        <f t="shared" si="4"/>
        <v>46919</v>
      </c>
      <c r="Y287" s="10" t="s">
        <v>986</v>
      </c>
      <c r="Z287" s="10" t="s">
        <v>987</v>
      </c>
      <c r="AA287" s="24" t="s">
        <v>768</v>
      </c>
    </row>
    <row r="288" spans="1:27" ht="44" customHeight="1">
      <c r="A288" s="11" t="s">
        <v>387</v>
      </c>
      <c r="B288" s="11" t="s">
        <v>379</v>
      </c>
      <c r="C288" s="11" t="s">
        <v>985</v>
      </c>
      <c r="D288" s="26" t="s">
        <v>759</v>
      </c>
      <c r="E288" s="26" t="s">
        <v>760</v>
      </c>
      <c r="F288" s="27" t="s">
        <v>874</v>
      </c>
      <c r="G288" s="27" t="s">
        <v>875</v>
      </c>
      <c r="H288" s="11" t="s">
        <v>761</v>
      </c>
      <c r="I288" s="11" t="s">
        <v>762</v>
      </c>
      <c r="J288" s="30">
        <v>8</v>
      </c>
      <c r="K288" s="30">
        <v>1</v>
      </c>
      <c r="L288" s="26"/>
      <c r="M288" s="26"/>
      <c r="N288" s="26"/>
      <c r="O288" s="31">
        <v>46023</v>
      </c>
      <c r="P288" s="31"/>
      <c r="Q288" s="26">
        <v>100</v>
      </c>
      <c r="R288" s="26" t="s">
        <v>69</v>
      </c>
      <c r="S288" s="11"/>
      <c r="T288" s="11" t="s">
        <v>764</v>
      </c>
      <c r="U288" s="11"/>
      <c r="V288" s="11" t="s">
        <v>824</v>
      </c>
      <c r="W288" s="15">
        <f>IF(AND(ISNUMBER(Übersicht!$B$4),Übersicht!$B$4=INT(Übersicht!$B$4),Übersicht!$B$4&gt;=2026,Übersicht!$B$4&lt;=2028),IF(I288="fixedMonthDay",IF(AND(ISNUMBER(J288),J288=INT(J288),J288&gt;=1,J288&lt;=12,ISNUMBER(K288),K288=INT(K288),K288&gt;=1,K288&lt;=31,MONTH(DATE(Übersicht!$B$4,J288,K288))=J288,DAY(DATE(Übersicht!$B$4,J288,K288))=K288,L288="",M288="",N288=""),DATE(Übersicht!$B$4,J288,K288),NA()),IF(I288="easterOffsetDays",IF(AND(ISNUMBER(L288),L288=INT(L288),L288&gt;=-366,L288&lt;=366,J288="",K288="",M288="",N288=""),$AD$23+L288,NA()),IF(I288="nthWeekdayOfMonth",IF(AND(ISNUMBER(J288),J288=INT(J288),J288&gt;=1,J288&lt;=12,ISNUMBER(M288),M288=INT(M288),M288&gt;=1,M288&lt;=7,ISNUMBER(N288),N288=INT(N288),N288&gt;=1,N288&lt;=5,MONTH(DATE(Übersicht!$B$4,J288,1)+MOD(M288-WEEKDAY(DATE(Übersicht!$B$4,J288,1),2),7)+7*(N288-1))=J288,K288="",L288=""),DATE(Übersicht!$B$4,J288,1)+MOD(M288-WEEKDAY(DATE(Übersicht!$B$4,J288,1),2),7)+7*(N288-1),NA()),IF(I288="nthWeekdayOffsetDays",IF(AND(ISNUMBER(J288),J288=INT(J288),J288&gt;=1,J288&lt;=12,ISNUMBER(M288),M288=INT(M288),M288&gt;=1,M288&lt;=7,ISNUMBER(N288),N288=INT(N288),N288&gt;=1,N288&lt;=5,MONTH(DATE(Übersicht!$B$4,J288,1)+MOD(M288-WEEKDAY(DATE(Übersicht!$B$4,J288,1),2),7)+7*(N288-1))=J288,K288="",ISNUMBER(L288),L288=INT(L288),L288&gt;=-366,L288&lt;=366),DATE(Übersicht!$B$4,J288,1)+MOD(M288-WEEKDAY(DATE(Übersicht!$B$4,J288,1),2),7)+7*(N288-1)+L288,NA()),NA())))),NA())</f>
        <v>46966</v>
      </c>
      <c r="X288" s="15">
        <f t="shared" si="4"/>
        <v>46966</v>
      </c>
      <c r="Y288" s="11" t="s">
        <v>766</v>
      </c>
      <c r="Z288" s="11" t="s">
        <v>989</v>
      </c>
      <c r="AA288" s="26" t="s">
        <v>768</v>
      </c>
    </row>
    <row r="289" spans="1:27" ht="44" customHeight="1">
      <c r="A289" s="10" t="s">
        <v>388</v>
      </c>
      <c r="B289" s="10" t="s">
        <v>379</v>
      </c>
      <c r="C289" s="10" t="s">
        <v>985</v>
      </c>
      <c r="D289" s="24" t="s">
        <v>834</v>
      </c>
      <c r="E289" s="24" t="s">
        <v>835</v>
      </c>
      <c r="F289" s="25" t="s">
        <v>876</v>
      </c>
      <c r="G289" s="25" t="s">
        <v>877</v>
      </c>
      <c r="H289" s="10" t="s">
        <v>761</v>
      </c>
      <c r="I289" s="10" t="s">
        <v>762</v>
      </c>
      <c r="J289" s="28">
        <v>8</v>
      </c>
      <c r="K289" s="28">
        <v>15</v>
      </c>
      <c r="L289" s="24"/>
      <c r="M289" s="24"/>
      <c r="N289" s="24"/>
      <c r="O289" s="29">
        <v>46023</v>
      </c>
      <c r="P289" s="29"/>
      <c r="Q289" s="24">
        <v>100</v>
      </c>
      <c r="R289" s="24" t="s">
        <v>69</v>
      </c>
      <c r="S289" s="10"/>
      <c r="T289" s="10" t="s">
        <v>764</v>
      </c>
      <c r="U289" s="10"/>
      <c r="V289" s="10" t="s">
        <v>824</v>
      </c>
      <c r="W289" s="14">
        <f>IF(AND(ISNUMBER(Übersicht!$B$4),Übersicht!$B$4=INT(Übersicht!$B$4),Übersicht!$B$4&gt;=2026,Übersicht!$B$4&lt;=2028),IF(I289="fixedMonthDay",IF(AND(ISNUMBER(J289),J289=INT(J289),J289&gt;=1,J289&lt;=12,ISNUMBER(K289),K289=INT(K289),K289&gt;=1,K289&lt;=31,MONTH(DATE(Übersicht!$B$4,J289,K289))=J289,DAY(DATE(Übersicht!$B$4,J289,K289))=K289,L289="",M289="",N289=""),DATE(Übersicht!$B$4,J289,K289),NA()),IF(I289="easterOffsetDays",IF(AND(ISNUMBER(L289),L289=INT(L289),L289&gt;=-366,L289&lt;=366,J289="",K289="",M289="",N289=""),$AD$23+L289,NA()),IF(I289="nthWeekdayOfMonth",IF(AND(ISNUMBER(J289),J289=INT(J289),J289&gt;=1,J289&lt;=12,ISNUMBER(M289),M289=INT(M289),M289&gt;=1,M289&lt;=7,ISNUMBER(N289),N289=INT(N289),N289&gt;=1,N289&lt;=5,MONTH(DATE(Übersicht!$B$4,J289,1)+MOD(M289-WEEKDAY(DATE(Übersicht!$B$4,J289,1),2),7)+7*(N289-1))=J289,K289="",L289=""),DATE(Übersicht!$B$4,J289,1)+MOD(M289-WEEKDAY(DATE(Übersicht!$B$4,J289,1),2),7)+7*(N289-1),NA()),IF(I289="nthWeekdayOffsetDays",IF(AND(ISNUMBER(J289),J289=INT(J289),J289&gt;=1,J289&lt;=12,ISNUMBER(M289),M289=INT(M289),M289&gt;=1,M289&lt;=7,ISNUMBER(N289),N289=INT(N289),N289&gt;=1,N289&lt;=5,MONTH(DATE(Übersicht!$B$4,J289,1)+MOD(M289-WEEKDAY(DATE(Übersicht!$B$4,J289,1),2),7)+7*(N289-1))=J289,K289="",ISNUMBER(L289),L289=INT(L289),L289&gt;=-366,L289&lt;=366),DATE(Übersicht!$B$4,J289,1)+MOD(M289-WEEKDAY(DATE(Übersicht!$B$4,J289,1),2),7)+7*(N289-1)+L289,NA()),NA())))),NA())</f>
        <v>46980</v>
      </c>
      <c r="X289" s="14">
        <f t="shared" si="4"/>
        <v>46980</v>
      </c>
      <c r="Y289" s="10" t="s">
        <v>986</v>
      </c>
      <c r="Z289" s="10" t="s">
        <v>987</v>
      </c>
      <c r="AA289" s="24" t="s">
        <v>768</v>
      </c>
    </row>
    <row r="290" spans="1:27" ht="44" customHeight="1">
      <c r="A290" s="11" t="s">
        <v>389</v>
      </c>
      <c r="B290" s="11" t="s">
        <v>379</v>
      </c>
      <c r="C290" s="11" t="s">
        <v>985</v>
      </c>
      <c r="D290" s="26" t="s">
        <v>799</v>
      </c>
      <c r="E290" s="26" t="s">
        <v>800</v>
      </c>
      <c r="F290" s="27" t="s">
        <v>899</v>
      </c>
      <c r="G290" s="27" t="s">
        <v>900</v>
      </c>
      <c r="H290" s="11" t="s">
        <v>761</v>
      </c>
      <c r="I290" s="11" t="s">
        <v>801</v>
      </c>
      <c r="J290" s="30">
        <v>9</v>
      </c>
      <c r="K290" s="30"/>
      <c r="L290" s="26"/>
      <c r="M290" s="26">
        <v>7</v>
      </c>
      <c r="N290" s="26">
        <v>3</v>
      </c>
      <c r="O290" s="31">
        <v>46023</v>
      </c>
      <c r="P290" s="31"/>
      <c r="Q290" s="26">
        <v>100</v>
      </c>
      <c r="R290" s="26" t="s">
        <v>69</v>
      </c>
      <c r="S290" s="11"/>
      <c r="T290" s="11" t="s">
        <v>764</v>
      </c>
      <c r="U290" s="11"/>
      <c r="V290" s="11" t="s">
        <v>824</v>
      </c>
      <c r="W290" s="15">
        <f>IF(AND(ISNUMBER(Übersicht!$B$4),Übersicht!$B$4=INT(Übersicht!$B$4),Übersicht!$B$4&gt;=2026,Übersicht!$B$4&lt;=2028),IF(I290="fixedMonthDay",IF(AND(ISNUMBER(J290),J290=INT(J290),J290&gt;=1,J290&lt;=12,ISNUMBER(K290),K290=INT(K290),K290&gt;=1,K290&lt;=31,MONTH(DATE(Übersicht!$B$4,J290,K290))=J290,DAY(DATE(Übersicht!$B$4,J290,K290))=K290,L290="",M290="",N290=""),DATE(Übersicht!$B$4,J290,K290),NA()),IF(I290="easterOffsetDays",IF(AND(ISNUMBER(L290),L290=INT(L290),L290&gt;=-366,L290&lt;=366,J290="",K290="",M290="",N290=""),$AD$23+L290,NA()),IF(I290="nthWeekdayOfMonth",IF(AND(ISNUMBER(J290),J290=INT(J290),J290&gt;=1,J290&lt;=12,ISNUMBER(M290),M290=INT(M290),M290&gt;=1,M290&lt;=7,ISNUMBER(N290),N290=INT(N290),N290&gt;=1,N290&lt;=5,MONTH(DATE(Übersicht!$B$4,J290,1)+MOD(M290-WEEKDAY(DATE(Übersicht!$B$4,J290,1),2),7)+7*(N290-1))=J290,K290="",L290=""),DATE(Übersicht!$B$4,J290,1)+MOD(M290-WEEKDAY(DATE(Übersicht!$B$4,J290,1),2),7)+7*(N290-1),NA()),IF(I290="nthWeekdayOffsetDays",IF(AND(ISNUMBER(J290),J290=INT(J290),J290&gt;=1,J290&lt;=12,ISNUMBER(M290),M290=INT(M290),M290&gt;=1,M290&lt;=7,ISNUMBER(N290),N290=INT(N290),N290&gt;=1,N290&lt;=5,MONTH(DATE(Übersicht!$B$4,J290,1)+MOD(M290-WEEKDAY(DATE(Übersicht!$B$4,J290,1),2),7)+7*(N290-1))=J290,K290="",ISNUMBER(L290),L290=INT(L290),L290&gt;=-366,L290&lt;=366),DATE(Übersicht!$B$4,J290,1)+MOD(M290-WEEKDAY(DATE(Übersicht!$B$4,J290,1),2),7)+7*(N290-1)+L290,NA()),NA())))),NA())</f>
        <v>47013</v>
      </c>
      <c r="X290" s="15">
        <f t="shared" si="4"/>
        <v>47013</v>
      </c>
      <c r="Y290" s="11" t="s">
        <v>986</v>
      </c>
      <c r="Z290" s="11" t="s">
        <v>988</v>
      </c>
      <c r="AA290" s="26" t="s">
        <v>768</v>
      </c>
    </row>
    <row r="291" spans="1:27" ht="44" customHeight="1">
      <c r="A291" s="10" t="s">
        <v>390</v>
      </c>
      <c r="B291" s="10" t="s">
        <v>379</v>
      </c>
      <c r="C291" s="10" t="s">
        <v>985</v>
      </c>
      <c r="D291" s="24" t="s">
        <v>821</v>
      </c>
      <c r="E291" s="24" t="s">
        <v>822</v>
      </c>
      <c r="F291" s="25" t="s">
        <v>878</v>
      </c>
      <c r="G291" s="25" t="s">
        <v>879</v>
      </c>
      <c r="H291" s="10" t="s">
        <v>761</v>
      </c>
      <c r="I291" s="10" t="s">
        <v>762</v>
      </c>
      <c r="J291" s="28">
        <v>11</v>
      </c>
      <c r="K291" s="28">
        <v>1</v>
      </c>
      <c r="L291" s="24"/>
      <c r="M291" s="24"/>
      <c r="N291" s="24"/>
      <c r="O291" s="29">
        <v>46023</v>
      </c>
      <c r="P291" s="29"/>
      <c r="Q291" s="24">
        <v>100</v>
      </c>
      <c r="R291" s="24" t="s">
        <v>69</v>
      </c>
      <c r="S291" s="10"/>
      <c r="T291" s="10" t="s">
        <v>764</v>
      </c>
      <c r="U291" s="10"/>
      <c r="V291" s="10" t="s">
        <v>824</v>
      </c>
      <c r="W291" s="14">
        <f>IF(AND(ISNUMBER(Übersicht!$B$4),Übersicht!$B$4=INT(Übersicht!$B$4),Übersicht!$B$4&gt;=2026,Übersicht!$B$4&lt;=2028),IF(I291="fixedMonthDay",IF(AND(ISNUMBER(J291),J291=INT(J291),J291&gt;=1,J291&lt;=12,ISNUMBER(K291),K291=INT(K291),K291&gt;=1,K291&lt;=31,MONTH(DATE(Übersicht!$B$4,J291,K291))=J291,DAY(DATE(Übersicht!$B$4,J291,K291))=K291,L291="",M291="",N291=""),DATE(Übersicht!$B$4,J291,K291),NA()),IF(I291="easterOffsetDays",IF(AND(ISNUMBER(L291),L291=INT(L291),L291&gt;=-366,L291&lt;=366,J291="",K291="",M291="",N291=""),$AD$23+L291,NA()),IF(I291="nthWeekdayOfMonth",IF(AND(ISNUMBER(J291),J291=INT(J291),J291&gt;=1,J291&lt;=12,ISNUMBER(M291),M291=INT(M291),M291&gt;=1,M291&lt;=7,ISNUMBER(N291),N291=INT(N291),N291&gt;=1,N291&lt;=5,MONTH(DATE(Übersicht!$B$4,J291,1)+MOD(M291-WEEKDAY(DATE(Übersicht!$B$4,J291,1),2),7)+7*(N291-1))=J291,K291="",L291=""),DATE(Übersicht!$B$4,J291,1)+MOD(M291-WEEKDAY(DATE(Übersicht!$B$4,J291,1),2),7)+7*(N291-1),NA()),IF(I291="nthWeekdayOffsetDays",IF(AND(ISNUMBER(J291),J291=INT(J291),J291&gt;=1,J291&lt;=12,ISNUMBER(M291),M291=INT(M291),M291&gt;=1,M291&lt;=7,ISNUMBER(N291),N291=INT(N291),N291&gt;=1,N291&lt;=5,MONTH(DATE(Übersicht!$B$4,J291,1)+MOD(M291-WEEKDAY(DATE(Übersicht!$B$4,J291,1),2),7)+7*(N291-1))=J291,K291="",ISNUMBER(L291),L291=INT(L291),L291&gt;=-366,L291&lt;=366),DATE(Übersicht!$B$4,J291,1)+MOD(M291-WEEKDAY(DATE(Übersicht!$B$4,J291,1),2),7)+7*(N291-1)+L291,NA()),NA())))),NA())</f>
        <v>47058</v>
      </c>
      <c r="X291" s="14">
        <f t="shared" si="4"/>
        <v>47058</v>
      </c>
      <c r="Y291" s="10" t="s">
        <v>986</v>
      </c>
      <c r="Z291" s="10" t="s">
        <v>987</v>
      </c>
      <c r="AA291" s="24" t="s">
        <v>768</v>
      </c>
    </row>
    <row r="292" spans="1:27" ht="44" customHeight="1">
      <c r="A292" s="11" t="s">
        <v>391</v>
      </c>
      <c r="B292" s="11" t="s">
        <v>379</v>
      </c>
      <c r="C292" s="11" t="s">
        <v>985</v>
      </c>
      <c r="D292" s="26" t="s">
        <v>838</v>
      </c>
      <c r="E292" s="26" t="s">
        <v>839</v>
      </c>
      <c r="F292" s="27" t="s">
        <v>880</v>
      </c>
      <c r="G292" s="27" t="s">
        <v>881</v>
      </c>
      <c r="H292" s="11" t="s">
        <v>761</v>
      </c>
      <c r="I292" s="11" t="s">
        <v>762</v>
      </c>
      <c r="J292" s="30">
        <v>12</v>
      </c>
      <c r="K292" s="30">
        <v>8</v>
      </c>
      <c r="L292" s="26"/>
      <c r="M292" s="26"/>
      <c r="N292" s="26"/>
      <c r="O292" s="31">
        <v>46023</v>
      </c>
      <c r="P292" s="31"/>
      <c r="Q292" s="26">
        <v>100</v>
      </c>
      <c r="R292" s="26" t="s">
        <v>69</v>
      </c>
      <c r="S292" s="11"/>
      <c r="T292" s="11" t="s">
        <v>764</v>
      </c>
      <c r="U292" s="11"/>
      <c r="V292" s="11" t="s">
        <v>824</v>
      </c>
      <c r="W292" s="15">
        <f>IF(AND(ISNUMBER(Übersicht!$B$4),Übersicht!$B$4=INT(Übersicht!$B$4),Übersicht!$B$4&gt;=2026,Übersicht!$B$4&lt;=2028),IF(I292="fixedMonthDay",IF(AND(ISNUMBER(J292),J292=INT(J292),J292&gt;=1,J292&lt;=12,ISNUMBER(K292),K292=INT(K292),K292&gt;=1,K292&lt;=31,MONTH(DATE(Übersicht!$B$4,J292,K292))=J292,DAY(DATE(Übersicht!$B$4,J292,K292))=K292,L292="",M292="",N292=""),DATE(Übersicht!$B$4,J292,K292),NA()),IF(I292="easterOffsetDays",IF(AND(ISNUMBER(L292),L292=INT(L292),L292&gt;=-366,L292&lt;=366,J292="",K292="",M292="",N292=""),$AD$23+L292,NA()),IF(I292="nthWeekdayOfMonth",IF(AND(ISNUMBER(J292),J292=INT(J292),J292&gt;=1,J292&lt;=12,ISNUMBER(M292),M292=INT(M292),M292&gt;=1,M292&lt;=7,ISNUMBER(N292),N292=INT(N292),N292&gt;=1,N292&lt;=5,MONTH(DATE(Übersicht!$B$4,J292,1)+MOD(M292-WEEKDAY(DATE(Übersicht!$B$4,J292,1),2),7)+7*(N292-1))=J292,K292="",L292=""),DATE(Übersicht!$B$4,J292,1)+MOD(M292-WEEKDAY(DATE(Übersicht!$B$4,J292,1),2),7)+7*(N292-1),NA()),IF(I292="nthWeekdayOffsetDays",IF(AND(ISNUMBER(J292),J292=INT(J292),J292&gt;=1,J292&lt;=12,ISNUMBER(M292),M292=INT(M292),M292&gt;=1,M292&lt;=7,ISNUMBER(N292),N292=INT(N292),N292&gt;=1,N292&lt;=5,MONTH(DATE(Übersicht!$B$4,J292,1)+MOD(M292-WEEKDAY(DATE(Übersicht!$B$4,J292,1),2),7)+7*(N292-1))=J292,K292="",ISNUMBER(L292),L292=INT(L292),L292&gt;=-366,L292&lt;=366),DATE(Übersicht!$B$4,J292,1)+MOD(M292-WEEKDAY(DATE(Übersicht!$B$4,J292,1),2),7)+7*(N292-1)+L292,NA()),NA())))),NA())</f>
        <v>47095</v>
      </c>
      <c r="X292" s="15">
        <f t="shared" si="4"/>
        <v>47095</v>
      </c>
      <c r="Y292" s="11" t="s">
        <v>986</v>
      </c>
      <c r="Z292" s="11" t="s">
        <v>987</v>
      </c>
      <c r="AA292" s="26" t="s">
        <v>768</v>
      </c>
    </row>
    <row r="293" spans="1:27" ht="44" customHeight="1">
      <c r="A293" s="10" t="s">
        <v>392</v>
      </c>
      <c r="B293" s="10" t="s">
        <v>379</v>
      </c>
      <c r="C293" s="10" t="s">
        <v>985</v>
      </c>
      <c r="D293" s="24" t="s">
        <v>803</v>
      </c>
      <c r="E293" s="24" t="s">
        <v>804</v>
      </c>
      <c r="F293" s="25" t="s">
        <v>882</v>
      </c>
      <c r="G293" s="25" t="s">
        <v>883</v>
      </c>
      <c r="H293" s="10" t="s">
        <v>761</v>
      </c>
      <c r="I293" s="10" t="s">
        <v>762</v>
      </c>
      <c r="J293" s="28">
        <v>12</v>
      </c>
      <c r="K293" s="28">
        <v>25</v>
      </c>
      <c r="L293" s="24"/>
      <c r="M293" s="24"/>
      <c r="N293" s="24"/>
      <c r="O293" s="29">
        <v>46023</v>
      </c>
      <c r="P293" s="29"/>
      <c r="Q293" s="24">
        <v>100</v>
      </c>
      <c r="R293" s="24" t="s">
        <v>69</v>
      </c>
      <c r="S293" s="10"/>
      <c r="T293" s="10" t="s">
        <v>764</v>
      </c>
      <c r="U293" s="10"/>
      <c r="V293" s="10" t="s">
        <v>824</v>
      </c>
      <c r="W293" s="14">
        <f>IF(AND(ISNUMBER(Übersicht!$B$4),Übersicht!$B$4=INT(Übersicht!$B$4),Übersicht!$B$4&gt;=2026,Übersicht!$B$4&lt;=2028),IF(I293="fixedMonthDay",IF(AND(ISNUMBER(J293),J293=INT(J293),J293&gt;=1,J293&lt;=12,ISNUMBER(K293),K293=INT(K293),K293&gt;=1,K293&lt;=31,MONTH(DATE(Übersicht!$B$4,J293,K293))=J293,DAY(DATE(Übersicht!$B$4,J293,K293))=K293,L293="",M293="",N293=""),DATE(Übersicht!$B$4,J293,K293),NA()),IF(I293="easterOffsetDays",IF(AND(ISNUMBER(L293),L293=INT(L293),L293&gt;=-366,L293&lt;=366,J293="",K293="",M293="",N293=""),$AD$23+L293,NA()),IF(I293="nthWeekdayOfMonth",IF(AND(ISNUMBER(J293),J293=INT(J293),J293&gt;=1,J293&lt;=12,ISNUMBER(M293),M293=INT(M293),M293&gt;=1,M293&lt;=7,ISNUMBER(N293),N293=INT(N293),N293&gt;=1,N293&lt;=5,MONTH(DATE(Übersicht!$B$4,J293,1)+MOD(M293-WEEKDAY(DATE(Übersicht!$B$4,J293,1),2),7)+7*(N293-1))=J293,K293="",L293=""),DATE(Übersicht!$B$4,J293,1)+MOD(M293-WEEKDAY(DATE(Übersicht!$B$4,J293,1),2),7)+7*(N293-1),NA()),IF(I293="nthWeekdayOffsetDays",IF(AND(ISNUMBER(J293),J293=INT(J293),J293&gt;=1,J293&lt;=12,ISNUMBER(M293),M293=INT(M293),M293&gt;=1,M293&lt;=7,ISNUMBER(N293),N293=INT(N293),N293&gt;=1,N293&lt;=5,MONTH(DATE(Übersicht!$B$4,J293,1)+MOD(M293-WEEKDAY(DATE(Übersicht!$B$4,J293,1),2),7)+7*(N293-1))=J293,K293="",ISNUMBER(L293),L293=INT(L293),L293&gt;=-366,L293&lt;=366),DATE(Übersicht!$B$4,J293,1)+MOD(M293-WEEKDAY(DATE(Übersicht!$B$4,J293,1),2),7)+7*(N293-1)+L293,NA()),NA())))),NA())</f>
        <v>47112</v>
      </c>
      <c r="X293" s="14">
        <f t="shared" si="4"/>
        <v>47112</v>
      </c>
      <c r="Y293" s="10" t="s">
        <v>986</v>
      </c>
      <c r="Z293" s="10" t="s">
        <v>988</v>
      </c>
      <c r="AA293" s="24" t="s">
        <v>768</v>
      </c>
    </row>
    <row r="294" spans="1:27" ht="44" customHeight="1">
      <c r="A294" s="11" t="s">
        <v>393</v>
      </c>
      <c r="B294" s="11" t="s">
        <v>379</v>
      </c>
      <c r="C294" s="11" t="s">
        <v>985</v>
      </c>
      <c r="D294" s="26" t="s">
        <v>806</v>
      </c>
      <c r="E294" s="26" t="s">
        <v>807</v>
      </c>
      <c r="F294" s="27" t="s">
        <v>884</v>
      </c>
      <c r="G294" s="27" t="s">
        <v>885</v>
      </c>
      <c r="H294" s="11" t="s">
        <v>761</v>
      </c>
      <c r="I294" s="11" t="s">
        <v>762</v>
      </c>
      <c r="J294" s="30">
        <v>12</v>
      </c>
      <c r="K294" s="30">
        <v>26</v>
      </c>
      <c r="L294" s="26"/>
      <c r="M294" s="26"/>
      <c r="N294" s="26"/>
      <c r="O294" s="31">
        <v>46023</v>
      </c>
      <c r="P294" s="31"/>
      <c r="Q294" s="26">
        <v>100</v>
      </c>
      <c r="R294" s="26" t="s">
        <v>69</v>
      </c>
      <c r="S294" s="11"/>
      <c r="T294" s="11" t="s">
        <v>764</v>
      </c>
      <c r="U294" s="11"/>
      <c r="V294" s="11" t="s">
        <v>824</v>
      </c>
      <c r="W294" s="15">
        <f>IF(AND(ISNUMBER(Übersicht!$B$4),Übersicht!$B$4=INT(Übersicht!$B$4),Übersicht!$B$4&gt;=2026,Übersicht!$B$4&lt;=2028),IF(I294="fixedMonthDay",IF(AND(ISNUMBER(J294),J294=INT(J294),J294&gt;=1,J294&lt;=12,ISNUMBER(K294),K294=INT(K294),K294&gt;=1,K294&lt;=31,MONTH(DATE(Übersicht!$B$4,J294,K294))=J294,DAY(DATE(Übersicht!$B$4,J294,K294))=K294,L294="",M294="",N294=""),DATE(Übersicht!$B$4,J294,K294),NA()),IF(I294="easterOffsetDays",IF(AND(ISNUMBER(L294),L294=INT(L294),L294&gt;=-366,L294&lt;=366,J294="",K294="",M294="",N294=""),$AD$23+L294,NA()),IF(I294="nthWeekdayOfMonth",IF(AND(ISNUMBER(J294),J294=INT(J294),J294&gt;=1,J294&lt;=12,ISNUMBER(M294),M294=INT(M294),M294&gt;=1,M294&lt;=7,ISNUMBER(N294),N294=INT(N294),N294&gt;=1,N294&lt;=5,MONTH(DATE(Übersicht!$B$4,J294,1)+MOD(M294-WEEKDAY(DATE(Übersicht!$B$4,J294,1),2),7)+7*(N294-1))=J294,K294="",L294=""),DATE(Übersicht!$B$4,J294,1)+MOD(M294-WEEKDAY(DATE(Übersicht!$B$4,J294,1),2),7)+7*(N294-1),NA()),IF(I294="nthWeekdayOffsetDays",IF(AND(ISNUMBER(J294),J294=INT(J294),J294&gt;=1,J294&lt;=12,ISNUMBER(M294),M294=INT(M294),M294&gt;=1,M294&lt;=7,ISNUMBER(N294),N294=INT(N294),N294&gt;=1,N294&lt;=5,MONTH(DATE(Übersicht!$B$4,J294,1)+MOD(M294-WEEKDAY(DATE(Übersicht!$B$4,J294,1),2),7)+7*(N294-1))=J294,K294="",ISNUMBER(L294),L294=INT(L294),L294&gt;=-366,L294&lt;=366),DATE(Übersicht!$B$4,J294,1)+MOD(M294-WEEKDAY(DATE(Übersicht!$B$4,J294,1),2),7)+7*(N294-1)+L294,NA()),NA())))),NA())</f>
        <v>47113</v>
      </c>
      <c r="X294" s="15">
        <f t="shared" si="4"/>
        <v>47113</v>
      </c>
      <c r="Y294" s="11" t="s">
        <v>986</v>
      </c>
      <c r="Z294" s="11" t="s">
        <v>987</v>
      </c>
      <c r="AA294" s="26" t="s">
        <v>768</v>
      </c>
    </row>
    <row r="295" spans="1:27" ht="44" customHeight="1">
      <c r="A295" s="10" t="s">
        <v>395</v>
      </c>
      <c r="B295" s="10" t="s">
        <v>379</v>
      </c>
      <c r="C295" s="10" t="s">
        <v>990</v>
      </c>
      <c r="D295" s="24" t="s">
        <v>771</v>
      </c>
      <c r="E295" s="24" t="s">
        <v>772</v>
      </c>
      <c r="F295" s="25" t="s">
        <v>849</v>
      </c>
      <c r="G295" s="25" t="s">
        <v>850</v>
      </c>
      <c r="H295" s="10" t="s">
        <v>823</v>
      </c>
      <c r="I295" s="10" t="s">
        <v>762</v>
      </c>
      <c r="J295" s="28">
        <v>1</v>
      </c>
      <c r="K295" s="28">
        <v>1</v>
      </c>
      <c r="L295" s="24"/>
      <c r="M295" s="24"/>
      <c r="N295" s="24"/>
      <c r="O295" s="29">
        <v>46023</v>
      </c>
      <c r="P295" s="29"/>
      <c r="Q295" s="24">
        <v>100</v>
      </c>
      <c r="R295" s="24" t="s">
        <v>69</v>
      </c>
      <c r="S295" s="10"/>
      <c r="T295" s="10" t="s">
        <v>764</v>
      </c>
      <c r="U295" s="10"/>
      <c r="V295" s="10" t="s">
        <v>824</v>
      </c>
      <c r="W295" s="14">
        <f>IF(AND(ISNUMBER(Übersicht!$B$4),Übersicht!$B$4=INT(Übersicht!$B$4),Übersicht!$B$4&gt;=2026,Übersicht!$B$4&lt;=2028),IF(I295="fixedMonthDay",IF(AND(ISNUMBER(J295),J295=INT(J295),J295&gt;=1,J295&lt;=12,ISNUMBER(K295),K295=INT(K295),K295&gt;=1,K295&lt;=31,MONTH(DATE(Übersicht!$B$4,J295,K295))=J295,DAY(DATE(Übersicht!$B$4,J295,K295))=K295,L295="",M295="",N295=""),DATE(Übersicht!$B$4,J295,K295),NA()),IF(I295="easterOffsetDays",IF(AND(ISNUMBER(L295),L295=INT(L295),L295&gt;=-366,L295&lt;=366,J295="",K295="",M295="",N295=""),$AD$23+L295,NA()),IF(I295="nthWeekdayOfMonth",IF(AND(ISNUMBER(J295),J295=INT(J295),J295&gt;=1,J295&lt;=12,ISNUMBER(M295),M295=INT(M295),M295&gt;=1,M295&lt;=7,ISNUMBER(N295),N295=INT(N295),N295&gt;=1,N295&lt;=5,MONTH(DATE(Übersicht!$B$4,J295,1)+MOD(M295-WEEKDAY(DATE(Übersicht!$B$4,J295,1),2),7)+7*(N295-1))=J295,K295="",L295=""),DATE(Übersicht!$B$4,J295,1)+MOD(M295-WEEKDAY(DATE(Übersicht!$B$4,J295,1),2),7)+7*(N295-1),NA()),IF(I295="nthWeekdayOffsetDays",IF(AND(ISNUMBER(J295),J295=INT(J295),J295&gt;=1,J295&lt;=12,ISNUMBER(M295),M295=INT(M295),M295&gt;=1,M295&lt;=7,ISNUMBER(N295),N295=INT(N295),N295&gt;=1,N295&lt;=5,MONTH(DATE(Übersicht!$B$4,J295,1)+MOD(M295-WEEKDAY(DATE(Übersicht!$B$4,J295,1),2),7)+7*(N295-1))=J295,K295="",ISNUMBER(L295),L295=INT(L295),L295&gt;=-366,L295&lt;=366),DATE(Übersicht!$B$4,J295,1)+MOD(M295-WEEKDAY(DATE(Übersicht!$B$4,J295,1),2),7)+7*(N295-1)+L295,NA()),NA())))),NA())</f>
        <v>46753</v>
      </c>
      <c r="X295" s="14">
        <f t="shared" si="4"/>
        <v>46753</v>
      </c>
      <c r="Y295" s="10" t="s">
        <v>991</v>
      </c>
      <c r="Z295" s="10" t="s">
        <v>992</v>
      </c>
      <c r="AA295" s="24" t="s">
        <v>768</v>
      </c>
    </row>
    <row r="296" spans="1:27" ht="44" customHeight="1">
      <c r="A296" s="11" t="s">
        <v>396</v>
      </c>
      <c r="B296" s="11" t="s">
        <v>379</v>
      </c>
      <c r="C296" s="11" t="s">
        <v>990</v>
      </c>
      <c r="D296" s="26" t="s">
        <v>776</v>
      </c>
      <c r="E296" s="26" t="s">
        <v>777</v>
      </c>
      <c r="F296" s="27" t="s">
        <v>919</v>
      </c>
      <c r="G296" s="27" t="s">
        <v>920</v>
      </c>
      <c r="H296" s="11" t="s">
        <v>823</v>
      </c>
      <c r="I296" s="11" t="s">
        <v>762</v>
      </c>
      <c r="J296" s="30">
        <v>1</v>
      </c>
      <c r="K296" s="30">
        <v>2</v>
      </c>
      <c r="L296" s="26"/>
      <c r="M296" s="26"/>
      <c r="N296" s="26"/>
      <c r="O296" s="31">
        <v>46023</v>
      </c>
      <c r="P296" s="31"/>
      <c r="Q296" s="26">
        <v>100</v>
      </c>
      <c r="R296" s="26" t="s">
        <v>69</v>
      </c>
      <c r="S296" s="11"/>
      <c r="T296" s="11" t="s">
        <v>764</v>
      </c>
      <c r="U296" s="11"/>
      <c r="V296" s="11" t="s">
        <v>824</v>
      </c>
      <c r="W296" s="15">
        <f>IF(AND(ISNUMBER(Übersicht!$B$4),Übersicht!$B$4=INT(Übersicht!$B$4),Übersicht!$B$4&gt;=2026,Übersicht!$B$4&lt;=2028),IF(I296="fixedMonthDay",IF(AND(ISNUMBER(J296),J296=INT(J296),J296&gt;=1,J296&lt;=12,ISNUMBER(K296),K296=INT(K296),K296&gt;=1,K296&lt;=31,MONTH(DATE(Übersicht!$B$4,J296,K296))=J296,DAY(DATE(Übersicht!$B$4,J296,K296))=K296,L296="",M296="",N296=""),DATE(Übersicht!$B$4,J296,K296),NA()),IF(I296="easterOffsetDays",IF(AND(ISNUMBER(L296),L296=INT(L296),L296&gt;=-366,L296&lt;=366,J296="",K296="",M296="",N296=""),$AD$23+L296,NA()),IF(I296="nthWeekdayOfMonth",IF(AND(ISNUMBER(J296),J296=INT(J296),J296&gt;=1,J296&lt;=12,ISNUMBER(M296),M296=INT(M296),M296&gt;=1,M296&lt;=7,ISNUMBER(N296),N296=INT(N296),N296&gt;=1,N296&lt;=5,MONTH(DATE(Übersicht!$B$4,J296,1)+MOD(M296-WEEKDAY(DATE(Übersicht!$B$4,J296,1),2),7)+7*(N296-1))=J296,K296="",L296=""),DATE(Übersicht!$B$4,J296,1)+MOD(M296-WEEKDAY(DATE(Übersicht!$B$4,J296,1),2),7)+7*(N296-1),NA()),IF(I296="nthWeekdayOffsetDays",IF(AND(ISNUMBER(J296),J296=INT(J296),J296&gt;=1,J296&lt;=12,ISNUMBER(M296),M296=INT(M296),M296&gt;=1,M296&lt;=7,ISNUMBER(N296),N296=INT(N296),N296&gt;=1,N296&lt;=5,MONTH(DATE(Übersicht!$B$4,J296,1)+MOD(M296-WEEKDAY(DATE(Übersicht!$B$4,J296,1),2),7)+7*(N296-1))=J296,K296="",ISNUMBER(L296),L296=INT(L296),L296&gt;=-366,L296&lt;=366),DATE(Übersicht!$B$4,J296,1)+MOD(M296-WEEKDAY(DATE(Übersicht!$B$4,J296,1),2),7)+7*(N296-1)+L296,NA()),NA())))),NA())</f>
        <v>46754</v>
      </c>
      <c r="X296" s="15">
        <f t="shared" si="4"/>
        <v>46754</v>
      </c>
      <c r="Y296" s="11" t="s">
        <v>991</v>
      </c>
      <c r="Z296" s="11" t="s">
        <v>992</v>
      </c>
      <c r="AA296" s="26" t="s">
        <v>768</v>
      </c>
    </row>
    <row r="297" spans="1:27" ht="44" customHeight="1">
      <c r="A297" s="10" t="s">
        <v>397</v>
      </c>
      <c r="B297" s="10" t="s">
        <v>379</v>
      </c>
      <c r="C297" s="10" t="s">
        <v>990</v>
      </c>
      <c r="D297" s="24" t="s">
        <v>779</v>
      </c>
      <c r="E297" s="24" t="s">
        <v>780</v>
      </c>
      <c r="F297" s="25" t="s">
        <v>889</v>
      </c>
      <c r="G297" s="25" t="s">
        <v>890</v>
      </c>
      <c r="H297" s="10" t="s">
        <v>823</v>
      </c>
      <c r="I297" s="10" t="s">
        <v>781</v>
      </c>
      <c r="J297" s="28"/>
      <c r="K297" s="28"/>
      <c r="L297" s="24">
        <v>-2</v>
      </c>
      <c r="M297" s="24"/>
      <c r="N297" s="24"/>
      <c r="O297" s="29">
        <v>46023</v>
      </c>
      <c r="P297" s="29"/>
      <c r="Q297" s="24">
        <v>100</v>
      </c>
      <c r="R297" s="24" t="s">
        <v>69</v>
      </c>
      <c r="S297" s="10"/>
      <c r="T297" s="10" t="s">
        <v>764</v>
      </c>
      <c r="U297" s="10"/>
      <c r="V297" s="10" t="s">
        <v>824</v>
      </c>
      <c r="W297" s="14">
        <f>IF(AND(ISNUMBER(Übersicht!$B$4),Übersicht!$B$4=INT(Übersicht!$B$4),Übersicht!$B$4&gt;=2026,Übersicht!$B$4&lt;=2028),IF(I297="fixedMonthDay",IF(AND(ISNUMBER(J297),J297=INT(J297),J297&gt;=1,J297&lt;=12,ISNUMBER(K297),K297=INT(K297),K297&gt;=1,K297&lt;=31,MONTH(DATE(Übersicht!$B$4,J297,K297))=J297,DAY(DATE(Übersicht!$B$4,J297,K297))=K297,L297="",M297="",N297=""),DATE(Übersicht!$B$4,J297,K297),NA()),IF(I297="easterOffsetDays",IF(AND(ISNUMBER(L297),L297=INT(L297),L297&gt;=-366,L297&lt;=366,J297="",K297="",M297="",N297=""),$AD$23+L297,NA()),IF(I297="nthWeekdayOfMonth",IF(AND(ISNUMBER(J297),J297=INT(J297),J297&gt;=1,J297&lt;=12,ISNUMBER(M297),M297=INT(M297),M297&gt;=1,M297&lt;=7,ISNUMBER(N297),N297=INT(N297),N297&gt;=1,N297&lt;=5,MONTH(DATE(Übersicht!$B$4,J297,1)+MOD(M297-WEEKDAY(DATE(Übersicht!$B$4,J297,1),2),7)+7*(N297-1))=J297,K297="",L297=""),DATE(Übersicht!$B$4,J297,1)+MOD(M297-WEEKDAY(DATE(Übersicht!$B$4,J297,1),2),7)+7*(N297-1),NA()),IF(I297="nthWeekdayOffsetDays",IF(AND(ISNUMBER(J297),J297=INT(J297),J297&gt;=1,J297&lt;=12,ISNUMBER(M297),M297=INT(M297),M297&gt;=1,M297&lt;=7,ISNUMBER(N297),N297=INT(N297),N297&gt;=1,N297&lt;=5,MONTH(DATE(Übersicht!$B$4,J297,1)+MOD(M297-WEEKDAY(DATE(Übersicht!$B$4,J297,1),2),7)+7*(N297-1))=J297,K297="",ISNUMBER(L297),L297=INT(L297),L297&gt;=-366,L297&lt;=366),DATE(Übersicht!$B$4,J297,1)+MOD(M297-WEEKDAY(DATE(Übersicht!$B$4,J297,1),2),7)+7*(N297-1)+L297,NA()),NA())))),NA())</f>
        <v>46857</v>
      </c>
      <c r="X297" s="14">
        <f t="shared" si="4"/>
        <v>46857</v>
      </c>
      <c r="Y297" s="10" t="s">
        <v>991</v>
      </c>
      <c r="Z297" s="10" t="s">
        <v>992</v>
      </c>
      <c r="AA297" s="24" t="s">
        <v>768</v>
      </c>
    </row>
    <row r="298" spans="1:27" ht="44" customHeight="1">
      <c r="A298" s="11" t="s">
        <v>398</v>
      </c>
      <c r="B298" s="11" t="s">
        <v>379</v>
      </c>
      <c r="C298" s="11" t="s">
        <v>990</v>
      </c>
      <c r="D298" s="26" t="s">
        <v>787</v>
      </c>
      <c r="E298" s="26" t="s">
        <v>788</v>
      </c>
      <c r="F298" s="27" t="s">
        <v>860</v>
      </c>
      <c r="G298" s="27" t="s">
        <v>861</v>
      </c>
      <c r="H298" s="11" t="s">
        <v>823</v>
      </c>
      <c r="I298" s="11" t="s">
        <v>781</v>
      </c>
      <c r="J298" s="30"/>
      <c r="K298" s="30"/>
      <c r="L298" s="26">
        <v>1</v>
      </c>
      <c r="M298" s="26"/>
      <c r="N298" s="26"/>
      <c r="O298" s="31">
        <v>46023</v>
      </c>
      <c r="P298" s="31"/>
      <c r="Q298" s="26">
        <v>100</v>
      </c>
      <c r="R298" s="26" t="s">
        <v>69</v>
      </c>
      <c r="S298" s="11"/>
      <c r="T298" s="11" t="s">
        <v>764</v>
      </c>
      <c r="U298" s="11"/>
      <c r="V298" s="11" t="s">
        <v>824</v>
      </c>
      <c r="W298" s="15">
        <f>IF(AND(ISNUMBER(Übersicht!$B$4),Übersicht!$B$4=INT(Übersicht!$B$4),Übersicht!$B$4&gt;=2026,Übersicht!$B$4&lt;=2028),IF(I298="fixedMonthDay",IF(AND(ISNUMBER(J298),J298=INT(J298),J298&gt;=1,J298&lt;=12,ISNUMBER(K298),K298=INT(K298),K298&gt;=1,K298&lt;=31,MONTH(DATE(Übersicht!$B$4,J298,K298))=J298,DAY(DATE(Übersicht!$B$4,J298,K298))=K298,L298="",M298="",N298=""),DATE(Übersicht!$B$4,J298,K298),NA()),IF(I298="easterOffsetDays",IF(AND(ISNUMBER(L298),L298=INT(L298),L298&gt;=-366,L298&lt;=366,J298="",K298="",M298="",N298=""),$AD$23+L298,NA()),IF(I298="nthWeekdayOfMonth",IF(AND(ISNUMBER(J298),J298=INT(J298),J298&gt;=1,J298&lt;=12,ISNUMBER(M298),M298=INT(M298),M298&gt;=1,M298&lt;=7,ISNUMBER(N298),N298=INT(N298),N298&gt;=1,N298&lt;=5,MONTH(DATE(Übersicht!$B$4,J298,1)+MOD(M298-WEEKDAY(DATE(Übersicht!$B$4,J298,1),2),7)+7*(N298-1))=J298,K298="",L298=""),DATE(Übersicht!$B$4,J298,1)+MOD(M298-WEEKDAY(DATE(Übersicht!$B$4,J298,1),2),7)+7*(N298-1),NA()),IF(I298="nthWeekdayOffsetDays",IF(AND(ISNUMBER(J298),J298=INT(J298),J298&gt;=1,J298&lt;=12,ISNUMBER(M298),M298=INT(M298),M298&gt;=1,M298&lt;=7,ISNUMBER(N298),N298=INT(N298),N298&gt;=1,N298&lt;=5,MONTH(DATE(Übersicht!$B$4,J298,1)+MOD(M298-WEEKDAY(DATE(Übersicht!$B$4,J298,1),2),7)+7*(N298-1))=J298,K298="",ISNUMBER(L298),L298=INT(L298),L298&gt;=-366,L298&lt;=366),DATE(Übersicht!$B$4,J298,1)+MOD(M298-WEEKDAY(DATE(Übersicht!$B$4,J298,1),2),7)+7*(N298-1)+L298,NA()),NA())))),NA())</f>
        <v>46860</v>
      </c>
      <c r="X298" s="15">
        <f t="shared" si="4"/>
        <v>46860</v>
      </c>
      <c r="Y298" s="11" t="s">
        <v>991</v>
      </c>
      <c r="Z298" s="11" t="s">
        <v>992</v>
      </c>
      <c r="AA298" s="26" t="s">
        <v>768</v>
      </c>
    </row>
    <row r="299" spans="1:27" ht="44" customHeight="1">
      <c r="A299" s="10" t="s">
        <v>399</v>
      </c>
      <c r="B299" s="10" t="s">
        <v>379</v>
      </c>
      <c r="C299" s="10" t="s">
        <v>990</v>
      </c>
      <c r="D299" s="24" t="s">
        <v>790</v>
      </c>
      <c r="E299" s="24" t="s">
        <v>791</v>
      </c>
      <c r="F299" s="25" t="s">
        <v>864</v>
      </c>
      <c r="G299" s="25" t="s">
        <v>865</v>
      </c>
      <c r="H299" s="10" t="s">
        <v>823</v>
      </c>
      <c r="I299" s="10" t="s">
        <v>781</v>
      </c>
      <c r="J299" s="28"/>
      <c r="K299" s="28"/>
      <c r="L299" s="24">
        <v>39</v>
      </c>
      <c r="M299" s="24"/>
      <c r="N299" s="24"/>
      <c r="O299" s="29">
        <v>46023</v>
      </c>
      <c r="P299" s="29"/>
      <c r="Q299" s="24">
        <v>100</v>
      </c>
      <c r="R299" s="24" t="s">
        <v>69</v>
      </c>
      <c r="S299" s="10"/>
      <c r="T299" s="10" t="s">
        <v>764</v>
      </c>
      <c r="U299" s="10"/>
      <c r="V299" s="10" t="s">
        <v>824</v>
      </c>
      <c r="W299" s="14">
        <f>IF(AND(ISNUMBER(Übersicht!$B$4),Übersicht!$B$4=INT(Übersicht!$B$4),Übersicht!$B$4&gt;=2026,Übersicht!$B$4&lt;=2028),IF(I299="fixedMonthDay",IF(AND(ISNUMBER(J299),J299=INT(J299),J299&gt;=1,J299&lt;=12,ISNUMBER(K299),K299=INT(K299),K299&gt;=1,K299&lt;=31,MONTH(DATE(Übersicht!$B$4,J299,K299))=J299,DAY(DATE(Übersicht!$B$4,J299,K299))=K299,L299="",M299="",N299=""),DATE(Übersicht!$B$4,J299,K299),NA()),IF(I299="easterOffsetDays",IF(AND(ISNUMBER(L299),L299=INT(L299),L299&gt;=-366,L299&lt;=366,J299="",K299="",M299="",N299=""),$AD$23+L299,NA()),IF(I299="nthWeekdayOfMonth",IF(AND(ISNUMBER(J299),J299=INT(J299),J299&gt;=1,J299&lt;=12,ISNUMBER(M299),M299=INT(M299),M299&gt;=1,M299&lt;=7,ISNUMBER(N299),N299=INT(N299),N299&gt;=1,N299&lt;=5,MONTH(DATE(Übersicht!$B$4,J299,1)+MOD(M299-WEEKDAY(DATE(Übersicht!$B$4,J299,1),2),7)+7*(N299-1))=J299,K299="",L299=""),DATE(Übersicht!$B$4,J299,1)+MOD(M299-WEEKDAY(DATE(Übersicht!$B$4,J299,1),2),7)+7*(N299-1),NA()),IF(I299="nthWeekdayOffsetDays",IF(AND(ISNUMBER(J299),J299=INT(J299),J299&gt;=1,J299&lt;=12,ISNUMBER(M299),M299=INT(M299),M299&gt;=1,M299&lt;=7,ISNUMBER(N299),N299=INT(N299),N299&gt;=1,N299&lt;=5,MONTH(DATE(Übersicht!$B$4,J299,1)+MOD(M299-WEEKDAY(DATE(Übersicht!$B$4,J299,1),2),7)+7*(N299-1))=J299,K299="",ISNUMBER(L299),L299=INT(L299),L299&gt;=-366,L299&lt;=366),DATE(Übersicht!$B$4,J299,1)+MOD(M299-WEEKDAY(DATE(Übersicht!$B$4,J299,1),2),7)+7*(N299-1)+L299,NA()),NA())))),NA())</f>
        <v>46898</v>
      </c>
      <c r="X299" s="14">
        <f t="shared" si="4"/>
        <v>46898</v>
      </c>
      <c r="Y299" s="10" t="s">
        <v>991</v>
      </c>
      <c r="Z299" s="10" t="s">
        <v>992</v>
      </c>
      <c r="AA299" s="24" t="s">
        <v>768</v>
      </c>
    </row>
    <row r="300" spans="1:27" ht="44" customHeight="1">
      <c r="A300" s="11" t="s">
        <v>400</v>
      </c>
      <c r="B300" s="11" t="s">
        <v>379</v>
      </c>
      <c r="C300" s="11" t="s">
        <v>990</v>
      </c>
      <c r="D300" s="26" t="s">
        <v>796</v>
      </c>
      <c r="E300" s="26" t="s">
        <v>797</v>
      </c>
      <c r="F300" s="27" t="s">
        <v>866</v>
      </c>
      <c r="G300" s="27" t="s">
        <v>867</v>
      </c>
      <c r="H300" s="11" t="s">
        <v>823</v>
      </c>
      <c r="I300" s="11" t="s">
        <v>781</v>
      </c>
      <c r="J300" s="30"/>
      <c r="K300" s="30"/>
      <c r="L300" s="26">
        <v>50</v>
      </c>
      <c r="M300" s="26"/>
      <c r="N300" s="26"/>
      <c r="O300" s="31">
        <v>46023</v>
      </c>
      <c r="P300" s="31"/>
      <c r="Q300" s="26">
        <v>100</v>
      </c>
      <c r="R300" s="26" t="s">
        <v>69</v>
      </c>
      <c r="S300" s="11"/>
      <c r="T300" s="11" t="s">
        <v>764</v>
      </c>
      <c r="U300" s="11"/>
      <c r="V300" s="11" t="s">
        <v>824</v>
      </c>
      <c r="W300" s="15">
        <f>IF(AND(ISNUMBER(Übersicht!$B$4),Übersicht!$B$4=INT(Übersicht!$B$4),Übersicht!$B$4&gt;=2026,Übersicht!$B$4&lt;=2028),IF(I300="fixedMonthDay",IF(AND(ISNUMBER(J300),J300=INT(J300),J300&gt;=1,J300&lt;=12,ISNUMBER(K300),K300=INT(K300),K300&gt;=1,K300&lt;=31,MONTH(DATE(Übersicht!$B$4,J300,K300))=J300,DAY(DATE(Übersicht!$B$4,J300,K300))=K300,L300="",M300="",N300=""),DATE(Übersicht!$B$4,J300,K300),NA()),IF(I300="easterOffsetDays",IF(AND(ISNUMBER(L300),L300=INT(L300),L300&gt;=-366,L300&lt;=366,J300="",K300="",M300="",N300=""),$AD$23+L300,NA()),IF(I300="nthWeekdayOfMonth",IF(AND(ISNUMBER(J300),J300=INT(J300),J300&gt;=1,J300&lt;=12,ISNUMBER(M300),M300=INT(M300),M300&gt;=1,M300&lt;=7,ISNUMBER(N300),N300=INT(N300),N300&gt;=1,N300&lt;=5,MONTH(DATE(Übersicht!$B$4,J300,1)+MOD(M300-WEEKDAY(DATE(Übersicht!$B$4,J300,1),2),7)+7*(N300-1))=J300,K300="",L300=""),DATE(Übersicht!$B$4,J300,1)+MOD(M300-WEEKDAY(DATE(Übersicht!$B$4,J300,1),2),7)+7*(N300-1),NA()),IF(I300="nthWeekdayOffsetDays",IF(AND(ISNUMBER(J300),J300=INT(J300),J300&gt;=1,J300&lt;=12,ISNUMBER(M300),M300=INT(M300),M300&gt;=1,M300&lt;=7,ISNUMBER(N300),N300=INT(N300),N300&gt;=1,N300&lt;=5,MONTH(DATE(Übersicht!$B$4,J300,1)+MOD(M300-WEEKDAY(DATE(Übersicht!$B$4,J300,1),2),7)+7*(N300-1))=J300,K300="",ISNUMBER(L300),L300=INT(L300),L300&gt;=-366,L300&lt;=366),DATE(Übersicht!$B$4,J300,1)+MOD(M300-WEEKDAY(DATE(Übersicht!$B$4,J300,1),2),7)+7*(N300-1)+L300,NA()),NA())))),NA())</f>
        <v>46909</v>
      </c>
      <c r="X300" s="15">
        <f t="shared" si="4"/>
        <v>46909</v>
      </c>
      <c r="Y300" s="11" t="s">
        <v>991</v>
      </c>
      <c r="Z300" s="11" t="s">
        <v>992</v>
      </c>
      <c r="AA300" s="26" t="s">
        <v>768</v>
      </c>
    </row>
    <row r="301" spans="1:27" ht="44" customHeight="1">
      <c r="A301" s="10" t="s">
        <v>401</v>
      </c>
      <c r="B301" s="10" t="s">
        <v>379</v>
      </c>
      <c r="C301" s="10" t="s">
        <v>990</v>
      </c>
      <c r="D301" s="24" t="s">
        <v>810</v>
      </c>
      <c r="E301" s="24" t="s">
        <v>811</v>
      </c>
      <c r="F301" s="25" t="s">
        <v>868</v>
      </c>
      <c r="G301" s="25" t="s">
        <v>869</v>
      </c>
      <c r="H301" s="10" t="s">
        <v>823</v>
      </c>
      <c r="I301" s="10" t="s">
        <v>781</v>
      </c>
      <c r="J301" s="28"/>
      <c r="K301" s="28"/>
      <c r="L301" s="24">
        <v>60</v>
      </c>
      <c r="M301" s="24"/>
      <c r="N301" s="24"/>
      <c r="O301" s="29">
        <v>46023</v>
      </c>
      <c r="P301" s="29"/>
      <c r="Q301" s="24">
        <v>100</v>
      </c>
      <c r="R301" s="24" t="s">
        <v>69</v>
      </c>
      <c r="S301" s="10"/>
      <c r="T301" s="10" t="s">
        <v>764</v>
      </c>
      <c r="U301" s="10"/>
      <c r="V301" s="10" t="s">
        <v>824</v>
      </c>
      <c r="W301" s="14">
        <f>IF(AND(ISNUMBER(Übersicht!$B$4),Übersicht!$B$4=INT(Übersicht!$B$4),Übersicht!$B$4&gt;=2026,Übersicht!$B$4&lt;=2028),IF(I301="fixedMonthDay",IF(AND(ISNUMBER(J301),J301=INT(J301),J301&gt;=1,J301&lt;=12,ISNUMBER(K301),K301=INT(K301),K301&gt;=1,K301&lt;=31,MONTH(DATE(Übersicht!$B$4,J301,K301))=J301,DAY(DATE(Übersicht!$B$4,J301,K301))=K301,L301="",M301="",N301=""),DATE(Übersicht!$B$4,J301,K301),NA()),IF(I301="easterOffsetDays",IF(AND(ISNUMBER(L301),L301=INT(L301),L301&gt;=-366,L301&lt;=366,J301="",K301="",M301="",N301=""),$AD$23+L301,NA()),IF(I301="nthWeekdayOfMonth",IF(AND(ISNUMBER(J301),J301=INT(J301),J301&gt;=1,J301&lt;=12,ISNUMBER(M301),M301=INT(M301),M301&gt;=1,M301&lt;=7,ISNUMBER(N301),N301=INT(N301),N301&gt;=1,N301&lt;=5,MONTH(DATE(Übersicht!$B$4,J301,1)+MOD(M301-WEEKDAY(DATE(Übersicht!$B$4,J301,1),2),7)+7*(N301-1))=J301,K301="",L301=""),DATE(Übersicht!$B$4,J301,1)+MOD(M301-WEEKDAY(DATE(Übersicht!$B$4,J301,1),2),7)+7*(N301-1),NA()),IF(I301="nthWeekdayOffsetDays",IF(AND(ISNUMBER(J301),J301=INT(J301),J301&gt;=1,J301&lt;=12,ISNUMBER(M301),M301=INT(M301),M301&gt;=1,M301&lt;=7,ISNUMBER(N301),N301=INT(N301),N301&gt;=1,N301&lt;=5,MONTH(DATE(Übersicht!$B$4,J301,1)+MOD(M301-WEEKDAY(DATE(Übersicht!$B$4,J301,1),2),7)+7*(N301-1))=J301,K301="",ISNUMBER(L301),L301=INT(L301),L301&gt;=-366,L301&lt;=366),DATE(Übersicht!$B$4,J301,1)+MOD(M301-WEEKDAY(DATE(Übersicht!$B$4,J301,1),2),7)+7*(N301-1)+L301,NA()),NA())))),NA())</f>
        <v>46919</v>
      </c>
      <c r="X301" s="14">
        <f t="shared" si="4"/>
        <v>46919</v>
      </c>
      <c r="Y301" s="10" t="s">
        <v>991</v>
      </c>
      <c r="Z301" s="10" t="s">
        <v>992</v>
      </c>
      <c r="AA301" s="24" t="s">
        <v>768</v>
      </c>
    </row>
    <row r="302" spans="1:27" ht="44" customHeight="1">
      <c r="A302" s="11" t="s">
        <v>402</v>
      </c>
      <c r="B302" s="11" t="s">
        <v>379</v>
      </c>
      <c r="C302" s="11" t="s">
        <v>990</v>
      </c>
      <c r="D302" s="26" t="s">
        <v>759</v>
      </c>
      <c r="E302" s="26" t="s">
        <v>760</v>
      </c>
      <c r="F302" s="27" t="s">
        <v>874</v>
      </c>
      <c r="G302" s="27" t="s">
        <v>875</v>
      </c>
      <c r="H302" s="11" t="s">
        <v>823</v>
      </c>
      <c r="I302" s="11" t="s">
        <v>762</v>
      </c>
      <c r="J302" s="30">
        <v>8</v>
      </c>
      <c r="K302" s="30">
        <v>1</v>
      </c>
      <c r="L302" s="26"/>
      <c r="M302" s="26"/>
      <c r="N302" s="26"/>
      <c r="O302" s="31">
        <v>46023</v>
      </c>
      <c r="P302" s="31"/>
      <c r="Q302" s="26">
        <v>100</v>
      </c>
      <c r="R302" s="26" t="s">
        <v>69</v>
      </c>
      <c r="S302" s="11"/>
      <c r="T302" s="11" t="s">
        <v>764</v>
      </c>
      <c r="U302" s="11"/>
      <c r="V302" s="11" t="s">
        <v>824</v>
      </c>
      <c r="W302" s="15">
        <f>IF(AND(ISNUMBER(Übersicht!$B$4),Übersicht!$B$4=INT(Übersicht!$B$4),Übersicht!$B$4&gt;=2026,Übersicht!$B$4&lt;=2028),IF(I302="fixedMonthDay",IF(AND(ISNUMBER(J302),J302=INT(J302),J302&gt;=1,J302&lt;=12,ISNUMBER(K302),K302=INT(K302),K302&gt;=1,K302&lt;=31,MONTH(DATE(Übersicht!$B$4,J302,K302))=J302,DAY(DATE(Übersicht!$B$4,J302,K302))=K302,L302="",M302="",N302=""),DATE(Übersicht!$B$4,J302,K302),NA()),IF(I302="easterOffsetDays",IF(AND(ISNUMBER(L302),L302=INT(L302),L302&gt;=-366,L302&lt;=366,J302="",K302="",M302="",N302=""),$AD$23+L302,NA()),IF(I302="nthWeekdayOfMonth",IF(AND(ISNUMBER(J302),J302=INT(J302),J302&gt;=1,J302&lt;=12,ISNUMBER(M302),M302=INT(M302),M302&gt;=1,M302&lt;=7,ISNUMBER(N302),N302=INT(N302),N302&gt;=1,N302&lt;=5,MONTH(DATE(Übersicht!$B$4,J302,1)+MOD(M302-WEEKDAY(DATE(Übersicht!$B$4,J302,1),2),7)+7*(N302-1))=J302,K302="",L302=""),DATE(Übersicht!$B$4,J302,1)+MOD(M302-WEEKDAY(DATE(Übersicht!$B$4,J302,1),2),7)+7*(N302-1),NA()),IF(I302="nthWeekdayOffsetDays",IF(AND(ISNUMBER(J302),J302=INT(J302),J302&gt;=1,J302&lt;=12,ISNUMBER(M302),M302=INT(M302),M302&gt;=1,M302&lt;=7,ISNUMBER(N302),N302=INT(N302),N302&gt;=1,N302&lt;=5,MONTH(DATE(Übersicht!$B$4,J302,1)+MOD(M302-WEEKDAY(DATE(Übersicht!$B$4,J302,1),2),7)+7*(N302-1))=J302,K302="",ISNUMBER(L302),L302=INT(L302),L302&gt;=-366,L302&lt;=366),DATE(Übersicht!$B$4,J302,1)+MOD(M302-WEEKDAY(DATE(Übersicht!$B$4,J302,1),2),7)+7*(N302-1)+L302,NA()),NA())))),NA())</f>
        <v>46966</v>
      </c>
      <c r="X302" s="15">
        <f t="shared" si="4"/>
        <v>46966</v>
      </c>
      <c r="Y302" s="11" t="s">
        <v>991</v>
      </c>
      <c r="Z302" s="11" t="s">
        <v>992</v>
      </c>
      <c r="AA302" s="26" t="s">
        <v>768</v>
      </c>
    </row>
    <row r="303" spans="1:27" ht="44" customHeight="1">
      <c r="A303" s="10" t="s">
        <v>403</v>
      </c>
      <c r="B303" s="10" t="s">
        <v>379</v>
      </c>
      <c r="C303" s="10" t="s">
        <v>990</v>
      </c>
      <c r="D303" s="24" t="s">
        <v>834</v>
      </c>
      <c r="E303" s="24" t="s">
        <v>835</v>
      </c>
      <c r="F303" s="25" t="s">
        <v>876</v>
      </c>
      <c r="G303" s="25" t="s">
        <v>877</v>
      </c>
      <c r="H303" s="10" t="s">
        <v>823</v>
      </c>
      <c r="I303" s="10" t="s">
        <v>762</v>
      </c>
      <c r="J303" s="28">
        <v>8</v>
      </c>
      <c r="K303" s="28">
        <v>15</v>
      </c>
      <c r="L303" s="24"/>
      <c r="M303" s="24"/>
      <c r="N303" s="24"/>
      <c r="O303" s="29">
        <v>46023</v>
      </c>
      <c r="P303" s="29"/>
      <c r="Q303" s="24">
        <v>100</v>
      </c>
      <c r="R303" s="24" t="s">
        <v>69</v>
      </c>
      <c r="S303" s="10"/>
      <c r="T303" s="10" t="s">
        <v>764</v>
      </c>
      <c r="U303" s="10"/>
      <c r="V303" s="10" t="s">
        <v>824</v>
      </c>
      <c r="W303" s="14">
        <f>IF(AND(ISNUMBER(Übersicht!$B$4),Übersicht!$B$4=INT(Übersicht!$B$4),Übersicht!$B$4&gt;=2026,Übersicht!$B$4&lt;=2028),IF(I303="fixedMonthDay",IF(AND(ISNUMBER(J303),J303=INT(J303),J303&gt;=1,J303&lt;=12,ISNUMBER(K303),K303=INT(K303),K303&gt;=1,K303&lt;=31,MONTH(DATE(Übersicht!$B$4,J303,K303))=J303,DAY(DATE(Übersicht!$B$4,J303,K303))=K303,L303="",M303="",N303=""),DATE(Übersicht!$B$4,J303,K303),NA()),IF(I303="easterOffsetDays",IF(AND(ISNUMBER(L303),L303=INT(L303),L303&gt;=-366,L303&lt;=366,J303="",K303="",M303="",N303=""),$AD$23+L303,NA()),IF(I303="nthWeekdayOfMonth",IF(AND(ISNUMBER(J303),J303=INT(J303),J303&gt;=1,J303&lt;=12,ISNUMBER(M303),M303=INT(M303),M303&gt;=1,M303&lt;=7,ISNUMBER(N303),N303=INT(N303),N303&gt;=1,N303&lt;=5,MONTH(DATE(Übersicht!$B$4,J303,1)+MOD(M303-WEEKDAY(DATE(Übersicht!$B$4,J303,1),2),7)+7*(N303-1))=J303,K303="",L303=""),DATE(Übersicht!$B$4,J303,1)+MOD(M303-WEEKDAY(DATE(Übersicht!$B$4,J303,1),2),7)+7*(N303-1),NA()),IF(I303="nthWeekdayOffsetDays",IF(AND(ISNUMBER(J303),J303=INT(J303),J303&gt;=1,J303&lt;=12,ISNUMBER(M303),M303=INT(M303),M303&gt;=1,M303&lt;=7,ISNUMBER(N303),N303=INT(N303),N303&gt;=1,N303&lt;=5,MONTH(DATE(Übersicht!$B$4,J303,1)+MOD(M303-WEEKDAY(DATE(Übersicht!$B$4,J303,1),2),7)+7*(N303-1))=J303,K303="",ISNUMBER(L303),L303=INT(L303),L303&gt;=-366,L303&lt;=366),DATE(Übersicht!$B$4,J303,1)+MOD(M303-WEEKDAY(DATE(Übersicht!$B$4,J303,1),2),7)+7*(N303-1)+L303,NA()),NA())))),NA())</f>
        <v>46980</v>
      </c>
      <c r="X303" s="14">
        <f t="shared" si="4"/>
        <v>46980</v>
      </c>
      <c r="Y303" s="10" t="s">
        <v>991</v>
      </c>
      <c r="Z303" s="10" t="s">
        <v>992</v>
      </c>
      <c r="AA303" s="24" t="s">
        <v>768</v>
      </c>
    </row>
    <row r="304" spans="1:27" ht="44" customHeight="1">
      <c r="A304" s="11" t="s">
        <v>404</v>
      </c>
      <c r="B304" s="11" t="s">
        <v>379</v>
      </c>
      <c r="C304" s="11" t="s">
        <v>990</v>
      </c>
      <c r="D304" s="26" t="s">
        <v>821</v>
      </c>
      <c r="E304" s="26" t="s">
        <v>822</v>
      </c>
      <c r="F304" s="27" t="s">
        <v>878</v>
      </c>
      <c r="G304" s="27" t="s">
        <v>879</v>
      </c>
      <c r="H304" s="11" t="s">
        <v>823</v>
      </c>
      <c r="I304" s="11" t="s">
        <v>762</v>
      </c>
      <c r="J304" s="30">
        <v>11</v>
      </c>
      <c r="K304" s="30">
        <v>1</v>
      </c>
      <c r="L304" s="26"/>
      <c r="M304" s="26"/>
      <c r="N304" s="26"/>
      <c r="O304" s="31">
        <v>46023</v>
      </c>
      <c r="P304" s="31"/>
      <c r="Q304" s="26">
        <v>100</v>
      </c>
      <c r="R304" s="26" t="s">
        <v>69</v>
      </c>
      <c r="S304" s="11"/>
      <c r="T304" s="11" t="s">
        <v>764</v>
      </c>
      <c r="U304" s="11"/>
      <c r="V304" s="11" t="s">
        <v>824</v>
      </c>
      <c r="W304" s="15">
        <f>IF(AND(ISNUMBER(Übersicht!$B$4),Übersicht!$B$4=INT(Übersicht!$B$4),Übersicht!$B$4&gt;=2026,Übersicht!$B$4&lt;=2028),IF(I304="fixedMonthDay",IF(AND(ISNUMBER(J304),J304=INT(J304),J304&gt;=1,J304&lt;=12,ISNUMBER(K304),K304=INT(K304),K304&gt;=1,K304&lt;=31,MONTH(DATE(Übersicht!$B$4,J304,K304))=J304,DAY(DATE(Übersicht!$B$4,J304,K304))=K304,L304="",M304="",N304=""),DATE(Übersicht!$B$4,J304,K304),NA()),IF(I304="easterOffsetDays",IF(AND(ISNUMBER(L304),L304=INT(L304),L304&gt;=-366,L304&lt;=366,J304="",K304="",M304="",N304=""),$AD$23+L304,NA()),IF(I304="nthWeekdayOfMonth",IF(AND(ISNUMBER(J304),J304=INT(J304),J304&gt;=1,J304&lt;=12,ISNUMBER(M304),M304=INT(M304),M304&gt;=1,M304&lt;=7,ISNUMBER(N304),N304=INT(N304),N304&gt;=1,N304&lt;=5,MONTH(DATE(Übersicht!$B$4,J304,1)+MOD(M304-WEEKDAY(DATE(Übersicht!$B$4,J304,1),2),7)+7*(N304-1))=J304,K304="",L304=""),DATE(Übersicht!$B$4,J304,1)+MOD(M304-WEEKDAY(DATE(Übersicht!$B$4,J304,1),2),7)+7*(N304-1),NA()),IF(I304="nthWeekdayOffsetDays",IF(AND(ISNUMBER(J304),J304=INT(J304),J304&gt;=1,J304&lt;=12,ISNUMBER(M304),M304=INT(M304),M304&gt;=1,M304&lt;=7,ISNUMBER(N304),N304=INT(N304),N304&gt;=1,N304&lt;=5,MONTH(DATE(Übersicht!$B$4,J304,1)+MOD(M304-WEEKDAY(DATE(Übersicht!$B$4,J304,1),2),7)+7*(N304-1))=J304,K304="",ISNUMBER(L304),L304=INT(L304),L304&gt;=-366,L304&lt;=366),DATE(Übersicht!$B$4,J304,1)+MOD(M304-WEEKDAY(DATE(Übersicht!$B$4,J304,1),2),7)+7*(N304-1)+L304,NA()),NA())))),NA())</f>
        <v>47058</v>
      </c>
      <c r="X304" s="15">
        <f t="shared" si="4"/>
        <v>47058</v>
      </c>
      <c r="Y304" s="11" t="s">
        <v>991</v>
      </c>
      <c r="Z304" s="11" t="s">
        <v>992</v>
      </c>
      <c r="AA304" s="26" t="s">
        <v>768</v>
      </c>
    </row>
    <row r="305" spans="1:27" ht="44" customHeight="1">
      <c r="A305" s="10" t="s">
        <v>405</v>
      </c>
      <c r="B305" s="10" t="s">
        <v>379</v>
      </c>
      <c r="C305" s="10" t="s">
        <v>990</v>
      </c>
      <c r="D305" s="24" t="s">
        <v>838</v>
      </c>
      <c r="E305" s="24" t="s">
        <v>839</v>
      </c>
      <c r="F305" s="25" t="s">
        <v>880</v>
      </c>
      <c r="G305" s="25" t="s">
        <v>881</v>
      </c>
      <c r="H305" s="10" t="s">
        <v>823</v>
      </c>
      <c r="I305" s="10" t="s">
        <v>762</v>
      </c>
      <c r="J305" s="28">
        <v>12</v>
      </c>
      <c r="K305" s="28">
        <v>8</v>
      </c>
      <c r="L305" s="24"/>
      <c r="M305" s="24"/>
      <c r="N305" s="24"/>
      <c r="O305" s="29">
        <v>46023</v>
      </c>
      <c r="P305" s="29"/>
      <c r="Q305" s="24">
        <v>100</v>
      </c>
      <c r="R305" s="24" t="s">
        <v>69</v>
      </c>
      <c r="S305" s="10"/>
      <c r="T305" s="10" t="s">
        <v>764</v>
      </c>
      <c r="U305" s="10"/>
      <c r="V305" s="10" t="s">
        <v>824</v>
      </c>
      <c r="W305" s="14">
        <f>IF(AND(ISNUMBER(Übersicht!$B$4),Übersicht!$B$4=INT(Übersicht!$B$4),Übersicht!$B$4&gt;=2026,Übersicht!$B$4&lt;=2028),IF(I305="fixedMonthDay",IF(AND(ISNUMBER(J305),J305=INT(J305),J305&gt;=1,J305&lt;=12,ISNUMBER(K305),K305=INT(K305),K305&gt;=1,K305&lt;=31,MONTH(DATE(Übersicht!$B$4,J305,K305))=J305,DAY(DATE(Übersicht!$B$4,J305,K305))=K305,L305="",M305="",N305=""),DATE(Übersicht!$B$4,J305,K305),NA()),IF(I305="easterOffsetDays",IF(AND(ISNUMBER(L305),L305=INT(L305),L305&gt;=-366,L305&lt;=366,J305="",K305="",M305="",N305=""),$AD$23+L305,NA()),IF(I305="nthWeekdayOfMonth",IF(AND(ISNUMBER(J305),J305=INT(J305),J305&gt;=1,J305&lt;=12,ISNUMBER(M305),M305=INT(M305),M305&gt;=1,M305&lt;=7,ISNUMBER(N305),N305=INT(N305),N305&gt;=1,N305&lt;=5,MONTH(DATE(Übersicht!$B$4,J305,1)+MOD(M305-WEEKDAY(DATE(Übersicht!$B$4,J305,1),2),7)+7*(N305-1))=J305,K305="",L305=""),DATE(Übersicht!$B$4,J305,1)+MOD(M305-WEEKDAY(DATE(Übersicht!$B$4,J305,1),2),7)+7*(N305-1),NA()),IF(I305="nthWeekdayOffsetDays",IF(AND(ISNUMBER(J305),J305=INT(J305),J305&gt;=1,J305&lt;=12,ISNUMBER(M305),M305=INT(M305),M305&gt;=1,M305&lt;=7,ISNUMBER(N305),N305=INT(N305),N305&gt;=1,N305&lt;=5,MONTH(DATE(Übersicht!$B$4,J305,1)+MOD(M305-WEEKDAY(DATE(Übersicht!$B$4,J305,1),2),7)+7*(N305-1))=J305,K305="",ISNUMBER(L305),L305=INT(L305),L305&gt;=-366,L305&lt;=366),DATE(Übersicht!$B$4,J305,1)+MOD(M305-WEEKDAY(DATE(Übersicht!$B$4,J305,1),2),7)+7*(N305-1)+L305,NA()),NA())))),NA())</f>
        <v>47095</v>
      </c>
      <c r="X305" s="14">
        <f t="shared" si="4"/>
        <v>47095</v>
      </c>
      <c r="Y305" s="10" t="s">
        <v>991</v>
      </c>
      <c r="Z305" s="10" t="s">
        <v>992</v>
      </c>
      <c r="AA305" s="24" t="s">
        <v>768</v>
      </c>
    </row>
    <row r="306" spans="1:27" ht="44" customHeight="1">
      <c r="A306" s="11" t="s">
        <v>406</v>
      </c>
      <c r="B306" s="11" t="s">
        <v>379</v>
      </c>
      <c r="C306" s="11" t="s">
        <v>990</v>
      </c>
      <c r="D306" s="26" t="s">
        <v>803</v>
      </c>
      <c r="E306" s="26" t="s">
        <v>804</v>
      </c>
      <c r="F306" s="27" t="s">
        <v>882</v>
      </c>
      <c r="G306" s="27" t="s">
        <v>883</v>
      </c>
      <c r="H306" s="11" t="s">
        <v>823</v>
      </c>
      <c r="I306" s="11" t="s">
        <v>762</v>
      </c>
      <c r="J306" s="30">
        <v>12</v>
      </c>
      <c r="K306" s="30">
        <v>25</v>
      </c>
      <c r="L306" s="26"/>
      <c r="M306" s="26"/>
      <c r="N306" s="26"/>
      <c r="O306" s="31">
        <v>46023</v>
      </c>
      <c r="P306" s="31"/>
      <c r="Q306" s="26">
        <v>100</v>
      </c>
      <c r="R306" s="26" t="s">
        <v>69</v>
      </c>
      <c r="S306" s="11"/>
      <c r="T306" s="11" t="s">
        <v>764</v>
      </c>
      <c r="U306" s="11"/>
      <c r="V306" s="11" t="s">
        <v>824</v>
      </c>
      <c r="W306" s="15">
        <f>IF(AND(ISNUMBER(Übersicht!$B$4),Übersicht!$B$4=INT(Übersicht!$B$4),Übersicht!$B$4&gt;=2026,Übersicht!$B$4&lt;=2028),IF(I306="fixedMonthDay",IF(AND(ISNUMBER(J306),J306=INT(J306),J306&gt;=1,J306&lt;=12,ISNUMBER(K306),K306=INT(K306),K306&gt;=1,K306&lt;=31,MONTH(DATE(Übersicht!$B$4,J306,K306))=J306,DAY(DATE(Übersicht!$B$4,J306,K306))=K306,L306="",M306="",N306=""),DATE(Übersicht!$B$4,J306,K306),NA()),IF(I306="easterOffsetDays",IF(AND(ISNUMBER(L306),L306=INT(L306),L306&gt;=-366,L306&lt;=366,J306="",K306="",M306="",N306=""),$AD$23+L306,NA()),IF(I306="nthWeekdayOfMonth",IF(AND(ISNUMBER(J306),J306=INT(J306),J306&gt;=1,J306&lt;=12,ISNUMBER(M306),M306=INT(M306),M306&gt;=1,M306&lt;=7,ISNUMBER(N306),N306=INT(N306),N306&gt;=1,N306&lt;=5,MONTH(DATE(Übersicht!$B$4,J306,1)+MOD(M306-WEEKDAY(DATE(Übersicht!$B$4,J306,1),2),7)+7*(N306-1))=J306,K306="",L306=""),DATE(Übersicht!$B$4,J306,1)+MOD(M306-WEEKDAY(DATE(Übersicht!$B$4,J306,1),2),7)+7*(N306-1),NA()),IF(I306="nthWeekdayOffsetDays",IF(AND(ISNUMBER(J306),J306=INT(J306),J306&gt;=1,J306&lt;=12,ISNUMBER(M306),M306=INT(M306),M306&gt;=1,M306&lt;=7,ISNUMBER(N306),N306=INT(N306),N306&gt;=1,N306&lt;=5,MONTH(DATE(Übersicht!$B$4,J306,1)+MOD(M306-WEEKDAY(DATE(Übersicht!$B$4,J306,1),2),7)+7*(N306-1))=J306,K306="",ISNUMBER(L306),L306=INT(L306),L306&gt;=-366,L306&lt;=366),DATE(Übersicht!$B$4,J306,1)+MOD(M306-WEEKDAY(DATE(Übersicht!$B$4,J306,1),2),7)+7*(N306-1)+L306,NA()),NA())))),NA())</f>
        <v>47112</v>
      </c>
      <c r="X306" s="15">
        <f t="shared" si="4"/>
        <v>47112</v>
      </c>
      <c r="Y306" s="11" t="s">
        <v>991</v>
      </c>
      <c r="Z306" s="11" t="s">
        <v>992</v>
      </c>
      <c r="AA306" s="26" t="s">
        <v>768</v>
      </c>
    </row>
    <row r="307" spans="1:27" ht="44" customHeight="1">
      <c r="A307" s="10" t="s">
        <v>407</v>
      </c>
      <c r="B307" s="10" t="s">
        <v>379</v>
      </c>
      <c r="C307" s="10" t="s">
        <v>990</v>
      </c>
      <c r="D307" s="24" t="s">
        <v>806</v>
      </c>
      <c r="E307" s="24" t="s">
        <v>807</v>
      </c>
      <c r="F307" s="25" t="s">
        <v>884</v>
      </c>
      <c r="G307" s="25" t="s">
        <v>885</v>
      </c>
      <c r="H307" s="10" t="s">
        <v>823</v>
      </c>
      <c r="I307" s="10" t="s">
        <v>762</v>
      </c>
      <c r="J307" s="28">
        <v>12</v>
      </c>
      <c r="K307" s="28">
        <v>26</v>
      </c>
      <c r="L307" s="24"/>
      <c r="M307" s="24"/>
      <c r="N307" s="24"/>
      <c r="O307" s="29">
        <v>46023</v>
      </c>
      <c r="P307" s="29"/>
      <c r="Q307" s="24">
        <v>100</v>
      </c>
      <c r="R307" s="24" t="s">
        <v>69</v>
      </c>
      <c r="S307" s="10"/>
      <c r="T307" s="10" t="s">
        <v>764</v>
      </c>
      <c r="U307" s="10"/>
      <c r="V307" s="10" t="s">
        <v>824</v>
      </c>
      <c r="W307" s="14">
        <f>IF(AND(ISNUMBER(Übersicht!$B$4),Übersicht!$B$4=INT(Übersicht!$B$4),Übersicht!$B$4&gt;=2026,Übersicht!$B$4&lt;=2028),IF(I307="fixedMonthDay",IF(AND(ISNUMBER(J307),J307=INT(J307),J307&gt;=1,J307&lt;=12,ISNUMBER(K307),K307=INT(K307),K307&gt;=1,K307&lt;=31,MONTH(DATE(Übersicht!$B$4,J307,K307))=J307,DAY(DATE(Übersicht!$B$4,J307,K307))=K307,L307="",M307="",N307=""),DATE(Übersicht!$B$4,J307,K307),NA()),IF(I307="easterOffsetDays",IF(AND(ISNUMBER(L307),L307=INT(L307),L307&gt;=-366,L307&lt;=366,J307="",K307="",M307="",N307=""),$AD$23+L307,NA()),IF(I307="nthWeekdayOfMonth",IF(AND(ISNUMBER(J307),J307=INT(J307),J307&gt;=1,J307&lt;=12,ISNUMBER(M307),M307=INT(M307),M307&gt;=1,M307&lt;=7,ISNUMBER(N307),N307=INT(N307),N307&gt;=1,N307&lt;=5,MONTH(DATE(Übersicht!$B$4,J307,1)+MOD(M307-WEEKDAY(DATE(Übersicht!$B$4,J307,1),2),7)+7*(N307-1))=J307,K307="",L307=""),DATE(Übersicht!$B$4,J307,1)+MOD(M307-WEEKDAY(DATE(Übersicht!$B$4,J307,1),2),7)+7*(N307-1),NA()),IF(I307="nthWeekdayOffsetDays",IF(AND(ISNUMBER(J307),J307=INT(J307),J307&gt;=1,J307&lt;=12,ISNUMBER(M307),M307=INT(M307),M307&gt;=1,M307&lt;=7,ISNUMBER(N307),N307=INT(N307),N307&gt;=1,N307&lt;=5,MONTH(DATE(Übersicht!$B$4,J307,1)+MOD(M307-WEEKDAY(DATE(Übersicht!$B$4,J307,1),2),7)+7*(N307-1))=J307,K307="",ISNUMBER(L307),L307=INT(L307),L307&gt;=-366,L307&lt;=366),DATE(Übersicht!$B$4,J307,1)+MOD(M307-WEEKDAY(DATE(Übersicht!$B$4,J307,1),2),7)+7*(N307-1)+L307,NA()),NA())))),NA())</f>
        <v>47113</v>
      </c>
      <c r="X307" s="14">
        <f t="shared" si="4"/>
        <v>47113</v>
      </c>
      <c r="Y307" s="10" t="s">
        <v>991</v>
      </c>
      <c r="Z307" s="10" t="s">
        <v>992</v>
      </c>
      <c r="AA307" s="24" t="s">
        <v>768</v>
      </c>
    </row>
    <row r="308" spans="1:27" ht="44" customHeight="1">
      <c r="A308" s="11" t="s">
        <v>409</v>
      </c>
      <c r="B308" s="11" t="s">
        <v>379</v>
      </c>
      <c r="C308" s="11" t="s">
        <v>993</v>
      </c>
      <c r="D308" s="26" t="s">
        <v>776</v>
      </c>
      <c r="E308" s="26" t="s">
        <v>777</v>
      </c>
      <c r="F308" s="27" t="s">
        <v>919</v>
      </c>
      <c r="G308" s="27" t="s">
        <v>920</v>
      </c>
      <c r="H308" s="11" t="s">
        <v>823</v>
      </c>
      <c r="I308" s="11" t="s">
        <v>762</v>
      </c>
      <c r="J308" s="30">
        <v>1</v>
      </c>
      <c r="K308" s="30">
        <v>2</v>
      </c>
      <c r="L308" s="26"/>
      <c r="M308" s="26"/>
      <c r="N308" s="26"/>
      <c r="O308" s="31">
        <v>46023</v>
      </c>
      <c r="P308" s="31"/>
      <c r="Q308" s="26">
        <v>100</v>
      </c>
      <c r="R308" s="26" t="s">
        <v>69</v>
      </c>
      <c r="S308" s="11"/>
      <c r="T308" s="11" t="s">
        <v>764</v>
      </c>
      <c r="U308" s="11"/>
      <c r="V308" s="11" t="s">
        <v>824</v>
      </c>
      <c r="W308" s="15">
        <f>IF(AND(ISNUMBER(Übersicht!$B$4),Übersicht!$B$4=INT(Übersicht!$B$4),Übersicht!$B$4&gt;=2026,Übersicht!$B$4&lt;=2028),IF(I308="fixedMonthDay",IF(AND(ISNUMBER(J308),J308=INT(J308),J308&gt;=1,J308&lt;=12,ISNUMBER(K308),K308=INT(K308),K308&gt;=1,K308&lt;=31,MONTH(DATE(Übersicht!$B$4,J308,K308))=J308,DAY(DATE(Übersicht!$B$4,J308,K308))=K308,L308="",M308="",N308=""),DATE(Übersicht!$B$4,J308,K308),NA()),IF(I308="easterOffsetDays",IF(AND(ISNUMBER(L308),L308=INT(L308),L308&gt;=-366,L308&lt;=366,J308="",K308="",M308="",N308=""),$AD$23+L308,NA()),IF(I308="nthWeekdayOfMonth",IF(AND(ISNUMBER(J308),J308=INT(J308),J308&gt;=1,J308&lt;=12,ISNUMBER(M308),M308=INT(M308),M308&gt;=1,M308&lt;=7,ISNUMBER(N308),N308=INT(N308),N308&gt;=1,N308&lt;=5,MONTH(DATE(Übersicht!$B$4,J308,1)+MOD(M308-WEEKDAY(DATE(Übersicht!$B$4,J308,1),2),7)+7*(N308-1))=J308,K308="",L308=""),DATE(Übersicht!$B$4,J308,1)+MOD(M308-WEEKDAY(DATE(Übersicht!$B$4,J308,1),2),7)+7*(N308-1),NA()),IF(I308="nthWeekdayOffsetDays",IF(AND(ISNUMBER(J308),J308=INT(J308),J308&gt;=1,J308&lt;=12,ISNUMBER(M308),M308=INT(M308),M308&gt;=1,M308&lt;=7,ISNUMBER(N308),N308=INT(N308),N308&gt;=1,N308&lt;=5,MONTH(DATE(Übersicht!$B$4,J308,1)+MOD(M308-WEEKDAY(DATE(Übersicht!$B$4,J308,1),2),7)+7*(N308-1))=J308,K308="",ISNUMBER(L308),L308=INT(L308),L308&gt;=-366,L308&lt;=366),DATE(Übersicht!$B$4,J308,1)+MOD(M308-WEEKDAY(DATE(Übersicht!$B$4,J308,1),2),7)+7*(N308-1)+L308,NA()),NA())))),NA())</f>
        <v>46754</v>
      </c>
      <c r="X308" s="15">
        <f t="shared" si="4"/>
        <v>46754</v>
      </c>
      <c r="Y308" s="11" t="s">
        <v>994</v>
      </c>
      <c r="Z308" s="11" t="s">
        <v>995</v>
      </c>
      <c r="AA308" s="26" t="s">
        <v>768</v>
      </c>
    </row>
    <row r="309" spans="1:27" ht="44" customHeight="1">
      <c r="A309" s="10" t="s">
        <v>410</v>
      </c>
      <c r="B309" s="10" t="s">
        <v>379</v>
      </c>
      <c r="C309" s="10" t="s">
        <v>993</v>
      </c>
      <c r="D309" s="24" t="s">
        <v>787</v>
      </c>
      <c r="E309" s="24" t="s">
        <v>788</v>
      </c>
      <c r="F309" s="25" t="s">
        <v>860</v>
      </c>
      <c r="G309" s="25" t="s">
        <v>861</v>
      </c>
      <c r="H309" s="10" t="s">
        <v>823</v>
      </c>
      <c r="I309" s="10" t="s">
        <v>781</v>
      </c>
      <c r="J309" s="28"/>
      <c r="K309" s="28"/>
      <c r="L309" s="24">
        <v>1</v>
      </c>
      <c r="M309" s="24"/>
      <c r="N309" s="24"/>
      <c r="O309" s="29">
        <v>46023</v>
      </c>
      <c r="P309" s="29"/>
      <c r="Q309" s="24">
        <v>100</v>
      </c>
      <c r="R309" s="24" t="s">
        <v>69</v>
      </c>
      <c r="S309" s="10"/>
      <c r="T309" s="10" t="s">
        <v>764</v>
      </c>
      <c r="U309" s="10"/>
      <c r="V309" s="10" t="s">
        <v>824</v>
      </c>
      <c r="W309" s="14">
        <f>IF(AND(ISNUMBER(Übersicht!$B$4),Übersicht!$B$4=INT(Übersicht!$B$4),Übersicht!$B$4&gt;=2026,Übersicht!$B$4&lt;=2028),IF(I309="fixedMonthDay",IF(AND(ISNUMBER(J309),J309=INT(J309),J309&gt;=1,J309&lt;=12,ISNUMBER(K309),K309=INT(K309),K309&gt;=1,K309&lt;=31,MONTH(DATE(Übersicht!$B$4,J309,K309))=J309,DAY(DATE(Übersicht!$B$4,J309,K309))=K309,L309="",M309="",N309=""),DATE(Übersicht!$B$4,J309,K309),NA()),IF(I309="easterOffsetDays",IF(AND(ISNUMBER(L309),L309=INT(L309),L309&gt;=-366,L309&lt;=366,J309="",K309="",M309="",N309=""),$AD$23+L309,NA()),IF(I309="nthWeekdayOfMonth",IF(AND(ISNUMBER(J309),J309=INT(J309),J309&gt;=1,J309&lt;=12,ISNUMBER(M309),M309=INT(M309),M309&gt;=1,M309&lt;=7,ISNUMBER(N309),N309=INT(N309),N309&gt;=1,N309&lt;=5,MONTH(DATE(Übersicht!$B$4,J309,1)+MOD(M309-WEEKDAY(DATE(Übersicht!$B$4,J309,1),2),7)+7*(N309-1))=J309,K309="",L309=""),DATE(Übersicht!$B$4,J309,1)+MOD(M309-WEEKDAY(DATE(Übersicht!$B$4,J309,1),2),7)+7*(N309-1),NA()),IF(I309="nthWeekdayOffsetDays",IF(AND(ISNUMBER(J309),J309=INT(J309),J309&gt;=1,J309&lt;=12,ISNUMBER(M309),M309=INT(M309),M309&gt;=1,M309&lt;=7,ISNUMBER(N309),N309=INT(N309),N309&gt;=1,N309&lt;=5,MONTH(DATE(Übersicht!$B$4,J309,1)+MOD(M309-WEEKDAY(DATE(Übersicht!$B$4,J309,1),2),7)+7*(N309-1))=J309,K309="",ISNUMBER(L309),L309=INT(L309),L309&gt;=-366,L309&lt;=366),DATE(Übersicht!$B$4,J309,1)+MOD(M309-WEEKDAY(DATE(Übersicht!$B$4,J309,1),2),7)+7*(N309-1)+L309,NA()),NA())))),NA())</f>
        <v>46860</v>
      </c>
      <c r="X309" s="14">
        <f t="shared" si="4"/>
        <v>46860</v>
      </c>
      <c r="Y309" s="10" t="s">
        <v>994</v>
      </c>
      <c r="Z309" s="10" t="s">
        <v>995</v>
      </c>
      <c r="AA309" s="24" t="s">
        <v>768</v>
      </c>
    </row>
    <row r="310" spans="1:27" ht="44" customHeight="1">
      <c r="A310" s="11" t="s">
        <v>411</v>
      </c>
      <c r="B310" s="11" t="s">
        <v>379</v>
      </c>
      <c r="C310" s="11" t="s">
        <v>993</v>
      </c>
      <c r="D310" s="26" t="s">
        <v>796</v>
      </c>
      <c r="E310" s="26" t="s">
        <v>797</v>
      </c>
      <c r="F310" s="27" t="s">
        <v>866</v>
      </c>
      <c r="G310" s="27" t="s">
        <v>867</v>
      </c>
      <c r="H310" s="11" t="s">
        <v>823</v>
      </c>
      <c r="I310" s="11" t="s">
        <v>781</v>
      </c>
      <c r="J310" s="30"/>
      <c r="K310" s="30"/>
      <c r="L310" s="26">
        <v>50</v>
      </c>
      <c r="M310" s="26"/>
      <c r="N310" s="26"/>
      <c r="O310" s="31">
        <v>46023</v>
      </c>
      <c r="P310" s="31"/>
      <c r="Q310" s="26">
        <v>100</v>
      </c>
      <c r="R310" s="26" t="s">
        <v>69</v>
      </c>
      <c r="S310" s="11"/>
      <c r="T310" s="11" t="s">
        <v>764</v>
      </c>
      <c r="U310" s="11"/>
      <c r="V310" s="11" t="s">
        <v>824</v>
      </c>
      <c r="W310" s="15">
        <f>IF(AND(ISNUMBER(Übersicht!$B$4),Übersicht!$B$4=INT(Übersicht!$B$4),Übersicht!$B$4&gt;=2026,Übersicht!$B$4&lt;=2028),IF(I310="fixedMonthDay",IF(AND(ISNUMBER(J310),J310=INT(J310),J310&gt;=1,J310&lt;=12,ISNUMBER(K310),K310=INT(K310),K310&gt;=1,K310&lt;=31,MONTH(DATE(Übersicht!$B$4,J310,K310))=J310,DAY(DATE(Übersicht!$B$4,J310,K310))=K310,L310="",M310="",N310=""),DATE(Übersicht!$B$4,J310,K310),NA()),IF(I310="easterOffsetDays",IF(AND(ISNUMBER(L310),L310=INT(L310),L310&gt;=-366,L310&lt;=366,J310="",K310="",M310="",N310=""),$AD$23+L310,NA()),IF(I310="nthWeekdayOfMonth",IF(AND(ISNUMBER(J310),J310=INT(J310),J310&gt;=1,J310&lt;=12,ISNUMBER(M310),M310=INT(M310),M310&gt;=1,M310&lt;=7,ISNUMBER(N310),N310=INT(N310),N310&gt;=1,N310&lt;=5,MONTH(DATE(Übersicht!$B$4,J310,1)+MOD(M310-WEEKDAY(DATE(Übersicht!$B$4,J310,1),2),7)+7*(N310-1))=J310,K310="",L310=""),DATE(Übersicht!$B$4,J310,1)+MOD(M310-WEEKDAY(DATE(Übersicht!$B$4,J310,1),2),7)+7*(N310-1),NA()),IF(I310="nthWeekdayOffsetDays",IF(AND(ISNUMBER(J310),J310=INT(J310),J310&gt;=1,J310&lt;=12,ISNUMBER(M310),M310=INT(M310),M310&gt;=1,M310&lt;=7,ISNUMBER(N310),N310=INT(N310),N310&gt;=1,N310&lt;=5,MONTH(DATE(Übersicht!$B$4,J310,1)+MOD(M310-WEEKDAY(DATE(Übersicht!$B$4,J310,1),2),7)+7*(N310-1))=J310,K310="",ISNUMBER(L310),L310=INT(L310),L310&gt;=-366,L310&lt;=366),DATE(Übersicht!$B$4,J310,1)+MOD(M310-WEEKDAY(DATE(Übersicht!$B$4,J310,1),2),7)+7*(N310-1)+L310,NA()),NA())))),NA())</f>
        <v>46909</v>
      </c>
      <c r="X310" s="15">
        <f t="shared" si="4"/>
        <v>46909</v>
      </c>
      <c r="Y310" s="11" t="s">
        <v>994</v>
      </c>
      <c r="Z310" s="11" t="s">
        <v>995</v>
      </c>
      <c r="AA310" s="26" t="s">
        <v>768</v>
      </c>
    </row>
    <row r="311" spans="1:27" ht="44" customHeight="1">
      <c r="A311" s="10" t="s">
        <v>414</v>
      </c>
      <c r="B311" s="10" t="s">
        <v>412</v>
      </c>
      <c r="C311" s="10" t="s">
        <v>996</v>
      </c>
      <c r="D311" s="24" t="s">
        <v>771</v>
      </c>
      <c r="E311" s="24" t="s">
        <v>772</v>
      </c>
      <c r="F311" s="25" t="s">
        <v>849</v>
      </c>
      <c r="G311" s="25" t="s">
        <v>850</v>
      </c>
      <c r="H311" s="10" t="s">
        <v>761</v>
      </c>
      <c r="I311" s="10" t="s">
        <v>762</v>
      </c>
      <c r="J311" s="28">
        <v>1</v>
      </c>
      <c r="K311" s="28">
        <v>1</v>
      </c>
      <c r="L311" s="24"/>
      <c r="M311" s="24"/>
      <c r="N311" s="24"/>
      <c r="O311" s="29">
        <v>46023</v>
      </c>
      <c r="P311" s="29"/>
      <c r="Q311" s="24">
        <v>100</v>
      </c>
      <c r="R311" s="24" t="s">
        <v>69</v>
      </c>
      <c r="S311" s="10"/>
      <c r="T311" s="10" t="s">
        <v>764</v>
      </c>
      <c r="U311" s="10"/>
      <c r="V311" s="10" t="s">
        <v>824</v>
      </c>
      <c r="W311" s="14">
        <f>IF(AND(ISNUMBER(Übersicht!$B$4),Übersicht!$B$4=INT(Übersicht!$B$4),Übersicht!$B$4&gt;=2026,Übersicht!$B$4&lt;=2028),IF(I311="fixedMonthDay",IF(AND(ISNUMBER(J311),J311=INT(J311),J311&gt;=1,J311&lt;=12,ISNUMBER(K311),K311=INT(K311),K311&gt;=1,K311&lt;=31,MONTH(DATE(Übersicht!$B$4,J311,K311))=J311,DAY(DATE(Übersicht!$B$4,J311,K311))=K311,L311="",M311="",N311=""),DATE(Übersicht!$B$4,J311,K311),NA()),IF(I311="easterOffsetDays",IF(AND(ISNUMBER(L311),L311=INT(L311),L311&gt;=-366,L311&lt;=366,J311="",K311="",M311="",N311=""),$AD$23+L311,NA()),IF(I311="nthWeekdayOfMonth",IF(AND(ISNUMBER(J311),J311=INT(J311),J311&gt;=1,J311&lt;=12,ISNUMBER(M311),M311=INT(M311),M311&gt;=1,M311&lt;=7,ISNUMBER(N311),N311=INT(N311),N311&gt;=1,N311&lt;=5,MONTH(DATE(Übersicht!$B$4,J311,1)+MOD(M311-WEEKDAY(DATE(Übersicht!$B$4,J311,1),2),7)+7*(N311-1))=J311,K311="",L311=""),DATE(Übersicht!$B$4,J311,1)+MOD(M311-WEEKDAY(DATE(Übersicht!$B$4,J311,1),2),7)+7*(N311-1),NA()),IF(I311="nthWeekdayOffsetDays",IF(AND(ISNUMBER(J311),J311=INT(J311),J311&gt;=1,J311&lt;=12,ISNUMBER(M311),M311=INT(M311),M311&gt;=1,M311&lt;=7,ISNUMBER(N311),N311=INT(N311),N311&gt;=1,N311&lt;=5,MONTH(DATE(Übersicht!$B$4,J311,1)+MOD(M311-WEEKDAY(DATE(Übersicht!$B$4,J311,1),2),7)+7*(N311-1))=J311,K311="",ISNUMBER(L311),L311=INT(L311),L311&gt;=-366,L311&lt;=366),DATE(Übersicht!$B$4,J311,1)+MOD(M311-WEEKDAY(DATE(Übersicht!$B$4,J311,1),2),7)+7*(N311-1)+L311,NA()),NA())))),NA())</f>
        <v>46753</v>
      </c>
      <c r="X311" s="14">
        <f t="shared" si="4"/>
        <v>46753</v>
      </c>
      <c r="Y311" s="10" t="s">
        <v>997</v>
      </c>
      <c r="Z311" s="10" t="s">
        <v>998</v>
      </c>
      <c r="AA311" s="24" t="s">
        <v>768</v>
      </c>
    </row>
    <row r="312" spans="1:27" ht="44" customHeight="1">
      <c r="A312" s="11" t="s">
        <v>415</v>
      </c>
      <c r="B312" s="11" t="s">
        <v>412</v>
      </c>
      <c r="C312" s="11" t="s">
        <v>996</v>
      </c>
      <c r="D312" s="26" t="s">
        <v>852</v>
      </c>
      <c r="E312" s="26" t="s">
        <v>853</v>
      </c>
      <c r="F312" s="27" t="s">
        <v>854</v>
      </c>
      <c r="G312" s="27" t="s">
        <v>855</v>
      </c>
      <c r="H312" s="11" t="s">
        <v>761</v>
      </c>
      <c r="I312" s="11" t="s">
        <v>762</v>
      </c>
      <c r="J312" s="30">
        <v>1</v>
      </c>
      <c r="K312" s="30">
        <v>6</v>
      </c>
      <c r="L312" s="26"/>
      <c r="M312" s="26"/>
      <c r="N312" s="26"/>
      <c r="O312" s="31">
        <v>46023</v>
      </c>
      <c r="P312" s="31"/>
      <c r="Q312" s="26">
        <v>100</v>
      </c>
      <c r="R312" s="26" t="s">
        <v>69</v>
      </c>
      <c r="S312" s="11"/>
      <c r="T312" s="11" t="s">
        <v>764</v>
      </c>
      <c r="U312" s="11"/>
      <c r="V312" s="11" t="s">
        <v>824</v>
      </c>
      <c r="W312" s="15">
        <f>IF(AND(ISNUMBER(Übersicht!$B$4),Übersicht!$B$4=INT(Übersicht!$B$4),Übersicht!$B$4&gt;=2026,Übersicht!$B$4&lt;=2028),IF(I312="fixedMonthDay",IF(AND(ISNUMBER(J312),J312=INT(J312),J312&gt;=1,J312&lt;=12,ISNUMBER(K312),K312=INT(K312),K312&gt;=1,K312&lt;=31,MONTH(DATE(Übersicht!$B$4,J312,K312))=J312,DAY(DATE(Übersicht!$B$4,J312,K312))=K312,L312="",M312="",N312=""),DATE(Übersicht!$B$4,J312,K312),NA()),IF(I312="easterOffsetDays",IF(AND(ISNUMBER(L312),L312=INT(L312),L312&gt;=-366,L312&lt;=366,J312="",K312="",M312="",N312=""),$AD$23+L312,NA()),IF(I312="nthWeekdayOfMonth",IF(AND(ISNUMBER(J312),J312=INT(J312),J312&gt;=1,J312&lt;=12,ISNUMBER(M312),M312=INT(M312),M312&gt;=1,M312&lt;=7,ISNUMBER(N312),N312=INT(N312),N312&gt;=1,N312&lt;=5,MONTH(DATE(Übersicht!$B$4,J312,1)+MOD(M312-WEEKDAY(DATE(Übersicht!$B$4,J312,1),2),7)+7*(N312-1))=J312,K312="",L312=""),DATE(Übersicht!$B$4,J312,1)+MOD(M312-WEEKDAY(DATE(Übersicht!$B$4,J312,1),2),7)+7*(N312-1),NA()),IF(I312="nthWeekdayOffsetDays",IF(AND(ISNUMBER(J312),J312=INT(J312),J312&gt;=1,J312&lt;=12,ISNUMBER(M312),M312=INT(M312),M312&gt;=1,M312&lt;=7,ISNUMBER(N312),N312=INT(N312),N312&gt;=1,N312&lt;=5,MONTH(DATE(Übersicht!$B$4,J312,1)+MOD(M312-WEEKDAY(DATE(Übersicht!$B$4,J312,1),2),7)+7*(N312-1))=J312,K312="",ISNUMBER(L312),L312=INT(L312),L312&gt;=-366,L312&lt;=366),DATE(Übersicht!$B$4,J312,1)+MOD(M312-WEEKDAY(DATE(Übersicht!$B$4,J312,1),2),7)+7*(N312-1)+L312,NA()),NA())))),NA())</f>
        <v>46758</v>
      </c>
      <c r="X312" s="15">
        <f t="shared" si="4"/>
        <v>46758</v>
      </c>
      <c r="Y312" s="11" t="s">
        <v>997</v>
      </c>
      <c r="Z312" s="11" t="s">
        <v>998</v>
      </c>
      <c r="AA312" s="26" t="s">
        <v>768</v>
      </c>
    </row>
    <row r="313" spans="1:27" ht="44" customHeight="1">
      <c r="A313" s="10" t="s">
        <v>416</v>
      </c>
      <c r="B313" s="10" t="s">
        <v>412</v>
      </c>
      <c r="C313" s="10" t="s">
        <v>996</v>
      </c>
      <c r="D313" s="24" t="s">
        <v>856</v>
      </c>
      <c r="E313" s="24" t="s">
        <v>857</v>
      </c>
      <c r="F313" s="25" t="s">
        <v>858</v>
      </c>
      <c r="G313" s="25" t="s">
        <v>859</v>
      </c>
      <c r="H313" s="10" t="s">
        <v>761</v>
      </c>
      <c r="I313" s="10" t="s">
        <v>762</v>
      </c>
      <c r="J313" s="28">
        <v>3</v>
      </c>
      <c r="K313" s="28">
        <v>19</v>
      </c>
      <c r="L313" s="24"/>
      <c r="M313" s="24"/>
      <c r="N313" s="24"/>
      <c r="O313" s="29">
        <v>46023</v>
      </c>
      <c r="P313" s="29"/>
      <c r="Q313" s="24">
        <v>100</v>
      </c>
      <c r="R313" s="24" t="s">
        <v>69</v>
      </c>
      <c r="S313" s="10"/>
      <c r="T313" s="10" t="s">
        <v>764</v>
      </c>
      <c r="U313" s="10"/>
      <c r="V313" s="10" t="s">
        <v>824</v>
      </c>
      <c r="W313" s="14">
        <f>IF(AND(ISNUMBER(Übersicht!$B$4),Übersicht!$B$4=INT(Übersicht!$B$4),Übersicht!$B$4&gt;=2026,Übersicht!$B$4&lt;=2028),IF(I313="fixedMonthDay",IF(AND(ISNUMBER(J313),J313=INT(J313),J313&gt;=1,J313&lt;=12,ISNUMBER(K313),K313=INT(K313),K313&gt;=1,K313&lt;=31,MONTH(DATE(Übersicht!$B$4,J313,K313))=J313,DAY(DATE(Übersicht!$B$4,J313,K313))=K313,L313="",M313="",N313=""),DATE(Übersicht!$B$4,J313,K313),NA()),IF(I313="easterOffsetDays",IF(AND(ISNUMBER(L313),L313=INT(L313),L313&gt;=-366,L313&lt;=366,J313="",K313="",M313="",N313=""),$AD$23+L313,NA()),IF(I313="nthWeekdayOfMonth",IF(AND(ISNUMBER(J313),J313=INT(J313),J313&gt;=1,J313&lt;=12,ISNUMBER(M313),M313=INT(M313),M313&gt;=1,M313&lt;=7,ISNUMBER(N313),N313=INT(N313),N313&gt;=1,N313&lt;=5,MONTH(DATE(Übersicht!$B$4,J313,1)+MOD(M313-WEEKDAY(DATE(Übersicht!$B$4,J313,1),2),7)+7*(N313-1))=J313,K313="",L313=""),DATE(Übersicht!$B$4,J313,1)+MOD(M313-WEEKDAY(DATE(Übersicht!$B$4,J313,1),2),7)+7*(N313-1),NA()),IF(I313="nthWeekdayOffsetDays",IF(AND(ISNUMBER(J313),J313=INT(J313),J313&gt;=1,J313&lt;=12,ISNUMBER(M313),M313=INT(M313),M313&gt;=1,M313&lt;=7,ISNUMBER(N313),N313=INT(N313),N313&gt;=1,N313&lt;=5,MONTH(DATE(Übersicht!$B$4,J313,1)+MOD(M313-WEEKDAY(DATE(Übersicht!$B$4,J313,1),2),7)+7*(N313-1))=J313,K313="",ISNUMBER(L313),L313=INT(L313),L313&gt;=-366,L313&lt;=366),DATE(Übersicht!$B$4,J313,1)+MOD(M313-WEEKDAY(DATE(Übersicht!$B$4,J313,1),2),7)+7*(N313-1)+L313,NA()),NA())))),NA())</f>
        <v>46831</v>
      </c>
      <c r="X313" s="14">
        <f t="shared" si="4"/>
        <v>46831</v>
      </c>
      <c r="Y313" s="10" t="s">
        <v>997</v>
      </c>
      <c r="Z313" s="10" t="s">
        <v>998</v>
      </c>
      <c r="AA313" s="24" t="s">
        <v>768</v>
      </c>
    </row>
    <row r="314" spans="1:27" ht="44" customHeight="1">
      <c r="A314" s="11" t="s">
        <v>417</v>
      </c>
      <c r="B314" s="11" t="s">
        <v>412</v>
      </c>
      <c r="C314" s="11" t="s">
        <v>996</v>
      </c>
      <c r="D314" s="26" t="s">
        <v>779</v>
      </c>
      <c r="E314" s="26" t="s">
        <v>780</v>
      </c>
      <c r="F314" s="27" t="s">
        <v>889</v>
      </c>
      <c r="G314" s="27" t="s">
        <v>890</v>
      </c>
      <c r="H314" s="11" t="s">
        <v>761</v>
      </c>
      <c r="I314" s="11" t="s">
        <v>781</v>
      </c>
      <c r="J314" s="30"/>
      <c r="K314" s="30"/>
      <c r="L314" s="26">
        <v>-2</v>
      </c>
      <c r="M314" s="26"/>
      <c r="N314" s="26"/>
      <c r="O314" s="31">
        <v>46023</v>
      </c>
      <c r="P314" s="31"/>
      <c r="Q314" s="26">
        <v>100</v>
      </c>
      <c r="R314" s="26" t="s">
        <v>69</v>
      </c>
      <c r="S314" s="11"/>
      <c r="T314" s="11" t="s">
        <v>764</v>
      </c>
      <c r="U314" s="11"/>
      <c r="V314" s="11" t="s">
        <v>824</v>
      </c>
      <c r="W314" s="15">
        <f>IF(AND(ISNUMBER(Übersicht!$B$4),Übersicht!$B$4=INT(Übersicht!$B$4),Übersicht!$B$4&gt;=2026,Übersicht!$B$4&lt;=2028),IF(I314="fixedMonthDay",IF(AND(ISNUMBER(J314),J314=INT(J314),J314&gt;=1,J314&lt;=12,ISNUMBER(K314),K314=INT(K314),K314&gt;=1,K314&lt;=31,MONTH(DATE(Übersicht!$B$4,J314,K314))=J314,DAY(DATE(Übersicht!$B$4,J314,K314))=K314,L314="",M314="",N314=""),DATE(Übersicht!$B$4,J314,K314),NA()),IF(I314="easterOffsetDays",IF(AND(ISNUMBER(L314),L314=INT(L314),L314&gt;=-366,L314&lt;=366,J314="",K314="",M314="",N314=""),$AD$23+L314,NA()),IF(I314="nthWeekdayOfMonth",IF(AND(ISNUMBER(J314),J314=INT(J314),J314&gt;=1,J314&lt;=12,ISNUMBER(M314),M314=INT(M314),M314&gt;=1,M314&lt;=7,ISNUMBER(N314),N314=INT(N314),N314&gt;=1,N314&lt;=5,MONTH(DATE(Übersicht!$B$4,J314,1)+MOD(M314-WEEKDAY(DATE(Übersicht!$B$4,J314,1),2),7)+7*(N314-1))=J314,K314="",L314=""),DATE(Übersicht!$B$4,J314,1)+MOD(M314-WEEKDAY(DATE(Übersicht!$B$4,J314,1),2),7)+7*(N314-1),NA()),IF(I314="nthWeekdayOffsetDays",IF(AND(ISNUMBER(J314),J314=INT(J314),J314&gt;=1,J314&lt;=12,ISNUMBER(M314),M314=INT(M314),M314&gt;=1,M314&lt;=7,ISNUMBER(N314),N314=INT(N314),N314&gt;=1,N314&lt;=5,MONTH(DATE(Übersicht!$B$4,J314,1)+MOD(M314-WEEKDAY(DATE(Übersicht!$B$4,J314,1),2),7)+7*(N314-1))=J314,K314="",ISNUMBER(L314),L314=INT(L314),L314&gt;=-366,L314&lt;=366),DATE(Übersicht!$B$4,J314,1)+MOD(M314-WEEKDAY(DATE(Übersicht!$B$4,J314,1),2),7)+7*(N314-1)+L314,NA()),NA())))),NA())</f>
        <v>46857</v>
      </c>
      <c r="X314" s="15">
        <f t="shared" si="4"/>
        <v>46857</v>
      </c>
      <c r="Y314" s="11" t="s">
        <v>997</v>
      </c>
      <c r="Z314" s="11" t="s">
        <v>998</v>
      </c>
      <c r="AA314" s="26" t="s">
        <v>768</v>
      </c>
    </row>
    <row r="315" spans="1:27" ht="44" customHeight="1">
      <c r="A315" s="10" t="s">
        <v>418</v>
      </c>
      <c r="B315" s="10" t="s">
        <v>412</v>
      </c>
      <c r="C315" s="10" t="s">
        <v>996</v>
      </c>
      <c r="D315" s="24" t="s">
        <v>787</v>
      </c>
      <c r="E315" s="24" t="s">
        <v>788</v>
      </c>
      <c r="F315" s="25" t="s">
        <v>860</v>
      </c>
      <c r="G315" s="25" t="s">
        <v>861</v>
      </c>
      <c r="H315" s="10" t="s">
        <v>761</v>
      </c>
      <c r="I315" s="10" t="s">
        <v>781</v>
      </c>
      <c r="J315" s="28"/>
      <c r="K315" s="28"/>
      <c r="L315" s="24">
        <v>1</v>
      </c>
      <c r="M315" s="24"/>
      <c r="N315" s="24"/>
      <c r="O315" s="29">
        <v>46023</v>
      </c>
      <c r="P315" s="29"/>
      <c r="Q315" s="24">
        <v>100</v>
      </c>
      <c r="R315" s="24" t="s">
        <v>69</v>
      </c>
      <c r="S315" s="10"/>
      <c r="T315" s="10" t="s">
        <v>764</v>
      </c>
      <c r="U315" s="10"/>
      <c r="V315" s="10" t="s">
        <v>824</v>
      </c>
      <c r="W315" s="14">
        <f>IF(AND(ISNUMBER(Übersicht!$B$4),Übersicht!$B$4=INT(Übersicht!$B$4),Übersicht!$B$4&gt;=2026,Übersicht!$B$4&lt;=2028),IF(I315="fixedMonthDay",IF(AND(ISNUMBER(J315),J315=INT(J315),J315&gt;=1,J315&lt;=12,ISNUMBER(K315),K315=INT(K315),K315&gt;=1,K315&lt;=31,MONTH(DATE(Übersicht!$B$4,J315,K315))=J315,DAY(DATE(Übersicht!$B$4,J315,K315))=K315,L315="",M315="",N315=""),DATE(Übersicht!$B$4,J315,K315),NA()),IF(I315="easterOffsetDays",IF(AND(ISNUMBER(L315),L315=INT(L315),L315&gt;=-366,L315&lt;=366,J315="",K315="",M315="",N315=""),$AD$23+L315,NA()),IF(I315="nthWeekdayOfMonth",IF(AND(ISNUMBER(J315),J315=INT(J315),J315&gt;=1,J315&lt;=12,ISNUMBER(M315),M315=INT(M315),M315&gt;=1,M315&lt;=7,ISNUMBER(N315),N315=INT(N315),N315&gt;=1,N315&lt;=5,MONTH(DATE(Übersicht!$B$4,J315,1)+MOD(M315-WEEKDAY(DATE(Übersicht!$B$4,J315,1),2),7)+7*(N315-1))=J315,K315="",L315=""),DATE(Übersicht!$B$4,J315,1)+MOD(M315-WEEKDAY(DATE(Übersicht!$B$4,J315,1),2),7)+7*(N315-1),NA()),IF(I315="nthWeekdayOffsetDays",IF(AND(ISNUMBER(J315),J315=INT(J315),J315&gt;=1,J315&lt;=12,ISNUMBER(M315),M315=INT(M315),M315&gt;=1,M315&lt;=7,ISNUMBER(N315),N315=INT(N315),N315&gt;=1,N315&lt;=5,MONTH(DATE(Übersicht!$B$4,J315,1)+MOD(M315-WEEKDAY(DATE(Übersicht!$B$4,J315,1),2),7)+7*(N315-1))=J315,K315="",ISNUMBER(L315),L315=INT(L315),L315&gt;=-366,L315&lt;=366),DATE(Übersicht!$B$4,J315,1)+MOD(M315-WEEKDAY(DATE(Übersicht!$B$4,J315,1),2),7)+7*(N315-1)+L315,NA()),NA())))),NA())</f>
        <v>46860</v>
      </c>
      <c r="X315" s="14">
        <f t="shared" si="4"/>
        <v>46860</v>
      </c>
      <c r="Y315" s="10" t="s">
        <v>997</v>
      </c>
      <c r="Z315" s="10" t="s">
        <v>998</v>
      </c>
      <c r="AA315" s="24" t="s">
        <v>768</v>
      </c>
    </row>
    <row r="316" spans="1:27" ht="44" customHeight="1">
      <c r="A316" s="11" t="s">
        <v>419</v>
      </c>
      <c r="B316" s="11" t="s">
        <v>412</v>
      </c>
      <c r="C316" s="11" t="s">
        <v>996</v>
      </c>
      <c r="D316" s="26" t="s">
        <v>790</v>
      </c>
      <c r="E316" s="26" t="s">
        <v>791</v>
      </c>
      <c r="F316" s="27" t="s">
        <v>864</v>
      </c>
      <c r="G316" s="27" t="s">
        <v>865</v>
      </c>
      <c r="H316" s="11" t="s">
        <v>761</v>
      </c>
      <c r="I316" s="11" t="s">
        <v>781</v>
      </c>
      <c r="J316" s="30"/>
      <c r="K316" s="30"/>
      <c r="L316" s="26">
        <v>39</v>
      </c>
      <c r="M316" s="26"/>
      <c r="N316" s="26"/>
      <c r="O316" s="31">
        <v>46023</v>
      </c>
      <c r="P316" s="31"/>
      <c r="Q316" s="26">
        <v>100</v>
      </c>
      <c r="R316" s="26" t="s">
        <v>69</v>
      </c>
      <c r="S316" s="11"/>
      <c r="T316" s="11" t="s">
        <v>764</v>
      </c>
      <c r="U316" s="11"/>
      <c r="V316" s="11" t="s">
        <v>824</v>
      </c>
      <c r="W316" s="15">
        <f>IF(AND(ISNUMBER(Übersicht!$B$4),Übersicht!$B$4=INT(Übersicht!$B$4),Übersicht!$B$4&gt;=2026,Übersicht!$B$4&lt;=2028),IF(I316="fixedMonthDay",IF(AND(ISNUMBER(J316),J316=INT(J316),J316&gt;=1,J316&lt;=12,ISNUMBER(K316),K316=INT(K316),K316&gt;=1,K316&lt;=31,MONTH(DATE(Übersicht!$B$4,J316,K316))=J316,DAY(DATE(Übersicht!$B$4,J316,K316))=K316,L316="",M316="",N316=""),DATE(Übersicht!$B$4,J316,K316),NA()),IF(I316="easterOffsetDays",IF(AND(ISNUMBER(L316),L316=INT(L316),L316&gt;=-366,L316&lt;=366,J316="",K316="",M316="",N316=""),$AD$23+L316,NA()),IF(I316="nthWeekdayOfMonth",IF(AND(ISNUMBER(J316),J316=INT(J316),J316&gt;=1,J316&lt;=12,ISNUMBER(M316),M316=INT(M316),M316&gt;=1,M316&lt;=7,ISNUMBER(N316),N316=INT(N316),N316&gt;=1,N316&lt;=5,MONTH(DATE(Übersicht!$B$4,J316,1)+MOD(M316-WEEKDAY(DATE(Übersicht!$B$4,J316,1),2),7)+7*(N316-1))=J316,K316="",L316=""),DATE(Übersicht!$B$4,J316,1)+MOD(M316-WEEKDAY(DATE(Übersicht!$B$4,J316,1),2),7)+7*(N316-1),NA()),IF(I316="nthWeekdayOffsetDays",IF(AND(ISNUMBER(J316),J316=INT(J316),J316&gt;=1,J316&lt;=12,ISNUMBER(M316),M316=INT(M316),M316&gt;=1,M316&lt;=7,ISNUMBER(N316),N316=INT(N316),N316&gt;=1,N316&lt;=5,MONTH(DATE(Übersicht!$B$4,J316,1)+MOD(M316-WEEKDAY(DATE(Übersicht!$B$4,J316,1),2),7)+7*(N316-1))=J316,K316="",ISNUMBER(L316),L316=INT(L316),L316&gt;=-366,L316&lt;=366),DATE(Übersicht!$B$4,J316,1)+MOD(M316-WEEKDAY(DATE(Übersicht!$B$4,J316,1),2),7)+7*(N316-1)+L316,NA()),NA())))),NA())</f>
        <v>46898</v>
      </c>
      <c r="X316" s="15">
        <f t="shared" si="4"/>
        <v>46898</v>
      </c>
      <c r="Y316" s="11" t="s">
        <v>997</v>
      </c>
      <c r="Z316" s="11" t="s">
        <v>998</v>
      </c>
      <c r="AA316" s="26" t="s">
        <v>768</v>
      </c>
    </row>
    <row r="317" spans="1:27" ht="44" customHeight="1">
      <c r="A317" s="10" t="s">
        <v>420</v>
      </c>
      <c r="B317" s="10" t="s">
        <v>412</v>
      </c>
      <c r="C317" s="10" t="s">
        <v>996</v>
      </c>
      <c r="D317" s="24" t="s">
        <v>796</v>
      </c>
      <c r="E317" s="24" t="s">
        <v>797</v>
      </c>
      <c r="F317" s="25" t="s">
        <v>866</v>
      </c>
      <c r="G317" s="25" t="s">
        <v>867</v>
      </c>
      <c r="H317" s="10" t="s">
        <v>761</v>
      </c>
      <c r="I317" s="10" t="s">
        <v>781</v>
      </c>
      <c r="J317" s="28"/>
      <c r="K317" s="28"/>
      <c r="L317" s="24">
        <v>50</v>
      </c>
      <c r="M317" s="24"/>
      <c r="N317" s="24"/>
      <c r="O317" s="29">
        <v>46023</v>
      </c>
      <c r="P317" s="29"/>
      <c r="Q317" s="24">
        <v>100</v>
      </c>
      <c r="R317" s="24" t="s">
        <v>69</v>
      </c>
      <c r="S317" s="10"/>
      <c r="T317" s="10" t="s">
        <v>764</v>
      </c>
      <c r="U317" s="10"/>
      <c r="V317" s="10" t="s">
        <v>824</v>
      </c>
      <c r="W317" s="14">
        <f>IF(AND(ISNUMBER(Übersicht!$B$4),Übersicht!$B$4=INT(Übersicht!$B$4),Übersicht!$B$4&gt;=2026,Übersicht!$B$4&lt;=2028),IF(I317="fixedMonthDay",IF(AND(ISNUMBER(J317),J317=INT(J317),J317&gt;=1,J317&lt;=12,ISNUMBER(K317),K317=INT(K317),K317&gt;=1,K317&lt;=31,MONTH(DATE(Übersicht!$B$4,J317,K317))=J317,DAY(DATE(Übersicht!$B$4,J317,K317))=K317,L317="",M317="",N317=""),DATE(Übersicht!$B$4,J317,K317),NA()),IF(I317="easterOffsetDays",IF(AND(ISNUMBER(L317),L317=INT(L317),L317&gt;=-366,L317&lt;=366,J317="",K317="",M317="",N317=""),$AD$23+L317,NA()),IF(I317="nthWeekdayOfMonth",IF(AND(ISNUMBER(J317),J317=INT(J317),J317&gt;=1,J317&lt;=12,ISNUMBER(M317),M317=INT(M317),M317&gt;=1,M317&lt;=7,ISNUMBER(N317),N317=INT(N317),N317&gt;=1,N317&lt;=5,MONTH(DATE(Übersicht!$B$4,J317,1)+MOD(M317-WEEKDAY(DATE(Übersicht!$B$4,J317,1),2),7)+7*(N317-1))=J317,K317="",L317=""),DATE(Übersicht!$B$4,J317,1)+MOD(M317-WEEKDAY(DATE(Übersicht!$B$4,J317,1),2),7)+7*(N317-1),NA()),IF(I317="nthWeekdayOffsetDays",IF(AND(ISNUMBER(J317),J317=INT(J317),J317&gt;=1,J317&lt;=12,ISNUMBER(M317),M317=INT(M317),M317&gt;=1,M317&lt;=7,ISNUMBER(N317),N317=INT(N317),N317&gt;=1,N317&lt;=5,MONTH(DATE(Übersicht!$B$4,J317,1)+MOD(M317-WEEKDAY(DATE(Übersicht!$B$4,J317,1),2),7)+7*(N317-1))=J317,K317="",ISNUMBER(L317),L317=INT(L317),L317&gt;=-366,L317&lt;=366),DATE(Übersicht!$B$4,J317,1)+MOD(M317-WEEKDAY(DATE(Übersicht!$B$4,J317,1),2),7)+7*(N317-1)+L317,NA()),NA())))),NA())</f>
        <v>46909</v>
      </c>
      <c r="X317" s="14">
        <f t="shared" si="4"/>
        <v>46909</v>
      </c>
      <c r="Y317" s="10" t="s">
        <v>997</v>
      </c>
      <c r="Z317" s="10" t="s">
        <v>998</v>
      </c>
      <c r="AA317" s="24" t="s">
        <v>768</v>
      </c>
    </row>
    <row r="318" spans="1:27" ht="44" customHeight="1">
      <c r="A318" s="11" t="s">
        <v>421</v>
      </c>
      <c r="B318" s="11" t="s">
        <v>412</v>
      </c>
      <c r="C318" s="11" t="s">
        <v>996</v>
      </c>
      <c r="D318" s="26" t="s">
        <v>810</v>
      </c>
      <c r="E318" s="26" t="s">
        <v>811</v>
      </c>
      <c r="F318" s="27" t="s">
        <v>868</v>
      </c>
      <c r="G318" s="27" t="s">
        <v>869</v>
      </c>
      <c r="H318" s="11" t="s">
        <v>761</v>
      </c>
      <c r="I318" s="11" t="s">
        <v>781</v>
      </c>
      <c r="J318" s="30"/>
      <c r="K318" s="30"/>
      <c r="L318" s="26">
        <v>60</v>
      </c>
      <c r="M318" s="26"/>
      <c r="N318" s="26"/>
      <c r="O318" s="31">
        <v>46023</v>
      </c>
      <c r="P318" s="31"/>
      <c r="Q318" s="26">
        <v>100</v>
      </c>
      <c r="R318" s="26" t="s">
        <v>69</v>
      </c>
      <c r="S318" s="11"/>
      <c r="T318" s="11" t="s">
        <v>764</v>
      </c>
      <c r="U318" s="11"/>
      <c r="V318" s="11" t="s">
        <v>824</v>
      </c>
      <c r="W318" s="15">
        <f>IF(AND(ISNUMBER(Übersicht!$B$4),Übersicht!$B$4=INT(Übersicht!$B$4),Übersicht!$B$4&gt;=2026,Übersicht!$B$4&lt;=2028),IF(I318="fixedMonthDay",IF(AND(ISNUMBER(J318),J318=INT(J318),J318&gt;=1,J318&lt;=12,ISNUMBER(K318),K318=INT(K318),K318&gt;=1,K318&lt;=31,MONTH(DATE(Übersicht!$B$4,J318,K318))=J318,DAY(DATE(Übersicht!$B$4,J318,K318))=K318,L318="",M318="",N318=""),DATE(Übersicht!$B$4,J318,K318),NA()),IF(I318="easterOffsetDays",IF(AND(ISNUMBER(L318),L318=INT(L318),L318&gt;=-366,L318&lt;=366,J318="",K318="",M318="",N318=""),$AD$23+L318,NA()),IF(I318="nthWeekdayOfMonth",IF(AND(ISNUMBER(J318),J318=INT(J318),J318&gt;=1,J318&lt;=12,ISNUMBER(M318),M318=INT(M318),M318&gt;=1,M318&lt;=7,ISNUMBER(N318),N318=INT(N318),N318&gt;=1,N318&lt;=5,MONTH(DATE(Übersicht!$B$4,J318,1)+MOD(M318-WEEKDAY(DATE(Übersicht!$B$4,J318,1),2),7)+7*(N318-1))=J318,K318="",L318=""),DATE(Übersicht!$B$4,J318,1)+MOD(M318-WEEKDAY(DATE(Übersicht!$B$4,J318,1),2),7)+7*(N318-1),NA()),IF(I318="nthWeekdayOffsetDays",IF(AND(ISNUMBER(J318),J318=INT(J318),J318&gt;=1,J318&lt;=12,ISNUMBER(M318),M318=INT(M318),M318&gt;=1,M318&lt;=7,ISNUMBER(N318),N318=INT(N318),N318&gt;=1,N318&lt;=5,MONTH(DATE(Übersicht!$B$4,J318,1)+MOD(M318-WEEKDAY(DATE(Übersicht!$B$4,J318,1),2),7)+7*(N318-1))=J318,K318="",ISNUMBER(L318),L318=INT(L318),L318&gt;=-366,L318&lt;=366),DATE(Übersicht!$B$4,J318,1)+MOD(M318-WEEKDAY(DATE(Übersicht!$B$4,J318,1),2),7)+7*(N318-1)+L318,NA()),NA())))),NA())</f>
        <v>46919</v>
      </c>
      <c r="X318" s="15">
        <f t="shared" si="4"/>
        <v>46919</v>
      </c>
      <c r="Y318" s="11" t="s">
        <v>997</v>
      </c>
      <c r="Z318" s="11" t="s">
        <v>998</v>
      </c>
      <c r="AA318" s="26" t="s">
        <v>768</v>
      </c>
    </row>
    <row r="319" spans="1:27" ht="44" customHeight="1">
      <c r="A319" s="10" t="s">
        <v>422</v>
      </c>
      <c r="B319" s="10" t="s">
        <v>412</v>
      </c>
      <c r="C319" s="10" t="s">
        <v>996</v>
      </c>
      <c r="D319" s="24" t="s">
        <v>759</v>
      </c>
      <c r="E319" s="24" t="s">
        <v>760</v>
      </c>
      <c r="F319" s="25" t="s">
        <v>874</v>
      </c>
      <c r="G319" s="25" t="s">
        <v>875</v>
      </c>
      <c r="H319" s="10" t="s">
        <v>761</v>
      </c>
      <c r="I319" s="10" t="s">
        <v>762</v>
      </c>
      <c r="J319" s="28">
        <v>8</v>
      </c>
      <c r="K319" s="28">
        <v>1</v>
      </c>
      <c r="L319" s="24"/>
      <c r="M319" s="24"/>
      <c r="N319" s="24"/>
      <c r="O319" s="29">
        <v>46023</v>
      </c>
      <c r="P319" s="29"/>
      <c r="Q319" s="24">
        <v>100</v>
      </c>
      <c r="R319" s="24" t="s">
        <v>69</v>
      </c>
      <c r="S319" s="10"/>
      <c r="T319" s="10" t="s">
        <v>764</v>
      </c>
      <c r="U319" s="10"/>
      <c r="V319" s="10" t="s">
        <v>824</v>
      </c>
      <c r="W319" s="14">
        <f>IF(AND(ISNUMBER(Übersicht!$B$4),Übersicht!$B$4=INT(Übersicht!$B$4),Übersicht!$B$4&gt;=2026,Übersicht!$B$4&lt;=2028),IF(I319="fixedMonthDay",IF(AND(ISNUMBER(J319),J319=INT(J319),J319&gt;=1,J319&lt;=12,ISNUMBER(K319),K319=INT(K319),K319&gt;=1,K319&lt;=31,MONTH(DATE(Übersicht!$B$4,J319,K319))=J319,DAY(DATE(Übersicht!$B$4,J319,K319))=K319,L319="",M319="",N319=""),DATE(Übersicht!$B$4,J319,K319),NA()),IF(I319="easterOffsetDays",IF(AND(ISNUMBER(L319),L319=INT(L319),L319&gt;=-366,L319&lt;=366,J319="",K319="",M319="",N319=""),$AD$23+L319,NA()),IF(I319="nthWeekdayOfMonth",IF(AND(ISNUMBER(J319),J319=INT(J319),J319&gt;=1,J319&lt;=12,ISNUMBER(M319),M319=INT(M319),M319&gt;=1,M319&lt;=7,ISNUMBER(N319),N319=INT(N319),N319&gt;=1,N319&lt;=5,MONTH(DATE(Übersicht!$B$4,J319,1)+MOD(M319-WEEKDAY(DATE(Übersicht!$B$4,J319,1),2),7)+7*(N319-1))=J319,K319="",L319=""),DATE(Übersicht!$B$4,J319,1)+MOD(M319-WEEKDAY(DATE(Übersicht!$B$4,J319,1),2),7)+7*(N319-1),NA()),IF(I319="nthWeekdayOffsetDays",IF(AND(ISNUMBER(J319),J319=INT(J319),J319&gt;=1,J319&lt;=12,ISNUMBER(M319),M319=INT(M319),M319&gt;=1,M319&lt;=7,ISNUMBER(N319),N319=INT(N319),N319&gt;=1,N319&lt;=5,MONTH(DATE(Übersicht!$B$4,J319,1)+MOD(M319-WEEKDAY(DATE(Übersicht!$B$4,J319,1),2),7)+7*(N319-1))=J319,K319="",ISNUMBER(L319),L319=INT(L319),L319&gt;=-366,L319&lt;=366),DATE(Übersicht!$B$4,J319,1)+MOD(M319-WEEKDAY(DATE(Übersicht!$B$4,J319,1),2),7)+7*(N319-1)+L319,NA()),NA())))),NA())</f>
        <v>46966</v>
      </c>
      <c r="X319" s="14">
        <f t="shared" si="4"/>
        <v>46966</v>
      </c>
      <c r="Y319" s="10" t="s">
        <v>766</v>
      </c>
      <c r="Z319" s="10" t="s">
        <v>989</v>
      </c>
      <c r="AA319" s="24" t="s">
        <v>768</v>
      </c>
    </row>
    <row r="320" spans="1:27" ht="44" customHeight="1">
      <c r="A320" s="11" t="s">
        <v>423</v>
      </c>
      <c r="B320" s="11" t="s">
        <v>412</v>
      </c>
      <c r="C320" s="11" t="s">
        <v>996</v>
      </c>
      <c r="D320" s="26" t="s">
        <v>834</v>
      </c>
      <c r="E320" s="26" t="s">
        <v>835</v>
      </c>
      <c r="F320" s="27" t="s">
        <v>876</v>
      </c>
      <c r="G320" s="27" t="s">
        <v>877</v>
      </c>
      <c r="H320" s="11" t="s">
        <v>761</v>
      </c>
      <c r="I320" s="11" t="s">
        <v>762</v>
      </c>
      <c r="J320" s="30">
        <v>8</v>
      </c>
      <c r="K320" s="30">
        <v>15</v>
      </c>
      <c r="L320" s="26"/>
      <c r="M320" s="26"/>
      <c r="N320" s="26"/>
      <c r="O320" s="31">
        <v>46023</v>
      </c>
      <c r="P320" s="31"/>
      <c r="Q320" s="26">
        <v>100</v>
      </c>
      <c r="R320" s="26" t="s">
        <v>69</v>
      </c>
      <c r="S320" s="11"/>
      <c r="T320" s="11" t="s">
        <v>764</v>
      </c>
      <c r="U320" s="11"/>
      <c r="V320" s="11" t="s">
        <v>824</v>
      </c>
      <c r="W320" s="15">
        <f>IF(AND(ISNUMBER(Übersicht!$B$4),Übersicht!$B$4=INT(Übersicht!$B$4),Übersicht!$B$4&gt;=2026,Übersicht!$B$4&lt;=2028),IF(I320="fixedMonthDay",IF(AND(ISNUMBER(J320),J320=INT(J320),J320&gt;=1,J320&lt;=12,ISNUMBER(K320),K320=INT(K320),K320&gt;=1,K320&lt;=31,MONTH(DATE(Übersicht!$B$4,J320,K320))=J320,DAY(DATE(Übersicht!$B$4,J320,K320))=K320,L320="",M320="",N320=""),DATE(Übersicht!$B$4,J320,K320),NA()),IF(I320="easterOffsetDays",IF(AND(ISNUMBER(L320),L320=INT(L320),L320&gt;=-366,L320&lt;=366,J320="",K320="",M320="",N320=""),$AD$23+L320,NA()),IF(I320="nthWeekdayOfMonth",IF(AND(ISNUMBER(J320),J320=INT(J320),J320&gt;=1,J320&lt;=12,ISNUMBER(M320),M320=INT(M320),M320&gt;=1,M320&lt;=7,ISNUMBER(N320),N320=INT(N320),N320&gt;=1,N320&lt;=5,MONTH(DATE(Übersicht!$B$4,J320,1)+MOD(M320-WEEKDAY(DATE(Übersicht!$B$4,J320,1),2),7)+7*(N320-1))=J320,K320="",L320=""),DATE(Übersicht!$B$4,J320,1)+MOD(M320-WEEKDAY(DATE(Übersicht!$B$4,J320,1),2),7)+7*(N320-1),NA()),IF(I320="nthWeekdayOffsetDays",IF(AND(ISNUMBER(J320),J320=INT(J320),J320&gt;=1,J320&lt;=12,ISNUMBER(M320),M320=INT(M320),M320&gt;=1,M320&lt;=7,ISNUMBER(N320),N320=INT(N320),N320&gt;=1,N320&lt;=5,MONTH(DATE(Übersicht!$B$4,J320,1)+MOD(M320-WEEKDAY(DATE(Übersicht!$B$4,J320,1),2),7)+7*(N320-1))=J320,K320="",ISNUMBER(L320),L320=INT(L320),L320&gt;=-366,L320&lt;=366),DATE(Übersicht!$B$4,J320,1)+MOD(M320-WEEKDAY(DATE(Übersicht!$B$4,J320,1),2),7)+7*(N320-1)+L320,NA()),NA())))),NA())</f>
        <v>46980</v>
      </c>
      <c r="X320" s="15">
        <f t="shared" si="4"/>
        <v>46980</v>
      </c>
      <c r="Y320" s="11" t="s">
        <v>997</v>
      </c>
      <c r="Z320" s="11" t="s">
        <v>998</v>
      </c>
      <c r="AA320" s="26" t="s">
        <v>768</v>
      </c>
    </row>
    <row r="321" spans="1:27" ht="44" customHeight="1">
      <c r="A321" s="10" t="s">
        <v>424</v>
      </c>
      <c r="B321" s="10" t="s">
        <v>412</v>
      </c>
      <c r="C321" s="10" t="s">
        <v>996</v>
      </c>
      <c r="D321" s="24" t="s">
        <v>821</v>
      </c>
      <c r="E321" s="24" t="s">
        <v>822</v>
      </c>
      <c r="F321" s="25" t="s">
        <v>878</v>
      </c>
      <c r="G321" s="25" t="s">
        <v>879</v>
      </c>
      <c r="H321" s="10" t="s">
        <v>761</v>
      </c>
      <c r="I321" s="10" t="s">
        <v>762</v>
      </c>
      <c r="J321" s="28">
        <v>11</v>
      </c>
      <c r="K321" s="28">
        <v>1</v>
      </c>
      <c r="L321" s="24"/>
      <c r="M321" s="24"/>
      <c r="N321" s="24"/>
      <c r="O321" s="29">
        <v>46023</v>
      </c>
      <c r="P321" s="29"/>
      <c r="Q321" s="24">
        <v>100</v>
      </c>
      <c r="R321" s="24" t="s">
        <v>69</v>
      </c>
      <c r="S321" s="10"/>
      <c r="T321" s="10" t="s">
        <v>764</v>
      </c>
      <c r="U321" s="10"/>
      <c r="V321" s="10" t="s">
        <v>824</v>
      </c>
      <c r="W321" s="14">
        <f>IF(AND(ISNUMBER(Übersicht!$B$4),Übersicht!$B$4=INT(Übersicht!$B$4),Übersicht!$B$4&gt;=2026,Übersicht!$B$4&lt;=2028),IF(I321="fixedMonthDay",IF(AND(ISNUMBER(J321),J321=INT(J321),J321&gt;=1,J321&lt;=12,ISNUMBER(K321),K321=INT(K321),K321&gt;=1,K321&lt;=31,MONTH(DATE(Übersicht!$B$4,J321,K321))=J321,DAY(DATE(Übersicht!$B$4,J321,K321))=K321,L321="",M321="",N321=""),DATE(Übersicht!$B$4,J321,K321),NA()),IF(I321="easterOffsetDays",IF(AND(ISNUMBER(L321),L321=INT(L321),L321&gt;=-366,L321&lt;=366,J321="",K321="",M321="",N321=""),$AD$23+L321,NA()),IF(I321="nthWeekdayOfMonth",IF(AND(ISNUMBER(J321),J321=INT(J321),J321&gt;=1,J321&lt;=12,ISNUMBER(M321),M321=INT(M321),M321&gt;=1,M321&lt;=7,ISNUMBER(N321),N321=INT(N321),N321&gt;=1,N321&lt;=5,MONTH(DATE(Übersicht!$B$4,J321,1)+MOD(M321-WEEKDAY(DATE(Übersicht!$B$4,J321,1),2),7)+7*(N321-1))=J321,K321="",L321=""),DATE(Übersicht!$B$4,J321,1)+MOD(M321-WEEKDAY(DATE(Übersicht!$B$4,J321,1),2),7)+7*(N321-1),NA()),IF(I321="nthWeekdayOffsetDays",IF(AND(ISNUMBER(J321),J321=INT(J321),J321&gt;=1,J321&lt;=12,ISNUMBER(M321),M321=INT(M321),M321&gt;=1,M321&lt;=7,ISNUMBER(N321),N321=INT(N321),N321&gt;=1,N321&lt;=5,MONTH(DATE(Übersicht!$B$4,J321,1)+MOD(M321-WEEKDAY(DATE(Übersicht!$B$4,J321,1),2),7)+7*(N321-1))=J321,K321="",ISNUMBER(L321),L321=INT(L321),L321&gt;=-366,L321&lt;=366),DATE(Übersicht!$B$4,J321,1)+MOD(M321-WEEKDAY(DATE(Übersicht!$B$4,J321,1),2),7)+7*(N321-1)+L321,NA()),NA())))),NA())</f>
        <v>47058</v>
      </c>
      <c r="X321" s="14">
        <f t="shared" si="4"/>
        <v>47058</v>
      </c>
      <c r="Y321" s="10" t="s">
        <v>997</v>
      </c>
      <c r="Z321" s="10" t="s">
        <v>998</v>
      </c>
      <c r="AA321" s="24" t="s">
        <v>768</v>
      </c>
    </row>
    <row r="322" spans="1:27" ht="44" customHeight="1">
      <c r="A322" s="11" t="s">
        <v>425</v>
      </c>
      <c r="B322" s="11" t="s">
        <v>412</v>
      </c>
      <c r="C322" s="11" t="s">
        <v>996</v>
      </c>
      <c r="D322" s="26" t="s">
        <v>838</v>
      </c>
      <c r="E322" s="26" t="s">
        <v>839</v>
      </c>
      <c r="F322" s="27" t="s">
        <v>880</v>
      </c>
      <c r="G322" s="27" t="s">
        <v>881</v>
      </c>
      <c r="H322" s="11" t="s">
        <v>761</v>
      </c>
      <c r="I322" s="11" t="s">
        <v>762</v>
      </c>
      <c r="J322" s="30">
        <v>12</v>
      </c>
      <c r="K322" s="30">
        <v>8</v>
      </c>
      <c r="L322" s="26"/>
      <c r="M322" s="26"/>
      <c r="N322" s="26"/>
      <c r="O322" s="31">
        <v>46023</v>
      </c>
      <c r="P322" s="31"/>
      <c r="Q322" s="26">
        <v>100</v>
      </c>
      <c r="R322" s="26" t="s">
        <v>69</v>
      </c>
      <c r="S322" s="11"/>
      <c r="T322" s="11" t="s">
        <v>764</v>
      </c>
      <c r="U322" s="11"/>
      <c r="V322" s="11" t="s">
        <v>824</v>
      </c>
      <c r="W322" s="15">
        <f>IF(AND(ISNUMBER(Übersicht!$B$4),Übersicht!$B$4=INT(Übersicht!$B$4),Übersicht!$B$4&gt;=2026,Übersicht!$B$4&lt;=2028),IF(I322="fixedMonthDay",IF(AND(ISNUMBER(J322),J322=INT(J322),J322&gt;=1,J322&lt;=12,ISNUMBER(K322),K322=INT(K322),K322&gt;=1,K322&lt;=31,MONTH(DATE(Übersicht!$B$4,J322,K322))=J322,DAY(DATE(Übersicht!$B$4,J322,K322))=K322,L322="",M322="",N322=""),DATE(Übersicht!$B$4,J322,K322),NA()),IF(I322="easterOffsetDays",IF(AND(ISNUMBER(L322),L322=INT(L322),L322&gt;=-366,L322&lt;=366,J322="",K322="",M322="",N322=""),$AD$23+L322,NA()),IF(I322="nthWeekdayOfMonth",IF(AND(ISNUMBER(J322),J322=INT(J322),J322&gt;=1,J322&lt;=12,ISNUMBER(M322),M322=INT(M322),M322&gt;=1,M322&lt;=7,ISNUMBER(N322),N322=INT(N322),N322&gt;=1,N322&lt;=5,MONTH(DATE(Übersicht!$B$4,J322,1)+MOD(M322-WEEKDAY(DATE(Übersicht!$B$4,J322,1),2),7)+7*(N322-1))=J322,K322="",L322=""),DATE(Übersicht!$B$4,J322,1)+MOD(M322-WEEKDAY(DATE(Übersicht!$B$4,J322,1),2),7)+7*(N322-1),NA()),IF(I322="nthWeekdayOffsetDays",IF(AND(ISNUMBER(J322),J322=INT(J322),J322&gt;=1,J322&lt;=12,ISNUMBER(M322),M322=INT(M322),M322&gt;=1,M322&lt;=7,ISNUMBER(N322),N322=INT(N322),N322&gt;=1,N322&lt;=5,MONTH(DATE(Übersicht!$B$4,J322,1)+MOD(M322-WEEKDAY(DATE(Übersicht!$B$4,J322,1),2),7)+7*(N322-1))=J322,K322="",ISNUMBER(L322),L322=INT(L322),L322&gt;=-366,L322&lt;=366),DATE(Übersicht!$B$4,J322,1)+MOD(M322-WEEKDAY(DATE(Übersicht!$B$4,J322,1),2),7)+7*(N322-1)+L322,NA()),NA())))),NA())</f>
        <v>47095</v>
      </c>
      <c r="X322" s="15">
        <f t="shared" si="4"/>
        <v>47095</v>
      </c>
      <c r="Y322" s="11" t="s">
        <v>997</v>
      </c>
      <c r="Z322" s="11" t="s">
        <v>998</v>
      </c>
      <c r="AA322" s="26" t="s">
        <v>768</v>
      </c>
    </row>
    <row r="323" spans="1:27" ht="44" customHeight="1">
      <c r="A323" s="10" t="s">
        <v>426</v>
      </c>
      <c r="B323" s="10" t="s">
        <v>412</v>
      </c>
      <c r="C323" s="10" t="s">
        <v>996</v>
      </c>
      <c r="D323" s="24" t="s">
        <v>803</v>
      </c>
      <c r="E323" s="24" t="s">
        <v>804</v>
      </c>
      <c r="F323" s="25" t="s">
        <v>882</v>
      </c>
      <c r="G323" s="25" t="s">
        <v>883</v>
      </c>
      <c r="H323" s="10" t="s">
        <v>761</v>
      </c>
      <c r="I323" s="10" t="s">
        <v>762</v>
      </c>
      <c r="J323" s="28">
        <v>12</v>
      </c>
      <c r="K323" s="28">
        <v>25</v>
      </c>
      <c r="L323" s="24"/>
      <c r="M323" s="24"/>
      <c r="N323" s="24"/>
      <c r="O323" s="29">
        <v>46023</v>
      </c>
      <c r="P323" s="29"/>
      <c r="Q323" s="24">
        <v>100</v>
      </c>
      <c r="R323" s="24" t="s">
        <v>69</v>
      </c>
      <c r="S323" s="10"/>
      <c r="T323" s="10" t="s">
        <v>764</v>
      </c>
      <c r="U323" s="10"/>
      <c r="V323" s="10" t="s">
        <v>824</v>
      </c>
      <c r="W323" s="14">
        <f>IF(AND(ISNUMBER(Übersicht!$B$4),Übersicht!$B$4=INT(Übersicht!$B$4),Übersicht!$B$4&gt;=2026,Übersicht!$B$4&lt;=2028),IF(I323="fixedMonthDay",IF(AND(ISNUMBER(J323),J323=INT(J323),J323&gt;=1,J323&lt;=12,ISNUMBER(K323),K323=INT(K323),K323&gt;=1,K323&lt;=31,MONTH(DATE(Übersicht!$B$4,J323,K323))=J323,DAY(DATE(Übersicht!$B$4,J323,K323))=K323,L323="",M323="",N323=""),DATE(Übersicht!$B$4,J323,K323),NA()),IF(I323="easterOffsetDays",IF(AND(ISNUMBER(L323),L323=INT(L323),L323&gt;=-366,L323&lt;=366,J323="",K323="",M323="",N323=""),$AD$23+L323,NA()),IF(I323="nthWeekdayOfMonth",IF(AND(ISNUMBER(J323),J323=INT(J323),J323&gt;=1,J323&lt;=12,ISNUMBER(M323),M323=INT(M323),M323&gt;=1,M323&lt;=7,ISNUMBER(N323),N323=INT(N323),N323&gt;=1,N323&lt;=5,MONTH(DATE(Übersicht!$B$4,J323,1)+MOD(M323-WEEKDAY(DATE(Übersicht!$B$4,J323,1),2),7)+7*(N323-1))=J323,K323="",L323=""),DATE(Übersicht!$B$4,J323,1)+MOD(M323-WEEKDAY(DATE(Übersicht!$B$4,J323,1),2),7)+7*(N323-1),NA()),IF(I323="nthWeekdayOffsetDays",IF(AND(ISNUMBER(J323),J323=INT(J323),J323&gt;=1,J323&lt;=12,ISNUMBER(M323),M323=INT(M323),M323&gt;=1,M323&lt;=7,ISNUMBER(N323),N323=INT(N323),N323&gt;=1,N323&lt;=5,MONTH(DATE(Übersicht!$B$4,J323,1)+MOD(M323-WEEKDAY(DATE(Übersicht!$B$4,J323,1),2),7)+7*(N323-1))=J323,K323="",ISNUMBER(L323),L323=INT(L323),L323&gt;=-366,L323&lt;=366),DATE(Übersicht!$B$4,J323,1)+MOD(M323-WEEKDAY(DATE(Übersicht!$B$4,J323,1),2),7)+7*(N323-1)+L323,NA()),NA())))),NA())</f>
        <v>47112</v>
      </c>
      <c r="X323" s="14">
        <f t="shared" si="4"/>
        <v>47112</v>
      </c>
      <c r="Y323" s="10" t="s">
        <v>997</v>
      </c>
      <c r="Z323" s="10" t="s">
        <v>998</v>
      </c>
      <c r="AA323" s="24" t="s">
        <v>768</v>
      </c>
    </row>
    <row r="324" spans="1:27" ht="44" customHeight="1">
      <c r="A324" s="11" t="s">
        <v>427</v>
      </c>
      <c r="B324" s="11" t="s">
        <v>412</v>
      </c>
      <c r="C324" s="11" t="s">
        <v>996</v>
      </c>
      <c r="D324" s="26" t="s">
        <v>806</v>
      </c>
      <c r="E324" s="26" t="s">
        <v>807</v>
      </c>
      <c r="F324" s="27" t="s">
        <v>884</v>
      </c>
      <c r="G324" s="27" t="s">
        <v>885</v>
      </c>
      <c r="H324" s="11" t="s">
        <v>761</v>
      </c>
      <c r="I324" s="11" t="s">
        <v>762</v>
      </c>
      <c r="J324" s="30">
        <v>12</v>
      </c>
      <c r="K324" s="30">
        <v>26</v>
      </c>
      <c r="L324" s="26"/>
      <c r="M324" s="26"/>
      <c r="N324" s="26"/>
      <c r="O324" s="31">
        <v>46023</v>
      </c>
      <c r="P324" s="31"/>
      <c r="Q324" s="26">
        <v>100</v>
      </c>
      <c r="R324" s="26" t="s">
        <v>69</v>
      </c>
      <c r="S324" s="11"/>
      <c r="T324" s="11" t="s">
        <v>764</v>
      </c>
      <c r="U324" s="11"/>
      <c r="V324" s="11" t="s">
        <v>824</v>
      </c>
      <c r="W324" s="15">
        <f>IF(AND(ISNUMBER(Übersicht!$B$4),Übersicht!$B$4=INT(Übersicht!$B$4),Übersicht!$B$4&gt;=2026,Übersicht!$B$4&lt;=2028),IF(I324="fixedMonthDay",IF(AND(ISNUMBER(J324),J324=INT(J324),J324&gt;=1,J324&lt;=12,ISNUMBER(K324),K324=INT(K324),K324&gt;=1,K324&lt;=31,MONTH(DATE(Übersicht!$B$4,J324,K324))=J324,DAY(DATE(Übersicht!$B$4,J324,K324))=K324,L324="",M324="",N324=""),DATE(Übersicht!$B$4,J324,K324),NA()),IF(I324="easterOffsetDays",IF(AND(ISNUMBER(L324),L324=INT(L324),L324&gt;=-366,L324&lt;=366,J324="",K324="",M324="",N324=""),$AD$23+L324,NA()),IF(I324="nthWeekdayOfMonth",IF(AND(ISNUMBER(J324),J324=INT(J324),J324&gt;=1,J324&lt;=12,ISNUMBER(M324),M324=INT(M324),M324&gt;=1,M324&lt;=7,ISNUMBER(N324),N324=INT(N324),N324&gt;=1,N324&lt;=5,MONTH(DATE(Übersicht!$B$4,J324,1)+MOD(M324-WEEKDAY(DATE(Übersicht!$B$4,J324,1),2),7)+7*(N324-1))=J324,K324="",L324=""),DATE(Übersicht!$B$4,J324,1)+MOD(M324-WEEKDAY(DATE(Übersicht!$B$4,J324,1),2),7)+7*(N324-1),NA()),IF(I324="nthWeekdayOffsetDays",IF(AND(ISNUMBER(J324),J324=INT(J324),J324&gt;=1,J324&lt;=12,ISNUMBER(M324),M324=INT(M324),M324&gt;=1,M324&lt;=7,ISNUMBER(N324),N324=INT(N324),N324&gt;=1,N324&lt;=5,MONTH(DATE(Übersicht!$B$4,J324,1)+MOD(M324-WEEKDAY(DATE(Übersicht!$B$4,J324,1),2),7)+7*(N324-1))=J324,K324="",ISNUMBER(L324),L324=INT(L324),L324&gt;=-366,L324&lt;=366),DATE(Übersicht!$B$4,J324,1)+MOD(M324-WEEKDAY(DATE(Übersicht!$B$4,J324,1),2),7)+7*(N324-1)+L324,NA()),NA())))),NA())</f>
        <v>47113</v>
      </c>
      <c r="X324" s="15">
        <f t="shared" si="4"/>
        <v>47113</v>
      </c>
      <c r="Y324" s="11" t="s">
        <v>997</v>
      </c>
      <c r="Z324" s="11" t="s">
        <v>998</v>
      </c>
      <c r="AA324" s="26" t="s">
        <v>768</v>
      </c>
    </row>
    <row r="325" spans="1:27" ht="44" customHeight="1">
      <c r="A325" s="10" t="s">
        <v>430</v>
      </c>
      <c r="B325" s="10" t="s">
        <v>428</v>
      </c>
      <c r="C325" s="10" t="s">
        <v>999</v>
      </c>
      <c r="D325" s="24" t="s">
        <v>771</v>
      </c>
      <c r="E325" s="24" t="s">
        <v>772</v>
      </c>
      <c r="F325" s="25" t="s">
        <v>849</v>
      </c>
      <c r="G325" s="25" t="s">
        <v>850</v>
      </c>
      <c r="H325" s="10" t="s">
        <v>761</v>
      </c>
      <c r="I325" s="10" t="s">
        <v>762</v>
      </c>
      <c r="J325" s="28">
        <v>1</v>
      </c>
      <c r="K325" s="28">
        <v>1</v>
      </c>
      <c r="L325" s="24"/>
      <c r="M325" s="24"/>
      <c r="N325" s="24"/>
      <c r="O325" s="29">
        <v>46023</v>
      </c>
      <c r="P325" s="29"/>
      <c r="Q325" s="24">
        <v>100</v>
      </c>
      <c r="R325" s="24" t="s">
        <v>69</v>
      </c>
      <c r="S325" s="10"/>
      <c r="T325" s="10" t="s">
        <v>764</v>
      </c>
      <c r="U325" s="10"/>
      <c r="V325" s="10" t="s">
        <v>824</v>
      </c>
      <c r="W325" s="14">
        <f>IF(AND(ISNUMBER(Übersicht!$B$4),Übersicht!$B$4=INT(Übersicht!$B$4),Übersicht!$B$4&gt;=2026,Übersicht!$B$4&lt;=2028),IF(I325="fixedMonthDay",IF(AND(ISNUMBER(J325),J325=INT(J325),J325&gt;=1,J325&lt;=12,ISNUMBER(K325),K325=INT(K325),K325&gt;=1,K325&lt;=31,MONTH(DATE(Übersicht!$B$4,J325,K325))=J325,DAY(DATE(Übersicht!$B$4,J325,K325))=K325,L325="",M325="",N325=""),DATE(Übersicht!$B$4,J325,K325),NA()),IF(I325="easterOffsetDays",IF(AND(ISNUMBER(L325),L325=INT(L325),L325&gt;=-366,L325&lt;=366,J325="",K325="",M325="",N325=""),$AD$23+L325,NA()),IF(I325="nthWeekdayOfMonth",IF(AND(ISNUMBER(J325),J325=INT(J325),J325&gt;=1,J325&lt;=12,ISNUMBER(M325),M325=INT(M325),M325&gt;=1,M325&lt;=7,ISNUMBER(N325),N325=INT(N325),N325&gt;=1,N325&lt;=5,MONTH(DATE(Übersicht!$B$4,J325,1)+MOD(M325-WEEKDAY(DATE(Übersicht!$B$4,J325,1),2),7)+7*(N325-1))=J325,K325="",L325=""),DATE(Übersicht!$B$4,J325,1)+MOD(M325-WEEKDAY(DATE(Übersicht!$B$4,J325,1),2),7)+7*(N325-1),NA()),IF(I325="nthWeekdayOffsetDays",IF(AND(ISNUMBER(J325),J325=INT(J325),J325&gt;=1,J325&lt;=12,ISNUMBER(M325),M325=INT(M325),M325&gt;=1,M325&lt;=7,ISNUMBER(N325),N325=INT(N325),N325&gt;=1,N325&lt;=5,MONTH(DATE(Übersicht!$B$4,J325,1)+MOD(M325-WEEKDAY(DATE(Übersicht!$B$4,J325,1),2),7)+7*(N325-1))=J325,K325="",ISNUMBER(L325),L325=INT(L325),L325&gt;=-366,L325&lt;=366),DATE(Übersicht!$B$4,J325,1)+MOD(M325-WEEKDAY(DATE(Übersicht!$B$4,J325,1),2),7)+7*(N325-1)+L325,NA()),NA())))),NA())</f>
        <v>46753</v>
      </c>
      <c r="X325" s="14">
        <f t="shared" si="4"/>
        <v>46753</v>
      </c>
      <c r="Y325" s="10" t="s">
        <v>1000</v>
      </c>
      <c r="Z325" s="10" t="s">
        <v>1001</v>
      </c>
      <c r="AA325" s="24" t="s">
        <v>768</v>
      </c>
    </row>
    <row r="326" spans="1:27" ht="44" customHeight="1">
      <c r="A326" s="11" t="s">
        <v>431</v>
      </c>
      <c r="B326" s="11" t="s">
        <v>428</v>
      </c>
      <c r="C326" s="11" t="s">
        <v>999</v>
      </c>
      <c r="D326" s="26" t="s">
        <v>852</v>
      </c>
      <c r="E326" s="26" t="s">
        <v>853</v>
      </c>
      <c r="F326" s="27" t="s">
        <v>854</v>
      </c>
      <c r="G326" s="27" t="s">
        <v>855</v>
      </c>
      <c r="H326" s="11" t="s">
        <v>761</v>
      </c>
      <c r="I326" s="11" t="s">
        <v>762</v>
      </c>
      <c r="J326" s="30">
        <v>1</v>
      </c>
      <c r="K326" s="30">
        <v>6</v>
      </c>
      <c r="L326" s="26"/>
      <c r="M326" s="26"/>
      <c r="N326" s="26"/>
      <c r="O326" s="31">
        <v>46023</v>
      </c>
      <c r="P326" s="31"/>
      <c r="Q326" s="26">
        <v>100</v>
      </c>
      <c r="R326" s="26" t="s">
        <v>69</v>
      </c>
      <c r="S326" s="11"/>
      <c r="T326" s="11" t="s">
        <v>764</v>
      </c>
      <c r="U326" s="11"/>
      <c r="V326" s="11" t="s">
        <v>824</v>
      </c>
      <c r="W326" s="15">
        <f>IF(AND(ISNUMBER(Übersicht!$B$4),Übersicht!$B$4=INT(Übersicht!$B$4),Übersicht!$B$4&gt;=2026,Übersicht!$B$4&lt;=2028),IF(I326="fixedMonthDay",IF(AND(ISNUMBER(J326),J326=INT(J326),J326&gt;=1,J326&lt;=12,ISNUMBER(K326),K326=INT(K326),K326&gt;=1,K326&lt;=31,MONTH(DATE(Übersicht!$B$4,J326,K326))=J326,DAY(DATE(Übersicht!$B$4,J326,K326))=K326,L326="",M326="",N326=""),DATE(Übersicht!$B$4,J326,K326),NA()),IF(I326="easterOffsetDays",IF(AND(ISNUMBER(L326),L326=INT(L326),L326&gt;=-366,L326&lt;=366,J326="",K326="",M326="",N326=""),$AD$23+L326,NA()),IF(I326="nthWeekdayOfMonth",IF(AND(ISNUMBER(J326),J326=INT(J326),J326&gt;=1,J326&lt;=12,ISNUMBER(M326),M326=INT(M326),M326&gt;=1,M326&lt;=7,ISNUMBER(N326),N326=INT(N326),N326&gt;=1,N326&lt;=5,MONTH(DATE(Übersicht!$B$4,J326,1)+MOD(M326-WEEKDAY(DATE(Übersicht!$B$4,J326,1),2),7)+7*(N326-1))=J326,K326="",L326=""),DATE(Übersicht!$B$4,J326,1)+MOD(M326-WEEKDAY(DATE(Übersicht!$B$4,J326,1),2),7)+7*(N326-1),NA()),IF(I326="nthWeekdayOffsetDays",IF(AND(ISNUMBER(J326),J326=INT(J326),J326&gt;=1,J326&lt;=12,ISNUMBER(M326),M326=INT(M326),M326&gt;=1,M326&lt;=7,ISNUMBER(N326),N326=INT(N326),N326&gt;=1,N326&lt;=5,MONTH(DATE(Übersicht!$B$4,J326,1)+MOD(M326-WEEKDAY(DATE(Übersicht!$B$4,J326,1),2),7)+7*(N326-1))=J326,K326="",ISNUMBER(L326),L326=INT(L326),L326&gt;=-366,L326&lt;=366),DATE(Übersicht!$B$4,J326,1)+MOD(M326-WEEKDAY(DATE(Übersicht!$B$4,J326,1),2),7)+7*(N326-1)+L326,NA()),NA())))),NA())</f>
        <v>46758</v>
      </c>
      <c r="X326" s="15">
        <f t="shared" si="4"/>
        <v>46758</v>
      </c>
      <c r="Y326" s="11" t="s">
        <v>1000</v>
      </c>
      <c r="Z326" s="11" t="s">
        <v>1001</v>
      </c>
      <c r="AA326" s="26" t="s">
        <v>768</v>
      </c>
    </row>
    <row r="327" spans="1:27" ht="44" customHeight="1">
      <c r="A327" s="10" t="s">
        <v>432</v>
      </c>
      <c r="B327" s="10" t="s">
        <v>428</v>
      </c>
      <c r="C327" s="10" t="s">
        <v>999</v>
      </c>
      <c r="D327" s="24" t="s">
        <v>856</v>
      </c>
      <c r="E327" s="24" t="s">
        <v>857</v>
      </c>
      <c r="F327" s="25" t="s">
        <v>858</v>
      </c>
      <c r="G327" s="25" t="s">
        <v>859</v>
      </c>
      <c r="H327" s="10" t="s">
        <v>761</v>
      </c>
      <c r="I327" s="10" t="s">
        <v>762</v>
      </c>
      <c r="J327" s="28">
        <v>3</v>
      </c>
      <c r="K327" s="28">
        <v>19</v>
      </c>
      <c r="L327" s="24"/>
      <c r="M327" s="24"/>
      <c r="N327" s="24"/>
      <c r="O327" s="29">
        <v>46023</v>
      </c>
      <c r="P327" s="29"/>
      <c r="Q327" s="24">
        <v>100</v>
      </c>
      <c r="R327" s="24" t="s">
        <v>69</v>
      </c>
      <c r="S327" s="10"/>
      <c r="T327" s="10" t="s">
        <v>764</v>
      </c>
      <c r="U327" s="10"/>
      <c r="V327" s="10" t="s">
        <v>824</v>
      </c>
      <c r="W327" s="14">
        <f>IF(AND(ISNUMBER(Übersicht!$B$4),Übersicht!$B$4=INT(Übersicht!$B$4),Übersicht!$B$4&gt;=2026,Übersicht!$B$4&lt;=2028),IF(I327="fixedMonthDay",IF(AND(ISNUMBER(J327),J327=INT(J327),J327&gt;=1,J327&lt;=12,ISNUMBER(K327),K327=INT(K327),K327&gt;=1,K327&lt;=31,MONTH(DATE(Übersicht!$B$4,J327,K327))=J327,DAY(DATE(Übersicht!$B$4,J327,K327))=K327,L327="",M327="",N327=""),DATE(Übersicht!$B$4,J327,K327),NA()),IF(I327="easterOffsetDays",IF(AND(ISNUMBER(L327),L327=INT(L327),L327&gt;=-366,L327&lt;=366,J327="",K327="",M327="",N327=""),$AD$23+L327,NA()),IF(I327="nthWeekdayOfMonth",IF(AND(ISNUMBER(J327),J327=INT(J327),J327&gt;=1,J327&lt;=12,ISNUMBER(M327),M327=INT(M327),M327&gt;=1,M327&lt;=7,ISNUMBER(N327),N327=INT(N327),N327&gt;=1,N327&lt;=5,MONTH(DATE(Übersicht!$B$4,J327,1)+MOD(M327-WEEKDAY(DATE(Übersicht!$B$4,J327,1),2),7)+7*(N327-1))=J327,K327="",L327=""),DATE(Übersicht!$B$4,J327,1)+MOD(M327-WEEKDAY(DATE(Übersicht!$B$4,J327,1),2),7)+7*(N327-1),NA()),IF(I327="nthWeekdayOffsetDays",IF(AND(ISNUMBER(J327),J327=INT(J327),J327&gt;=1,J327&lt;=12,ISNUMBER(M327),M327=INT(M327),M327&gt;=1,M327&lt;=7,ISNUMBER(N327),N327=INT(N327),N327&gt;=1,N327&lt;=5,MONTH(DATE(Übersicht!$B$4,J327,1)+MOD(M327-WEEKDAY(DATE(Übersicht!$B$4,J327,1),2),7)+7*(N327-1))=J327,K327="",ISNUMBER(L327),L327=INT(L327),L327&gt;=-366,L327&lt;=366),DATE(Übersicht!$B$4,J327,1)+MOD(M327-WEEKDAY(DATE(Übersicht!$B$4,J327,1),2),7)+7*(N327-1)+L327,NA()),NA())))),NA())</f>
        <v>46831</v>
      </c>
      <c r="X327" s="14">
        <f t="shared" ref="X327:X390" si="5">IF(AND(ISNUMBER(O327),O327=INT(O327),O327&gt;=-115780,O327&lt;=2958465,OR(P327="",AND(ISNUMBER(P327),P327=INT(P327),P327&gt;=-115780,P327&lt;=2958465,P327&gt;=O327)),OR(AA327="Ganztägig",AA327="Ab 12.00 Uhr")),IF(AND(W327&gt;=O327,OR(P327="",W327&lt;=P327)),W327,"Ausserhalb Geltung"),NA())</f>
        <v>46831</v>
      </c>
      <c r="Y327" s="10" t="s">
        <v>1000</v>
      </c>
      <c r="Z327" s="10" t="s">
        <v>1001</v>
      </c>
      <c r="AA327" s="24" t="s">
        <v>768</v>
      </c>
    </row>
    <row r="328" spans="1:27" ht="44" customHeight="1">
      <c r="A328" s="11" t="s">
        <v>433</v>
      </c>
      <c r="B328" s="11" t="s">
        <v>428</v>
      </c>
      <c r="C328" s="11" t="s">
        <v>999</v>
      </c>
      <c r="D328" s="26" t="s">
        <v>779</v>
      </c>
      <c r="E328" s="26" t="s">
        <v>780</v>
      </c>
      <c r="F328" s="27" t="s">
        <v>889</v>
      </c>
      <c r="G328" s="27" t="s">
        <v>890</v>
      </c>
      <c r="H328" s="11" t="s">
        <v>761</v>
      </c>
      <c r="I328" s="11" t="s">
        <v>781</v>
      </c>
      <c r="J328" s="30"/>
      <c r="K328" s="30"/>
      <c r="L328" s="26">
        <v>-2</v>
      </c>
      <c r="M328" s="26"/>
      <c r="N328" s="26"/>
      <c r="O328" s="31">
        <v>46023</v>
      </c>
      <c r="P328" s="31"/>
      <c r="Q328" s="26">
        <v>100</v>
      </c>
      <c r="R328" s="26" t="s">
        <v>69</v>
      </c>
      <c r="S328" s="11"/>
      <c r="T328" s="11" t="s">
        <v>764</v>
      </c>
      <c r="U328" s="11"/>
      <c r="V328" s="11" t="s">
        <v>824</v>
      </c>
      <c r="W328" s="15">
        <f>IF(AND(ISNUMBER(Übersicht!$B$4),Übersicht!$B$4=INT(Übersicht!$B$4),Übersicht!$B$4&gt;=2026,Übersicht!$B$4&lt;=2028),IF(I328="fixedMonthDay",IF(AND(ISNUMBER(J328),J328=INT(J328),J328&gt;=1,J328&lt;=12,ISNUMBER(K328),K328=INT(K328),K328&gt;=1,K328&lt;=31,MONTH(DATE(Übersicht!$B$4,J328,K328))=J328,DAY(DATE(Übersicht!$B$4,J328,K328))=K328,L328="",M328="",N328=""),DATE(Übersicht!$B$4,J328,K328),NA()),IF(I328="easterOffsetDays",IF(AND(ISNUMBER(L328),L328=INT(L328),L328&gt;=-366,L328&lt;=366,J328="",K328="",M328="",N328=""),$AD$23+L328,NA()),IF(I328="nthWeekdayOfMonth",IF(AND(ISNUMBER(J328),J328=INT(J328),J328&gt;=1,J328&lt;=12,ISNUMBER(M328),M328=INT(M328),M328&gt;=1,M328&lt;=7,ISNUMBER(N328),N328=INT(N328),N328&gt;=1,N328&lt;=5,MONTH(DATE(Übersicht!$B$4,J328,1)+MOD(M328-WEEKDAY(DATE(Übersicht!$B$4,J328,1),2),7)+7*(N328-1))=J328,K328="",L328=""),DATE(Übersicht!$B$4,J328,1)+MOD(M328-WEEKDAY(DATE(Übersicht!$B$4,J328,1),2),7)+7*(N328-1),NA()),IF(I328="nthWeekdayOffsetDays",IF(AND(ISNUMBER(J328),J328=INT(J328),J328&gt;=1,J328&lt;=12,ISNUMBER(M328),M328=INT(M328),M328&gt;=1,M328&lt;=7,ISNUMBER(N328),N328=INT(N328),N328&gt;=1,N328&lt;=5,MONTH(DATE(Übersicht!$B$4,J328,1)+MOD(M328-WEEKDAY(DATE(Übersicht!$B$4,J328,1),2),7)+7*(N328-1))=J328,K328="",ISNUMBER(L328),L328=INT(L328),L328&gt;=-366,L328&lt;=366),DATE(Übersicht!$B$4,J328,1)+MOD(M328-WEEKDAY(DATE(Übersicht!$B$4,J328,1),2),7)+7*(N328-1)+L328,NA()),NA())))),NA())</f>
        <v>46857</v>
      </c>
      <c r="X328" s="15">
        <f t="shared" si="5"/>
        <v>46857</v>
      </c>
      <c r="Y328" s="11" t="s">
        <v>1000</v>
      </c>
      <c r="Z328" s="11" t="s">
        <v>1002</v>
      </c>
      <c r="AA328" s="26" t="s">
        <v>768</v>
      </c>
    </row>
    <row r="329" spans="1:27" ht="44" customHeight="1">
      <c r="A329" s="10" t="s">
        <v>434</v>
      </c>
      <c r="B329" s="10" t="s">
        <v>428</v>
      </c>
      <c r="C329" s="10" t="s">
        <v>999</v>
      </c>
      <c r="D329" s="24" t="s">
        <v>787</v>
      </c>
      <c r="E329" s="24" t="s">
        <v>788</v>
      </c>
      <c r="F329" s="25" t="s">
        <v>860</v>
      </c>
      <c r="G329" s="25" t="s">
        <v>861</v>
      </c>
      <c r="H329" s="10" t="s">
        <v>761</v>
      </c>
      <c r="I329" s="10" t="s">
        <v>781</v>
      </c>
      <c r="J329" s="28"/>
      <c r="K329" s="28"/>
      <c r="L329" s="24">
        <v>1</v>
      </c>
      <c r="M329" s="24"/>
      <c r="N329" s="24"/>
      <c r="O329" s="29">
        <v>46023</v>
      </c>
      <c r="P329" s="29"/>
      <c r="Q329" s="24">
        <v>100</v>
      </c>
      <c r="R329" s="24" t="s">
        <v>69</v>
      </c>
      <c r="S329" s="10"/>
      <c r="T329" s="10" t="s">
        <v>764</v>
      </c>
      <c r="U329" s="10"/>
      <c r="V329" s="10" t="s">
        <v>824</v>
      </c>
      <c r="W329" s="14">
        <f>IF(AND(ISNUMBER(Übersicht!$B$4),Übersicht!$B$4=INT(Übersicht!$B$4),Übersicht!$B$4&gt;=2026,Übersicht!$B$4&lt;=2028),IF(I329="fixedMonthDay",IF(AND(ISNUMBER(J329),J329=INT(J329),J329&gt;=1,J329&lt;=12,ISNUMBER(K329),K329=INT(K329),K329&gt;=1,K329&lt;=31,MONTH(DATE(Übersicht!$B$4,J329,K329))=J329,DAY(DATE(Übersicht!$B$4,J329,K329))=K329,L329="",M329="",N329=""),DATE(Übersicht!$B$4,J329,K329),NA()),IF(I329="easterOffsetDays",IF(AND(ISNUMBER(L329),L329=INT(L329),L329&gt;=-366,L329&lt;=366,J329="",K329="",M329="",N329=""),$AD$23+L329,NA()),IF(I329="nthWeekdayOfMonth",IF(AND(ISNUMBER(J329),J329=INT(J329),J329&gt;=1,J329&lt;=12,ISNUMBER(M329),M329=INT(M329),M329&gt;=1,M329&lt;=7,ISNUMBER(N329),N329=INT(N329),N329&gt;=1,N329&lt;=5,MONTH(DATE(Übersicht!$B$4,J329,1)+MOD(M329-WEEKDAY(DATE(Übersicht!$B$4,J329,1),2),7)+7*(N329-1))=J329,K329="",L329=""),DATE(Übersicht!$B$4,J329,1)+MOD(M329-WEEKDAY(DATE(Übersicht!$B$4,J329,1),2),7)+7*(N329-1),NA()),IF(I329="nthWeekdayOffsetDays",IF(AND(ISNUMBER(J329),J329=INT(J329),J329&gt;=1,J329&lt;=12,ISNUMBER(M329),M329=INT(M329),M329&gt;=1,M329&lt;=7,ISNUMBER(N329),N329=INT(N329),N329&gt;=1,N329&lt;=5,MONTH(DATE(Übersicht!$B$4,J329,1)+MOD(M329-WEEKDAY(DATE(Übersicht!$B$4,J329,1),2),7)+7*(N329-1))=J329,K329="",ISNUMBER(L329),L329=INT(L329),L329&gt;=-366,L329&lt;=366),DATE(Übersicht!$B$4,J329,1)+MOD(M329-WEEKDAY(DATE(Übersicht!$B$4,J329,1),2),7)+7*(N329-1)+L329,NA()),NA())))),NA())</f>
        <v>46860</v>
      </c>
      <c r="X329" s="14">
        <f t="shared" si="5"/>
        <v>46860</v>
      </c>
      <c r="Y329" s="10" t="s">
        <v>1000</v>
      </c>
      <c r="Z329" s="10" t="s">
        <v>1001</v>
      </c>
      <c r="AA329" s="24" t="s">
        <v>768</v>
      </c>
    </row>
    <row r="330" spans="1:27" ht="44" customHeight="1">
      <c r="A330" s="11" t="s">
        <v>435</v>
      </c>
      <c r="B330" s="11" t="s">
        <v>428</v>
      </c>
      <c r="C330" s="11" t="s">
        <v>999</v>
      </c>
      <c r="D330" s="26" t="s">
        <v>790</v>
      </c>
      <c r="E330" s="26" t="s">
        <v>791</v>
      </c>
      <c r="F330" s="27" t="s">
        <v>864</v>
      </c>
      <c r="G330" s="27" t="s">
        <v>865</v>
      </c>
      <c r="H330" s="11" t="s">
        <v>761</v>
      </c>
      <c r="I330" s="11" t="s">
        <v>781</v>
      </c>
      <c r="J330" s="30"/>
      <c r="K330" s="30"/>
      <c r="L330" s="26">
        <v>39</v>
      </c>
      <c r="M330" s="26"/>
      <c r="N330" s="26"/>
      <c r="O330" s="31">
        <v>46023</v>
      </c>
      <c r="P330" s="31"/>
      <c r="Q330" s="26">
        <v>100</v>
      </c>
      <c r="R330" s="26" t="s">
        <v>69</v>
      </c>
      <c r="S330" s="11"/>
      <c r="T330" s="11" t="s">
        <v>764</v>
      </c>
      <c r="U330" s="11"/>
      <c r="V330" s="11" t="s">
        <v>824</v>
      </c>
      <c r="W330" s="15">
        <f>IF(AND(ISNUMBER(Übersicht!$B$4),Übersicht!$B$4=INT(Übersicht!$B$4),Übersicht!$B$4&gt;=2026,Übersicht!$B$4&lt;=2028),IF(I330="fixedMonthDay",IF(AND(ISNUMBER(J330),J330=INT(J330),J330&gt;=1,J330&lt;=12,ISNUMBER(K330),K330=INT(K330),K330&gt;=1,K330&lt;=31,MONTH(DATE(Übersicht!$B$4,J330,K330))=J330,DAY(DATE(Übersicht!$B$4,J330,K330))=K330,L330="",M330="",N330=""),DATE(Übersicht!$B$4,J330,K330),NA()),IF(I330="easterOffsetDays",IF(AND(ISNUMBER(L330),L330=INT(L330),L330&gt;=-366,L330&lt;=366,J330="",K330="",M330="",N330=""),$AD$23+L330,NA()),IF(I330="nthWeekdayOfMonth",IF(AND(ISNUMBER(J330),J330=INT(J330),J330&gt;=1,J330&lt;=12,ISNUMBER(M330),M330=INT(M330),M330&gt;=1,M330&lt;=7,ISNUMBER(N330),N330=INT(N330),N330&gt;=1,N330&lt;=5,MONTH(DATE(Übersicht!$B$4,J330,1)+MOD(M330-WEEKDAY(DATE(Übersicht!$B$4,J330,1),2),7)+7*(N330-1))=J330,K330="",L330=""),DATE(Übersicht!$B$4,J330,1)+MOD(M330-WEEKDAY(DATE(Übersicht!$B$4,J330,1),2),7)+7*(N330-1),NA()),IF(I330="nthWeekdayOffsetDays",IF(AND(ISNUMBER(J330),J330=INT(J330),J330&gt;=1,J330&lt;=12,ISNUMBER(M330),M330=INT(M330),M330&gt;=1,M330&lt;=7,ISNUMBER(N330),N330=INT(N330),N330&gt;=1,N330&lt;=5,MONTH(DATE(Übersicht!$B$4,J330,1)+MOD(M330-WEEKDAY(DATE(Übersicht!$B$4,J330,1),2),7)+7*(N330-1))=J330,K330="",ISNUMBER(L330),L330=INT(L330),L330&gt;=-366,L330&lt;=366),DATE(Übersicht!$B$4,J330,1)+MOD(M330-WEEKDAY(DATE(Übersicht!$B$4,J330,1),2),7)+7*(N330-1)+L330,NA()),NA())))),NA())</f>
        <v>46898</v>
      </c>
      <c r="X330" s="15">
        <f t="shared" si="5"/>
        <v>46898</v>
      </c>
      <c r="Y330" s="11" t="s">
        <v>1000</v>
      </c>
      <c r="Z330" s="11" t="s">
        <v>1001</v>
      </c>
      <c r="AA330" s="26" t="s">
        <v>768</v>
      </c>
    </row>
    <row r="331" spans="1:27" ht="44" customHeight="1">
      <c r="A331" s="10" t="s">
        <v>436</v>
      </c>
      <c r="B331" s="10" t="s">
        <v>428</v>
      </c>
      <c r="C331" s="10" t="s">
        <v>999</v>
      </c>
      <c r="D331" s="24" t="s">
        <v>796</v>
      </c>
      <c r="E331" s="24" t="s">
        <v>797</v>
      </c>
      <c r="F331" s="25" t="s">
        <v>866</v>
      </c>
      <c r="G331" s="25" t="s">
        <v>867</v>
      </c>
      <c r="H331" s="10" t="s">
        <v>761</v>
      </c>
      <c r="I331" s="10" t="s">
        <v>781</v>
      </c>
      <c r="J331" s="28"/>
      <c r="K331" s="28"/>
      <c r="L331" s="24">
        <v>50</v>
      </c>
      <c r="M331" s="24"/>
      <c r="N331" s="24"/>
      <c r="O331" s="29">
        <v>46023</v>
      </c>
      <c r="P331" s="29"/>
      <c r="Q331" s="24">
        <v>100</v>
      </c>
      <c r="R331" s="24" t="s">
        <v>69</v>
      </c>
      <c r="S331" s="10"/>
      <c r="T331" s="10" t="s">
        <v>764</v>
      </c>
      <c r="U331" s="10"/>
      <c r="V331" s="10" t="s">
        <v>824</v>
      </c>
      <c r="W331" s="14">
        <f>IF(AND(ISNUMBER(Übersicht!$B$4),Übersicht!$B$4=INT(Übersicht!$B$4),Übersicht!$B$4&gt;=2026,Übersicht!$B$4&lt;=2028),IF(I331="fixedMonthDay",IF(AND(ISNUMBER(J331),J331=INT(J331),J331&gt;=1,J331&lt;=12,ISNUMBER(K331),K331=INT(K331),K331&gt;=1,K331&lt;=31,MONTH(DATE(Übersicht!$B$4,J331,K331))=J331,DAY(DATE(Übersicht!$B$4,J331,K331))=K331,L331="",M331="",N331=""),DATE(Übersicht!$B$4,J331,K331),NA()),IF(I331="easterOffsetDays",IF(AND(ISNUMBER(L331),L331=INT(L331),L331&gt;=-366,L331&lt;=366,J331="",K331="",M331="",N331=""),$AD$23+L331,NA()),IF(I331="nthWeekdayOfMonth",IF(AND(ISNUMBER(J331),J331=INT(J331),J331&gt;=1,J331&lt;=12,ISNUMBER(M331),M331=INT(M331),M331&gt;=1,M331&lt;=7,ISNUMBER(N331),N331=INT(N331),N331&gt;=1,N331&lt;=5,MONTH(DATE(Übersicht!$B$4,J331,1)+MOD(M331-WEEKDAY(DATE(Übersicht!$B$4,J331,1),2),7)+7*(N331-1))=J331,K331="",L331=""),DATE(Übersicht!$B$4,J331,1)+MOD(M331-WEEKDAY(DATE(Übersicht!$B$4,J331,1),2),7)+7*(N331-1),NA()),IF(I331="nthWeekdayOffsetDays",IF(AND(ISNUMBER(J331),J331=INT(J331),J331&gt;=1,J331&lt;=12,ISNUMBER(M331),M331=INT(M331),M331&gt;=1,M331&lt;=7,ISNUMBER(N331),N331=INT(N331),N331&gt;=1,N331&lt;=5,MONTH(DATE(Übersicht!$B$4,J331,1)+MOD(M331-WEEKDAY(DATE(Übersicht!$B$4,J331,1),2),7)+7*(N331-1))=J331,K331="",ISNUMBER(L331),L331=INT(L331),L331&gt;=-366,L331&lt;=366),DATE(Übersicht!$B$4,J331,1)+MOD(M331-WEEKDAY(DATE(Übersicht!$B$4,J331,1),2),7)+7*(N331-1)+L331,NA()),NA())))),NA())</f>
        <v>46909</v>
      </c>
      <c r="X331" s="14">
        <f t="shared" si="5"/>
        <v>46909</v>
      </c>
      <c r="Y331" s="10" t="s">
        <v>1000</v>
      </c>
      <c r="Z331" s="10" t="s">
        <v>1001</v>
      </c>
      <c r="AA331" s="24" t="s">
        <v>768</v>
      </c>
    </row>
    <row r="332" spans="1:27" ht="44" customHeight="1">
      <c r="A332" s="11" t="s">
        <v>437</v>
      </c>
      <c r="B332" s="11" t="s">
        <v>428</v>
      </c>
      <c r="C332" s="11" t="s">
        <v>999</v>
      </c>
      <c r="D332" s="26" t="s">
        <v>810</v>
      </c>
      <c r="E332" s="26" t="s">
        <v>811</v>
      </c>
      <c r="F332" s="27" t="s">
        <v>868</v>
      </c>
      <c r="G332" s="27" t="s">
        <v>869</v>
      </c>
      <c r="H332" s="11" t="s">
        <v>761</v>
      </c>
      <c r="I332" s="11" t="s">
        <v>781</v>
      </c>
      <c r="J332" s="30"/>
      <c r="K332" s="30"/>
      <c r="L332" s="26">
        <v>60</v>
      </c>
      <c r="M332" s="26"/>
      <c r="N332" s="26"/>
      <c r="O332" s="31">
        <v>46023</v>
      </c>
      <c r="P332" s="31"/>
      <c r="Q332" s="26">
        <v>100</v>
      </c>
      <c r="R332" s="26" t="s">
        <v>69</v>
      </c>
      <c r="S332" s="11"/>
      <c r="T332" s="11" t="s">
        <v>764</v>
      </c>
      <c r="U332" s="11"/>
      <c r="V332" s="11" t="s">
        <v>824</v>
      </c>
      <c r="W332" s="15">
        <f>IF(AND(ISNUMBER(Übersicht!$B$4),Übersicht!$B$4=INT(Übersicht!$B$4),Übersicht!$B$4&gt;=2026,Übersicht!$B$4&lt;=2028),IF(I332="fixedMonthDay",IF(AND(ISNUMBER(J332),J332=INT(J332),J332&gt;=1,J332&lt;=12,ISNUMBER(K332),K332=INT(K332),K332&gt;=1,K332&lt;=31,MONTH(DATE(Übersicht!$B$4,J332,K332))=J332,DAY(DATE(Übersicht!$B$4,J332,K332))=K332,L332="",M332="",N332=""),DATE(Übersicht!$B$4,J332,K332),NA()),IF(I332="easterOffsetDays",IF(AND(ISNUMBER(L332),L332=INT(L332),L332&gt;=-366,L332&lt;=366,J332="",K332="",M332="",N332=""),$AD$23+L332,NA()),IF(I332="nthWeekdayOfMonth",IF(AND(ISNUMBER(J332),J332=INT(J332),J332&gt;=1,J332&lt;=12,ISNUMBER(M332),M332=INT(M332),M332&gt;=1,M332&lt;=7,ISNUMBER(N332),N332=INT(N332),N332&gt;=1,N332&lt;=5,MONTH(DATE(Übersicht!$B$4,J332,1)+MOD(M332-WEEKDAY(DATE(Übersicht!$B$4,J332,1),2),7)+7*(N332-1))=J332,K332="",L332=""),DATE(Übersicht!$B$4,J332,1)+MOD(M332-WEEKDAY(DATE(Übersicht!$B$4,J332,1),2),7)+7*(N332-1),NA()),IF(I332="nthWeekdayOffsetDays",IF(AND(ISNUMBER(J332),J332=INT(J332),J332&gt;=1,J332&lt;=12,ISNUMBER(M332),M332=INT(M332),M332&gt;=1,M332&lt;=7,ISNUMBER(N332),N332=INT(N332),N332&gt;=1,N332&lt;=5,MONTH(DATE(Übersicht!$B$4,J332,1)+MOD(M332-WEEKDAY(DATE(Übersicht!$B$4,J332,1),2),7)+7*(N332-1))=J332,K332="",ISNUMBER(L332),L332=INT(L332),L332&gt;=-366,L332&lt;=366),DATE(Übersicht!$B$4,J332,1)+MOD(M332-WEEKDAY(DATE(Übersicht!$B$4,J332,1),2),7)+7*(N332-1)+L332,NA()),NA())))),NA())</f>
        <v>46919</v>
      </c>
      <c r="X332" s="15">
        <f t="shared" si="5"/>
        <v>46919</v>
      </c>
      <c r="Y332" s="11" t="s">
        <v>1000</v>
      </c>
      <c r="Z332" s="11" t="s">
        <v>1001</v>
      </c>
      <c r="AA332" s="26" t="s">
        <v>768</v>
      </c>
    </row>
    <row r="333" spans="1:27" ht="44" customHeight="1">
      <c r="A333" s="10" t="s">
        <v>438</v>
      </c>
      <c r="B333" s="10" t="s">
        <v>428</v>
      </c>
      <c r="C333" s="10" t="s">
        <v>999</v>
      </c>
      <c r="D333" s="24" t="s">
        <v>759</v>
      </c>
      <c r="E333" s="24" t="s">
        <v>760</v>
      </c>
      <c r="F333" s="25" t="s">
        <v>874</v>
      </c>
      <c r="G333" s="25" t="s">
        <v>875</v>
      </c>
      <c r="H333" s="10" t="s">
        <v>761</v>
      </c>
      <c r="I333" s="10" t="s">
        <v>762</v>
      </c>
      <c r="J333" s="28">
        <v>8</v>
      </c>
      <c r="K333" s="28">
        <v>1</v>
      </c>
      <c r="L333" s="24"/>
      <c r="M333" s="24"/>
      <c r="N333" s="24"/>
      <c r="O333" s="29">
        <v>46023</v>
      </c>
      <c r="P333" s="29"/>
      <c r="Q333" s="24">
        <v>100</v>
      </c>
      <c r="R333" s="24" t="s">
        <v>69</v>
      </c>
      <c r="S333" s="10"/>
      <c r="T333" s="10" t="s">
        <v>764</v>
      </c>
      <c r="U333" s="10"/>
      <c r="V333" s="10" t="s">
        <v>824</v>
      </c>
      <c r="W333" s="14">
        <f>IF(AND(ISNUMBER(Übersicht!$B$4),Übersicht!$B$4=INT(Übersicht!$B$4),Übersicht!$B$4&gt;=2026,Übersicht!$B$4&lt;=2028),IF(I333="fixedMonthDay",IF(AND(ISNUMBER(J333),J333=INT(J333),J333&gt;=1,J333&lt;=12,ISNUMBER(K333),K333=INT(K333),K333&gt;=1,K333&lt;=31,MONTH(DATE(Übersicht!$B$4,J333,K333))=J333,DAY(DATE(Übersicht!$B$4,J333,K333))=K333,L333="",M333="",N333=""),DATE(Übersicht!$B$4,J333,K333),NA()),IF(I333="easterOffsetDays",IF(AND(ISNUMBER(L333),L333=INT(L333),L333&gt;=-366,L333&lt;=366,J333="",K333="",M333="",N333=""),$AD$23+L333,NA()),IF(I333="nthWeekdayOfMonth",IF(AND(ISNUMBER(J333),J333=INT(J333),J333&gt;=1,J333&lt;=12,ISNUMBER(M333),M333=INT(M333),M333&gt;=1,M333&lt;=7,ISNUMBER(N333),N333=INT(N333),N333&gt;=1,N333&lt;=5,MONTH(DATE(Übersicht!$B$4,J333,1)+MOD(M333-WEEKDAY(DATE(Übersicht!$B$4,J333,1),2),7)+7*(N333-1))=J333,K333="",L333=""),DATE(Übersicht!$B$4,J333,1)+MOD(M333-WEEKDAY(DATE(Übersicht!$B$4,J333,1),2),7)+7*(N333-1),NA()),IF(I333="nthWeekdayOffsetDays",IF(AND(ISNUMBER(J333),J333=INT(J333),J333&gt;=1,J333&lt;=12,ISNUMBER(M333),M333=INT(M333),M333&gt;=1,M333&lt;=7,ISNUMBER(N333),N333=INT(N333),N333&gt;=1,N333&lt;=5,MONTH(DATE(Übersicht!$B$4,J333,1)+MOD(M333-WEEKDAY(DATE(Übersicht!$B$4,J333,1),2),7)+7*(N333-1))=J333,K333="",ISNUMBER(L333),L333=INT(L333),L333&gt;=-366,L333&lt;=366),DATE(Übersicht!$B$4,J333,1)+MOD(M333-WEEKDAY(DATE(Übersicht!$B$4,J333,1),2),7)+7*(N333-1)+L333,NA()),NA())))),NA())</f>
        <v>46966</v>
      </c>
      <c r="X333" s="14">
        <f t="shared" si="5"/>
        <v>46966</v>
      </c>
      <c r="Y333" s="10" t="s">
        <v>766</v>
      </c>
      <c r="Z333" s="10" t="s">
        <v>989</v>
      </c>
      <c r="AA333" s="24" t="s">
        <v>768</v>
      </c>
    </row>
    <row r="334" spans="1:27" ht="44" customHeight="1">
      <c r="A334" s="11" t="s">
        <v>439</v>
      </c>
      <c r="B334" s="11" t="s">
        <v>428</v>
      </c>
      <c r="C334" s="11" t="s">
        <v>999</v>
      </c>
      <c r="D334" s="26" t="s">
        <v>834</v>
      </c>
      <c r="E334" s="26" t="s">
        <v>835</v>
      </c>
      <c r="F334" s="27" t="s">
        <v>876</v>
      </c>
      <c r="G334" s="27" t="s">
        <v>877</v>
      </c>
      <c r="H334" s="11" t="s">
        <v>761</v>
      </c>
      <c r="I334" s="11" t="s">
        <v>762</v>
      </c>
      <c r="J334" s="30">
        <v>8</v>
      </c>
      <c r="K334" s="30">
        <v>15</v>
      </c>
      <c r="L334" s="26"/>
      <c r="M334" s="26"/>
      <c r="N334" s="26"/>
      <c r="O334" s="31">
        <v>46023</v>
      </c>
      <c r="P334" s="31"/>
      <c r="Q334" s="26">
        <v>100</v>
      </c>
      <c r="R334" s="26" t="s">
        <v>69</v>
      </c>
      <c r="S334" s="11"/>
      <c r="T334" s="11" t="s">
        <v>764</v>
      </c>
      <c r="U334" s="11"/>
      <c r="V334" s="11" t="s">
        <v>824</v>
      </c>
      <c r="W334" s="15">
        <f>IF(AND(ISNUMBER(Übersicht!$B$4),Übersicht!$B$4=INT(Übersicht!$B$4),Übersicht!$B$4&gt;=2026,Übersicht!$B$4&lt;=2028),IF(I334="fixedMonthDay",IF(AND(ISNUMBER(J334),J334=INT(J334),J334&gt;=1,J334&lt;=12,ISNUMBER(K334),K334=INT(K334),K334&gt;=1,K334&lt;=31,MONTH(DATE(Übersicht!$B$4,J334,K334))=J334,DAY(DATE(Übersicht!$B$4,J334,K334))=K334,L334="",M334="",N334=""),DATE(Übersicht!$B$4,J334,K334),NA()),IF(I334="easterOffsetDays",IF(AND(ISNUMBER(L334),L334=INT(L334),L334&gt;=-366,L334&lt;=366,J334="",K334="",M334="",N334=""),$AD$23+L334,NA()),IF(I334="nthWeekdayOfMonth",IF(AND(ISNUMBER(J334),J334=INT(J334),J334&gt;=1,J334&lt;=12,ISNUMBER(M334),M334=INT(M334),M334&gt;=1,M334&lt;=7,ISNUMBER(N334),N334=INT(N334),N334&gt;=1,N334&lt;=5,MONTH(DATE(Übersicht!$B$4,J334,1)+MOD(M334-WEEKDAY(DATE(Übersicht!$B$4,J334,1),2),7)+7*(N334-1))=J334,K334="",L334=""),DATE(Übersicht!$B$4,J334,1)+MOD(M334-WEEKDAY(DATE(Übersicht!$B$4,J334,1),2),7)+7*(N334-1),NA()),IF(I334="nthWeekdayOffsetDays",IF(AND(ISNUMBER(J334),J334=INT(J334),J334&gt;=1,J334&lt;=12,ISNUMBER(M334),M334=INT(M334),M334&gt;=1,M334&lt;=7,ISNUMBER(N334),N334=INT(N334),N334&gt;=1,N334&lt;=5,MONTH(DATE(Übersicht!$B$4,J334,1)+MOD(M334-WEEKDAY(DATE(Übersicht!$B$4,J334,1),2),7)+7*(N334-1))=J334,K334="",ISNUMBER(L334),L334=INT(L334),L334&gt;=-366,L334&lt;=366),DATE(Übersicht!$B$4,J334,1)+MOD(M334-WEEKDAY(DATE(Übersicht!$B$4,J334,1),2),7)+7*(N334-1)+L334,NA()),NA())))),NA())</f>
        <v>46980</v>
      </c>
      <c r="X334" s="15">
        <f t="shared" si="5"/>
        <v>46980</v>
      </c>
      <c r="Y334" s="11" t="s">
        <v>1000</v>
      </c>
      <c r="Z334" s="11" t="s">
        <v>1001</v>
      </c>
      <c r="AA334" s="26" t="s">
        <v>768</v>
      </c>
    </row>
    <row r="335" spans="1:27" ht="44" customHeight="1">
      <c r="A335" s="10" t="s">
        <v>440</v>
      </c>
      <c r="B335" s="10" t="s">
        <v>428</v>
      </c>
      <c r="C335" s="10" t="s">
        <v>999</v>
      </c>
      <c r="D335" s="24" t="s">
        <v>821</v>
      </c>
      <c r="E335" s="24" t="s">
        <v>822</v>
      </c>
      <c r="F335" s="25" t="s">
        <v>878</v>
      </c>
      <c r="G335" s="25" t="s">
        <v>879</v>
      </c>
      <c r="H335" s="10" t="s">
        <v>761</v>
      </c>
      <c r="I335" s="10" t="s">
        <v>762</v>
      </c>
      <c r="J335" s="28">
        <v>11</v>
      </c>
      <c r="K335" s="28">
        <v>1</v>
      </c>
      <c r="L335" s="24"/>
      <c r="M335" s="24"/>
      <c r="N335" s="24"/>
      <c r="O335" s="29">
        <v>46023</v>
      </c>
      <c r="P335" s="29"/>
      <c r="Q335" s="24">
        <v>100</v>
      </c>
      <c r="R335" s="24" t="s">
        <v>69</v>
      </c>
      <c r="S335" s="10"/>
      <c r="T335" s="10" t="s">
        <v>764</v>
      </c>
      <c r="U335" s="10"/>
      <c r="V335" s="10" t="s">
        <v>824</v>
      </c>
      <c r="W335" s="14">
        <f>IF(AND(ISNUMBER(Übersicht!$B$4),Übersicht!$B$4=INT(Übersicht!$B$4),Übersicht!$B$4&gt;=2026,Übersicht!$B$4&lt;=2028),IF(I335="fixedMonthDay",IF(AND(ISNUMBER(J335),J335=INT(J335),J335&gt;=1,J335&lt;=12,ISNUMBER(K335),K335=INT(K335),K335&gt;=1,K335&lt;=31,MONTH(DATE(Übersicht!$B$4,J335,K335))=J335,DAY(DATE(Übersicht!$B$4,J335,K335))=K335,L335="",M335="",N335=""),DATE(Übersicht!$B$4,J335,K335),NA()),IF(I335="easterOffsetDays",IF(AND(ISNUMBER(L335),L335=INT(L335),L335&gt;=-366,L335&lt;=366,J335="",K335="",M335="",N335=""),$AD$23+L335,NA()),IF(I335="nthWeekdayOfMonth",IF(AND(ISNUMBER(J335),J335=INT(J335),J335&gt;=1,J335&lt;=12,ISNUMBER(M335),M335=INT(M335),M335&gt;=1,M335&lt;=7,ISNUMBER(N335),N335=INT(N335),N335&gt;=1,N335&lt;=5,MONTH(DATE(Übersicht!$B$4,J335,1)+MOD(M335-WEEKDAY(DATE(Übersicht!$B$4,J335,1),2),7)+7*(N335-1))=J335,K335="",L335=""),DATE(Übersicht!$B$4,J335,1)+MOD(M335-WEEKDAY(DATE(Übersicht!$B$4,J335,1),2),7)+7*(N335-1),NA()),IF(I335="nthWeekdayOffsetDays",IF(AND(ISNUMBER(J335),J335=INT(J335),J335&gt;=1,J335&lt;=12,ISNUMBER(M335),M335=INT(M335),M335&gt;=1,M335&lt;=7,ISNUMBER(N335),N335=INT(N335),N335&gt;=1,N335&lt;=5,MONTH(DATE(Übersicht!$B$4,J335,1)+MOD(M335-WEEKDAY(DATE(Übersicht!$B$4,J335,1),2),7)+7*(N335-1))=J335,K335="",ISNUMBER(L335),L335=INT(L335),L335&gt;=-366,L335&lt;=366),DATE(Übersicht!$B$4,J335,1)+MOD(M335-WEEKDAY(DATE(Übersicht!$B$4,J335,1),2),7)+7*(N335-1)+L335,NA()),NA())))),NA())</f>
        <v>47058</v>
      </c>
      <c r="X335" s="14">
        <f t="shared" si="5"/>
        <v>47058</v>
      </c>
      <c r="Y335" s="10" t="s">
        <v>1000</v>
      </c>
      <c r="Z335" s="10" t="s">
        <v>1002</v>
      </c>
      <c r="AA335" s="24" t="s">
        <v>768</v>
      </c>
    </row>
    <row r="336" spans="1:27" ht="44" customHeight="1">
      <c r="A336" s="11" t="s">
        <v>441</v>
      </c>
      <c r="B336" s="11" t="s">
        <v>428</v>
      </c>
      <c r="C336" s="11" t="s">
        <v>999</v>
      </c>
      <c r="D336" s="26" t="s">
        <v>838</v>
      </c>
      <c r="E336" s="26" t="s">
        <v>839</v>
      </c>
      <c r="F336" s="27" t="s">
        <v>880</v>
      </c>
      <c r="G336" s="27" t="s">
        <v>881</v>
      </c>
      <c r="H336" s="11" t="s">
        <v>761</v>
      </c>
      <c r="I336" s="11" t="s">
        <v>762</v>
      </c>
      <c r="J336" s="30">
        <v>12</v>
      </c>
      <c r="K336" s="30">
        <v>8</v>
      </c>
      <c r="L336" s="26"/>
      <c r="M336" s="26"/>
      <c r="N336" s="26"/>
      <c r="O336" s="31">
        <v>46023</v>
      </c>
      <c r="P336" s="31"/>
      <c r="Q336" s="26">
        <v>100</v>
      </c>
      <c r="R336" s="26" t="s">
        <v>69</v>
      </c>
      <c r="S336" s="11"/>
      <c r="T336" s="11" t="s">
        <v>764</v>
      </c>
      <c r="U336" s="11"/>
      <c r="V336" s="11" t="s">
        <v>824</v>
      </c>
      <c r="W336" s="15">
        <f>IF(AND(ISNUMBER(Übersicht!$B$4),Übersicht!$B$4=INT(Übersicht!$B$4),Übersicht!$B$4&gt;=2026,Übersicht!$B$4&lt;=2028),IF(I336="fixedMonthDay",IF(AND(ISNUMBER(J336),J336=INT(J336),J336&gt;=1,J336&lt;=12,ISNUMBER(K336),K336=INT(K336),K336&gt;=1,K336&lt;=31,MONTH(DATE(Übersicht!$B$4,J336,K336))=J336,DAY(DATE(Übersicht!$B$4,J336,K336))=K336,L336="",M336="",N336=""),DATE(Übersicht!$B$4,J336,K336),NA()),IF(I336="easterOffsetDays",IF(AND(ISNUMBER(L336),L336=INT(L336),L336&gt;=-366,L336&lt;=366,J336="",K336="",M336="",N336=""),$AD$23+L336,NA()),IF(I336="nthWeekdayOfMonth",IF(AND(ISNUMBER(J336),J336=INT(J336),J336&gt;=1,J336&lt;=12,ISNUMBER(M336),M336=INT(M336),M336&gt;=1,M336&lt;=7,ISNUMBER(N336),N336=INT(N336),N336&gt;=1,N336&lt;=5,MONTH(DATE(Übersicht!$B$4,J336,1)+MOD(M336-WEEKDAY(DATE(Übersicht!$B$4,J336,1),2),7)+7*(N336-1))=J336,K336="",L336=""),DATE(Übersicht!$B$4,J336,1)+MOD(M336-WEEKDAY(DATE(Übersicht!$B$4,J336,1),2),7)+7*(N336-1),NA()),IF(I336="nthWeekdayOffsetDays",IF(AND(ISNUMBER(J336),J336=INT(J336),J336&gt;=1,J336&lt;=12,ISNUMBER(M336),M336=INT(M336),M336&gt;=1,M336&lt;=7,ISNUMBER(N336),N336=INT(N336),N336&gt;=1,N336&lt;=5,MONTH(DATE(Übersicht!$B$4,J336,1)+MOD(M336-WEEKDAY(DATE(Übersicht!$B$4,J336,1),2),7)+7*(N336-1))=J336,K336="",ISNUMBER(L336),L336=INT(L336),L336&gt;=-366,L336&lt;=366),DATE(Übersicht!$B$4,J336,1)+MOD(M336-WEEKDAY(DATE(Übersicht!$B$4,J336,1),2),7)+7*(N336-1)+L336,NA()),NA())))),NA())</f>
        <v>47095</v>
      </c>
      <c r="X336" s="15">
        <f t="shared" si="5"/>
        <v>47095</v>
      </c>
      <c r="Y336" s="11" t="s">
        <v>1000</v>
      </c>
      <c r="Z336" s="11" t="s">
        <v>1001</v>
      </c>
      <c r="AA336" s="26" t="s">
        <v>768</v>
      </c>
    </row>
    <row r="337" spans="1:27" ht="44" customHeight="1">
      <c r="A337" s="10" t="s">
        <v>442</v>
      </c>
      <c r="B337" s="10" t="s">
        <v>428</v>
      </c>
      <c r="C337" s="10" t="s">
        <v>999</v>
      </c>
      <c r="D337" s="24" t="s">
        <v>803</v>
      </c>
      <c r="E337" s="24" t="s">
        <v>804</v>
      </c>
      <c r="F337" s="25" t="s">
        <v>882</v>
      </c>
      <c r="G337" s="25" t="s">
        <v>883</v>
      </c>
      <c r="H337" s="10" t="s">
        <v>761</v>
      </c>
      <c r="I337" s="10" t="s">
        <v>762</v>
      </c>
      <c r="J337" s="28">
        <v>12</v>
      </c>
      <c r="K337" s="28">
        <v>25</v>
      </c>
      <c r="L337" s="24"/>
      <c r="M337" s="24"/>
      <c r="N337" s="24"/>
      <c r="O337" s="29">
        <v>46023</v>
      </c>
      <c r="P337" s="29"/>
      <c r="Q337" s="24">
        <v>100</v>
      </c>
      <c r="R337" s="24" t="s">
        <v>69</v>
      </c>
      <c r="S337" s="10"/>
      <c r="T337" s="10" t="s">
        <v>764</v>
      </c>
      <c r="U337" s="10"/>
      <c r="V337" s="10" t="s">
        <v>824</v>
      </c>
      <c r="W337" s="14">
        <f>IF(AND(ISNUMBER(Übersicht!$B$4),Übersicht!$B$4=INT(Übersicht!$B$4),Übersicht!$B$4&gt;=2026,Übersicht!$B$4&lt;=2028),IF(I337="fixedMonthDay",IF(AND(ISNUMBER(J337),J337=INT(J337),J337&gt;=1,J337&lt;=12,ISNUMBER(K337),K337=INT(K337),K337&gt;=1,K337&lt;=31,MONTH(DATE(Übersicht!$B$4,J337,K337))=J337,DAY(DATE(Übersicht!$B$4,J337,K337))=K337,L337="",M337="",N337=""),DATE(Übersicht!$B$4,J337,K337),NA()),IF(I337="easterOffsetDays",IF(AND(ISNUMBER(L337),L337=INT(L337),L337&gt;=-366,L337&lt;=366,J337="",K337="",M337="",N337=""),$AD$23+L337,NA()),IF(I337="nthWeekdayOfMonth",IF(AND(ISNUMBER(J337),J337=INT(J337),J337&gt;=1,J337&lt;=12,ISNUMBER(M337),M337=INT(M337),M337&gt;=1,M337&lt;=7,ISNUMBER(N337),N337=INT(N337),N337&gt;=1,N337&lt;=5,MONTH(DATE(Übersicht!$B$4,J337,1)+MOD(M337-WEEKDAY(DATE(Übersicht!$B$4,J337,1),2),7)+7*(N337-1))=J337,K337="",L337=""),DATE(Übersicht!$B$4,J337,1)+MOD(M337-WEEKDAY(DATE(Übersicht!$B$4,J337,1),2),7)+7*(N337-1),NA()),IF(I337="nthWeekdayOffsetDays",IF(AND(ISNUMBER(J337),J337=INT(J337),J337&gt;=1,J337&lt;=12,ISNUMBER(M337),M337=INT(M337),M337&gt;=1,M337&lt;=7,ISNUMBER(N337),N337=INT(N337),N337&gt;=1,N337&lt;=5,MONTH(DATE(Übersicht!$B$4,J337,1)+MOD(M337-WEEKDAY(DATE(Übersicht!$B$4,J337,1),2),7)+7*(N337-1))=J337,K337="",ISNUMBER(L337),L337=INT(L337),L337&gt;=-366,L337&lt;=366),DATE(Übersicht!$B$4,J337,1)+MOD(M337-WEEKDAY(DATE(Übersicht!$B$4,J337,1),2),7)+7*(N337-1)+L337,NA()),NA())))),NA())</f>
        <v>47112</v>
      </c>
      <c r="X337" s="14">
        <f t="shared" si="5"/>
        <v>47112</v>
      </c>
      <c r="Y337" s="10" t="s">
        <v>1000</v>
      </c>
      <c r="Z337" s="10" t="s">
        <v>1002</v>
      </c>
      <c r="AA337" s="24" t="s">
        <v>768</v>
      </c>
    </row>
    <row r="338" spans="1:27" ht="44" customHeight="1">
      <c r="A338" s="11" t="s">
        <v>443</v>
      </c>
      <c r="B338" s="11" t="s">
        <v>428</v>
      </c>
      <c r="C338" s="11" t="s">
        <v>999</v>
      </c>
      <c r="D338" s="26" t="s">
        <v>806</v>
      </c>
      <c r="E338" s="26" t="s">
        <v>807</v>
      </c>
      <c r="F338" s="27" t="s">
        <v>884</v>
      </c>
      <c r="G338" s="27" t="s">
        <v>885</v>
      </c>
      <c r="H338" s="11" t="s">
        <v>761</v>
      </c>
      <c r="I338" s="11" t="s">
        <v>762</v>
      </c>
      <c r="J338" s="30">
        <v>12</v>
      </c>
      <c r="K338" s="30">
        <v>26</v>
      </c>
      <c r="L338" s="26"/>
      <c r="M338" s="26"/>
      <c r="N338" s="26"/>
      <c r="O338" s="31">
        <v>46023</v>
      </c>
      <c r="P338" s="31"/>
      <c r="Q338" s="26">
        <v>100</v>
      </c>
      <c r="R338" s="26" t="s">
        <v>69</v>
      </c>
      <c r="S338" s="11"/>
      <c r="T338" s="11" t="s">
        <v>764</v>
      </c>
      <c r="U338" s="11"/>
      <c r="V338" s="11" t="s">
        <v>824</v>
      </c>
      <c r="W338" s="15">
        <f>IF(AND(ISNUMBER(Übersicht!$B$4),Übersicht!$B$4=INT(Übersicht!$B$4),Übersicht!$B$4&gt;=2026,Übersicht!$B$4&lt;=2028),IF(I338="fixedMonthDay",IF(AND(ISNUMBER(J338),J338=INT(J338),J338&gt;=1,J338&lt;=12,ISNUMBER(K338),K338=INT(K338),K338&gt;=1,K338&lt;=31,MONTH(DATE(Übersicht!$B$4,J338,K338))=J338,DAY(DATE(Übersicht!$B$4,J338,K338))=K338,L338="",M338="",N338=""),DATE(Übersicht!$B$4,J338,K338),NA()),IF(I338="easterOffsetDays",IF(AND(ISNUMBER(L338),L338=INT(L338),L338&gt;=-366,L338&lt;=366,J338="",K338="",M338="",N338=""),$AD$23+L338,NA()),IF(I338="nthWeekdayOfMonth",IF(AND(ISNUMBER(J338),J338=INT(J338),J338&gt;=1,J338&lt;=12,ISNUMBER(M338),M338=INT(M338),M338&gt;=1,M338&lt;=7,ISNUMBER(N338),N338=INT(N338),N338&gt;=1,N338&lt;=5,MONTH(DATE(Übersicht!$B$4,J338,1)+MOD(M338-WEEKDAY(DATE(Übersicht!$B$4,J338,1),2),7)+7*(N338-1))=J338,K338="",L338=""),DATE(Übersicht!$B$4,J338,1)+MOD(M338-WEEKDAY(DATE(Übersicht!$B$4,J338,1),2),7)+7*(N338-1),NA()),IF(I338="nthWeekdayOffsetDays",IF(AND(ISNUMBER(J338),J338=INT(J338),J338&gt;=1,J338&lt;=12,ISNUMBER(M338),M338=INT(M338),M338&gt;=1,M338&lt;=7,ISNUMBER(N338),N338=INT(N338),N338&gt;=1,N338&lt;=5,MONTH(DATE(Übersicht!$B$4,J338,1)+MOD(M338-WEEKDAY(DATE(Übersicht!$B$4,J338,1),2),7)+7*(N338-1))=J338,K338="",ISNUMBER(L338),L338=INT(L338),L338&gt;=-366,L338&lt;=366),DATE(Übersicht!$B$4,J338,1)+MOD(M338-WEEKDAY(DATE(Übersicht!$B$4,J338,1),2),7)+7*(N338-1)+L338,NA()),NA())))),NA())</f>
        <v>47113</v>
      </c>
      <c r="X338" s="15">
        <f t="shared" si="5"/>
        <v>47113</v>
      </c>
      <c r="Y338" s="11" t="s">
        <v>1000</v>
      </c>
      <c r="Z338" s="11" t="s">
        <v>1001</v>
      </c>
      <c r="AA338" s="26" t="s">
        <v>768</v>
      </c>
    </row>
    <row r="339" spans="1:27" ht="44" customHeight="1">
      <c r="A339" s="10" t="s">
        <v>444</v>
      </c>
      <c r="B339" s="10" t="s">
        <v>428</v>
      </c>
      <c r="C339" s="10" t="s">
        <v>999</v>
      </c>
      <c r="D339" s="24" t="s">
        <v>784</v>
      </c>
      <c r="E339" s="24" t="s">
        <v>785</v>
      </c>
      <c r="F339" s="25" t="s">
        <v>892</v>
      </c>
      <c r="G339" s="25" t="s">
        <v>893</v>
      </c>
      <c r="H339" s="10" t="s">
        <v>761</v>
      </c>
      <c r="I339" s="10" t="s">
        <v>781</v>
      </c>
      <c r="J339" s="28"/>
      <c r="K339" s="28"/>
      <c r="L339" s="24">
        <v>0</v>
      </c>
      <c r="M339" s="24"/>
      <c r="N339" s="24"/>
      <c r="O339" s="29">
        <v>46023</v>
      </c>
      <c r="P339" s="29"/>
      <c r="Q339" s="24">
        <v>100</v>
      </c>
      <c r="R339" s="24" t="s">
        <v>69</v>
      </c>
      <c r="S339" s="10"/>
      <c r="T339" s="10" t="s">
        <v>764</v>
      </c>
      <c r="U339" s="10"/>
      <c r="V339" s="10" t="s">
        <v>824</v>
      </c>
      <c r="W339" s="14">
        <f>IF(AND(ISNUMBER(Übersicht!$B$4),Übersicht!$B$4=INT(Übersicht!$B$4),Übersicht!$B$4&gt;=2026,Übersicht!$B$4&lt;=2028),IF(I339="fixedMonthDay",IF(AND(ISNUMBER(J339),J339=INT(J339),J339&gt;=1,J339&lt;=12,ISNUMBER(K339),K339=INT(K339),K339&gt;=1,K339&lt;=31,MONTH(DATE(Übersicht!$B$4,J339,K339))=J339,DAY(DATE(Übersicht!$B$4,J339,K339))=K339,L339="",M339="",N339=""),DATE(Übersicht!$B$4,J339,K339),NA()),IF(I339="easterOffsetDays",IF(AND(ISNUMBER(L339),L339=INT(L339),L339&gt;=-366,L339&lt;=366,J339="",K339="",M339="",N339=""),$AD$23+L339,NA()),IF(I339="nthWeekdayOfMonth",IF(AND(ISNUMBER(J339),J339=INT(J339),J339&gt;=1,J339&lt;=12,ISNUMBER(M339),M339=INT(M339),M339&gt;=1,M339&lt;=7,ISNUMBER(N339),N339=INT(N339),N339&gt;=1,N339&lt;=5,MONTH(DATE(Übersicht!$B$4,J339,1)+MOD(M339-WEEKDAY(DATE(Übersicht!$B$4,J339,1),2),7)+7*(N339-1))=J339,K339="",L339=""),DATE(Übersicht!$B$4,J339,1)+MOD(M339-WEEKDAY(DATE(Übersicht!$B$4,J339,1),2),7)+7*(N339-1),NA()),IF(I339="nthWeekdayOffsetDays",IF(AND(ISNUMBER(J339),J339=INT(J339),J339&gt;=1,J339&lt;=12,ISNUMBER(M339),M339=INT(M339),M339&gt;=1,M339&lt;=7,ISNUMBER(N339),N339=INT(N339),N339&gt;=1,N339&lt;=5,MONTH(DATE(Übersicht!$B$4,J339,1)+MOD(M339-WEEKDAY(DATE(Übersicht!$B$4,J339,1),2),7)+7*(N339-1))=J339,K339="",ISNUMBER(L339),L339=INT(L339),L339&gt;=-366,L339&lt;=366),DATE(Übersicht!$B$4,J339,1)+MOD(M339-WEEKDAY(DATE(Übersicht!$B$4,J339,1),2),7)+7*(N339-1)+L339,NA()),NA())))),NA())</f>
        <v>46859</v>
      </c>
      <c r="X339" s="14">
        <f t="shared" si="5"/>
        <v>46859</v>
      </c>
      <c r="Y339" s="10" t="s">
        <v>1000</v>
      </c>
      <c r="Z339" s="10" t="s">
        <v>1002</v>
      </c>
      <c r="AA339" s="24" t="s">
        <v>768</v>
      </c>
    </row>
    <row r="340" spans="1:27" ht="44" customHeight="1">
      <c r="A340" s="11" t="s">
        <v>445</v>
      </c>
      <c r="B340" s="11" t="s">
        <v>428</v>
      </c>
      <c r="C340" s="11" t="s">
        <v>999</v>
      </c>
      <c r="D340" s="26" t="s">
        <v>793</v>
      </c>
      <c r="E340" s="26" t="s">
        <v>794</v>
      </c>
      <c r="F340" s="27" t="s">
        <v>896</v>
      </c>
      <c r="G340" s="27" t="s">
        <v>897</v>
      </c>
      <c r="H340" s="11" t="s">
        <v>761</v>
      </c>
      <c r="I340" s="11" t="s">
        <v>781</v>
      </c>
      <c r="J340" s="30"/>
      <c r="K340" s="30"/>
      <c r="L340" s="26">
        <v>49</v>
      </c>
      <c r="M340" s="26"/>
      <c r="N340" s="26"/>
      <c r="O340" s="31">
        <v>46023</v>
      </c>
      <c r="P340" s="31"/>
      <c r="Q340" s="26">
        <v>100</v>
      </c>
      <c r="R340" s="26" t="s">
        <v>69</v>
      </c>
      <c r="S340" s="11"/>
      <c r="T340" s="11" t="s">
        <v>764</v>
      </c>
      <c r="U340" s="11"/>
      <c r="V340" s="11" t="s">
        <v>824</v>
      </c>
      <c r="W340" s="15">
        <f>IF(AND(ISNUMBER(Übersicht!$B$4),Übersicht!$B$4=INT(Übersicht!$B$4),Übersicht!$B$4&gt;=2026,Übersicht!$B$4&lt;=2028),IF(I340="fixedMonthDay",IF(AND(ISNUMBER(J340),J340=INT(J340),J340&gt;=1,J340&lt;=12,ISNUMBER(K340),K340=INT(K340),K340&gt;=1,K340&lt;=31,MONTH(DATE(Übersicht!$B$4,J340,K340))=J340,DAY(DATE(Übersicht!$B$4,J340,K340))=K340,L340="",M340="",N340=""),DATE(Übersicht!$B$4,J340,K340),NA()),IF(I340="easterOffsetDays",IF(AND(ISNUMBER(L340),L340=INT(L340),L340&gt;=-366,L340&lt;=366,J340="",K340="",M340="",N340=""),$AD$23+L340,NA()),IF(I340="nthWeekdayOfMonth",IF(AND(ISNUMBER(J340),J340=INT(J340),J340&gt;=1,J340&lt;=12,ISNUMBER(M340),M340=INT(M340),M340&gt;=1,M340&lt;=7,ISNUMBER(N340),N340=INT(N340),N340&gt;=1,N340&lt;=5,MONTH(DATE(Übersicht!$B$4,J340,1)+MOD(M340-WEEKDAY(DATE(Übersicht!$B$4,J340,1),2),7)+7*(N340-1))=J340,K340="",L340=""),DATE(Übersicht!$B$4,J340,1)+MOD(M340-WEEKDAY(DATE(Übersicht!$B$4,J340,1),2),7)+7*(N340-1),NA()),IF(I340="nthWeekdayOffsetDays",IF(AND(ISNUMBER(J340),J340=INT(J340),J340&gt;=1,J340&lt;=12,ISNUMBER(M340),M340=INT(M340),M340&gt;=1,M340&lt;=7,ISNUMBER(N340),N340=INT(N340),N340&gt;=1,N340&lt;=5,MONTH(DATE(Übersicht!$B$4,J340,1)+MOD(M340-WEEKDAY(DATE(Übersicht!$B$4,J340,1),2),7)+7*(N340-1))=J340,K340="",ISNUMBER(L340),L340=INT(L340),L340&gt;=-366,L340&lt;=366),DATE(Übersicht!$B$4,J340,1)+MOD(M340-WEEKDAY(DATE(Übersicht!$B$4,J340,1),2),7)+7*(N340-1)+L340,NA()),NA())))),NA())</f>
        <v>46908</v>
      </c>
      <c r="X340" s="15">
        <f t="shared" si="5"/>
        <v>46908</v>
      </c>
      <c r="Y340" s="11" t="s">
        <v>1000</v>
      </c>
      <c r="Z340" s="11" t="s">
        <v>1002</v>
      </c>
      <c r="AA340" s="26" t="s">
        <v>768</v>
      </c>
    </row>
    <row r="341" spans="1:27" ht="44" customHeight="1">
      <c r="A341" s="10" t="s">
        <v>446</v>
      </c>
      <c r="B341" s="10" t="s">
        <v>428</v>
      </c>
      <c r="C341" s="10" t="s">
        <v>999</v>
      </c>
      <c r="D341" s="24" t="s">
        <v>799</v>
      </c>
      <c r="E341" s="24" t="s">
        <v>800</v>
      </c>
      <c r="F341" s="25" t="s">
        <v>899</v>
      </c>
      <c r="G341" s="25" t="s">
        <v>900</v>
      </c>
      <c r="H341" s="10" t="s">
        <v>761</v>
      </c>
      <c r="I341" s="10" t="s">
        <v>801</v>
      </c>
      <c r="J341" s="28">
        <v>9</v>
      </c>
      <c r="K341" s="28"/>
      <c r="L341" s="24"/>
      <c r="M341" s="24">
        <v>7</v>
      </c>
      <c r="N341" s="24">
        <v>3</v>
      </c>
      <c r="O341" s="29">
        <v>46023</v>
      </c>
      <c r="P341" s="29"/>
      <c r="Q341" s="24">
        <v>100</v>
      </c>
      <c r="R341" s="24" t="s">
        <v>69</v>
      </c>
      <c r="S341" s="10"/>
      <c r="T341" s="10" t="s">
        <v>764</v>
      </c>
      <c r="U341" s="10"/>
      <c r="V341" s="10" t="s">
        <v>824</v>
      </c>
      <c r="W341" s="14">
        <f>IF(AND(ISNUMBER(Übersicht!$B$4),Übersicht!$B$4=INT(Übersicht!$B$4),Übersicht!$B$4&gt;=2026,Übersicht!$B$4&lt;=2028),IF(I341="fixedMonthDay",IF(AND(ISNUMBER(J341),J341=INT(J341),J341&gt;=1,J341&lt;=12,ISNUMBER(K341),K341=INT(K341),K341&gt;=1,K341&lt;=31,MONTH(DATE(Übersicht!$B$4,J341,K341))=J341,DAY(DATE(Übersicht!$B$4,J341,K341))=K341,L341="",M341="",N341=""),DATE(Übersicht!$B$4,J341,K341),NA()),IF(I341="easterOffsetDays",IF(AND(ISNUMBER(L341),L341=INT(L341),L341&gt;=-366,L341&lt;=366,J341="",K341="",M341="",N341=""),$AD$23+L341,NA()),IF(I341="nthWeekdayOfMonth",IF(AND(ISNUMBER(J341),J341=INT(J341),J341&gt;=1,J341&lt;=12,ISNUMBER(M341),M341=INT(M341),M341&gt;=1,M341&lt;=7,ISNUMBER(N341),N341=INT(N341),N341&gt;=1,N341&lt;=5,MONTH(DATE(Übersicht!$B$4,J341,1)+MOD(M341-WEEKDAY(DATE(Übersicht!$B$4,J341,1),2),7)+7*(N341-1))=J341,K341="",L341=""),DATE(Übersicht!$B$4,J341,1)+MOD(M341-WEEKDAY(DATE(Übersicht!$B$4,J341,1),2),7)+7*(N341-1),NA()),IF(I341="nthWeekdayOffsetDays",IF(AND(ISNUMBER(J341),J341=INT(J341),J341&gt;=1,J341&lt;=12,ISNUMBER(M341),M341=INT(M341),M341&gt;=1,M341&lt;=7,ISNUMBER(N341),N341=INT(N341),N341&gt;=1,N341&lt;=5,MONTH(DATE(Übersicht!$B$4,J341,1)+MOD(M341-WEEKDAY(DATE(Übersicht!$B$4,J341,1),2),7)+7*(N341-1))=J341,K341="",ISNUMBER(L341),L341=INT(L341),L341&gt;=-366,L341&lt;=366),DATE(Übersicht!$B$4,J341,1)+MOD(M341-WEEKDAY(DATE(Übersicht!$B$4,J341,1),2),7)+7*(N341-1)+L341,NA()),NA())))),NA())</f>
        <v>47013</v>
      </c>
      <c r="X341" s="14">
        <f t="shared" si="5"/>
        <v>47013</v>
      </c>
      <c r="Y341" s="10" t="s">
        <v>1000</v>
      </c>
      <c r="Z341" s="10" t="s">
        <v>1002</v>
      </c>
      <c r="AA341" s="24" t="s">
        <v>768</v>
      </c>
    </row>
    <row r="342" spans="1:27" ht="44" customHeight="1">
      <c r="A342" s="11" t="s">
        <v>449</v>
      </c>
      <c r="B342" s="11" t="s">
        <v>447</v>
      </c>
      <c r="C342" s="11" t="s">
        <v>1003</v>
      </c>
      <c r="D342" s="26" t="s">
        <v>771</v>
      </c>
      <c r="E342" s="26" t="s">
        <v>772</v>
      </c>
      <c r="F342" s="27" t="s">
        <v>849</v>
      </c>
      <c r="G342" s="27" t="s">
        <v>850</v>
      </c>
      <c r="H342" s="11" t="s">
        <v>761</v>
      </c>
      <c r="I342" s="11" t="s">
        <v>762</v>
      </c>
      <c r="J342" s="30">
        <v>1</v>
      </c>
      <c r="K342" s="30">
        <v>1</v>
      </c>
      <c r="L342" s="26"/>
      <c r="M342" s="26"/>
      <c r="N342" s="26"/>
      <c r="O342" s="31">
        <v>46023</v>
      </c>
      <c r="P342" s="31"/>
      <c r="Q342" s="26">
        <v>100</v>
      </c>
      <c r="R342" s="26" t="s">
        <v>69</v>
      </c>
      <c r="S342" s="11"/>
      <c r="T342" s="11" t="s">
        <v>764</v>
      </c>
      <c r="U342" s="11"/>
      <c r="V342" s="11" t="s">
        <v>824</v>
      </c>
      <c r="W342" s="15">
        <f>IF(AND(ISNUMBER(Übersicht!$B$4),Übersicht!$B$4=INT(Übersicht!$B$4),Übersicht!$B$4&gt;=2026,Übersicht!$B$4&lt;=2028),IF(I342="fixedMonthDay",IF(AND(ISNUMBER(J342),J342=INT(J342),J342&gt;=1,J342&lt;=12,ISNUMBER(K342),K342=INT(K342),K342&gt;=1,K342&lt;=31,MONTH(DATE(Übersicht!$B$4,J342,K342))=J342,DAY(DATE(Übersicht!$B$4,J342,K342))=K342,L342="",M342="",N342=""),DATE(Übersicht!$B$4,J342,K342),NA()),IF(I342="easterOffsetDays",IF(AND(ISNUMBER(L342),L342=INT(L342),L342&gt;=-366,L342&lt;=366,J342="",K342="",M342="",N342=""),$AD$23+L342,NA()),IF(I342="nthWeekdayOfMonth",IF(AND(ISNUMBER(J342),J342=INT(J342),J342&gt;=1,J342&lt;=12,ISNUMBER(M342),M342=INT(M342),M342&gt;=1,M342&lt;=7,ISNUMBER(N342),N342=INT(N342),N342&gt;=1,N342&lt;=5,MONTH(DATE(Übersicht!$B$4,J342,1)+MOD(M342-WEEKDAY(DATE(Übersicht!$B$4,J342,1),2),7)+7*(N342-1))=J342,K342="",L342=""),DATE(Übersicht!$B$4,J342,1)+MOD(M342-WEEKDAY(DATE(Übersicht!$B$4,J342,1),2),7)+7*(N342-1),NA()),IF(I342="nthWeekdayOffsetDays",IF(AND(ISNUMBER(J342),J342=INT(J342),J342&gt;=1,J342&lt;=12,ISNUMBER(M342),M342=INT(M342),M342&gt;=1,M342&lt;=7,ISNUMBER(N342),N342=INT(N342),N342&gt;=1,N342&lt;=5,MONTH(DATE(Übersicht!$B$4,J342,1)+MOD(M342-WEEKDAY(DATE(Übersicht!$B$4,J342,1),2),7)+7*(N342-1))=J342,K342="",ISNUMBER(L342),L342=INT(L342),L342&gt;=-366,L342&lt;=366),DATE(Übersicht!$B$4,J342,1)+MOD(M342-WEEKDAY(DATE(Übersicht!$B$4,J342,1),2),7)+7*(N342-1)+L342,NA()),NA())))),NA())</f>
        <v>46753</v>
      </c>
      <c r="X342" s="15">
        <f t="shared" si="5"/>
        <v>46753</v>
      </c>
      <c r="Y342" s="11" t="s">
        <v>1004</v>
      </c>
      <c r="Z342" s="11" t="s">
        <v>782</v>
      </c>
      <c r="AA342" s="26" t="s">
        <v>768</v>
      </c>
    </row>
    <row r="343" spans="1:27" ht="44" customHeight="1">
      <c r="A343" s="10" t="s">
        <v>450</v>
      </c>
      <c r="B343" s="10" t="s">
        <v>447</v>
      </c>
      <c r="C343" s="10" t="s">
        <v>1003</v>
      </c>
      <c r="D343" s="24" t="s">
        <v>779</v>
      </c>
      <c r="E343" s="24" t="s">
        <v>780</v>
      </c>
      <c r="F343" s="25" t="s">
        <v>889</v>
      </c>
      <c r="G343" s="25" t="s">
        <v>890</v>
      </c>
      <c r="H343" s="10" t="s">
        <v>761</v>
      </c>
      <c r="I343" s="10" t="s">
        <v>781</v>
      </c>
      <c r="J343" s="28"/>
      <c r="K343" s="28"/>
      <c r="L343" s="24">
        <v>-2</v>
      </c>
      <c r="M343" s="24"/>
      <c r="N343" s="24"/>
      <c r="O343" s="29">
        <v>46023</v>
      </c>
      <c r="P343" s="29"/>
      <c r="Q343" s="24">
        <v>100</v>
      </c>
      <c r="R343" s="24" t="s">
        <v>69</v>
      </c>
      <c r="S343" s="10"/>
      <c r="T343" s="10" t="s">
        <v>764</v>
      </c>
      <c r="U343" s="10"/>
      <c r="V343" s="10" t="s">
        <v>824</v>
      </c>
      <c r="W343" s="14">
        <f>IF(AND(ISNUMBER(Übersicht!$B$4),Übersicht!$B$4=INT(Übersicht!$B$4),Übersicht!$B$4&gt;=2026,Übersicht!$B$4&lt;=2028),IF(I343="fixedMonthDay",IF(AND(ISNUMBER(J343),J343=INT(J343),J343&gt;=1,J343&lt;=12,ISNUMBER(K343),K343=INT(K343),K343&gt;=1,K343&lt;=31,MONTH(DATE(Übersicht!$B$4,J343,K343))=J343,DAY(DATE(Übersicht!$B$4,J343,K343))=K343,L343="",M343="",N343=""),DATE(Übersicht!$B$4,J343,K343),NA()),IF(I343="easterOffsetDays",IF(AND(ISNUMBER(L343),L343=INT(L343),L343&gt;=-366,L343&lt;=366,J343="",K343="",M343="",N343=""),$AD$23+L343,NA()),IF(I343="nthWeekdayOfMonth",IF(AND(ISNUMBER(J343),J343=INT(J343),J343&gt;=1,J343&lt;=12,ISNUMBER(M343),M343=INT(M343),M343&gt;=1,M343&lt;=7,ISNUMBER(N343),N343=INT(N343),N343&gt;=1,N343&lt;=5,MONTH(DATE(Übersicht!$B$4,J343,1)+MOD(M343-WEEKDAY(DATE(Übersicht!$B$4,J343,1),2),7)+7*(N343-1))=J343,K343="",L343=""),DATE(Übersicht!$B$4,J343,1)+MOD(M343-WEEKDAY(DATE(Übersicht!$B$4,J343,1),2),7)+7*(N343-1),NA()),IF(I343="nthWeekdayOffsetDays",IF(AND(ISNUMBER(J343),J343=INT(J343),J343&gt;=1,J343&lt;=12,ISNUMBER(M343),M343=INT(M343),M343&gt;=1,M343&lt;=7,ISNUMBER(N343),N343=INT(N343),N343&gt;=1,N343&lt;=5,MONTH(DATE(Übersicht!$B$4,J343,1)+MOD(M343-WEEKDAY(DATE(Übersicht!$B$4,J343,1),2),7)+7*(N343-1))=J343,K343="",ISNUMBER(L343),L343=INT(L343),L343&gt;=-366,L343&lt;=366),DATE(Übersicht!$B$4,J343,1)+MOD(M343-WEEKDAY(DATE(Übersicht!$B$4,J343,1),2),7)+7*(N343-1)+L343,NA()),NA())))),NA())</f>
        <v>46857</v>
      </c>
      <c r="X343" s="14">
        <f t="shared" si="5"/>
        <v>46857</v>
      </c>
      <c r="Y343" s="10" t="s">
        <v>1004</v>
      </c>
      <c r="Z343" s="10" t="s">
        <v>774</v>
      </c>
      <c r="AA343" s="24" t="s">
        <v>768</v>
      </c>
    </row>
    <row r="344" spans="1:27" ht="44" customHeight="1">
      <c r="A344" s="11" t="s">
        <v>451</v>
      </c>
      <c r="B344" s="11" t="s">
        <v>447</v>
      </c>
      <c r="C344" s="11" t="s">
        <v>1003</v>
      </c>
      <c r="D344" s="26" t="s">
        <v>784</v>
      </c>
      <c r="E344" s="26" t="s">
        <v>785</v>
      </c>
      <c r="F344" s="27" t="s">
        <v>892</v>
      </c>
      <c r="G344" s="27" t="s">
        <v>893</v>
      </c>
      <c r="H344" s="11" t="s">
        <v>761</v>
      </c>
      <c r="I344" s="11" t="s">
        <v>781</v>
      </c>
      <c r="J344" s="30"/>
      <c r="K344" s="30"/>
      <c r="L344" s="26">
        <v>0</v>
      </c>
      <c r="M344" s="26"/>
      <c r="N344" s="26"/>
      <c r="O344" s="31">
        <v>46023</v>
      </c>
      <c r="P344" s="31"/>
      <c r="Q344" s="26">
        <v>100</v>
      </c>
      <c r="R344" s="26" t="s">
        <v>69</v>
      </c>
      <c r="S344" s="11"/>
      <c r="T344" s="11" t="s">
        <v>764</v>
      </c>
      <c r="U344" s="11"/>
      <c r="V344" s="11" t="s">
        <v>824</v>
      </c>
      <c r="W344" s="15">
        <f>IF(AND(ISNUMBER(Übersicht!$B$4),Übersicht!$B$4=INT(Übersicht!$B$4),Übersicht!$B$4&gt;=2026,Übersicht!$B$4&lt;=2028),IF(I344="fixedMonthDay",IF(AND(ISNUMBER(J344),J344=INT(J344),J344&gt;=1,J344&lt;=12,ISNUMBER(K344),K344=INT(K344),K344&gt;=1,K344&lt;=31,MONTH(DATE(Übersicht!$B$4,J344,K344))=J344,DAY(DATE(Übersicht!$B$4,J344,K344))=K344,L344="",M344="",N344=""),DATE(Übersicht!$B$4,J344,K344),NA()),IF(I344="easterOffsetDays",IF(AND(ISNUMBER(L344),L344=INT(L344),L344&gt;=-366,L344&lt;=366,J344="",K344="",M344="",N344=""),$AD$23+L344,NA()),IF(I344="nthWeekdayOfMonth",IF(AND(ISNUMBER(J344),J344=INT(J344),J344&gt;=1,J344&lt;=12,ISNUMBER(M344),M344=INT(M344),M344&gt;=1,M344&lt;=7,ISNUMBER(N344),N344=INT(N344),N344&gt;=1,N344&lt;=5,MONTH(DATE(Übersicht!$B$4,J344,1)+MOD(M344-WEEKDAY(DATE(Übersicht!$B$4,J344,1),2),7)+7*(N344-1))=J344,K344="",L344=""),DATE(Übersicht!$B$4,J344,1)+MOD(M344-WEEKDAY(DATE(Übersicht!$B$4,J344,1),2),7)+7*(N344-1),NA()),IF(I344="nthWeekdayOffsetDays",IF(AND(ISNUMBER(J344),J344=INT(J344),J344&gt;=1,J344&lt;=12,ISNUMBER(M344),M344=INT(M344),M344&gt;=1,M344&lt;=7,ISNUMBER(N344),N344=INT(N344),N344&gt;=1,N344&lt;=5,MONTH(DATE(Übersicht!$B$4,J344,1)+MOD(M344-WEEKDAY(DATE(Übersicht!$B$4,J344,1),2),7)+7*(N344-1))=J344,K344="",ISNUMBER(L344),L344=INT(L344),L344&gt;=-366,L344&lt;=366),DATE(Übersicht!$B$4,J344,1)+MOD(M344-WEEKDAY(DATE(Übersicht!$B$4,J344,1),2),7)+7*(N344-1)+L344,NA()),NA())))),NA())</f>
        <v>46859</v>
      </c>
      <c r="X344" s="15">
        <f t="shared" si="5"/>
        <v>46859</v>
      </c>
      <c r="Y344" s="11" t="s">
        <v>1004</v>
      </c>
      <c r="Z344" s="11" t="s">
        <v>774</v>
      </c>
      <c r="AA344" s="26" t="s">
        <v>768</v>
      </c>
    </row>
    <row r="345" spans="1:27" ht="44" customHeight="1">
      <c r="A345" s="10" t="s">
        <v>452</v>
      </c>
      <c r="B345" s="10" t="s">
        <v>447</v>
      </c>
      <c r="C345" s="10" t="s">
        <v>1003</v>
      </c>
      <c r="D345" s="24" t="s">
        <v>790</v>
      </c>
      <c r="E345" s="24" t="s">
        <v>791</v>
      </c>
      <c r="F345" s="25" t="s">
        <v>864</v>
      </c>
      <c r="G345" s="25" t="s">
        <v>865</v>
      </c>
      <c r="H345" s="10" t="s">
        <v>761</v>
      </c>
      <c r="I345" s="10" t="s">
        <v>781</v>
      </c>
      <c r="J345" s="28"/>
      <c r="K345" s="28"/>
      <c r="L345" s="24">
        <v>39</v>
      </c>
      <c r="M345" s="24"/>
      <c r="N345" s="24"/>
      <c r="O345" s="29">
        <v>46023</v>
      </c>
      <c r="P345" s="29"/>
      <c r="Q345" s="24">
        <v>100</v>
      </c>
      <c r="R345" s="24" t="s">
        <v>69</v>
      </c>
      <c r="S345" s="10"/>
      <c r="T345" s="10" t="s">
        <v>764</v>
      </c>
      <c r="U345" s="10"/>
      <c r="V345" s="10" t="s">
        <v>824</v>
      </c>
      <c r="W345" s="14">
        <f>IF(AND(ISNUMBER(Übersicht!$B$4),Übersicht!$B$4=INT(Übersicht!$B$4),Übersicht!$B$4&gt;=2026,Übersicht!$B$4&lt;=2028),IF(I345="fixedMonthDay",IF(AND(ISNUMBER(J345),J345=INT(J345),J345&gt;=1,J345&lt;=12,ISNUMBER(K345),K345=INT(K345),K345&gt;=1,K345&lt;=31,MONTH(DATE(Übersicht!$B$4,J345,K345))=J345,DAY(DATE(Übersicht!$B$4,J345,K345))=K345,L345="",M345="",N345=""),DATE(Übersicht!$B$4,J345,K345),NA()),IF(I345="easterOffsetDays",IF(AND(ISNUMBER(L345),L345=INT(L345),L345&gt;=-366,L345&lt;=366,J345="",K345="",M345="",N345=""),$AD$23+L345,NA()),IF(I345="nthWeekdayOfMonth",IF(AND(ISNUMBER(J345),J345=INT(J345),J345&gt;=1,J345&lt;=12,ISNUMBER(M345),M345=INT(M345),M345&gt;=1,M345&lt;=7,ISNUMBER(N345),N345=INT(N345),N345&gt;=1,N345&lt;=5,MONTH(DATE(Übersicht!$B$4,J345,1)+MOD(M345-WEEKDAY(DATE(Übersicht!$B$4,J345,1),2),7)+7*(N345-1))=J345,K345="",L345=""),DATE(Übersicht!$B$4,J345,1)+MOD(M345-WEEKDAY(DATE(Übersicht!$B$4,J345,1),2),7)+7*(N345-1),NA()),IF(I345="nthWeekdayOffsetDays",IF(AND(ISNUMBER(J345),J345=INT(J345),J345&gt;=1,J345&lt;=12,ISNUMBER(M345),M345=INT(M345),M345&gt;=1,M345&lt;=7,ISNUMBER(N345),N345=INT(N345),N345&gt;=1,N345&lt;=5,MONTH(DATE(Übersicht!$B$4,J345,1)+MOD(M345-WEEKDAY(DATE(Übersicht!$B$4,J345,1),2),7)+7*(N345-1))=J345,K345="",ISNUMBER(L345),L345=INT(L345),L345&gt;=-366,L345&lt;=366),DATE(Übersicht!$B$4,J345,1)+MOD(M345-WEEKDAY(DATE(Übersicht!$B$4,J345,1),2),7)+7*(N345-1)+L345,NA()),NA())))),NA())</f>
        <v>46898</v>
      </c>
      <c r="X345" s="14">
        <f t="shared" si="5"/>
        <v>46898</v>
      </c>
      <c r="Y345" s="10" t="s">
        <v>1004</v>
      </c>
      <c r="Z345" s="10" t="s">
        <v>782</v>
      </c>
      <c r="AA345" s="24" t="s">
        <v>768</v>
      </c>
    </row>
    <row r="346" spans="1:27" ht="44" customHeight="1">
      <c r="A346" s="11" t="s">
        <v>453</v>
      </c>
      <c r="B346" s="11" t="s">
        <v>447</v>
      </c>
      <c r="C346" s="11" t="s">
        <v>1003</v>
      </c>
      <c r="D346" s="26" t="s">
        <v>793</v>
      </c>
      <c r="E346" s="26" t="s">
        <v>794</v>
      </c>
      <c r="F346" s="27" t="s">
        <v>896</v>
      </c>
      <c r="G346" s="27" t="s">
        <v>897</v>
      </c>
      <c r="H346" s="11" t="s">
        <v>761</v>
      </c>
      <c r="I346" s="11" t="s">
        <v>781</v>
      </c>
      <c r="J346" s="30"/>
      <c r="K346" s="30"/>
      <c r="L346" s="26">
        <v>49</v>
      </c>
      <c r="M346" s="26"/>
      <c r="N346" s="26"/>
      <c r="O346" s="31">
        <v>46023</v>
      </c>
      <c r="P346" s="31"/>
      <c r="Q346" s="26">
        <v>100</v>
      </c>
      <c r="R346" s="26" t="s">
        <v>69</v>
      </c>
      <c r="S346" s="11"/>
      <c r="T346" s="11" t="s">
        <v>764</v>
      </c>
      <c r="U346" s="11"/>
      <c r="V346" s="11" t="s">
        <v>824</v>
      </c>
      <c r="W346" s="15">
        <f>IF(AND(ISNUMBER(Übersicht!$B$4),Übersicht!$B$4=INT(Übersicht!$B$4),Übersicht!$B$4&gt;=2026,Übersicht!$B$4&lt;=2028),IF(I346="fixedMonthDay",IF(AND(ISNUMBER(J346),J346=INT(J346),J346&gt;=1,J346&lt;=12,ISNUMBER(K346),K346=INT(K346),K346&gt;=1,K346&lt;=31,MONTH(DATE(Übersicht!$B$4,J346,K346))=J346,DAY(DATE(Übersicht!$B$4,J346,K346))=K346,L346="",M346="",N346=""),DATE(Übersicht!$B$4,J346,K346),NA()),IF(I346="easterOffsetDays",IF(AND(ISNUMBER(L346),L346=INT(L346),L346&gt;=-366,L346&lt;=366,J346="",K346="",M346="",N346=""),$AD$23+L346,NA()),IF(I346="nthWeekdayOfMonth",IF(AND(ISNUMBER(J346),J346=INT(J346),J346&gt;=1,J346&lt;=12,ISNUMBER(M346),M346=INT(M346),M346&gt;=1,M346&lt;=7,ISNUMBER(N346),N346=INT(N346),N346&gt;=1,N346&lt;=5,MONTH(DATE(Übersicht!$B$4,J346,1)+MOD(M346-WEEKDAY(DATE(Übersicht!$B$4,J346,1),2),7)+7*(N346-1))=J346,K346="",L346=""),DATE(Übersicht!$B$4,J346,1)+MOD(M346-WEEKDAY(DATE(Übersicht!$B$4,J346,1),2),7)+7*(N346-1),NA()),IF(I346="nthWeekdayOffsetDays",IF(AND(ISNUMBER(J346),J346=INT(J346),J346&gt;=1,J346&lt;=12,ISNUMBER(M346),M346=INT(M346),M346&gt;=1,M346&lt;=7,ISNUMBER(N346),N346=INT(N346),N346&gt;=1,N346&lt;=5,MONTH(DATE(Übersicht!$B$4,J346,1)+MOD(M346-WEEKDAY(DATE(Übersicht!$B$4,J346,1),2),7)+7*(N346-1))=J346,K346="",ISNUMBER(L346),L346=INT(L346),L346&gt;=-366,L346&lt;=366),DATE(Übersicht!$B$4,J346,1)+MOD(M346-WEEKDAY(DATE(Übersicht!$B$4,J346,1),2),7)+7*(N346-1)+L346,NA()),NA())))),NA())</f>
        <v>46908</v>
      </c>
      <c r="X346" s="15">
        <f t="shared" si="5"/>
        <v>46908</v>
      </c>
      <c r="Y346" s="11" t="s">
        <v>1004</v>
      </c>
      <c r="Z346" s="11" t="s">
        <v>774</v>
      </c>
      <c r="AA346" s="26" t="s">
        <v>768</v>
      </c>
    </row>
    <row r="347" spans="1:27" ht="44" customHeight="1">
      <c r="A347" s="10" t="s">
        <v>454</v>
      </c>
      <c r="B347" s="10" t="s">
        <v>447</v>
      </c>
      <c r="C347" s="10" t="s">
        <v>1003</v>
      </c>
      <c r="D347" s="24" t="s">
        <v>810</v>
      </c>
      <c r="E347" s="24" t="s">
        <v>811</v>
      </c>
      <c r="F347" s="25" t="s">
        <v>868</v>
      </c>
      <c r="G347" s="25" t="s">
        <v>869</v>
      </c>
      <c r="H347" s="10" t="s">
        <v>761</v>
      </c>
      <c r="I347" s="10" t="s">
        <v>781</v>
      </c>
      <c r="J347" s="28"/>
      <c r="K347" s="28"/>
      <c r="L347" s="24">
        <v>60</v>
      </c>
      <c r="M347" s="24"/>
      <c r="N347" s="24"/>
      <c r="O347" s="29">
        <v>46023</v>
      </c>
      <c r="P347" s="29"/>
      <c r="Q347" s="24">
        <v>100</v>
      </c>
      <c r="R347" s="24" t="s">
        <v>69</v>
      </c>
      <c r="S347" s="10"/>
      <c r="T347" s="10" t="s">
        <v>764</v>
      </c>
      <c r="U347" s="10"/>
      <c r="V347" s="10" t="s">
        <v>824</v>
      </c>
      <c r="W347" s="14">
        <f>IF(AND(ISNUMBER(Übersicht!$B$4),Übersicht!$B$4=INT(Übersicht!$B$4),Übersicht!$B$4&gt;=2026,Übersicht!$B$4&lt;=2028),IF(I347="fixedMonthDay",IF(AND(ISNUMBER(J347),J347=INT(J347),J347&gt;=1,J347&lt;=12,ISNUMBER(K347),K347=INT(K347),K347&gt;=1,K347&lt;=31,MONTH(DATE(Übersicht!$B$4,J347,K347))=J347,DAY(DATE(Übersicht!$B$4,J347,K347))=K347,L347="",M347="",N347=""),DATE(Übersicht!$B$4,J347,K347),NA()),IF(I347="easterOffsetDays",IF(AND(ISNUMBER(L347),L347=INT(L347),L347&gt;=-366,L347&lt;=366,J347="",K347="",M347="",N347=""),$AD$23+L347,NA()),IF(I347="nthWeekdayOfMonth",IF(AND(ISNUMBER(J347),J347=INT(J347),J347&gt;=1,J347&lt;=12,ISNUMBER(M347),M347=INT(M347),M347&gt;=1,M347&lt;=7,ISNUMBER(N347),N347=INT(N347),N347&gt;=1,N347&lt;=5,MONTH(DATE(Übersicht!$B$4,J347,1)+MOD(M347-WEEKDAY(DATE(Übersicht!$B$4,J347,1),2),7)+7*(N347-1))=J347,K347="",L347=""),DATE(Übersicht!$B$4,J347,1)+MOD(M347-WEEKDAY(DATE(Übersicht!$B$4,J347,1),2),7)+7*(N347-1),NA()),IF(I347="nthWeekdayOffsetDays",IF(AND(ISNUMBER(J347),J347=INT(J347),J347&gt;=1,J347&lt;=12,ISNUMBER(M347),M347=INT(M347),M347&gt;=1,M347&lt;=7,ISNUMBER(N347),N347=INT(N347),N347&gt;=1,N347&lt;=5,MONTH(DATE(Übersicht!$B$4,J347,1)+MOD(M347-WEEKDAY(DATE(Übersicht!$B$4,J347,1),2),7)+7*(N347-1))=J347,K347="",ISNUMBER(L347),L347=INT(L347),L347&gt;=-366,L347&lt;=366),DATE(Übersicht!$B$4,J347,1)+MOD(M347-WEEKDAY(DATE(Übersicht!$B$4,J347,1),2),7)+7*(N347-1)+L347,NA()),NA())))),NA())</f>
        <v>46919</v>
      </c>
      <c r="X347" s="14">
        <f t="shared" si="5"/>
        <v>46919</v>
      </c>
      <c r="Y347" s="10" t="s">
        <v>1004</v>
      </c>
      <c r="Z347" s="10" t="s">
        <v>782</v>
      </c>
      <c r="AA347" s="24" t="s">
        <v>768</v>
      </c>
    </row>
    <row r="348" spans="1:27" ht="44" customHeight="1">
      <c r="A348" s="11" t="s">
        <v>455</v>
      </c>
      <c r="B348" s="11" t="s">
        <v>447</v>
      </c>
      <c r="C348" s="11" t="s">
        <v>1003</v>
      </c>
      <c r="D348" s="26" t="s">
        <v>759</v>
      </c>
      <c r="E348" s="26" t="s">
        <v>760</v>
      </c>
      <c r="F348" s="27" t="s">
        <v>874</v>
      </c>
      <c r="G348" s="27" t="s">
        <v>875</v>
      </c>
      <c r="H348" s="11" t="s">
        <v>761</v>
      </c>
      <c r="I348" s="11" t="s">
        <v>762</v>
      </c>
      <c r="J348" s="30">
        <v>8</v>
      </c>
      <c r="K348" s="30">
        <v>1</v>
      </c>
      <c r="L348" s="26"/>
      <c r="M348" s="26"/>
      <c r="N348" s="26"/>
      <c r="O348" s="31">
        <v>46023</v>
      </c>
      <c r="P348" s="31"/>
      <c r="Q348" s="26">
        <v>100</v>
      </c>
      <c r="R348" s="26" t="s">
        <v>69</v>
      </c>
      <c r="S348" s="11"/>
      <c r="T348" s="11" t="s">
        <v>764</v>
      </c>
      <c r="U348" s="11"/>
      <c r="V348" s="11" t="s">
        <v>824</v>
      </c>
      <c r="W348" s="15">
        <f>IF(AND(ISNUMBER(Übersicht!$B$4),Übersicht!$B$4=INT(Übersicht!$B$4),Übersicht!$B$4&gt;=2026,Übersicht!$B$4&lt;=2028),IF(I348="fixedMonthDay",IF(AND(ISNUMBER(J348),J348=INT(J348),J348&gt;=1,J348&lt;=12,ISNUMBER(K348),K348=INT(K348),K348&gt;=1,K348&lt;=31,MONTH(DATE(Übersicht!$B$4,J348,K348))=J348,DAY(DATE(Übersicht!$B$4,J348,K348))=K348,L348="",M348="",N348=""),DATE(Übersicht!$B$4,J348,K348),NA()),IF(I348="easterOffsetDays",IF(AND(ISNUMBER(L348),L348=INT(L348),L348&gt;=-366,L348&lt;=366,J348="",K348="",M348="",N348=""),$AD$23+L348,NA()),IF(I348="nthWeekdayOfMonth",IF(AND(ISNUMBER(J348),J348=INT(J348),J348&gt;=1,J348&lt;=12,ISNUMBER(M348),M348=INT(M348),M348&gt;=1,M348&lt;=7,ISNUMBER(N348),N348=INT(N348),N348&gt;=1,N348&lt;=5,MONTH(DATE(Übersicht!$B$4,J348,1)+MOD(M348-WEEKDAY(DATE(Übersicht!$B$4,J348,1),2),7)+7*(N348-1))=J348,K348="",L348=""),DATE(Übersicht!$B$4,J348,1)+MOD(M348-WEEKDAY(DATE(Übersicht!$B$4,J348,1),2),7)+7*(N348-1),NA()),IF(I348="nthWeekdayOffsetDays",IF(AND(ISNUMBER(J348),J348=INT(J348),J348&gt;=1,J348&lt;=12,ISNUMBER(M348),M348=INT(M348),M348&gt;=1,M348&lt;=7,ISNUMBER(N348),N348=INT(N348),N348&gt;=1,N348&lt;=5,MONTH(DATE(Übersicht!$B$4,J348,1)+MOD(M348-WEEKDAY(DATE(Übersicht!$B$4,J348,1),2),7)+7*(N348-1))=J348,K348="",ISNUMBER(L348),L348=INT(L348),L348&gt;=-366,L348&lt;=366),DATE(Übersicht!$B$4,J348,1)+MOD(M348-WEEKDAY(DATE(Übersicht!$B$4,J348,1),2),7)+7*(N348-1)+L348,NA()),NA())))),NA())</f>
        <v>46966</v>
      </c>
      <c r="X348" s="15">
        <f t="shared" si="5"/>
        <v>46966</v>
      </c>
      <c r="Y348" s="11" t="s">
        <v>766</v>
      </c>
      <c r="Z348" s="11" t="s">
        <v>989</v>
      </c>
      <c r="AA348" s="26" t="s">
        <v>768</v>
      </c>
    </row>
    <row r="349" spans="1:27" ht="44" customHeight="1">
      <c r="A349" s="10" t="s">
        <v>456</v>
      </c>
      <c r="B349" s="10" t="s">
        <v>447</v>
      </c>
      <c r="C349" s="10" t="s">
        <v>1003</v>
      </c>
      <c r="D349" s="24" t="s">
        <v>834</v>
      </c>
      <c r="E349" s="24" t="s">
        <v>835</v>
      </c>
      <c r="F349" s="25" t="s">
        <v>876</v>
      </c>
      <c r="G349" s="25" t="s">
        <v>877</v>
      </c>
      <c r="H349" s="10" t="s">
        <v>761</v>
      </c>
      <c r="I349" s="10" t="s">
        <v>762</v>
      </c>
      <c r="J349" s="28">
        <v>8</v>
      </c>
      <c r="K349" s="28">
        <v>15</v>
      </c>
      <c r="L349" s="24"/>
      <c r="M349" s="24"/>
      <c r="N349" s="24"/>
      <c r="O349" s="29">
        <v>46023</v>
      </c>
      <c r="P349" s="29"/>
      <c r="Q349" s="24">
        <v>100</v>
      </c>
      <c r="R349" s="24" t="s">
        <v>69</v>
      </c>
      <c r="S349" s="10"/>
      <c r="T349" s="10" t="s">
        <v>764</v>
      </c>
      <c r="U349" s="10"/>
      <c r="V349" s="10" t="s">
        <v>824</v>
      </c>
      <c r="W349" s="14">
        <f>IF(AND(ISNUMBER(Übersicht!$B$4),Übersicht!$B$4=INT(Übersicht!$B$4),Übersicht!$B$4&gt;=2026,Übersicht!$B$4&lt;=2028),IF(I349="fixedMonthDay",IF(AND(ISNUMBER(J349),J349=INT(J349),J349&gt;=1,J349&lt;=12,ISNUMBER(K349),K349=INT(K349),K349&gt;=1,K349&lt;=31,MONTH(DATE(Übersicht!$B$4,J349,K349))=J349,DAY(DATE(Übersicht!$B$4,J349,K349))=K349,L349="",M349="",N349=""),DATE(Übersicht!$B$4,J349,K349),NA()),IF(I349="easterOffsetDays",IF(AND(ISNUMBER(L349),L349=INT(L349),L349&gt;=-366,L349&lt;=366,J349="",K349="",M349="",N349=""),$AD$23+L349,NA()),IF(I349="nthWeekdayOfMonth",IF(AND(ISNUMBER(J349),J349=INT(J349),J349&gt;=1,J349&lt;=12,ISNUMBER(M349),M349=INT(M349),M349&gt;=1,M349&lt;=7,ISNUMBER(N349),N349=INT(N349),N349&gt;=1,N349&lt;=5,MONTH(DATE(Übersicht!$B$4,J349,1)+MOD(M349-WEEKDAY(DATE(Übersicht!$B$4,J349,1),2),7)+7*(N349-1))=J349,K349="",L349=""),DATE(Übersicht!$B$4,J349,1)+MOD(M349-WEEKDAY(DATE(Übersicht!$B$4,J349,1),2),7)+7*(N349-1),NA()),IF(I349="nthWeekdayOffsetDays",IF(AND(ISNUMBER(J349),J349=INT(J349),J349&gt;=1,J349&lt;=12,ISNUMBER(M349),M349=INT(M349),M349&gt;=1,M349&lt;=7,ISNUMBER(N349),N349=INT(N349),N349&gt;=1,N349&lt;=5,MONTH(DATE(Übersicht!$B$4,J349,1)+MOD(M349-WEEKDAY(DATE(Übersicht!$B$4,J349,1),2),7)+7*(N349-1))=J349,K349="",ISNUMBER(L349),L349=INT(L349),L349&gt;=-366,L349&lt;=366),DATE(Übersicht!$B$4,J349,1)+MOD(M349-WEEKDAY(DATE(Übersicht!$B$4,J349,1),2),7)+7*(N349-1)+L349,NA()),NA())))),NA())</f>
        <v>46980</v>
      </c>
      <c r="X349" s="14">
        <f t="shared" si="5"/>
        <v>46980</v>
      </c>
      <c r="Y349" s="10" t="s">
        <v>1004</v>
      </c>
      <c r="Z349" s="10" t="s">
        <v>782</v>
      </c>
      <c r="AA349" s="24" t="s">
        <v>768</v>
      </c>
    </row>
    <row r="350" spans="1:27" ht="44" customHeight="1">
      <c r="A350" s="11" t="s">
        <v>457</v>
      </c>
      <c r="B350" s="11" t="s">
        <v>447</v>
      </c>
      <c r="C350" s="11" t="s">
        <v>1003</v>
      </c>
      <c r="D350" s="26" t="s">
        <v>799</v>
      </c>
      <c r="E350" s="26" t="s">
        <v>800</v>
      </c>
      <c r="F350" s="27" t="s">
        <v>899</v>
      </c>
      <c r="G350" s="27" t="s">
        <v>900</v>
      </c>
      <c r="H350" s="11" t="s">
        <v>761</v>
      </c>
      <c r="I350" s="11" t="s">
        <v>801</v>
      </c>
      <c r="J350" s="30">
        <v>9</v>
      </c>
      <c r="K350" s="30"/>
      <c r="L350" s="26"/>
      <c r="M350" s="26">
        <v>7</v>
      </c>
      <c r="N350" s="26">
        <v>3</v>
      </c>
      <c r="O350" s="31">
        <v>46023</v>
      </c>
      <c r="P350" s="31"/>
      <c r="Q350" s="26">
        <v>100</v>
      </c>
      <c r="R350" s="26" t="s">
        <v>69</v>
      </c>
      <c r="S350" s="11"/>
      <c r="T350" s="11" t="s">
        <v>764</v>
      </c>
      <c r="U350" s="11"/>
      <c r="V350" s="11" t="s">
        <v>824</v>
      </c>
      <c r="W350" s="15">
        <f>IF(AND(ISNUMBER(Übersicht!$B$4),Übersicht!$B$4=INT(Übersicht!$B$4),Übersicht!$B$4&gt;=2026,Übersicht!$B$4&lt;=2028),IF(I350="fixedMonthDay",IF(AND(ISNUMBER(J350),J350=INT(J350),J350&gt;=1,J350&lt;=12,ISNUMBER(K350),K350=INT(K350),K350&gt;=1,K350&lt;=31,MONTH(DATE(Übersicht!$B$4,J350,K350))=J350,DAY(DATE(Übersicht!$B$4,J350,K350))=K350,L350="",M350="",N350=""),DATE(Übersicht!$B$4,J350,K350),NA()),IF(I350="easterOffsetDays",IF(AND(ISNUMBER(L350),L350=INT(L350),L350&gt;=-366,L350&lt;=366,J350="",K350="",M350="",N350=""),$AD$23+L350,NA()),IF(I350="nthWeekdayOfMonth",IF(AND(ISNUMBER(J350),J350=INT(J350),J350&gt;=1,J350&lt;=12,ISNUMBER(M350),M350=INT(M350),M350&gt;=1,M350&lt;=7,ISNUMBER(N350),N350=INT(N350),N350&gt;=1,N350&lt;=5,MONTH(DATE(Übersicht!$B$4,J350,1)+MOD(M350-WEEKDAY(DATE(Übersicht!$B$4,J350,1),2),7)+7*(N350-1))=J350,K350="",L350=""),DATE(Übersicht!$B$4,J350,1)+MOD(M350-WEEKDAY(DATE(Übersicht!$B$4,J350,1),2),7)+7*(N350-1),NA()),IF(I350="nthWeekdayOffsetDays",IF(AND(ISNUMBER(J350),J350=INT(J350),J350&gt;=1,J350&lt;=12,ISNUMBER(M350),M350=INT(M350),M350&gt;=1,M350&lt;=7,ISNUMBER(N350),N350=INT(N350),N350&gt;=1,N350&lt;=5,MONTH(DATE(Übersicht!$B$4,J350,1)+MOD(M350-WEEKDAY(DATE(Übersicht!$B$4,J350,1),2),7)+7*(N350-1))=J350,K350="",ISNUMBER(L350),L350=INT(L350),L350&gt;=-366,L350&lt;=366),DATE(Übersicht!$B$4,J350,1)+MOD(M350-WEEKDAY(DATE(Übersicht!$B$4,J350,1),2),7)+7*(N350-1)+L350,NA()),NA())))),NA())</f>
        <v>47013</v>
      </c>
      <c r="X350" s="15">
        <f t="shared" si="5"/>
        <v>47013</v>
      </c>
      <c r="Y350" s="11" t="s">
        <v>1004</v>
      </c>
      <c r="Z350" s="11" t="s">
        <v>774</v>
      </c>
      <c r="AA350" s="26" t="s">
        <v>768</v>
      </c>
    </row>
    <row r="351" spans="1:27" ht="44" customHeight="1">
      <c r="A351" s="10" t="s">
        <v>458</v>
      </c>
      <c r="B351" s="10" t="s">
        <v>447</v>
      </c>
      <c r="C351" s="10" t="s">
        <v>1003</v>
      </c>
      <c r="D351" s="24" t="s">
        <v>1005</v>
      </c>
      <c r="E351" s="24" t="s">
        <v>1006</v>
      </c>
      <c r="F351" s="25" t="s">
        <v>1007</v>
      </c>
      <c r="G351" s="25" t="s">
        <v>1008</v>
      </c>
      <c r="H351" s="10" t="s">
        <v>761</v>
      </c>
      <c r="I351" s="10" t="s">
        <v>762</v>
      </c>
      <c r="J351" s="28">
        <v>9</v>
      </c>
      <c r="K351" s="28">
        <v>25</v>
      </c>
      <c r="L351" s="24"/>
      <c r="M351" s="24"/>
      <c r="N351" s="24"/>
      <c r="O351" s="29">
        <v>46023</v>
      </c>
      <c r="P351" s="29"/>
      <c r="Q351" s="24">
        <v>100</v>
      </c>
      <c r="R351" s="24" t="s">
        <v>69</v>
      </c>
      <c r="S351" s="10"/>
      <c r="T351" s="10" t="s">
        <v>764</v>
      </c>
      <c r="U351" s="10"/>
      <c r="V351" s="10" t="s">
        <v>824</v>
      </c>
      <c r="W351" s="14">
        <f>IF(AND(ISNUMBER(Übersicht!$B$4),Übersicht!$B$4=INT(Übersicht!$B$4),Übersicht!$B$4&gt;=2026,Übersicht!$B$4&lt;=2028),IF(I351="fixedMonthDay",IF(AND(ISNUMBER(J351),J351=INT(J351),J351&gt;=1,J351&lt;=12,ISNUMBER(K351),K351=INT(K351),K351&gt;=1,K351&lt;=31,MONTH(DATE(Übersicht!$B$4,J351,K351))=J351,DAY(DATE(Übersicht!$B$4,J351,K351))=K351,L351="",M351="",N351=""),DATE(Übersicht!$B$4,J351,K351),NA()),IF(I351="easterOffsetDays",IF(AND(ISNUMBER(L351),L351=INT(L351),L351&gt;=-366,L351&lt;=366,J351="",K351="",M351="",N351=""),$AD$23+L351,NA()),IF(I351="nthWeekdayOfMonth",IF(AND(ISNUMBER(J351),J351=INT(J351),J351&gt;=1,J351&lt;=12,ISNUMBER(M351),M351=INT(M351),M351&gt;=1,M351&lt;=7,ISNUMBER(N351),N351=INT(N351),N351&gt;=1,N351&lt;=5,MONTH(DATE(Übersicht!$B$4,J351,1)+MOD(M351-WEEKDAY(DATE(Übersicht!$B$4,J351,1),2),7)+7*(N351-1))=J351,K351="",L351=""),DATE(Übersicht!$B$4,J351,1)+MOD(M351-WEEKDAY(DATE(Übersicht!$B$4,J351,1),2),7)+7*(N351-1),NA()),IF(I351="nthWeekdayOffsetDays",IF(AND(ISNUMBER(J351),J351=INT(J351),J351&gt;=1,J351&lt;=12,ISNUMBER(M351),M351=INT(M351),M351&gt;=1,M351&lt;=7,ISNUMBER(N351),N351=INT(N351),N351&gt;=1,N351&lt;=5,MONTH(DATE(Übersicht!$B$4,J351,1)+MOD(M351-WEEKDAY(DATE(Übersicht!$B$4,J351,1),2),7)+7*(N351-1))=J351,K351="",ISNUMBER(L351),L351=INT(L351),L351&gt;=-366,L351&lt;=366),DATE(Übersicht!$B$4,J351,1)+MOD(M351-WEEKDAY(DATE(Übersicht!$B$4,J351,1),2),7)+7*(N351-1)+L351,NA()),NA())))),NA())</f>
        <v>47021</v>
      </c>
      <c r="X351" s="14">
        <f t="shared" si="5"/>
        <v>47021</v>
      </c>
      <c r="Y351" s="10" t="s">
        <v>1004</v>
      </c>
      <c r="Z351" s="10" t="s">
        <v>782</v>
      </c>
      <c r="AA351" s="24" t="s">
        <v>768</v>
      </c>
    </row>
    <row r="352" spans="1:27" ht="44" customHeight="1">
      <c r="A352" s="11" t="s">
        <v>459</v>
      </c>
      <c r="B352" s="11" t="s">
        <v>447</v>
      </c>
      <c r="C352" s="11" t="s">
        <v>1003</v>
      </c>
      <c r="D352" s="26" t="s">
        <v>821</v>
      </c>
      <c r="E352" s="26" t="s">
        <v>822</v>
      </c>
      <c r="F352" s="27" t="s">
        <v>878</v>
      </c>
      <c r="G352" s="27" t="s">
        <v>879</v>
      </c>
      <c r="H352" s="11" t="s">
        <v>761</v>
      </c>
      <c r="I352" s="11" t="s">
        <v>762</v>
      </c>
      <c r="J352" s="30">
        <v>11</v>
      </c>
      <c r="K352" s="30">
        <v>1</v>
      </c>
      <c r="L352" s="26"/>
      <c r="M352" s="26"/>
      <c r="N352" s="26"/>
      <c r="O352" s="31">
        <v>46023</v>
      </c>
      <c r="P352" s="31"/>
      <c r="Q352" s="26">
        <v>100</v>
      </c>
      <c r="R352" s="26" t="s">
        <v>69</v>
      </c>
      <c r="S352" s="11"/>
      <c r="T352" s="11" t="s">
        <v>764</v>
      </c>
      <c r="U352" s="11"/>
      <c r="V352" s="11" t="s">
        <v>824</v>
      </c>
      <c r="W352" s="15">
        <f>IF(AND(ISNUMBER(Übersicht!$B$4),Übersicht!$B$4=INT(Übersicht!$B$4),Übersicht!$B$4&gt;=2026,Übersicht!$B$4&lt;=2028),IF(I352="fixedMonthDay",IF(AND(ISNUMBER(J352),J352=INT(J352),J352&gt;=1,J352&lt;=12,ISNUMBER(K352),K352=INT(K352),K352&gt;=1,K352&lt;=31,MONTH(DATE(Übersicht!$B$4,J352,K352))=J352,DAY(DATE(Übersicht!$B$4,J352,K352))=K352,L352="",M352="",N352=""),DATE(Übersicht!$B$4,J352,K352),NA()),IF(I352="easterOffsetDays",IF(AND(ISNUMBER(L352),L352=INT(L352),L352&gt;=-366,L352&lt;=366,J352="",K352="",M352="",N352=""),$AD$23+L352,NA()),IF(I352="nthWeekdayOfMonth",IF(AND(ISNUMBER(J352),J352=INT(J352),J352&gt;=1,J352&lt;=12,ISNUMBER(M352),M352=INT(M352),M352&gt;=1,M352&lt;=7,ISNUMBER(N352),N352=INT(N352),N352&gt;=1,N352&lt;=5,MONTH(DATE(Übersicht!$B$4,J352,1)+MOD(M352-WEEKDAY(DATE(Übersicht!$B$4,J352,1),2),7)+7*(N352-1))=J352,K352="",L352=""),DATE(Übersicht!$B$4,J352,1)+MOD(M352-WEEKDAY(DATE(Übersicht!$B$4,J352,1),2),7)+7*(N352-1),NA()),IF(I352="nthWeekdayOffsetDays",IF(AND(ISNUMBER(J352),J352=INT(J352),J352&gt;=1,J352&lt;=12,ISNUMBER(M352),M352=INT(M352),M352&gt;=1,M352&lt;=7,ISNUMBER(N352),N352=INT(N352),N352&gt;=1,N352&lt;=5,MONTH(DATE(Übersicht!$B$4,J352,1)+MOD(M352-WEEKDAY(DATE(Übersicht!$B$4,J352,1),2),7)+7*(N352-1))=J352,K352="",ISNUMBER(L352),L352=INT(L352),L352&gt;=-366,L352&lt;=366),DATE(Übersicht!$B$4,J352,1)+MOD(M352-WEEKDAY(DATE(Übersicht!$B$4,J352,1),2),7)+7*(N352-1)+L352,NA()),NA())))),NA())</f>
        <v>47058</v>
      </c>
      <c r="X352" s="15">
        <f t="shared" si="5"/>
        <v>47058</v>
      </c>
      <c r="Y352" s="11" t="s">
        <v>1004</v>
      </c>
      <c r="Z352" s="11" t="s">
        <v>782</v>
      </c>
      <c r="AA352" s="26" t="s">
        <v>768</v>
      </c>
    </row>
    <row r="353" spans="1:27" ht="44" customHeight="1">
      <c r="A353" s="10" t="s">
        <v>460</v>
      </c>
      <c r="B353" s="10" t="s">
        <v>447</v>
      </c>
      <c r="C353" s="10" t="s">
        <v>1003</v>
      </c>
      <c r="D353" s="24" t="s">
        <v>838</v>
      </c>
      <c r="E353" s="24" t="s">
        <v>839</v>
      </c>
      <c r="F353" s="25" t="s">
        <v>880</v>
      </c>
      <c r="G353" s="25" t="s">
        <v>881</v>
      </c>
      <c r="H353" s="10" t="s">
        <v>761</v>
      </c>
      <c r="I353" s="10" t="s">
        <v>762</v>
      </c>
      <c r="J353" s="28">
        <v>12</v>
      </c>
      <c r="K353" s="28">
        <v>8</v>
      </c>
      <c r="L353" s="24"/>
      <c r="M353" s="24"/>
      <c r="N353" s="24"/>
      <c r="O353" s="29">
        <v>46023</v>
      </c>
      <c r="P353" s="29"/>
      <c r="Q353" s="24">
        <v>100</v>
      </c>
      <c r="R353" s="24" t="s">
        <v>69</v>
      </c>
      <c r="S353" s="10"/>
      <c r="T353" s="10" t="s">
        <v>764</v>
      </c>
      <c r="U353" s="10"/>
      <c r="V353" s="10" t="s">
        <v>824</v>
      </c>
      <c r="W353" s="14">
        <f>IF(AND(ISNUMBER(Übersicht!$B$4),Übersicht!$B$4=INT(Übersicht!$B$4),Übersicht!$B$4&gt;=2026,Übersicht!$B$4&lt;=2028),IF(I353="fixedMonthDay",IF(AND(ISNUMBER(J353),J353=INT(J353),J353&gt;=1,J353&lt;=12,ISNUMBER(K353),K353=INT(K353),K353&gt;=1,K353&lt;=31,MONTH(DATE(Übersicht!$B$4,J353,K353))=J353,DAY(DATE(Übersicht!$B$4,J353,K353))=K353,L353="",M353="",N353=""),DATE(Übersicht!$B$4,J353,K353),NA()),IF(I353="easterOffsetDays",IF(AND(ISNUMBER(L353),L353=INT(L353),L353&gt;=-366,L353&lt;=366,J353="",K353="",M353="",N353=""),$AD$23+L353,NA()),IF(I353="nthWeekdayOfMonth",IF(AND(ISNUMBER(J353),J353=INT(J353),J353&gt;=1,J353&lt;=12,ISNUMBER(M353),M353=INT(M353),M353&gt;=1,M353&lt;=7,ISNUMBER(N353),N353=INT(N353),N353&gt;=1,N353&lt;=5,MONTH(DATE(Übersicht!$B$4,J353,1)+MOD(M353-WEEKDAY(DATE(Übersicht!$B$4,J353,1),2),7)+7*(N353-1))=J353,K353="",L353=""),DATE(Übersicht!$B$4,J353,1)+MOD(M353-WEEKDAY(DATE(Übersicht!$B$4,J353,1),2),7)+7*(N353-1),NA()),IF(I353="nthWeekdayOffsetDays",IF(AND(ISNUMBER(J353),J353=INT(J353),J353&gt;=1,J353&lt;=12,ISNUMBER(M353),M353=INT(M353),M353&gt;=1,M353&lt;=7,ISNUMBER(N353),N353=INT(N353),N353&gt;=1,N353&lt;=5,MONTH(DATE(Übersicht!$B$4,J353,1)+MOD(M353-WEEKDAY(DATE(Übersicht!$B$4,J353,1),2),7)+7*(N353-1))=J353,K353="",ISNUMBER(L353),L353=INT(L353),L353&gt;=-366,L353&lt;=366),DATE(Übersicht!$B$4,J353,1)+MOD(M353-WEEKDAY(DATE(Übersicht!$B$4,J353,1),2),7)+7*(N353-1)+L353,NA()),NA())))),NA())</f>
        <v>47095</v>
      </c>
      <c r="X353" s="14">
        <f t="shared" si="5"/>
        <v>47095</v>
      </c>
      <c r="Y353" s="10" t="s">
        <v>1004</v>
      </c>
      <c r="Z353" s="10" t="s">
        <v>782</v>
      </c>
      <c r="AA353" s="24" t="s">
        <v>768</v>
      </c>
    </row>
    <row r="354" spans="1:27" ht="44" customHeight="1">
      <c r="A354" s="11" t="s">
        <v>461</v>
      </c>
      <c r="B354" s="11" t="s">
        <v>447</v>
      </c>
      <c r="C354" s="11" t="s">
        <v>1003</v>
      </c>
      <c r="D354" s="26" t="s">
        <v>803</v>
      </c>
      <c r="E354" s="26" t="s">
        <v>804</v>
      </c>
      <c r="F354" s="27" t="s">
        <v>882</v>
      </c>
      <c r="G354" s="27" t="s">
        <v>883</v>
      </c>
      <c r="H354" s="11" t="s">
        <v>761</v>
      </c>
      <c r="I354" s="11" t="s">
        <v>762</v>
      </c>
      <c r="J354" s="30">
        <v>12</v>
      </c>
      <c r="K354" s="30">
        <v>25</v>
      </c>
      <c r="L354" s="26"/>
      <c r="M354" s="26"/>
      <c r="N354" s="26"/>
      <c r="O354" s="31">
        <v>46023</v>
      </c>
      <c r="P354" s="31"/>
      <c r="Q354" s="26">
        <v>100</v>
      </c>
      <c r="R354" s="26" t="s">
        <v>69</v>
      </c>
      <c r="S354" s="11"/>
      <c r="T354" s="11" t="s">
        <v>764</v>
      </c>
      <c r="U354" s="11"/>
      <c r="V354" s="11" t="s">
        <v>824</v>
      </c>
      <c r="W354" s="15">
        <f>IF(AND(ISNUMBER(Übersicht!$B$4),Übersicht!$B$4=INT(Übersicht!$B$4),Übersicht!$B$4&gt;=2026,Übersicht!$B$4&lt;=2028),IF(I354="fixedMonthDay",IF(AND(ISNUMBER(J354),J354=INT(J354),J354&gt;=1,J354&lt;=12,ISNUMBER(K354),K354=INT(K354),K354&gt;=1,K354&lt;=31,MONTH(DATE(Übersicht!$B$4,J354,K354))=J354,DAY(DATE(Übersicht!$B$4,J354,K354))=K354,L354="",M354="",N354=""),DATE(Übersicht!$B$4,J354,K354),NA()),IF(I354="easterOffsetDays",IF(AND(ISNUMBER(L354),L354=INT(L354),L354&gt;=-366,L354&lt;=366,J354="",K354="",M354="",N354=""),$AD$23+L354,NA()),IF(I354="nthWeekdayOfMonth",IF(AND(ISNUMBER(J354),J354=INT(J354),J354&gt;=1,J354&lt;=12,ISNUMBER(M354),M354=INT(M354),M354&gt;=1,M354&lt;=7,ISNUMBER(N354),N354=INT(N354),N354&gt;=1,N354&lt;=5,MONTH(DATE(Übersicht!$B$4,J354,1)+MOD(M354-WEEKDAY(DATE(Übersicht!$B$4,J354,1),2),7)+7*(N354-1))=J354,K354="",L354=""),DATE(Übersicht!$B$4,J354,1)+MOD(M354-WEEKDAY(DATE(Übersicht!$B$4,J354,1),2),7)+7*(N354-1),NA()),IF(I354="nthWeekdayOffsetDays",IF(AND(ISNUMBER(J354),J354=INT(J354),J354&gt;=1,J354&lt;=12,ISNUMBER(M354),M354=INT(M354),M354&gt;=1,M354&lt;=7,ISNUMBER(N354),N354=INT(N354),N354&gt;=1,N354&lt;=5,MONTH(DATE(Übersicht!$B$4,J354,1)+MOD(M354-WEEKDAY(DATE(Übersicht!$B$4,J354,1),2),7)+7*(N354-1))=J354,K354="",ISNUMBER(L354),L354=INT(L354),L354&gt;=-366,L354&lt;=366),DATE(Übersicht!$B$4,J354,1)+MOD(M354-WEEKDAY(DATE(Übersicht!$B$4,J354,1),2),7)+7*(N354-1)+L354,NA()),NA())))),NA())</f>
        <v>47112</v>
      </c>
      <c r="X354" s="15">
        <f t="shared" si="5"/>
        <v>47112</v>
      </c>
      <c r="Y354" s="11" t="s">
        <v>1004</v>
      </c>
      <c r="Z354" s="11" t="s">
        <v>774</v>
      </c>
      <c r="AA354" s="26" t="s">
        <v>768</v>
      </c>
    </row>
    <row r="355" spans="1:27" ht="44" customHeight="1">
      <c r="A355" s="10" t="s">
        <v>464</v>
      </c>
      <c r="B355" s="10" t="s">
        <v>462</v>
      </c>
      <c r="C355" s="10" t="s">
        <v>1009</v>
      </c>
      <c r="D355" s="24" t="s">
        <v>771</v>
      </c>
      <c r="E355" s="24" t="s">
        <v>772</v>
      </c>
      <c r="F355" s="25" t="s">
        <v>849</v>
      </c>
      <c r="G355" s="25" t="s">
        <v>850</v>
      </c>
      <c r="H355" s="10" t="s">
        <v>761</v>
      </c>
      <c r="I355" s="10" t="s">
        <v>762</v>
      </c>
      <c r="J355" s="28">
        <v>1</v>
      </c>
      <c r="K355" s="28">
        <v>1</v>
      </c>
      <c r="L355" s="24"/>
      <c r="M355" s="24"/>
      <c r="N355" s="24"/>
      <c r="O355" s="29">
        <v>46023</v>
      </c>
      <c r="P355" s="29"/>
      <c r="Q355" s="24">
        <v>100</v>
      </c>
      <c r="R355" s="24" t="s">
        <v>69</v>
      </c>
      <c r="S355" s="10"/>
      <c r="T355" s="10" t="s">
        <v>764</v>
      </c>
      <c r="U355" s="10"/>
      <c r="V355" s="10" t="s">
        <v>824</v>
      </c>
      <c r="W355" s="14">
        <f>IF(AND(ISNUMBER(Übersicht!$B$4),Übersicht!$B$4=INT(Übersicht!$B$4),Übersicht!$B$4&gt;=2026,Übersicht!$B$4&lt;=2028),IF(I355="fixedMonthDay",IF(AND(ISNUMBER(J355),J355=INT(J355),J355&gt;=1,J355&lt;=12,ISNUMBER(K355),K355=INT(K355),K355&gt;=1,K355&lt;=31,MONTH(DATE(Übersicht!$B$4,J355,K355))=J355,DAY(DATE(Übersicht!$B$4,J355,K355))=K355,L355="",M355="",N355=""),DATE(Übersicht!$B$4,J355,K355),NA()),IF(I355="easterOffsetDays",IF(AND(ISNUMBER(L355),L355=INT(L355),L355&gt;=-366,L355&lt;=366,J355="",K355="",M355="",N355=""),$AD$23+L355,NA()),IF(I355="nthWeekdayOfMonth",IF(AND(ISNUMBER(J355),J355=INT(J355),J355&gt;=1,J355&lt;=12,ISNUMBER(M355),M355=INT(M355),M355&gt;=1,M355&lt;=7,ISNUMBER(N355),N355=INT(N355),N355&gt;=1,N355&lt;=5,MONTH(DATE(Übersicht!$B$4,J355,1)+MOD(M355-WEEKDAY(DATE(Übersicht!$B$4,J355,1),2),7)+7*(N355-1))=J355,K355="",L355=""),DATE(Übersicht!$B$4,J355,1)+MOD(M355-WEEKDAY(DATE(Übersicht!$B$4,J355,1),2),7)+7*(N355-1),NA()),IF(I355="nthWeekdayOffsetDays",IF(AND(ISNUMBER(J355),J355=INT(J355),J355&gt;=1,J355&lt;=12,ISNUMBER(M355),M355=INT(M355),M355&gt;=1,M355&lt;=7,ISNUMBER(N355),N355=INT(N355),N355&gt;=1,N355&lt;=5,MONTH(DATE(Übersicht!$B$4,J355,1)+MOD(M355-WEEKDAY(DATE(Übersicht!$B$4,J355,1),2),7)+7*(N355-1))=J355,K355="",ISNUMBER(L355),L355=INT(L355),L355&gt;=-366,L355&lt;=366),DATE(Übersicht!$B$4,J355,1)+MOD(M355-WEEKDAY(DATE(Übersicht!$B$4,J355,1),2),7)+7*(N355-1)+L355,NA()),NA())))),NA())</f>
        <v>46753</v>
      </c>
      <c r="X355" s="14">
        <f t="shared" si="5"/>
        <v>46753</v>
      </c>
      <c r="Y355" s="10" t="s">
        <v>1010</v>
      </c>
      <c r="Z355" s="10" t="s">
        <v>1011</v>
      </c>
      <c r="AA355" s="24" t="s">
        <v>768</v>
      </c>
    </row>
    <row r="356" spans="1:27" ht="44" customHeight="1">
      <c r="A356" s="11" t="s">
        <v>465</v>
      </c>
      <c r="B356" s="11" t="s">
        <v>462</v>
      </c>
      <c r="C356" s="11" t="s">
        <v>1009</v>
      </c>
      <c r="D356" s="26" t="s">
        <v>856</v>
      </c>
      <c r="E356" s="26" t="s">
        <v>857</v>
      </c>
      <c r="F356" s="27" t="s">
        <v>858</v>
      </c>
      <c r="G356" s="27" t="s">
        <v>859</v>
      </c>
      <c r="H356" s="11" t="s">
        <v>761</v>
      </c>
      <c r="I356" s="11" t="s">
        <v>762</v>
      </c>
      <c r="J356" s="30">
        <v>3</v>
      </c>
      <c r="K356" s="30">
        <v>19</v>
      </c>
      <c r="L356" s="26"/>
      <c r="M356" s="26"/>
      <c r="N356" s="26"/>
      <c r="O356" s="31">
        <v>46023</v>
      </c>
      <c r="P356" s="31"/>
      <c r="Q356" s="26">
        <v>100</v>
      </c>
      <c r="R356" s="26" t="s">
        <v>69</v>
      </c>
      <c r="S356" s="11"/>
      <c r="T356" s="11" t="s">
        <v>764</v>
      </c>
      <c r="U356" s="11"/>
      <c r="V356" s="11" t="s">
        <v>824</v>
      </c>
      <c r="W356" s="15">
        <f>IF(AND(ISNUMBER(Übersicht!$B$4),Übersicht!$B$4=INT(Übersicht!$B$4),Übersicht!$B$4&gt;=2026,Übersicht!$B$4&lt;=2028),IF(I356="fixedMonthDay",IF(AND(ISNUMBER(J356),J356=INT(J356),J356&gt;=1,J356&lt;=12,ISNUMBER(K356),K356=INT(K356),K356&gt;=1,K356&lt;=31,MONTH(DATE(Übersicht!$B$4,J356,K356))=J356,DAY(DATE(Übersicht!$B$4,J356,K356))=K356,L356="",M356="",N356=""),DATE(Übersicht!$B$4,J356,K356),NA()),IF(I356="easterOffsetDays",IF(AND(ISNUMBER(L356),L356=INT(L356),L356&gt;=-366,L356&lt;=366,J356="",K356="",M356="",N356=""),$AD$23+L356,NA()),IF(I356="nthWeekdayOfMonth",IF(AND(ISNUMBER(J356),J356=INT(J356),J356&gt;=1,J356&lt;=12,ISNUMBER(M356),M356=INT(M356),M356&gt;=1,M356&lt;=7,ISNUMBER(N356),N356=INT(N356),N356&gt;=1,N356&lt;=5,MONTH(DATE(Übersicht!$B$4,J356,1)+MOD(M356-WEEKDAY(DATE(Übersicht!$B$4,J356,1),2),7)+7*(N356-1))=J356,K356="",L356=""),DATE(Übersicht!$B$4,J356,1)+MOD(M356-WEEKDAY(DATE(Übersicht!$B$4,J356,1),2),7)+7*(N356-1),NA()),IF(I356="nthWeekdayOffsetDays",IF(AND(ISNUMBER(J356),J356=INT(J356),J356&gt;=1,J356&lt;=12,ISNUMBER(M356),M356=INT(M356),M356&gt;=1,M356&lt;=7,ISNUMBER(N356),N356=INT(N356),N356&gt;=1,N356&lt;=5,MONTH(DATE(Übersicht!$B$4,J356,1)+MOD(M356-WEEKDAY(DATE(Übersicht!$B$4,J356,1),2),7)+7*(N356-1))=J356,K356="",ISNUMBER(L356),L356=INT(L356),L356&gt;=-366,L356&lt;=366),DATE(Übersicht!$B$4,J356,1)+MOD(M356-WEEKDAY(DATE(Übersicht!$B$4,J356,1),2),7)+7*(N356-1)+L356,NA()),NA())))),NA())</f>
        <v>46831</v>
      </c>
      <c r="X356" s="15">
        <f t="shared" si="5"/>
        <v>46831</v>
      </c>
      <c r="Y356" s="11" t="s">
        <v>1010</v>
      </c>
      <c r="Z356" s="11" t="s">
        <v>1011</v>
      </c>
      <c r="AA356" s="26" t="s">
        <v>768</v>
      </c>
    </row>
    <row r="357" spans="1:27" ht="44" customHeight="1">
      <c r="A357" s="10" t="s">
        <v>466</v>
      </c>
      <c r="B357" s="10" t="s">
        <v>462</v>
      </c>
      <c r="C357" s="10" t="s">
        <v>1009</v>
      </c>
      <c r="D357" s="24" t="s">
        <v>779</v>
      </c>
      <c r="E357" s="24" t="s">
        <v>780</v>
      </c>
      <c r="F357" s="25" t="s">
        <v>889</v>
      </c>
      <c r="G357" s="25" t="s">
        <v>890</v>
      </c>
      <c r="H357" s="10" t="s">
        <v>761</v>
      </c>
      <c r="I357" s="10" t="s">
        <v>781</v>
      </c>
      <c r="J357" s="28"/>
      <c r="K357" s="28"/>
      <c r="L357" s="24">
        <v>-2</v>
      </c>
      <c r="M357" s="24"/>
      <c r="N357" s="24"/>
      <c r="O357" s="29">
        <v>46023</v>
      </c>
      <c r="P357" s="29"/>
      <c r="Q357" s="24">
        <v>100</v>
      </c>
      <c r="R357" s="24" t="s">
        <v>69</v>
      </c>
      <c r="S357" s="10"/>
      <c r="T357" s="10" t="s">
        <v>764</v>
      </c>
      <c r="U357" s="10"/>
      <c r="V357" s="10" t="s">
        <v>824</v>
      </c>
      <c r="W357" s="14">
        <f>IF(AND(ISNUMBER(Übersicht!$B$4),Übersicht!$B$4=INT(Übersicht!$B$4),Übersicht!$B$4&gt;=2026,Übersicht!$B$4&lt;=2028),IF(I357="fixedMonthDay",IF(AND(ISNUMBER(J357),J357=INT(J357),J357&gt;=1,J357&lt;=12,ISNUMBER(K357),K357=INT(K357),K357&gt;=1,K357&lt;=31,MONTH(DATE(Übersicht!$B$4,J357,K357))=J357,DAY(DATE(Übersicht!$B$4,J357,K357))=K357,L357="",M357="",N357=""),DATE(Übersicht!$B$4,J357,K357),NA()),IF(I357="easterOffsetDays",IF(AND(ISNUMBER(L357),L357=INT(L357),L357&gt;=-366,L357&lt;=366,J357="",K357="",M357="",N357=""),$AD$23+L357,NA()),IF(I357="nthWeekdayOfMonth",IF(AND(ISNUMBER(J357),J357=INT(J357),J357&gt;=1,J357&lt;=12,ISNUMBER(M357),M357=INT(M357),M357&gt;=1,M357&lt;=7,ISNUMBER(N357),N357=INT(N357),N357&gt;=1,N357&lt;=5,MONTH(DATE(Übersicht!$B$4,J357,1)+MOD(M357-WEEKDAY(DATE(Übersicht!$B$4,J357,1),2),7)+7*(N357-1))=J357,K357="",L357=""),DATE(Übersicht!$B$4,J357,1)+MOD(M357-WEEKDAY(DATE(Übersicht!$B$4,J357,1),2),7)+7*(N357-1),NA()),IF(I357="nthWeekdayOffsetDays",IF(AND(ISNUMBER(J357),J357=INT(J357),J357&gt;=1,J357&lt;=12,ISNUMBER(M357),M357=INT(M357),M357&gt;=1,M357&lt;=7,ISNUMBER(N357),N357=INT(N357),N357&gt;=1,N357&lt;=5,MONTH(DATE(Übersicht!$B$4,J357,1)+MOD(M357-WEEKDAY(DATE(Übersicht!$B$4,J357,1),2),7)+7*(N357-1))=J357,K357="",ISNUMBER(L357),L357=INT(L357),L357&gt;=-366,L357&lt;=366),DATE(Übersicht!$B$4,J357,1)+MOD(M357-WEEKDAY(DATE(Übersicht!$B$4,J357,1),2),7)+7*(N357-1)+L357,NA()),NA())))),NA())</f>
        <v>46857</v>
      </c>
      <c r="X357" s="14">
        <f t="shared" si="5"/>
        <v>46857</v>
      </c>
      <c r="Y357" s="10" t="s">
        <v>1010</v>
      </c>
      <c r="Z357" s="10" t="s">
        <v>1012</v>
      </c>
      <c r="AA357" s="24" t="s">
        <v>768</v>
      </c>
    </row>
    <row r="358" spans="1:27" ht="44" customHeight="1">
      <c r="A358" s="11" t="s">
        <v>467</v>
      </c>
      <c r="B358" s="11" t="s">
        <v>462</v>
      </c>
      <c r="C358" s="11" t="s">
        <v>1009</v>
      </c>
      <c r="D358" s="26" t="s">
        <v>784</v>
      </c>
      <c r="E358" s="26" t="s">
        <v>785</v>
      </c>
      <c r="F358" s="27" t="s">
        <v>892</v>
      </c>
      <c r="G358" s="27" t="s">
        <v>893</v>
      </c>
      <c r="H358" s="11" t="s">
        <v>761</v>
      </c>
      <c r="I358" s="11" t="s">
        <v>781</v>
      </c>
      <c r="J358" s="30"/>
      <c r="K358" s="30"/>
      <c r="L358" s="26">
        <v>0</v>
      </c>
      <c r="M358" s="26"/>
      <c r="N358" s="26"/>
      <c r="O358" s="31">
        <v>46023</v>
      </c>
      <c r="P358" s="31"/>
      <c r="Q358" s="26">
        <v>100</v>
      </c>
      <c r="R358" s="26" t="s">
        <v>69</v>
      </c>
      <c r="S358" s="11"/>
      <c r="T358" s="11" t="s">
        <v>764</v>
      </c>
      <c r="U358" s="11"/>
      <c r="V358" s="11" t="s">
        <v>824</v>
      </c>
      <c r="W358" s="15">
        <f>IF(AND(ISNUMBER(Übersicht!$B$4),Übersicht!$B$4=INT(Übersicht!$B$4),Übersicht!$B$4&gt;=2026,Übersicht!$B$4&lt;=2028),IF(I358="fixedMonthDay",IF(AND(ISNUMBER(J358),J358=INT(J358),J358&gt;=1,J358&lt;=12,ISNUMBER(K358),K358=INT(K358),K358&gt;=1,K358&lt;=31,MONTH(DATE(Übersicht!$B$4,J358,K358))=J358,DAY(DATE(Übersicht!$B$4,J358,K358))=K358,L358="",M358="",N358=""),DATE(Übersicht!$B$4,J358,K358),NA()),IF(I358="easterOffsetDays",IF(AND(ISNUMBER(L358),L358=INT(L358),L358&gt;=-366,L358&lt;=366,J358="",K358="",M358="",N358=""),$AD$23+L358,NA()),IF(I358="nthWeekdayOfMonth",IF(AND(ISNUMBER(J358),J358=INT(J358),J358&gt;=1,J358&lt;=12,ISNUMBER(M358),M358=INT(M358),M358&gt;=1,M358&lt;=7,ISNUMBER(N358),N358=INT(N358),N358&gt;=1,N358&lt;=5,MONTH(DATE(Übersicht!$B$4,J358,1)+MOD(M358-WEEKDAY(DATE(Übersicht!$B$4,J358,1),2),7)+7*(N358-1))=J358,K358="",L358=""),DATE(Übersicht!$B$4,J358,1)+MOD(M358-WEEKDAY(DATE(Übersicht!$B$4,J358,1),2),7)+7*(N358-1),NA()),IF(I358="nthWeekdayOffsetDays",IF(AND(ISNUMBER(J358),J358=INT(J358),J358&gt;=1,J358&lt;=12,ISNUMBER(M358),M358=INT(M358),M358&gt;=1,M358&lt;=7,ISNUMBER(N358),N358=INT(N358),N358&gt;=1,N358&lt;=5,MONTH(DATE(Übersicht!$B$4,J358,1)+MOD(M358-WEEKDAY(DATE(Übersicht!$B$4,J358,1),2),7)+7*(N358-1))=J358,K358="",ISNUMBER(L358),L358=INT(L358),L358&gt;=-366,L358&lt;=366),DATE(Übersicht!$B$4,J358,1)+MOD(M358-WEEKDAY(DATE(Übersicht!$B$4,J358,1),2),7)+7*(N358-1)+L358,NA()),NA())))),NA())</f>
        <v>46859</v>
      </c>
      <c r="X358" s="15">
        <f t="shared" si="5"/>
        <v>46859</v>
      </c>
      <c r="Y358" s="11" t="s">
        <v>1010</v>
      </c>
      <c r="Z358" s="11" t="s">
        <v>1012</v>
      </c>
      <c r="AA358" s="26" t="s">
        <v>768</v>
      </c>
    </row>
    <row r="359" spans="1:27" ht="44" customHeight="1">
      <c r="A359" s="10" t="s">
        <v>468</v>
      </c>
      <c r="B359" s="10" t="s">
        <v>462</v>
      </c>
      <c r="C359" s="10" t="s">
        <v>1009</v>
      </c>
      <c r="D359" s="24" t="s">
        <v>790</v>
      </c>
      <c r="E359" s="24" t="s">
        <v>791</v>
      </c>
      <c r="F359" s="25" t="s">
        <v>864</v>
      </c>
      <c r="G359" s="25" t="s">
        <v>865</v>
      </c>
      <c r="H359" s="10" t="s">
        <v>761</v>
      </c>
      <c r="I359" s="10" t="s">
        <v>781</v>
      </c>
      <c r="J359" s="28"/>
      <c r="K359" s="28"/>
      <c r="L359" s="24">
        <v>39</v>
      </c>
      <c r="M359" s="24"/>
      <c r="N359" s="24"/>
      <c r="O359" s="29">
        <v>46023</v>
      </c>
      <c r="P359" s="29"/>
      <c r="Q359" s="24">
        <v>100</v>
      </c>
      <c r="R359" s="24" t="s">
        <v>69</v>
      </c>
      <c r="S359" s="10"/>
      <c r="T359" s="10" t="s">
        <v>764</v>
      </c>
      <c r="U359" s="10"/>
      <c r="V359" s="10" t="s">
        <v>824</v>
      </c>
      <c r="W359" s="14">
        <f>IF(AND(ISNUMBER(Übersicht!$B$4),Übersicht!$B$4=INT(Übersicht!$B$4),Übersicht!$B$4&gt;=2026,Übersicht!$B$4&lt;=2028),IF(I359="fixedMonthDay",IF(AND(ISNUMBER(J359),J359=INT(J359),J359&gt;=1,J359&lt;=12,ISNUMBER(K359),K359=INT(K359),K359&gt;=1,K359&lt;=31,MONTH(DATE(Übersicht!$B$4,J359,K359))=J359,DAY(DATE(Übersicht!$B$4,J359,K359))=K359,L359="",M359="",N359=""),DATE(Übersicht!$B$4,J359,K359),NA()),IF(I359="easterOffsetDays",IF(AND(ISNUMBER(L359),L359=INT(L359),L359&gt;=-366,L359&lt;=366,J359="",K359="",M359="",N359=""),$AD$23+L359,NA()),IF(I359="nthWeekdayOfMonth",IF(AND(ISNUMBER(J359),J359=INT(J359),J359&gt;=1,J359&lt;=12,ISNUMBER(M359),M359=INT(M359),M359&gt;=1,M359&lt;=7,ISNUMBER(N359),N359=INT(N359),N359&gt;=1,N359&lt;=5,MONTH(DATE(Übersicht!$B$4,J359,1)+MOD(M359-WEEKDAY(DATE(Übersicht!$B$4,J359,1),2),7)+7*(N359-1))=J359,K359="",L359=""),DATE(Übersicht!$B$4,J359,1)+MOD(M359-WEEKDAY(DATE(Übersicht!$B$4,J359,1),2),7)+7*(N359-1),NA()),IF(I359="nthWeekdayOffsetDays",IF(AND(ISNUMBER(J359),J359=INT(J359),J359&gt;=1,J359&lt;=12,ISNUMBER(M359),M359=INT(M359),M359&gt;=1,M359&lt;=7,ISNUMBER(N359),N359=INT(N359),N359&gt;=1,N359&lt;=5,MONTH(DATE(Übersicht!$B$4,J359,1)+MOD(M359-WEEKDAY(DATE(Übersicht!$B$4,J359,1),2),7)+7*(N359-1))=J359,K359="",ISNUMBER(L359),L359=INT(L359),L359&gt;=-366,L359&lt;=366),DATE(Übersicht!$B$4,J359,1)+MOD(M359-WEEKDAY(DATE(Übersicht!$B$4,J359,1),2),7)+7*(N359-1)+L359,NA()),NA())))),NA())</f>
        <v>46898</v>
      </c>
      <c r="X359" s="14">
        <f t="shared" si="5"/>
        <v>46898</v>
      </c>
      <c r="Y359" s="10" t="s">
        <v>1010</v>
      </c>
      <c r="Z359" s="10" t="s">
        <v>1011</v>
      </c>
      <c r="AA359" s="24" t="s">
        <v>768</v>
      </c>
    </row>
    <row r="360" spans="1:27" ht="44" customHeight="1">
      <c r="A360" s="11" t="s">
        <v>469</v>
      </c>
      <c r="B360" s="11" t="s">
        <v>462</v>
      </c>
      <c r="C360" s="11" t="s">
        <v>1009</v>
      </c>
      <c r="D360" s="26" t="s">
        <v>793</v>
      </c>
      <c r="E360" s="26" t="s">
        <v>794</v>
      </c>
      <c r="F360" s="27" t="s">
        <v>896</v>
      </c>
      <c r="G360" s="27" t="s">
        <v>897</v>
      </c>
      <c r="H360" s="11" t="s">
        <v>761</v>
      </c>
      <c r="I360" s="11" t="s">
        <v>781</v>
      </c>
      <c r="J360" s="30"/>
      <c r="K360" s="30"/>
      <c r="L360" s="26">
        <v>49</v>
      </c>
      <c r="M360" s="26"/>
      <c r="N360" s="26"/>
      <c r="O360" s="31">
        <v>46023</v>
      </c>
      <c r="P360" s="31"/>
      <c r="Q360" s="26">
        <v>100</v>
      </c>
      <c r="R360" s="26" t="s">
        <v>69</v>
      </c>
      <c r="S360" s="11"/>
      <c r="T360" s="11" t="s">
        <v>764</v>
      </c>
      <c r="U360" s="11"/>
      <c r="V360" s="11" t="s">
        <v>824</v>
      </c>
      <c r="W360" s="15">
        <f>IF(AND(ISNUMBER(Übersicht!$B$4),Übersicht!$B$4=INT(Übersicht!$B$4),Übersicht!$B$4&gt;=2026,Übersicht!$B$4&lt;=2028),IF(I360="fixedMonthDay",IF(AND(ISNUMBER(J360),J360=INT(J360),J360&gt;=1,J360&lt;=12,ISNUMBER(K360),K360=INT(K360),K360&gt;=1,K360&lt;=31,MONTH(DATE(Übersicht!$B$4,J360,K360))=J360,DAY(DATE(Übersicht!$B$4,J360,K360))=K360,L360="",M360="",N360=""),DATE(Übersicht!$B$4,J360,K360),NA()),IF(I360="easterOffsetDays",IF(AND(ISNUMBER(L360),L360=INT(L360),L360&gt;=-366,L360&lt;=366,J360="",K360="",M360="",N360=""),$AD$23+L360,NA()),IF(I360="nthWeekdayOfMonth",IF(AND(ISNUMBER(J360),J360=INT(J360),J360&gt;=1,J360&lt;=12,ISNUMBER(M360),M360=INT(M360),M360&gt;=1,M360&lt;=7,ISNUMBER(N360),N360=INT(N360),N360&gt;=1,N360&lt;=5,MONTH(DATE(Übersicht!$B$4,J360,1)+MOD(M360-WEEKDAY(DATE(Übersicht!$B$4,J360,1),2),7)+7*(N360-1))=J360,K360="",L360=""),DATE(Übersicht!$B$4,J360,1)+MOD(M360-WEEKDAY(DATE(Übersicht!$B$4,J360,1),2),7)+7*(N360-1),NA()),IF(I360="nthWeekdayOffsetDays",IF(AND(ISNUMBER(J360),J360=INT(J360),J360&gt;=1,J360&lt;=12,ISNUMBER(M360),M360=INT(M360),M360&gt;=1,M360&lt;=7,ISNUMBER(N360),N360=INT(N360),N360&gt;=1,N360&lt;=5,MONTH(DATE(Übersicht!$B$4,J360,1)+MOD(M360-WEEKDAY(DATE(Übersicht!$B$4,J360,1),2),7)+7*(N360-1))=J360,K360="",ISNUMBER(L360),L360=INT(L360),L360&gt;=-366,L360&lt;=366),DATE(Übersicht!$B$4,J360,1)+MOD(M360-WEEKDAY(DATE(Übersicht!$B$4,J360,1),2),7)+7*(N360-1)+L360,NA()),NA())))),NA())</f>
        <v>46908</v>
      </c>
      <c r="X360" s="15">
        <f t="shared" si="5"/>
        <v>46908</v>
      </c>
      <c r="Y360" s="11" t="s">
        <v>1010</v>
      </c>
      <c r="Z360" s="11" t="s">
        <v>1012</v>
      </c>
      <c r="AA360" s="26" t="s">
        <v>768</v>
      </c>
    </row>
    <row r="361" spans="1:27" ht="44" customHeight="1">
      <c r="A361" s="10" t="s">
        <v>470</v>
      </c>
      <c r="B361" s="10" t="s">
        <v>462</v>
      </c>
      <c r="C361" s="10" t="s">
        <v>1009</v>
      </c>
      <c r="D361" s="24" t="s">
        <v>810</v>
      </c>
      <c r="E361" s="24" t="s">
        <v>811</v>
      </c>
      <c r="F361" s="25" t="s">
        <v>868</v>
      </c>
      <c r="G361" s="25" t="s">
        <v>869</v>
      </c>
      <c r="H361" s="10" t="s">
        <v>761</v>
      </c>
      <c r="I361" s="10" t="s">
        <v>781</v>
      </c>
      <c r="J361" s="28"/>
      <c r="K361" s="28"/>
      <c r="L361" s="24">
        <v>60</v>
      </c>
      <c r="M361" s="24"/>
      <c r="N361" s="24"/>
      <c r="O361" s="29">
        <v>46023</v>
      </c>
      <c r="P361" s="29"/>
      <c r="Q361" s="24">
        <v>100</v>
      </c>
      <c r="R361" s="24" t="s">
        <v>69</v>
      </c>
      <c r="S361" s="10"/>
      <c r="T361" s="10" t="s">
        <v>764</v>
      </c>
      <c r="U361" s="10"/>
      <c r="V361" s="10" t="s">
        <v>824</v>
      </c>
      <c r="W361" s="14">
        <f>IF(AND(ISNUMBER(Übersicht!$B$4),Übersicht!$B$4=INT(Übersicht!$B$4),Übersicht!$B$4&gt;=2026,Übersicht!$B$4&lt;=2028),IF(I361="fixedMonthDay",IF(AND(ISNUMBER(J361),J361=INT(J361),J361&gt;=1,J361&lt;=12,ISNUMBER(K361),K361=INT(K361),K361&gt;=1,K361&lt;=31,MONTH(DATE(Übersicht!$B$4,J361,K361))=J361,DAY(DATE(Übersicht!$B$4,J361,K361))=K361,L361="",M361="",N361=""),DATE(Übersicht!$B$4,J361,K361),NA()),IF(I361="easterOffsetDays",IF(AND(ISNUMBER(L361),L361=INT(L361),L361&gt;=-366,L361&lt;=366,J361="",K361="",M361="",N361=""),$AD$23+L361,NA()),IF(I361="nthWeekdayOfMonth",IF(AND(ISNUMBER(J361),J361=INT(J361),J361&gt;=1,J361&lt;=12,ISNUMBER(M361),M361=INT(M361),M361&gt;=1,M361&lt;=7,ISNUMBER(N361),N361=INT(N361),N361&gt;=1,N361&lt;=5,MONTH(DATE(Übersicht!$B$4,J361,1)+MOD(M361-WEEKDAY(DATE(Übersicht!$B$4,J361,1),2),7)+7*(N361-1))=J361,K361="",L361=""),DATE(Übersicht!$B$4,J361,1)+MOD(M361-WEEKDAY(DATE(Übersicht!$B$4,J361,1),2),7)+7*(N361-1),NA()),IF(I361="nthWeekdayOffsetDays",IF(AND(ISNUMBER(J361),J361=INT(J361),J361&gt;=1,J361&lt;=12,ISNUMBER(M361),M361=INT(M361),M361&gt;=1,M361&lt;=7,ISNUMBER(N361),N361=INT(N361),N361&gt;=1,N361&lt;=5,MONTH(DATE(Übersicht!$B$4,J361,1)+MOD(M361-WEEKDAY(DATE(Übersicht!$B$4,J361,1),2),7)+7*(N361-1))=J361,K361="",ISNUMBER(L361),L361=INT(L361),L361&gt;=-366,L361&lt;=366),DATE(Übersicht!$B$4,J361,1)+MOD(M361-WEEKDAY(DATE(Übersicht!$B$4,J361,1),2),7)+7*(N361-1)+L361,NA()),NA())))),NA())</f>
        <v>46919</v>
      </c>
      <c r="X361" s="14">
        <f t="shared" si="5"/>
        <v>46919</v>
      </c>
      <c r="Y361" s="10" t="s">
        <v>1010</v>
      </c>
      <c r="Z361" s="10" t="s">
        <v>1011</v>
      </c>
      <c r="AA361" s="24" t="s">
        <v>768</v>
      </c>
    </row>
    <row r="362" spans="1:27" ht="44" customHeight="1">
      <c r="A362" s="11" t="s">
        <v>471</v>
      </c>
      <c r="B362" s="11" t="s">
        <v>462</v>
      </c>
      <c r="C362" s="11" t="s">
        <v>1009</v>
      </c>
      <c r="D362" s="26" t="s">
        <v>759</v>
      </c>
      <c r="E362" s="26" t="s">
        <v>760</v>
      </c>
      <c r="F362" s="27" t="s">
        <v>874</v>
      </c>
      <c r="G362" s="27" t="s">
        <v>875</v>
      </c>
      <c r="H362" s="11" t="s">
        <v>761</v>
      </c>
      <c r="I362" s="11" t="s">
        <v>762</v>
      </c>
      <c r="J362" s="30">
        <v>8</v>
      </c>
      <c r="K362" s="30">
        <v>1</v>
      </c>
      <c r="L362" s="26"/>
      <c r="M362" s="26"/>
      <c r="N362" s="26"/>
      <c r="O362" s="31">
        <v>46023</v>
      </c>
      <c r="P362" s="31"/>
      <c r="Q362" s="26">
        <v>100</v>
      </c>
      <c r="R362" s="26" t="s">
        <v>69</v>
      </c>
      <c r="S362" s="11"/>
      <c r="T362" s="11" t="s">
        <v>764</v>
      </c>
      <c r="U362" s="11"/>
      <c r="V362" s="11" t="s">
        <v>824</v>
      </c>
      <c r="W362" s="15">
        <f>IF(AND(ISNUMBER(Übersicht!$B$4),Übersicht!$B$4=INT(Übersicht!$B$4),Übersicht!$B$4&gt;=2026,Übersicht!$B$4&lt;=2028),IF(I362="fixedMonthDay",IF(AND(ISNUMBER(J362),J362=INT(J362),J362&gt;=1,J362&lt;=12,ISNUMBER(K362),K362=INT(K362),K362&gt;=1,K362&lt;=31,MONTH(DATE(Übersicht!$B$4,J362,K362))=J362,DAY(DATE(Übersicht!$B$4,J362,K362))=K362,L362="",M362="",N362=""),DATE(Übersicht!$B$4,J362,K362),NA()),IF(I362="easterOffsetDays",IF(AND(ISNUMBER(L362),L362=INT(L362),L362&gt;=-366,L362&lt;=366,J362="",K362="",M362="",N362=""),$AD$23+L362,NA()),IF(I362="nthWeekdayOfMonth",IF(AND(ISNUMBER(J362),J362=INT(J362),J362&gt;=1,J362&lt;=12,ISNUMBER(M362),M362=INT(M362),M362&gt;=1,M362&lt;=7,ISNUMBER(N362),N362=INT(N362),N362&gt;=1,N362&lt;=5,MONTH(DATE(Übersicht!$B$4,J362,1)+MOD(M362-WEEKDAY(DATE(Übersicht!$B$4,J362,1),2),7)+7*(N362-1))=J362,K362="",L362=""),DATE(Übersicht!$B$4,J362,1)+MOD(M362-WEEKDAY(DATE(Übersicht!$B$4,J362,1),2),7)+7*(N362-1),NA()),IF(I362="nthWeekdayOffsetDays",IF(AND(ISNUMBER(J362),J362=INT(J362),J362&gt;=1,J362&lt;=12,ISNUMBER(M362),M362=INT(M362),M362&gt;=1,M362&lt;=7,ISNUMBER(N362),N362=INT(N362),N362&gt;=1,N362&lt;=5,MONTH(DATE(Übersicht!$B$4,J362,1)+MOD(M362-WEEKDAY(DATE(Übersicht!$B$4,J362,1),2),7)+7*(N362-1))=J362,K362="",ISNUMBER(L362),L362=INT(L362),L362&gt;=-366,L362&lt;=366),DATE(Übersicht!$B$4,J362,1)+MOD(M362-WEEKDAY(DATE(Übersicht!$B$4,J362,1),2),7)+7*(N362-1)+L362,NA()),NA())))),NA())</f>
        <v>46966</v>
      </c>
      <c r="X362" s="15">
        <f t="shared" si="5"/>
        <v>46966</v>
      </c>
      <c r="Y362" s="11" t="s">
        <v>766</v>
      </c>
      <c r="Z362" s="11" t="s">
        <v>989</v>
      </c>
      <c r="AA362" s="26" t="s">
        <v>768</v>
      </c>
    </row>
    <row r="363" spans="1:27" ht="44" customHeight="1">
      <c r="A363" s="10" t="s">
        <v>472</v>
      </c>
      <c r="B363" s="10" t="s">
        <v>462</v>
      </c>
      <c r="C363" s="10" t="s">
        <v>1009</v>
      </c>
      <c r="D363" s="24" t="s">
        <v>834</v>
      </c>
      <c r="E363" s="24" t="s">
        <v>835</v>
      </c>
      <c r="F363" s="25" t="s">
        <v>876</v>
      </c>
      <c r="G363" s="25" t="s">
        <v>877</v>
      </c>
      <c r="H363" s="10" t="s">
        <v>761</v>
      </c>
      <c r="I363" s="10" t="s">
        <v>762</v>
      </c>
      <c r="J363" s="28">
        <v>8</v>
      </c>
      <c r="K363" s="28">
        <v>15</v>
      </c>
      <c r="L363" s="24"/>
      <c r="M363" s="24"/>
      <c r="N363" s="24"/>
      <c r="O363" s="29">
        <v>46023</v>
      </c>
      <c r="P363" s="29"/>
      <c r="Q363" s="24">
        <v>100</v>
      </c>
      <c r="R363" s="24" t="s">
        <v>69</v>
      </c>
      <c r="S363" s="10"/>
      <c r="T363" s="10" t="s">
        <v>764</v>
      </c>
      <c r="U363" s="10"/>
      <c r="V363" s="10" t="s">
        <v>824</v>
      </c>
      <c r="W363" s="14">
        <f>IF(AND(ISNUMBER(Übersicht!$B$4),Übersicht!$B$4=INT(Übersicht!$B$4),Übersicht!$B$4&gt;=2026,Übersicht!$B$4&lt;=2028),IF(I363="fixedMonthDay",IF(AND(ISNUMBER(J363),J363=INT(J363),J363&gt;=1,J363&lt;=12,ISNUMBER(K363),K363=INT(K363),K363&gt;=1,K363&lt;=31,MONTH(DATE(Übersicht!$B$4,J363,K363))=J363,DAY(DATE(Übersicht!$B$4,J363,K363))=K363,L363="",M363="",N363=""),DATE(Übersicht!$B$4,J363,K363),NA()),IF(I363="easterOffsetDays",IF(AND(ISNUMBER(L363),L363=INT(L363),L363&gt;=-366,L363&lt;=366,J363="",K363="",M363="",N363=""),$AD$23+L363,NA()),IF(I363="nthWeekdayOfMonth",IF(AND(ISNUMBER(J363),J363=INT(J363),J363&gt;=1,J363&lt;=12,ISNUMBER(M363),M363=INT(M363),M363&gt;=1,M363&lt;=7,ISNUMBER(N363),N363=INT(N363),N363&gt;=1,N363&lt;=5,MONTH(DATE(Übersicht!$B$4,J363,1)+MOD(M363-WEEKDAY(DATE(Übersicht!$B$4,J363,1),2),7)+7*(N363-1))=J363,K363="",L363=""),DATE(Übersicht!$B$4,J363,1)+MOD(M363-WEEKDAY(DATE(Übersicht!$B$4,J363,1),2),7)+7*(N363-1),NA()),IF(I363="nthWeekdayOffsetDays",IF(AND(ISNUMBER(J363),J363=INT(J363),J363&gt;=1,J363&lt;=12,ISNUMBER(M363),M363=INT(M363),M363&gt;=1,M363&lt;=7,ISNUMBER(N363),N363=INT(N363),N363&gt;=1,N363&lt;=5,MONTH(DATE(Übersicht!$B$4,J363,1)+MOD(M363-WEEKDAY(DATE(Übersicht!$B$4,J363,1),2),7)+7*(N363-1))=J363,K363="",ISNUMBER(L363),L363=INT(L363),L363&gt;=-366,L363&lt;=366),DATE(Übersicht!$B$4,J363,1)+MOD(M363-WEEKDAY(DATE(Übersicht!$B$4,J363,1),2),7)+7*(N363-1)+L363,NA()),NA())))),NA())</f>
        <v>46980</v>
      </c>
      <c r="X363" s="14">
        <f t="shared" si="5"/>
        <v>46980</v>
      </c>
      <c r="Y363" s="10" t="s">
        <v>1010</v>
      </c>
      <c r="Z363" s="10" t="s">
        <v>1011</v>
      </c>
      <c r="AA363" s="24" t="s">
        <v>768</v>
      </c>
    </row>
    <row r="364" spans="1:27" ht="44" customHeight="1">
      <c r="A364" s="11" t="s">
        <v>473</v>
      </c>
      <c r="B364" s="11" t="s">
        <v>462</v>
      </c>
      <c r="C364" s="11" t="s">
        <v>1009</v>
      </c>
      <c r="D364" s="26" t="s">
        <v>799</v>
      </c>
      <c r="E364" s="26" t="s">
        <v>800</v>
      </c>
      <c r="F364" s="27" t="s">
        <v>899</v>
      </c>
      <c r="G364" s="27" t="s">
        <v>900</v>
      </c>
      <c r="H364" s="11" t="s">
        <v>761</v>
      </c>
      <c r="I364" s="11" t="s">
        <v>801</v>
      </c>
      <c r="J364" s="30">
        <v>9</v>
      </c>
      <c r="K364" s="30"/>
      <c r="L364" s="26"/>
      <c r="M364" s="26">
        <v>7</v>
      </c>
      <c r="N364" s="26">
        <v>3</v>
      </c>
      <c r="O364" s="31">
        <v>46023</v>
      </c>
      <c r="P364" s="31"/>
      <c r="Q364" s="26">
        <v>100</v>
      </c>
      <c r="R364" s="26" t="s">
        <v>69</v>
      </c>
      <c r="S364" s="11"/>
      <c r="T364" s="11" t="s">
        <v>764</v>
      </c>
      <c r="U364" s="11"/>
      <c r="V364" s="11" t="s">
        <v>824</v>
      </c>
      <c r="W364" s="15">
        <f>IF(AND(ISNUMBER(Übersicht!$B$4),Übersicht!$B$4=INT(Übersicht!$B$4),Übersicht!$B$4&gt;=2026,Übersicht!$B$4&lt;=2028),IF(I364="fixedMonthDay",IF(AND(ISNUMBER(J364),J364=INT(J364),J364&gt;=1,J364&lt;=12,ISNUMBER(K364),K364=INT(K364),K364&gt;=1,K364&lt;=31,MONTH(DATE(Übersicht!$B$4,J364,K364))=J364,DAY(DATE(Übersicht!$B$4,J364,K364))=K364,L364="",M364="",N364=""),DATE(Übersicht!$B$4,J364,K364),NA()),IF(I364="easterOffsetDays",IF(AND(ISNUMBER(L364),L364=INT(L364),L364&gt;=-366,L364&lt;=366,J364="",K364="",M364="",N364=""),$AD$23+L364,NA()),IF(I364="nthWeekdayOfMonth",IF(AND(ISNUMBER(J364),J364=INT(J364),J364&gt;=1,J364&lt;=12,ISNUMBER(M364),M364=INT(M364),M364&gt;=1,M364&lt;=7,ISNUMBER(N364),N364=INT(N364),N364&gt;=1,N364&lt;=5,MONTH(DATE(Übersicht!$B$4,J364,1)+MOD(M364-WEEKDAY(DATE(Übersicht!$B$4,J364,1),2),7)+7*(N364-1))=J364,K364="",L364=""),DATE(Übersicht!$B$4,J364,1)+MOD(M364-WEEKDAY(DATE(Übersicht!$B$4,J364,1),2),7)+7*(N364-1),NA()),IF(I364="nthWeekdayOffsetDays",IF(AND(ISNUMBER(J364),J364=INT(J364),J364&gt;=1,J364&lt;=12,ISNUMBER(M364),M364=INT(M364),M364&gt;=1,M364&lt;=7,ISNUMBER(N364),N364=INT(N364),N364&gt;=1,N364&lt;=5,MONTH(DATE(Übersicht!$B$4,J364,1)+MOD(M364-WEEKDAY(DATE(Übersicht!$B$4,J364,1),2),7)+7*(N364-1))=J364,K364="",ISNUMBER(L364),L364=INT(L364),L364&gt;=-366,L364&lt;=366),DATE(Übersicht!$B$4,J364,1)+MOD(M364-WEEKDAY(DATE(Übersicht!$B$4,J364,1),2),7)+7*(N364-1)+L364,NA()),NA())))),NA())</f>
        <v>47013</v>
      </c>
      <c r="X364" s="15">
        <f t="shared" si="5"/>
        <v>47013</v>
      </c>
      <c r="Y364" s="11" t="s">
        <v>1010</v>
      </c>
      <c r="Z364" s="11" t="s">
        <v>1012</v>
      </c>
      <c r="AA364" s="26" t="s">
        <v>768</v>
      </c>
    </row>
    <row r="365" spans="1:27" ht="44" customHeight="1">
      <c r="A365" s="10" t="s">
        <v>474</v>
      </c>
      <c r="B365" s="10" t="s">
        <v>462</v>
      </c>
      <c r="C365" s="10" t="s">
        <v>1009</v>
      </c>
      <c r="D365" s="24" t="s">
        <v>821</v>
      </c>
      <c r="E365" s="24" t="s">
        <v>822</v>
      </c>
      <c r="F365" s="25" t="s">
        <v>878</v>
      </c>
      <c r="G365" s="25" t="s">
        <v>879</v>
      </c>
      <c r="H365" s="10" t="s">
        <v>761</v>
      </c>
      <c r="I365" s="10" t="s">
        <v>762</v>
      </c>
      <c r="J365" s="28">
        <v>11</v>
      </c>
      <c r="K365" s="28">
        <v>1</v>
      </c>
      <c r="L365" s="24"/>
      <c r="M365" s="24"/>
      <c r="N365" s="24"/>
      <c r="O365" s="29">
        <v>46023</v>
      </c>
      <c r="P365" s="29"/>
      <c r="Q365" s="24">
        <v>100</v>
      </c>
      <c r="R365" s="24" t="s">
        <v>69</v>
      </c>
      <c r="S365" s="10"/>
      <c r="T365" s="10" t="s">
        <v>764</v>
      </c>
      <c r="U365" s="10"/>
      <c r="V365" s="10" t="s">
        <v>824</v>
      </c>
      <c r="W365" s="14">
        <f>IF(AND(ISNUMBER(Übersicht!$B$4),Übersicht!$B$4=INT(Übersicht!$B$4),Übersicht!$B$4&gt;=2026,Übersicht!$B$4&lt;=2028),IF(I365="fixedMonthDay",IF(AND(ISNUMBER(J365),J365=INT(J365),J365&gt;=1,J365&lt;=12,ISNUMBER(K365),K365=INT(K365),K365&gt;=1,K365&lt;=31,MONTH(DATE(Übersicht!$B$4,J365,K365))=J365,DAY(DATE(Übersicht!$B$4,J365,K365))=K365,L365="",M365="",N365=""),DATE(Übersicht!$B$4,J365,K365),NA()),IF(I365="easterOffsetDays",IF(AND(ISNUMBER(L365),L365=INT(L365),L365&gt;=-366,L365&lt;=366,J365="",K365="",M365="",N365=""),$AD$23+L365,NA()),IF(I365="nthWeekdayOfMonth",IF(AND(ISNUMBER(J365),J365=INT(J365),J365&gt;=1,J365&lt;=12,ISNUMBER(M365),M365=INT(M365),M365&gt;=1,M365&lt;=7,ISNUMBER(N365),N365=INT(N365),N365&gt;=1,N365&lt;=5,MONTH(DATE(Übersicht!$B$4,J365,1)+MOD(M365-WEEKDAY(DATE(Übersicht!$B$4,J365,1),2),7)+7*(N365-1))=J365,K365="",L365=""),DATE(Übersicht!$B$4,J365,1)+MOD(M365-WEEKDAY(DATE(Übersicht!$B$4,J365,1),2),7)+7*(N365-1),NA()),IF(I365="nthWeekdayOffsetDays",IF(AND(ISNUMBER(J365),J365=INT(J365),J365&gt;=1,J365&lt;=12,ISNUMBER(M365),M365=INT(M365),M365&gt;=1,M365&lt;=7,ISNUMBER(N365),N365=INT(N365),N365&gt;=1,N365&lt;=5,MONTH(DATE(Übersicht!$B$4,J365,1)+MOD(M365-WEEKDAY(DATE(Übersicht!$B$4,J365,1),2),7)+7*(N365-1))=J365,K365="",ISNUMBER(L365),L365=INT(L365),L365&gt;=-366,L365&lt;=366),DATE(Übersicht!$B$4,J365,1)+MOD(M365-WEEKDAY(DATE(Übersicht!$B$4,J365,1),2),7)+7*(N365-1)+L365,NA()),NA())))),NA())</f>
        <v>47058</v>
      </c>
      <c r="X365" s="14">
        <f t="shared" si="5"/>
        <v>47058</v>
      </c>
      <c r="Y365" s="10" t="s">
        <v>1010</v>
      </c>
      <c r="Z365" s="10" t="s">
        <v>1011</v>
      </c>
      <c r="AA365" s="24" t="s">
        <v>768</v>
      </c>
    </row>
    <row r="366" spans="1:27" ht="44" customHeight="1">
      <c r="A366" s="11" t="s">
        <v>475</v>
      </c>
      <c r="B366" s="11" t="s">
        <v>462</v>
      </c>
      <c r="C366" s="11" t="s">
        <v>1009</v>
      </c>
      <c r="D366" s="26" t="s">
        <v>838</v>
      </c>
      <c r="E366" s="26" t="s">
        <v>839</v>
      </c>
      <c r="F366" s="27" t="s">
        <v>880</v>
      </c>
      <c r="G366" s="27" t="s">
        <v>881</v>
      </c>
      <c r="H366" s="11" t="s">
        <v>761</v>
      </c>
      <c r="I366" s="11" t="s">
        <v>762</v>
      </c>
      <c r="J366" s="30">
        <v>12</v>
      </c>
      <c r="K366" s="30">
        <v>8</v>
      </c>
      <c r="L366" s="26"/>
      <c r="M366" s="26"/>
      <c r="N366" s="26"/>
      <c r="O366" s="31">
        <v>46023</v>
      </c>
      <c r="P366" s="31"/>
      <c r="Q366" s="26">
        <v>100</v>
      </c>
      <c r="R366" s="26" t="s">
        <v>69</v>
      </c>
      <c r="S366" s="11"/>
      <c r="T366" s="11" t="s">
        <v>764</v>
      </c>
      <c r="U366" s="11"/>
      <c r="V366" s="11" t="s">
        <v>824</v>
      </c>
      <c r="W366" s="15">
        <f>IF(AND(ISNUMBER(Übersicht!$B$4),Übersicht!$B$4=INT(Übersicht!$B$4),Übersicht!$B$4&gt;=2026,Übersicht!$B$4&lt;=2028),IF(I366="fixedMonthDay",IF(AND(ISNUMBER(J366),J366=INT(J366),J366&gt;=1,J366&lt;=12,ISNUMBER(K366),K366=INT(K366),K366&gt;=1,K366&lt;=31,MONTH(DATE(Übersicht!$B$4,J366,K366))=J366,DAY(DATE(Übersicht!$B$4,J366,K366))=K366,L366="",M366="",N366=""),DATE(Übersicht!$B$4,J366,K366),NA()),IF(I366="easterOffsetDays",IF(AND(ISNUMBER(L366),L366=INT(L366),L366&gt;=-366,L366&lt;=366,J366="",K366="",M366="",N366=""),$AD$23+L366,NA()),IF(I366="nthWeekdayOfMonth",IF(AND(ISNUMBER(J366),J366=INT(J366),J366&gt;=1,J366&lt;=12,ISNUMBER(M366),M366=INT(M366),M366&gt;=1,M366&lt;=7,ISNUMBER(N366),N366=INT(N366),N366&gt;=1,N366&lt;=5,MONTH(DATE(Übersicht!$B$4,J366,1)+MOD(M366-WEEKDAY(DATE(Übersicht!$B$4,J366,1),2),7)+7*(N366-1))=J366,K366="",L366=""),DATE(Übersicht!$B$4,J366,1)+MOD(M366-WEEKDAY(DATE(Übersicht!$B$4,J366,1),2),7)+7*(N366-1),NA()),IF(I366="nthWeekdayOffsetDays",IF(AND(ISNUMBER(J366),J366=INT(J366),J366&gt;=1,J366&lt;=12,ISNUMBER(M366),M366=INT(M366),M366&gt;=1,M366&lt;=7,ISNUMBER(N366),N366=INT(N366),N366&gt;=1,N366&lt;=5,MONTH(DATE(Übersicht!$B$4,J366,1)+MOD(M366-WEEKDAY(DATE(Übersicht!$B$4,J366,1),2),7)+7*(N366-1))=J366,K366="",ISNUMBER(L366),L366=INT(L366),L366&gt;=-366,L366&lt;=366),DATE(Übersicht!$B$4,J366,1)+MOD(M366-WEEKDAY(DATE(Übersicht!$B$4,J366,1),2),7)+7*(N366-1)+L366,NA()),NA())))),NA())</f>
        <v>47095</v>
      </c>
      <c r="X366" s="15">
        <f t="shared" si="5"/>
        <v>47095</v>
      </c>
      <c r="Y366" s="11" t="s">
        <v>1010</v>
      </c>
      <c r="Z366" s="11" t="s">
        <v>1011</v>
      </c>
      <c r="AA366" s="26" t="s">
        <v>768</v>
      </c>
    </row>
    <row r="367" spans="1:27" ht="44" customHeight="1">
      <c r="A367" s="10" t="s">
        <v>476</v>
      </c>
      <c r="B367" s="10" t="s">
        <v>462</v>
      </c>
      <c r="C367" s="10" t="s">
        <v>1009</v>
      </c>
      <c r="D367" s="24" t="s">
        <v>803</v>
      </c>
      <c r="E367" s="24" t="s">
        <v>804</v>
      </c>
      <c r="F367" s="25" t="s">
        <v>882</v>
      </c>
      <c r="G367" s="25" t="s">
        <v>883</v>
      </c>
      <c r="H367" s="10" t="s">
        <v>761</v>
      </c>
      <c r="I367" s="10" t="s">
        <v>762</v>
      </c>
      <c r="J367" s="28">
        <v>12</v>
      </c>
      <c r="K367" s="28">
        <v>25</v>
      </c>
      <c r="L367" s="24"/>
      <c r="M367" s="24"/>
      <c r="N367" s="24"/>
      <c r="O367" s="29">
        <v>46023</v>
      </c>
      <c r="P367" s="29"/>
      <c r="Q367" s="24">
        <v>100</v>
      </c>
      <c r="R367" s="24" t="s">
        <v>69</v>
      </c>
      <c r="S367" s="10"/>
      <c r="T367" s="10" t="s">
        <v>764</v>
      </c>
      <c r="U367" s="10"/>
      <c r="V367" s="10" t="s">
        <v>824</v>
      </c>
      <c r="W367" s="14">
        <f>IF(AND(ISNUMBER(Übersicht!$B$4),Übersicht!$B$4=INT(Übersicht!$B$4),Übersicht!$B$4&gt;=2026,Übersicht!$B$4&lt;=2028),IF(I367="fixedMonthDay",IF(AND(ISNUMBER(J367),J367=INT(J367),J367&gt;=1,J367&lt;=12,ISNUMBER(K367),K367=INT(K367),K367&gt;=1,K367&lt;=31,MONTH(DATE(Übersicht!$B$4,J367,K367))=J367,DAY(DATE(Übersicht!$B$4,J367,K367))=K367,L367="",M367="",N367=""),DATE(Übersicht!$B$4,J367,K367),NA()),IF(I367="easterOffsetDays",IF(AND(ISNUMBER(L367),L367=INT(L367),L367&gt;=-366,L367&lt;=366,J367="",K367="",M367="",N367=""),$AD$23+L367,NA()),IF(I367="nthWeekdayOfMonth",IF(AND(ISNUMBER(J367),J367=INT(J367),J367&gt;=1,J367&lt;=12,ISNUMBER(M367),M367=INT(M367),M367&gt;=1,M367&lt;=7,ISNUMBER(N367),N367=INT(N367),N367&gt;=1,N367&lt;=5,MONTH(DATE(Übersicht!$B$4,J367,1)+MOD(M367-WEEKDAY(DATE(Übersicht!$B$4,J367,1),2),7)+7*(N367-1))=J367,K367="",L367=""),DATE(Übersicht!$B$4,J367,1)+MOD(M367-WEEKDAY(DATE(Übersicht!$B$4,J367,1),2),7)+7*(N367-1),NA()),IF(I367="nthWeekdayOffsetDays",IF(AND(ISNUMBER(J367),J367=INT(J367),J367&gt;=1,J367&lt;=12,ISNUMBER(M367),M367=INT(M367),M367&gt;=1,M367&lt;=7,ISNUMBER(N367),N367=INT(N367),N367&gt;=1,N367&lt;=5,MONTH(DATE(Übersicht!$B$4,J367,1)+MOD(M367-WEEKDAY(DATE(Übersicht!$B$4,J367,1),2),7)+7*(N367-1))=J367,K367="",ISNUMBER(L367),L367=INT(L367),L367&gt;=-366,L367&lt;=366),DATE(Übersicht!$B$4,J367,1)+MOD(M367-WEEKDAY(DATE(Übersicht!$B$4,J367,1),2),7)+7*(N367-1)+L367,NA()),NA())))),NA())</f>
        <v>47112</v>
      </c>
      <c r="X367" s="14">
        <f t="shared" si="5"/>
        <v>47112</v>
      </c>
      <c r="Y367" s="10" t="s">
        <v>1010</v>
      </c>
      <c r="Z367" s="10" t="s">
        <v>1012</v>
      </c>
      <c r="AA367" s="24" t="s">
        <v>768</v>
      </c>
    </row>
    <row r="368" spans="1:27" ht="44" customHeight="1">
      <c r="A368" s="11" t="s">
        <v>479</v>
      </c>
      <c r="B368" s="11" t="s">
        <v>477</v>
      </c>
      <c r="C368" s="11" t="s">
        <v>1013</v>
      </c>
      <c r="D368" s="26" t="s">
        <v>771</v>
      </c>
      <c r="E368" s="26" t="s">
        <v>772</v>
      </c>
      <c r="F368" s="27" t="s">
        <v>849</v>
      </c>
      <c r="G368" s="27" t="s">
        <v>850</v>
      </c>
      <c r="H368" s="11" t="s">
        <v>761</v>
      </c>
      <c r="I368" s="11" t="s">
        <v>762</v>
      </c>
      <c r="J368" s="30">
        <v>1</v>
      </c>
      <c r="K368" s="30">
        <v>1</v>
      </c>
      <c r="L368" s="26"/>
      <c r="M368" s="26"/>
      <c r="N368" s="26"/>
      <c r="O368" s="31">
        <v>46023</v>
      </c>
      <c r="P368" s="31"/>
      <c r="Q368" s="26">
        <v>100</v>
      </c>
      <c r="R368" s="26" t="s">
        <v>69</v>
      </c>
      <c r="S368" s="11"/>
      <c r="T368" s="11" t="s">
        <v>764</v>
      </c>
      <c r="U368" s="11"/>
      <c r="V368" s="11" t="s">
        <v>824</v>
      </c>
      <c r="W368" s="15">
        <f>IF(AND(ISNUMBER(Übersicht!$B$4),Übersicht!$B$4=INT(Übersicht!$B$4),Übersicht!$B$4&gt;=2026,Übersicht!$B$4&lt;=2028),IF(I368="fixedMonthDay",IF(AND(ISNUMBER(J368),J368=INT(J368),J368&gt;=1,J368&lt;=12,ISNUMBER(K368),K368=INT(K368),K368&gt;=1,K368&lt;=31,MONTH(DATE(Übersicht!$B$4,J368,K368))=J368,DAY(DATE(Übersicht!$B$4,J368,K368))=K368,L368="",M368="",N368=""),DATE(Übersicht!$B$4,J368,K368),NA()),IF(I368="easterOffsetDays",IF(AND(ISNUMBER(L368),L368=INT(L368),L368&gt;=-366,L368&lt;=366,J368="",K368="",M368="",N368=""),$AD$23+L368,NA()),IF(I368="nthWeekdayOfMonth",IF(AND(ISNUMBER(J368),J368=INT(J368),J368&gt;=1,J368&lt;=12,ISNUMBER(M368),M368=INT(M368),M368&gt;=1,M368&lt;=7,ISNUMBER(N368),N368=INT(N368),N368&gt;=1,N368&lt;=5,MONTH(DATE(Übersicht!$B$4,J368,1)+MOD(M368-WEEKDAY(DATE(Übersicht!$B$4,J368,1),2),7)+7*(N368-1))=J368,K368="",L368=""),DATE(Übersicht!$B$4,J368,1)+MOD(M368-WEEKDAY(DATE(Übersicht!$B$4,J368,1),2),7)+7*(N368-1),NA()),IF(I368="nthWeekdayOffsetDays",IF(AND(ISNUMBER(J368),J368=INT(J368),J368&gt;=1,J368&lt;=12,ISNUMBER(M368),M368=INT(M368),M368&gt;=1,M368&lt;=7,ISNUMBER(N368),N368=INT(N368),N368&gt;=1,N368&lt;=5,MONTH(DATE(Übersicht!$B$4,J368,1)+MOD(M368-WEEKDAY(DATE(Übersicht!$B$4,J368,1),2),7)+7*(N368-1))=J368,K368="",ISNUMBER(L368),L368=INT(L368),L368&gt;=-366,L368&lt;=366),DATE(Übersicht!$B$4,J368,1)+MOD(M368-WEEKDAY(DATE(Übersicht!$B$4,J368,1),2),7)+7*(N368-1)+L368,NA()),NA())))),NA())</f>
        <v>46753</v>
      </c>
      <c r="X368" s="15">
        <f t="shared" si="5"/>
        <v>46753</v>
      </c>
      <c r="Y368" s="11" t="s">
        <v>1014</v>
      </c>
      <c r="Z368" s="11" t="s">
        <v>1015</v>
      </c>
      <c r="AA368" s="26" t="s">
        <v>768</v>
      </c>
    </row>
    <row r="369" spans="1:27" ht="44" customHeight="1">
      <c r="A369" s="10" t="s">
        <v>480</v>
      </c>
      <c r="B369" s="10" t="s">
        <v>477</v>
      </c>
      <c r="C369" s="10" t="s">
        <v>1013</v>
      </c>
      <c r="D369" s="24" t="s">
        <v>779</v>
      </c>
      <c r="E369" s="24" t="s">
        <v>780</v>
      </c>
      <c r="F369" s="25" t="s">
        <v>889</v>
      </c>
      <c r="G369" s="25" t="s">
        <v>890</v>
      </c>
      <c r="H369" s="10" t="s">
        <v>761</v>
      </c>
      <c r="I369" s="10" t="s">
        <v>781</v>
      </c>
      <c r="J369" s="28"/>
      <c r="K369" s="28"/>
      <c r="L369" s="24">
        <v>-2</v>
      </c>
      <c r="M369" s="24"/>
      <c r="N369" s="24"/>
      <c r="O369" s="29">
        <v>46023</v>
      </c>
      <c r="P369" s="29"/>
      <c r="Q369" s="24">
        <v>100</v>
      </c>
      <c r="R369" s="24" t="s">
        <v>69</v>
      </c>
      <c r="S369" s="10"/>
      <c r="T369" s="10" t="s">
        <v>764</v>
      </c>
      <c r="U369" s="10"/>
      <c r="V369" s="10" t="s">
        <v>824</v>
      </c>
      <c r="W369" s="14">
        <f>IF(AND(ISNUMBER(Übersicht!$B$4),Übersicht!$B$4=INT(Übersicht!$B$4),Übersicht!$B$4&gt;=2026,Übersicht!$B$4&lt;=2028),IF(I369="fixedMonthDay",IF(AND(ISNUMBER(J369),J369=INT(J369),J369&gt;=1,J369&lt;=12,ISNUMBER(K369),K369=INT(K369),K369&gt;=1,K369&lt;=31,MONTH(DATE(Übersicht!$B$4,J369,K369))=J369,DAY(DATE(Übersicht!$B$4,J369,K369))=K369,L369="",M369="",N369=""),DATE(Übersicht!$B$4,J369,K369),NA()),IF(I369="easterOffsetDays",IF(AND(ISNUMBER(L369),L369=INT(L369),L369&gt;=-366,L369&lt;=366,J369="",K369="",M369="",N369=""),$AD$23+L369,NA()),IF(I369="nthWeekdayOfMonth",IF(AND(ISNUMBER(J369),J369=INT(J369),J369&gt;=1,J369&lt;=12,ISNUMBER(M369),M369=INT(M369),M369&gt;=1,M369&lt;=7,ISNUMBER(N369),N369=INT(N369),N369&gt;=1,N369&lt;=5,MONTH(DATE(Übersicht!$B$4,J369,1)+MOD(M369-WEEKDAY(DATE(Übersicht!$B$4,J369,1),2),7)+7*(N369-1))=J369,K369="",L369=""),DATE(Übersicht!$B$4,J369,1)+MOD(M369-WEEKDAY(DATE(Übersicht!$B$4,J369,1),2),7)+7*(N369-1),NA()),IF(I369="nthWeekdayOffsetDays",IF(AND(ISNUMBER(J369),J369=INT(J369),J369&gt;=1,J369&lt;=12,ISNUMBER(M369),M369=INT(M369),M369&gt;=1,M369&lt;=7,ISNUMBER(N369),N369=INT(N369),N369&gt;=1,N369&lt;=5,MONTH(DATE(Übersicht!$B$4,J369,1)+MOD(M369-WEEKDAY(DATE(Übersicht!$B$4,J369,1),2),7)+7*(N369-1))=J369,K369="",ISNUMBER(L369),L369=INT(L369),L369&gt;=-366,L369&lt;=366),DATE(Übersicht!$B$4,J369,1)+MOD(M369-WEEKDAY(DATE(Übersicht!$B$4,J369,1),2),7)+7*(N369-1)+L369,NA()),NA())))),NA())</f>
        <v>46857</v>
      </c>
      <c r="X369" s="14">
        <f t="shared" si="5"/>
        <v>46857</v>
      </c>
      <c r="Y369" s="10" t="s">
        <v>1014</v>
      </c>
      <c r="Z369" s="10" t="s">
        <v>1015</v>
      </c>
      <c r="AA369" s="24" t="s">
        <v>768</v>
      </c>
    </row>
    <row r="370" spans="1:27" ht="44" customHeight="1">
      <c r="A370" s="11" t="s">
        <v>481</v>
      </c>
      <c r="B370" s="11" t="s">
        <v>477</v>
      </c>
      <c r="C370" s="11" t="s">
        <v>1013</v>
      </c>
      <c r="D370" s="26" t="s">
        <v>790</v>
      </c>
      <c r="E370" s="26" t="s">
        <v>791</v>
      </c>
      <c r="F370" s="27" t="s">
        <v>864</v>
      </c>
      <c r="G370" s="27" t="s">
        <v>865</v>
      </c>
      <c r="H370" s="11" t="s">
        <v>761</v>
      </c>
      <c r="I370" s="11" t="s">
        <v>781</v>
      </c>
      <c r="J370" s="30"/>
      <c r="K370" s="30"/>
      <c r="L370" s="26">
        <v>39</v>
      </c>
      <c r="M370" s="26"/>
      <c r="N370" s="26"/>
      <c r="O370" s="31">
        <v>46023</v>
      </c>
      <c r="P370" s="31"/>
      <c r="Q370" s="26">
        <v>100</v>
      </c>
      <c r="R370" s="26" t="s">
        <v>69</v>
      </c>
      <c r="S370" s="11"/>
      <c r="T370" s="11" t="s">
        <v>764</v>
      </c>
      <c r="U370" s="11"/>
      <c r="V370" s="11" t="s">
        <v>824</v>
      </c>
      <c r="W370" s="15">
        <f>IF(AND(ISNUMBER(Übersicht!$B$4),Übersicht!$B$4=INT(Übersicht!$B$4),Übersicht!$B$4&gt;=2026,Übersicht!$B$4&lt;=2028),IF(I370="fixedMonthDay",IF(AND(ISNUMBER(J370),J370=INT(J370),J370&gt;=1,J370&lt;=12,ISNUMBER(K370),K370=INT(K370),K370&gt;=1,K370&lt;=31,MONTH(DATE(Übersicht!$B$4,J370,K370))=J370,DAY(DATE(Übersicht!$B$4,J370,K370))=K370,L370="",M370="",N370=""),DATE(Übersicht!$B$4,J370,K370),NA()),IF(I370="easterOffsetDays",IF(AND(ISNUMBER(L370),L370=INT(L370),L370&gt;=-366,L370&lt;=366,J370="",K370="",M370="",N370=""),$AD$23+L370,NA()),IF(I370="nthWeekdayOfMonth",IF(AND(ISNUMBER(J370),J370=INT(J370),J370&gt;=1,J370&lt;=12,ISNUMBER(M370),M370=INT(M370),M370&gt;=1,M370&lt;=7,ISNUMBER(N370),N370=INT(N370),N370&gt;=1,N370&lt;=5,MONTH(DATE(Übersicht!$B$4,J370,1)+MOD(M370-WEEKDAY(DATE(Übersicht!$B$4,J370,1),2),7)+7*(N370-1))=J370,K370="",L370=""),DATE(Übersicht!$B$4,J370,1)+MOD(M370-WEEKDAY(DATE(Übersicht!$B$4,J370,1),2),7)+7*(N370-1),NA()),IF(I370="nthWeekdayOffsetDays",IF(AND(ISNUMBER(J370),J370=INT(J370),J370&gt;=1,J370&lt;=12,ISNUMBER(M370),M370=INT(M370),M370&gt;=1,M370&lt;=7,ISNUMBER(N370),N370=INT(N370),N370&gt;=1,N370&lt;=5,MONTH(DATE(Übersicht!$B$4,J370,1)+MOD(M370-WEEKDAY(DATE(Übersicht!$B$4,J370,1),2),7)+7*(N370-1))=J370,K370="",ISNUMBER(L370),L370=INT(L370),L370&gt;=-366,L370&lt;=366),DATE(Übersicht!$B$4,J370,1)+MOD(M370-WEEKDAY(DATE(Übersicht!$B$4,J370,1),2),7)+7*(N370-1)+L370,NA()),NA())))),NA())</f>
        <v>46898</v>
      </c>
      <c r="X370" s="15">
        <f t="shared" si="5"/>
        <v>46898</v>
      </c>
      <c r="Y370" s="11" t="s">
        <v>1014</v>
      </c>
      <c r="Z370" s="11" t="s">
        <v>1015</v>
      </c>
      <c r="AA370" s="26" t="s">
        <v>768</v>
      </c>
    </row>
    <row r="371" spans="1:27" ht="44" customHeight="1">
      <c r="A371" s="10" t="s">
        <v>482</v>
      </c>
      <c r="B371" s="10" t="s">
        <v>477</v>
      </c>
      <c r="C371" s="10" t="s">
        <v>1013</v>
      </c>
      <c r="D371" s="24" t="s">
        <v>810</v>
      </c>
      <c r="E371" s="24" t="s">
        <v>811</v>
      </c>
      <c r="F371" s="25" t="s">
        <v>868</v>
      </c>
      <c r="G371" s="25" t="s">
        <v>869</v>
      </c>
      <c r="H371" s="10" t="s">
        <v>761</v>
      </c>
      <c r="I371" s="10" t="s">
        <v>781</v>
      </c>
      <c r="J371" s="28"/>
      <c r="K371" s="28"/>
      <c r="L371" s="24">
        <v>60</v>
      </c>
      <c r="M371" s="24"/>
      <c r="N371" s="24"/>
      <c r="O371" s="29">
        <v>46023</v>
      </c>
      <c r="P371" s="29"/>
      <c r="Q371" s="24">
        <v>100</v>
      </c>
      <c r="R371" s="24" t="s">
        <v>69</v>
      </c>
      <c r="S371" s="10"/>
      <c r="T371" s="10" t="s">
        <v>764</v>
      </c>
      <c r="U371" s="10"/>
      <c r="V371" s="10" t="s">
        <v>824</v>
      </c>
      <c r="W371" s="14">
        <f>IF(AND(ISNUMBER(Übersicht!$B$4),Übersicht!$B$4=INT(Übersicht!$B$4),Übersicht!$B$4&gt;=2026,Übersicht!$B$4&lt;=2028),IF(I371="fixedMonthDay",IF(AND(ISNUMBER(J371),J371=INT(J371),J371&gt;=1,J371&lt;=12,ISNUMBER(K371),K371=INT(K371),K371&gt;=1,K371&lt;=31,MONTH(DATE(Übersicht!$B$4,J371,K371))=J371,DAY(DATE(Übersicht!$B$4,J371,K371))=K371,L371="",M371="",N371=""),DATE(Übersicht!$B$4,J371,K371),NA()),IF(I371="easterOffsetDays",IF(AND(ISNUMBER(L371),L371=INT(L371),L371&gt;=-366,L371&lt;=366,J371="",K371="",M371="",N371=""),$AD$23+L371,NA()),IF(I371="nthWeekdayOfMonth",IF(AND(ISNUMBER(J371),J371=INT(J371),J371&gt;=1,J371&lt;=12,ISNUMBER(M371),M371=INT(M371),M371&gt;=1,M371&lt;=7,ISNUMBER(N371),N371=INT(N371),N371&gt;=1,N371&lt;=5,MONTH(DATE(Übersicht!$B$4,J371,1)+MOD(M371-WEEKDAY(DATE(Übersicht!$B$4,J371,1),2),7)+7*(N371-1))=J371,K371="",L371=""),DATE(Übersicht!$B$4,J371,1)+MOD(M371-WEEKDAY(DATE(Übersicht!$B$4,J371,1),2),7)+7*(N371-1),NA()),IF(I371="nthWeekdayOffsetDays",IF(AND(ISNUMBER(J371),J371=INT(J371),J371&gt;=1,J371&lt;=12,ISNUMBER(M371),M371=INT(M371),M371&gt;=1,M371&lt;=7,ISNUMBER(N371),N371=INT(N371),N371&gt;=1,N371&lt;=5,MONTH(DATE(Übersicht!$B$4,J371,1)+MOD(M371-WEEKDAY(DATE(Übersicht!$B$4,J371,1),2),7)+7*(N371-1))=J371,K371="",ISNUMBER(L371),L371=INT(L371),L371&gt;=-366,L371&lt;=366),DATE(Übersicht!$B$4,J371,1)+MOD(M371-WEEKDAY(DATE(Übersicht!$B$4,J371,1),2),7)+7*(N371-1)+L371,NA()),NA())))),NA())</f>
        <v>46919</v>
      </c>
      <c r="X371" s="14">
        <f t="shared" si="5"/>
        <v>46919</v>
      </c>
      <c r="Y371" s="10" t="s">
        <v>1014</v>
      </c>
      <c r="Z371" s="10" t="s">
        <v>1015</v>
      </c>
      <c r="AA371" s="24" t="s">
        <v>768</v>
      </c>
    </row>
    <row r="372" spans="1:27" ht="44" customHeight="1">
      <c r="A372" s="11" t="s">
        <v>483</v>
      </c>
      <c r="B372" s="11" t="s">
        <v>477</v>
      </c>
      <c r="C372" s="11" t="s">
        <v>1013</v>
      </c>
      <c r="D372" s="26" t="s">
        <v>834</v>
      </c>
      <c r="E372" s="26" t="s">
        <v>835</v>
      </c>
      <c r="F372" s="27" t="s">
        <v>876</v>
      </c>
      <c r="G372" s="27" t="s">
        <v>877</v>
      </c>
      <c r="H372" s="11" t="s">
        <v>761</v>
      </c>
      <c r="I372" s="11" t="s">
        <v>762</v>
      </c>
      <c r="J372" s="30">
        <v>8</v>
      </c>
      <c r="K372" s="30">
        <v>15</v>
      </c>
      <c r="L372" s="26"/>
      <c r="M372" s="26"/>
      <c r="N372" s="26"/>
      <c r="O372" s="31">
        <v>46023</v>
      </c>
      <c r="P372" s="31"/>
      <c r="Q372" s="26">
        <v>100</v>
      </c>
      <c r="R372" s="26" t="s">
        <v>69</v>
      </c>
      <c r="S372" s="11"/>
      <c r="T372" s="11" t="s">
        <v>764</v>
      </c>
      <c r="U372" s="11"/>
      <c r="V372" s="11" t="s">
        <v>824</v>
      </c>
      <c r="W372" s="15">
        <f>IF(AND(ISNUMBER(Übersicht!$B$4),Übersicht!$B$4=INT(Übersicht!$B$4),Übersicht!$B$4&gt;=2026,Übersicht!$B$4&lt;=2028),IF(I372="fixedMonthDay",IF(AND(ISNUMBER(J372),J372=INT(J372),J372&gt;=1,J372&lt;=12,ISNUMBER(K372),K372=INT(K372),K372&gt;=1,K372&lt;=31,MONTH(DATE(Übersicht!$B$4,J372,K372))=J372,DAY(DATE(Übersicht!$B$4,J372,K372))=K372,L372="",M372="",N372=""),DATE(Übersicht!$B$4,J372,K372),NA()),IF(I372="easterOffsetDays",IF(AND(ISNUMBER(L372),L372=INT(L372),L372&gt;=-366,L372&lt;=366,J372="",K372="",M372="",N372=""),$AD$23+L372,NA()),IF(I372="nthWeekdayOfMonth",IF(AND(ISNUMBER(J372),J372=INT(J372),J372&gt;=1,J372&lt;=12,ISNUMBER(M372),M372=INT(M372),M372&gt;=1,M372&lt;=7,ISNUMBER(N372),N372=INT(N372),N372&gt;=1,N372&lt;=5,MONTH(DATE(Übersicht!$B$4,J372,1)+MOD(M372-WEEKDAY(DATE(Übersicht!$B$4,J372,1),2),7)+7*(N372-1))=J372,K372="",L372=""),DATE(Übersicht!$B$4,J372,1)+MOD(M372-WEEKDAY(DATE(Übersicht!$B$4,J372,1),2),7)+7*(N372-1),NA()),IF(I372="nthWeekdayOffsetDays",IF(AND(ISNUMBER(J372),J372=INT(J372),J372&gt;=1,J372&lt;=12,ISNUMBER(M372),M372=INT(M372),M372&gt;=1,M372&lt;=7,ISNUMBER(N372),N372=INT(N372),N372&gt;=1,N372&lt;=5,MONTH(DATE(Übersicht!$B$4,J372,1)+MOD(M372-WEEKDAY(DATE(Übersicht!$B$4,J372,1),2),7)+7*(N372-1))=J372,K372="",ISNUMBER(L372),L372=INT(L372),L372&gt;=-366,L372&lt;=366),DATE(Übersicht!$B$4,J372,1)+MOD(M372-WEEKDAY(DATE(Übersicht!$B$4,J372,1),2),7)+7*(N372-1)+L372,NA()),NA())))),NA())</f>
        <v>46980</v>
      </c>
      <c r="X372" s="15">
        <f t="shared" si="5"/>
        <v>46980</v>
      </c>
      <c r="Y372" s="11" t="s">
        <v>1014</v>
      </c>
      <c r="Z372" s="11" t="s">
        <v>1015</v>
      </c>
      <c r="AA372" s="26" t="s">
        <v>768</v>
      </c>
    </row>
    <row r="373" spans="1:27" ht="44" customHeight="1">
      <c r="A373" s="10" t="s">
        <v>484</v>
      </c>
      <c r="B373" s="10" t="s">
        <v>477</v>
      </c>
      <c r="C373" s="10" t="s">
        <v>1013</v>
      </c>
      <c r="D373" s="24" t="s">
        <v>821</v>
      </c>
      <c r="E373" s="24" t="s">
        <v>822</v>
      </c>
      <c r="F373" s="25" t="s">
        <v>878</v>
      </c>
      <c r="G373" s="25" t="s">
        <v>879</v>
      </c>
      <c r="H373" s="10" t="s">
        <v>761</v>
      </c>
      <c r="I373" s="10" t="s">
        <v>762</v>
      </c>
      <c r="J373" s="28">
        <v>11</v>
      </c>
      <c r="K373" s="28">
        <v>1</v>
      </c>
      <c r="L373" s="24"/>
      <c r="M373" s="24"/>
      <c r="N373" s="24"/>
      <c r="O373" s="29">
        <v>46023</v>
      </c>
      <c r="P373" s="29"/>
      <c r="Q373" s="24">
        <v>100</v>
      </c>
      <c r="R373" s="24" t="s">
        <v>69</v>
      </c>
      <c r="S373" s="10"/>
      <c r="T373" s="10" t="s">
        <v>764</v>
      </c>
      <c r="U373" s="10"/>
      <c r="V373" s="10" t="s">
        <v>824</v>
      </c>
      <c r="W373" s="14">
        <f>IF(AND(ISNUMBER(Übersicht!$B$4),Übersicht!$B$4=INT(Übersicht!$B$4),Übersicht!$B$4&gt;=2026,Übersicht!$B$4&lt;=2028),IF(I373="fixedMonthDay",IF(AND(ISNUMBER(J373),J373=INT(J373),J373&gt;=1,J373&lt;=12,ISNUMBER(K373),K373=INT(K373),K373&gt;=1,K373&lt;=31,MONTH(DATE(Übersicht!$B$4,J373,K373))=J373,DAY(DATE(Übersicht!$B$4,J373,K373))=K373,L373="",M373="",N373=""),DATE(Übersicht!$B$4,J373,K373),NA()),IF(I373="easterOffsetDays",IF(AND(ISNUMBER(L373),L373=INT(L373),L373&gt;=-366,L373&lt;=366,J373="",K373="",M373="",N373=""),$AD$23+L373,NA()),IF(I373="nthWeekdayOfMonth",IF(AND(ISNUMBER(J373),J373=INT(J373),J373&gt;=1,J373&lt;=12,ISNUMBER(M373),M373=INT(M373),M373&gt;=1,M373&lt;=7,ISNUMBER(N373),N373=INT(N373),N373&gt;=1,N373&lt;=5,MONTH(DATE(Übersicht!$B$4,J373,1)+MOD(M373-WEEKDAY(DATE(Übersicht!$B$4,J373,1),2),7)+7*(N373-1))=J373,K373="",L373=""),DATE(Übersicht!$B$4,J373,1)+MOD(M373-WEEKDAY(DATE(Übersicht!$B$4,J373,1),2),7)+7*(N373-1),NA()),IF(I373="nthWeekdayOffsetDays",IF(AND(ISNUMBER(J373),J373=INT(J373),J373&gt;=1,J373&lt;=12,ISNUMBER(M373),M373=INT(M373),M373&gt;=1,M373&lt;=7,ISNUMBER(N373),N373=INT(N373),N373&gt;=1,N373&lt;=5,MONTH(DATE(Übersicht!$B$4,J373,1)+MOD(M373-WEEKDAY(DATE(Übersicht!$B$4,J373,1),2),7)+7*(N373-1))=J373,K373="",ISNUMBER(L373),L373=INT(L373),L373&gt;=-366,L373&lt;=366),DATE(Übersicht!$B$4,J373,1)+MOD(M373-WEEKDAY(DATE(Übersicht!$B$4,J373,1),2),7)+7*(N373-1)+L373,NA()),NA())))),NA())</f>
        <v>47058</v>
      </c>
      <c r="X373" s="14">
        <f t="shared" si="5"/>
        <v>47058</v>
      </c>
      <c r="Y373" s="10" t="s">
        <v>1014</v>
      </c>
      <c r="Z373" s="10" t="s">
        <v>1015</v>
      </c>
      <c r="AA373" s="24" t="s">
        <v>768</v>
      </c>
    </row>
    <row r="374" spans="1:27" ht="44" customHeight="1">
      <c r="A374" s="11" t="s">
        <v>485</v>
      </c>
      <c r="B374" s="11" t="s">
        <v>477</v>
      </c>
      <c r="C374" s="11" t="s">
        <v>1013</v>
      </c>
      <c r="D374" s="26" t="s">
        <v>838</v>
      </c>
      <c r="E374" s="26" t="s">
        <v>839</v>
      </c>
      <c r="F374" s="27" t="s">
        <v>880</v>
      </c>
      <c r="G374" s="27" t="s">
        <v>881</v>
      </c>
      <c r="H374" s="11" t="s">
        <v>761</v>
      </c>
      <c r="I374" s="11" t="s">
        <v>762</v>
      </c>
      <c r="J374" s="30">
        <v>12</v>
      </c>
      <c r="K374" s="30">
        <v>8</v>
      </c>
      <c r="L374" s="26"/>
      <c r="M374" s="26"/>
      <c r="N374" s="26"/>
      <c r="O374" s="31">
        <v>46023</v>
      </c>
      <c r="P374" s="31"/>
      <c r="Q374" s="26">
        <v>100</v>
      </c>
      <c r="R374" s="26" t="s">
        <v>69</v>
      </c>
      <c r="S374" s="11"/>
      <c r="T374" s="11" t="s">
        <v>764</v>
      </c>
      <c r="U374" s="11"/>
      <c r="V374" s="11" t="s">
        <v>824</v>
      </c>
      <c r="W374" s="15">
        <f>IF(AND(ISNUMBER(Übersicht!$B$4),Übersicht!$B$4=INT(Übersicht!$B$4),Übersicht!$B$4&gt;=2026,Übersicht!$B$4&lt;=2028),IF(I374="fixedMonthDay",IF(AND(ISNUMBER(J374),J374=INT(J374),J374&gt;=1,J374&lt;=12,ISNUMBER(K374),K374=INT(K374),K374&gt;=1,K374&lt;=31,MONTH(DATE(Übersicht!$B$4,J374,K374))=J374,DAY(DATE(Übersicht!$B$4,J374,K374))=K374,L374="",M374="",N374=""),DATE(Übersicht!$B$4,J374,K374),NA()),IF(I374="easterOffsetDays",IF(AND(ISNUMBER(L374),L374=INT(L374),L374&gt;=-366,L374&lt;=366,J374="",K374="",M374="",N374=""),$AD$23+L374,NA()),IF(I374="nthWeekdayOfMonth",IF(AND(ISNUMBER(J374),J374=INT(J374),J374&gt;=1,J374&lt;=12,ISNUMBER(M374),M374=INT(M374),M374&gt;=1,M374&lt;=7,ISNUMBER(N374),N374=INT(N374),N374&gt;=1,N374&lt;=5,MONTH(DATE(Übersicht!$B$4,J374,1)+MOD(M374-WEEKDAY(DATE(Übersicht!$B$4,J374,1),2),7)+7*(N374-1))=J374,K374="",L374=""),DATE(Übersicht!$B$4,J374,1)+MOD(M374-WEEKDAY(DATE(Übersicht!$B$4,J374,1),2),7)+7*(N374-1),NA()),IF(I374="nthWeekdayOffsetDays",IF(AND(ISNUMBER(J374),J374=INT(J374),J374&gt;=1,J374&lt;=12,ISNUMBER(M374),M374=INT(M374),M374&gt;=1,M374&lt;=7,ISNUMBER(N374),N374=INT(N374),N374&gt;=1,N374&lt;=5,MONTH(DATE(Übersicht!$B$4,J374,1)+MOD(M374-WEEKDAY(DATE(Übersicht!$B$4,J374,1),2),7)+7*(N374-1))=J374,K374="",ISNUMBER(L374),L374=INT(L374),L374&gt;=-366,L374&lt;=366),DATE(Übersicht!$B$4,J374,1)+MOD(M374-WEEKDAY(DATE(Übersicht!$B$4,J374,1),2),7)+7*(N374-1)+L374,NA()),NA())))),NA())</f>
        <v>47095</v>
      </c>
      <c r="X374" s="15">
        <f t="shared" si="5"/>
        <v>47095</v>
      </c>
      <c r="Y374" s="11" t="s">
        <v>1014</v>
      </c>
      <c r="Z374" s="11" t="s">
        <v>1015</v>
      </c>
      <c r="AA374" s="26" t="s">
        <v>768</v>
      </c>
    </row>
    <row r="375" spans="1:27" ht="44" customHeight="1">
      <c r="A375" s="10" t="s">
        <v>486</v>
      </c>
      <c r="B375" s="10" t="s">
        <v>477</v>
      </c>
      <c r="C375" s="10" t="s">
        <v>1013</v>
      </c>
      <c r="D375" s="24" t="s">
        <v>803</v>
      </c>
      <c r="E375" s="24" t="s">
        <v>804</v>
      </c>
      <c r="F375" s="25" t="s">
        <v>882</v>
      </c>
      <c r="G375" s="25" t="s">
        <v>883</v>
      </c>
      <c r="H375" s="10" t="s">
        <v>761</v>
      </c>
      <c r="I375" s="10" t="s">
        <v>762</v>
      </c>
      <c r="J375" s="28">
        <v>12</v>
      </c>
      <c r="K375" s="28">
        <v>25</v>
      </c>
      <c r="L375" s="24"/>
      <c r="M375" s="24"/>
      <c r="N375" s="24"/>
      <c r="O375" s="29">
        <v>46023</v>
      </c>
      <c r="P375" s="29"/>
      <c r="Q375" s="24">
        <v>100</v>
      </c>
      <c r="R375" s="24" t="s">
        <v>69</v>
      </c>
      <c r="S375" s="10"/>
      <c r="T375" s="10" t="s">
        <v>764</v>
      </c>
      <c r="U375" s="10"/>
      <c r="V375" s="10" t="s">
        <v>824</v>
      </c>
      <c r="W375" s="14">
        <f>IF(AND(ISNUMBER(Übersicht!$B$4),Übersicht!$B$4=INT(Übersicht!$B$4),Übersicht!$B$4&gt;=2026,Übersicht!$B$4&lt;=2028),IF(I375="fixedMonthDay",IF(AND(ISNUMBER(J375),J375=INT(J375),J375&gt;=1,J375&lt;=12,ISNUMBER(K375),K375=INT(K375),K375&gt;=1,K375&lt;=31,MONTH(DATE(Übersicht!$B$4,J375,K375))=J375,DAY(DATE(Übersicht!$B$4,J375,K375))=K375,L375="",M375="",N375=""),DATE(Übersicht!$B$4,J375,K375),NA()),IF(I375="easterOffsetDays",IF(AND(ISNUMBER(L375),L375=INT(L375),L375&gt;=-366,L375&lt;=366,J375="",K375="",M375="",N375=""),$AD$23+L375,NA()),IF(I375="nthWeekdayOfMonth",IF(AND(ISNUMBER(J375),J375=INT(J375),J375&gt;=1,J375&lt;=12,ISNUMBER(M375),M375=INT(M375),M375&gt;=1,M375&lt;=7,ISNUMBER(N375),N375=INT(N375),N375&gt;=1,N375&lt;=5,MONTH(DATE(Übersicht!$B$4,J375,1)+MOD(M375-WEEKDAY(DATE(Übersicht!$B$4,J375,1),2),7)+7*(N375-1))=J375,K375="",L375=""),DATE(Übersicht!$B$4,J375,1)+MOD(M375-WEEKDAY(DATE(Übersicht!$B$4,J375,1),2),7)+7*(N375-1),NA()),IF(I375="nthWeekdayOffsetDays",IF(AND(ISNUMBER(J375),J375=INT(J375),J375&gt;=1,J375&lt;=12,ISNUMBER(M375),M375=INT(M375),M375&gt;=1,M375&lt;=7,ISNUMBER(N375),N375=INT(N375),N375&gt;=1,N375&lt;=5,MONTH(DATE(Übersicht!$B$4,J375,1)+MOD(M375-WEEKDAY(DATE(Übersicht!$B$4,J375,1),2),7)+7*(N375-1))=J375,K375="",ISNUMBER(L375),L375=INT(L375),L375&gt;=-366,L375&lt;=366),DATE(Übersicht!$B$4,J375,1)+MOD(M375-WEEKDAY(DATE(Übersicht!$B$4,J375,1),2),7)+7*(N375-1)+L375,NA()),NA())))),NA())</f>
        <v>47112</v>
      </c>
      <c r="X375" s="14">
        <f t="shared" si="5"/>
        <v>47112</v>
      </c>
      <c r="Y375" s="10" t="s">
        <v>1014</v>
      </c>
      <c r="Z375" s="10" t="s">
        <v>1015</v>
      </c>
      <c r="AA375" s="24" t="s">
        <v>768</v>
      </c>
    </row>
    <row r="376" spans="1:27" ht="44" customHeight="1">
      <c r="A376" s="11" t="s">
        <v>487</v>
      </c>
      <c r="B376" s="11" t="s">
        <v>477</v>
      </c>
      <c r="C376" s="11" t="s">
        <v>1013</v>
      </c>
      <c r="D376" s="26" t="s">
        <v>759</v>
      </c>
      <c r="E376" s="26" t="s">
        <v>760</v>
      </c>
      <c r="F376" s="27" t="s">
        <v>874</v>
      </c>
      <c r="G376" s="27" t="s">
        <v>875</v>
      </c>
      <c r="H376" s="11" t="s">
        <v>761</v>
      </c>
      <c r="I376" s="11" t="s">
        <v>762</v>
      </c>
      <c r="J376" s="30">
        <v>8</v>
      </c>
      <c r="K376" s="30">
        <v>1</v>
      </c>
      <c r="L376" s="26"/>
      <c r="M376" s="26"/>
      <c r="N376" s="26"/>
      <c r="O376" s="31">
        <v>46023</v>
      </c>
      <c r="P376" s="31"/>
      <c r="Q376" s="26">
        <v>100</v>
      </c>
      <c r="R376" s="26" t="s">
        <v>69</v>
      </c>
      <c r="S376" s="11"/>
      <c r="T376" s="11" t="s">
        <v>764</v>
      </c>
      <c r="U376" s="11"/>
      <c r="V376" s="11" t="s">
        <v>824</v>
      </c>
      <c r="W376" s="15">
        <f>IF(AND(ISNUMBER(Übersicht!$B$4),Übersicht!$B$4=INT(Übersicht!$B$4),Übersicht!$B$4&gt;=2026,Übersicht!$B$4&lt;=2028),IF(I376="fixedMonthDay",IF(AND(ISNUMBER(J376),J376=INT(J376),J376&gt;=1,J376&lt;=12,ISNUMBER(K376),K376=INT(K376),K376&gt;=1,K376&lt;=31,MONTH(DATE(Übersicht!$B$4,J376,K376))=J376,DAY(DATE(Übersicht!$B$4,J376,K376))=K376,L376="",M376="",N376=""),DATE(Übersicht!$B$4,J376,K376),NA()),IF(I376="easterOffsetDays",IF(AND(ISNUMBER(L376),L376=INT(L376),L376&gt;=-366,L376&lt;=366,J376="",K376="",M376="",N376=""),$AD$23+L376,NA()),IF(I376="nthWeekdayOfMonth",IF(AND(ISNUMBER(J376),J376=INT(J376),J376&gt;=1,J376&lt;=12,ISNUMBER(M376),M376=INT(M376),M376&gt;=1,M376&lt;=7,ISNUMBER(N376),N376=INT(N376),N376&gt;=1,N376&lt;=5,MONTH(DATE(Übersicht!$B$4,J376,1)+MOD(M376-WEEKDAY(DATE(Übersicht!$B$4,J376,1),2),7)+7*(N376-1))=J376,K376="",L376=""),DATE(Übersicht!$B$4,J376,1)+MOD(M376-WEEKDAY(DATE(Übersicht!$B$4,J376,1),2),7)+7*(N376-1),NA()),IF(I376="nthWeekdayOffsetDays",IF(AND(ISNUMBER(J376),J376=INT(J376),J376&gt;=1,J376&lt;=12,ISNUMBER(M376),M376=INT(M376),M376&gt;=1,M376&lt;=7,ISNUMBER(N376),N376=INT(N376),N376&gt;=1,N376&lt;=5,MONTH(DATE(Übersicht!$B$4,J376,1)+MOD(M376-WEEKDAY(DATE(Übersicht!$B$4,J376,1),2),7)+7*(N376-1))=J376,K376="",ISNUMBER(L376),L376=INT(L376),L376&gt;=-366,L376&lt;=366),DATE(Übersicht!$B$4,J376,1)+MOD(M376-WEEKDAY(DATE(Übersicht!$B$4,J376,1),2),7)+7*(N376-1)+L376,NA()),NA())))),NA())</f>
        <v>46966</v>
      </c>
      <c r="X376" s="15">
        <f t="shared" si="5"/>
        <v>46966</v>
      </c>
      <c r="Y376" s="11" t="s">
        <v>766</v>
      </c>
      <c r="Z376" s="11" t="s">
        <v>989</v>
      </c>
      <c r="AA376" s="26" t="s">
        <v>768</v>
      </c>
    </row>
    <row r="377" spans="1:27" ht="44" customHeight="1">
      <c r="A377" s="10" t="s">
        <v>488</v>
      </c>
      <c r="B377" s="10" t="s">
        <v>477</v>
      </c>
      <c r="C377" s="10" t="s">
        <v>1013</v>
      </c>
      <c r="D377" s="24" t="s">
        <v>784</v>
      </c>
      <c r="E377" s="24" t="s">
        <v>785</v>
      </c>
      <c r="F377" s="25" t="s">
        <v>892</v>
      </c>
      <c r="G377" s="25" t="s">
        <v>893</v>
      </c>
      <c r="H377" s="10" t="s">
        <v>761</v>
      </c>
      <c r="I377" s="10" t="s">
        <v>781</v>
      </c>
      <c r="J377" s="28"/>
      <c r="K377" s="28"/>
      <c r="L377" s="24">
        <v>0</v>
      </c>
      <c r="M377" s="24"/>
      <c r="N377" s="24"/>
      <c r="O377" s="29">
        <v>46023</v>
      </c>
      <c r="P377" s="29"/>
      <c r="Q377" s="24">
        <v>100</v>
      </c>
      <c r="R377" s="24" t="s">
        <v>69</v>
      </c>
      <c r="S377" s="10"/>
      <c r="T377" s="10" t="s">
        <v>764</v>
      </c>
      <c r="U377" s="10"/>
      <c r="V377" s="10" t="s">
        <v>824</v>
      </c>
      <c r="W377" s="14">
        <f>IF(AND(ISNUMBER(Übersicht!$B$4),Übersicht!$B$4=INT(Übersicht!$B$4),Übersicht!$B$4&gt;=2026,Übersicht!$B$4&lt;=2028),IF(I377="fixedMonthDay",IF(AND(ISNUMBER(J377),J377=INT(J377),J377&gt;=1,J377&lt;=12,ISNUMBER(K377),K377=INT(K377),K377&gt;=1,K377&lt;=31,MONTH(DATE(Übersicht!$B$4,J377,K377))=J377,DAY(DATE(Übersicht!$B$4,J377,K377))=K377,L377="",M377="",N377=""),DATE(Übersicht!$B$4,J377,K377),NA()),IF(I377="easterOffsetDays",IF(AND(ISNUMBER(L377),L377=INT(L377),L377&gt;=-366,L377&lt;=366,J377="",K377="",M377="",N377=""),$AD$23+L377,NA()),IF(I377="nthWeekdayOfMonth",IF(AND(ISNUMBER(J377),J377=INT(J377),J377&gt;=1,J377&lt;=12,ISNUMBER(M377),M377=INT(M377),M377&gt;=1,M377&lt;=7,ISNUMBER(N377),N377=INT(N377),N377&gt;=1,N377&lt;=5,MONTH(DATE(Übersicht!$B$4,J377,1)+MOD(M377-WEEKDAY(DATE(Übersicht!$B$4,J377,1),2),7)+7*(N377-1))=J377,K377="",L377=""),DATE(Übersicht!$B$4,J377,1)+MOD(M377-WEEKDAY(DATE(Übersicht!$B$4,J377,1),2),7)+7*(N377-1),NA()),IF(I377="nthWeekdayOffsetDays",IF(AND(ISNUMBER(J377),J377=INT(J377),J377&gt;=1,J377&lt;=12,ISNUMBER(M377),M377=INT(M377),M377&gt;=1,M377&lt;=7,ISNUMBER(N377),N377=INT(N377),N377&gt;=1,N377&lt;=5,MONTH(DATE(Übersicht!$B$4,J377,1)+MOD(M377-WEEKDAY(DATE(Übersicht!$B$4,J377,1),2),7)+7*(N377-1))=J377,K377="",ISNUMBER(L377),L377=INT(L377),L377&gt;=-366,L377&lt;=366),DATE(Übersicht!$B$4,J377,1)+MOD(M377-WEEKDAY(DATE(Übersicht!$B$4,J377,1),2),7)+7*(N377-1)+L377,NA()),NA())))),NA())</f>
        <v>46859</v>
      </c>
      <c r="X377" s="14">
        <f t="shared" si="5"/>
        <v>46859</v>
      </c>
      <c r="Y377" s="10" t="s">
        <v>1014</v>
      </c>
      <c r="Z377" s="10" t="s">
        <v>1016</v>
      </c>
      <c r="AA377" s="24" t="s">
        <v>768</v>
      </c>
    </row>
    <row r="378" spans="1:27" ht="44" customHeight="1">
      <c r="A378" s="11" t="s">
        <v>489</v>
      </c>
      <c r="B378" s="11" t="s">
        <v>477</v>
      </c>
      <c r="C378" s="11" t="s">
        <v>1013</v>
      </c>
      <c r="D378" s="26" t="s">
        <v>793</v>
      </c>
      <c r="E378" s="26" t="s">
        <v>794</v>
      </c>
      <c r="F378" s="27" t="s">
        <v>896</v>
      </c>
      <c r="G378" s="27" t="s">
        <v>897</v>
      </c>
      <c r="H378" s="11" t="s">
        <v>761</v>
      </c>
      <c r="I378" s="11" t="s">
        <v>781</v>
      </c>
      <c r="J378" s="30"/>
      <c r="K378" s="30"/>
      <c r="L378" s="26">
        <v>49</v>
      </c>
      <c r="M378" s="26"/>
      <c r="N378" s="26"/>
      <c r="O378" s="31">
        <v>46023</v>
      </c>
      <c r="P378" s="31"/>
      <c r="Q378" s="26">
        <v>100</v>
      </c>
      <c r="R378" s="26" t="s">
        <v>69</v>
      </c>
      <c r="S378" s="11"/>
      <c r="T378" s="11" t="s">
        <v>764</v>
      </c>
      <c r="U378" s="11"/>
      <c r="V378" s="11" t="s">
        <v>824</v>
      </c>
      <c r="W378" s="15">
        <f>IF(AND(ISNUMBER(Übersicht!$B$4),Übersicht!$B$4=INT(Übersicht!$B$4),Übersicht!$B$4&gt;=2026,Übersicht!$B$4&lt;=2028),IF(I378="fixedMonthDay",IF(AND(ISNUMBER(J378),J378=INT(J378),J378&gt;=1,J378&lt;=12,ISNUMBER(K378),K378=INT(K378),K378&gt;=1,K378&lt;=31,MONTH(DATE(Übersicht!$B$4,J378,K378))=J378,DAY(DATE(Übersicht!$B$4,J378,K378))=K378,L378="",M378="",N378=""),DATE(Übersicht!$B$4,J378,K378),NA()),IF(I378="easterOffsetDays",IF(AND(ISNUMBER(L378),L378=INT(L378),L378&gt;=-366,L378&lt;=366,J378="",K378="",M378="",N378=""),$AD$23+L378,NA()),IF(I378="nthWeekdayOfMonth",IF(AND(ISNUMBER(J378),J378=INT(J378),J378&gt;=1,J378&lt;=12,ISNUMBER(M378),M378=INT(M378),M378&gt;=1,M378&lt;=7,ISNUMBER(N378),N378=INT(N378),N378&gt;=1,N378&lt;=5,MONTH(DATE(Übersicht!$B$4,J378,1)+MOD(M378-WEEKDAY(DATE(Übersicht!$B$4,J378,1),2),7)+7*(N378-1))=J378,K378="",L378=""),DATE(Übersicht!$B$4,J378,1)+MOD(M378-WEEKDAY(DATE(Übersicht!$B$4,J378,1),2),7)+7*(N378-1),NA()),IF(I378="nthWeekdayOffsetDays",IF(AND(ISNUMBER(J378),J378=INT(J378),J378&gt;=1,J378&lt;=12,ISNUMBER(M378),M378=INT(M378),M378&gt;=1,M378&lt;=7,ISNUMBER(N378),N378=INT(N378),N378&gt;=1,N378&lt;=5,MONTH(DATE(Übersicht!$B$4,J378,1)+MOD(M378-WEEKDAY(DATE(Übersicht!$B$4,J378,1),2),7)+7*(N378-1))=J378,K378="",ISNUMBER(L378),L378=INT(L378),L378&gt;=-366,L378&lt;=366),DATE(Übersicht!$B$4,J378,1)+MOD(M378-WEEKDAY(DATE(Übersicht!$B$4,J378,1),2),7)+7*(N378-1)+L378,NA()),NA())))),NA())</f>
        <v>46908</v>
      </c>
      <c r="X378" s="15">
        <f t="shared" si="5"/>
        <v>46908</v>
      </c>
      <c r="Y378" s="11" t="s">
        <v>1014</v>
      </c>
      <c r="Z378" s="11" t="s">
        <v>1016</v>
      </c>
      <c r="AA378" s="26" t="s">
        <v>768</v>
      </c>
    </row>
    <row r="379" spans="1:27" ht="44" customHeight="1">
      <c r="A379" s="10" t="s">
        <v>490</v>
      </c>
      <c r="B379" s="10" t="s">
        <v>477</v>
      </c>
      <c r="C379" s="10" t="s">
        <v>1013</v>
      </c>
      <c r="D379" s="24" t="s">
        <v>799</v>
      </c>
      <c r="E379" s="24" t="s">
        <v>800</v>
      </c>
      <c r="F379" s="25" t="s">
        <v>899</v>
      </c>
      <c r="G379" s="25" t="s">
        <v>900</v>
      </c>
      <c r="H379" s="10" t="s">
        <v>761</v>
      </c>
      <c r="I379" s="10" t="s">
        <v>801</v>
      </c>
      <c r="J379" s="28">
        <v>9</v>
      </c>
      <c r="K379" s="28"/>
      <c r="L379" s="24"/>
      <c r="M379" s="24">
        <v>7</v>
      </c>
      <c r="N379" s="24">
        <v>3</v>
      </c>
      <c r="O379" s="29">
        <v>46023</v>
      </c>
      <c r="P379" s="29"/>
      <c r="Q379" s="24">
        <v>100</v>
      </c>
      <c r="R379" s="24" t="s">
        <v>69</v>
      </c>
      <c r="S379" s="10"/>
      <c r="T379" s="10" t="s">
        <v>764</v>
      </c>
      <c r="U379" s="10"/>
      <c r="V379" s="10" t="s">
        <v>824</v>
      </c>
      <c r="W379" s="14">
        <f>IF(AND(ISNUMBER(Übersicht!$B$4),Übersicht!$B$4=INT(Übersicht!$B$4),Übersicht!$B$4&gt;=2026,Übersicht!$B$4&lt;=2028),IF(I379="fixedMonthDay",IF(AND(ISNUMBER(J379),J379=INT(J379),J379&gt;=1,J379&lt;=12,ISNUMBER(K379),K379=INT(K379),K379&gt;=1,K379&lt;=31,MONTH(DATE(Übersicht!$B$4,J379,K379))=J379,DAY(DATE(Übersicht!$B$4,J379,K379))=K379,L379="",M379="",N379=""),DATE(Übersicht!$B$4,J379,K379),NA()),IF(I379="easterOffsetDays",IF(AND(ISNUMBER(L379),L379=INT(L379),L379&gt;=-366,L379&lt;=366,J379="",K379="",M379="",N379=""),$AD$23+L379,NA()),IF(I379="nthWeekdayOfMonth",IF(AND(ISNUMBER(J379),J379=INT(J379),J379&gt;=1,J379&lt;=12,ISNUMBER(M379),M379=INT(M379),M379&gt;=1,M379&lt;=7,ISNUMBER(N379),N379=INT(N379),N379&gt;=1,N379&lt;=5,MONTH(DATE(Übersicht!$B$4,J379,1)+MOD(M379-WEEKDAY(DATE(Übersicht!$B$4,J379,1),2),7)+7*(N379-1))=J379,K379="",L379=""),DATE(Übersicht!$B$4,J379,1)+MOD(M379-WEEKDAY(DATE(Übersicht!$B$4,J379,1),2),7)+7*(N379-1),NA()),IF(I379="nthWeekdayOffsetDays",IF(AND(ISNUMBER(J379),J379=INT(J379),J379&gt;=1,J379&lt;=12,ISNUMBER(M379),M379=INT(M379),M379&gt;=1,M379&lt;=7,ISNUMBER(N379),N379=INT(N379),N379&gt;=1,N379&lt;=5,MONTH(DATE(Übersicht!$B$4,J379,1)+MOD(M379-WEEKDAY(DATE(Übersicht!$B$4,J379,1),2),7)+7*(N379-1))=J379,K379="",ISNUMBER(L379),L379=INT(L379),L379&gt;=-366,L379&lt;=366),DATE(Übersicht!$B$4,J379,1)+MOD(M379-WEEKDAY(DATE(Übersicht!$B$4,J379,1),2),7)+7*(N379-1)+L379,NA()),NA())))),NA())</f>
        <v>47013</v>
      </c>
      <c r="X379" s="14">
        <f t="shared" si="5"/>
        <v>47013</v>
      </c>
      <c r="Y379" s="10" t="s">
        <v>1014</v>
      </c>
      <c r="Z379" s="10" t="s">
        <v>1016</v>
      </c>
      <c r="AA379" s="24" t="s">
        <v>768</v>
      </c>
    </row>
    <row r="380" spans="1:27" ht="44" customHeight="1">
      <c r="A380" s="11" t="s">
        <v>492</v>
      </c>
      <c r="B380" s="11" t="s">
        <v>477</v>
      </c>
      <c r="C380" s="11" t="s">
        <v>1017</v>
      </c>
      <c r="D380" s="26" t="s">
        <v>771</v>
      </c>
      <c r="E380" s="26" t="s">
        <v>772</v>
      </c>
      <c r="F380" s="27" t="s">
        <v>849</v>
      </c>
      <c r="G380" s="27" t="s">
        <v>850</v>
      </c>
      <c r="H380" s="11" t="s">
        <v>823</v>
      </c>
      <c r="I380" s="11" t="s">
        <v>762</v>
      </c>
      <c r="J380" s="30">
        <v>1</v>
      </c>
      <c r="K380" s="30">
        <v>1</v>
      </c>
      <c r="L380" s="26"/>
      <c r="M380" s="26"/>
      <c r="N380" s="26"/>
      <c r="O380" s="31">
        <v>46023</v>
      </c>
      <c r="P380" s="31"/>
      <c r="Q380" s="26">
        <v>100</v>
      </c>
      <c r="R380" s="26" t="s">
        <v>69</v>
      </c>
      <c r="S380" s="11"/>
      <c r="T380" s="11" t="s">
        <v>764</v>
      </c>
      <c r="U380" s="11"/>
      <c r="V380" s="11" t="s">
        <v>824</v>
      </c>
      <c r="W380" s="15">
        <f>IF(AND(ISNUMBER(Übersicht!$B$4),Übersicht!$B$4=INT(Übersicht!$B$4),Übersicht!$B$4&gt;=2026,Übersicht!$B$4&lt;=2028),IF(I380="fixedMonthDay",IF(AND(ISNUMBER(J380),J380=INT(J380),J380&gt;=1,J380&lt;=12,ISNUMBER(K380),K380=INT(K380),K380&gt;=1,K380&lt;=31,MONTH(DATE(Übersicht!$B$4,J380,K380))=J380,DAY(DATE(Übersicht!$B$4,J380,K380))=K380,L380="",M380="",N380=""),DATE(Übersicht!$B$4,J380,K380),NA()),IF(I380="easterOffsetDays",IF(AND(ISNUMBER(L380),L380=INT(L380),L380&gt;=-366,L380&lt;=366,J380="",K380="",M380="",N380=""),$AD$23+L380,NA()),IF(I380="nthWeekdayOfMonth",IF(AND(ISNUMBER(J380),J380=INT(J380),J380&gt;=1,J380&lt;=12,ISNUMBER(M380),M380=INT(M380),M380&gt;=1,M380&lt;=7,ISNUMBER(N380),N380=INT(N380),N380&gt;=1,N380&lt;=5,MONTH(DATE(Übersicht!$B$4,J380,1)+MOD(M380-WEEKDAY(DATE(Übersicht!$B$4,J380,1),2),7)+7*(N380-1))=J380,K380="",L380=""),DATE(Übersicht!$B$4,J380,1)+MOD(M380-WEEKDAY(DATE(Übersicht!$B$4,J380,1),2),7)+7*(N380-1),NA()),IF(I380="nthWeekdayOffsetDays",IF(AND(ISNUMBER(J380),J380=INT(J380),J380&gt;=1,J380&lt;=12,ISNUMBER(M380),M380=INT(M380),M380&gt;=1,M380&lt;=7,ISNUMBER(N380),N380=INT(N380),N380&gt;=1,N380&lt;=5,MONTH(DATE(Übersicht!$B$4,J380,1)+MOD(M380-WEEKDAY(DATE(Übersicht!$B$4,J380,1),2),7)+7*(N380-1))=J380,K380="",ISNUMBER(L380),L380=INT(L380),L380&gt;=-366,L380&lt;=366),DATE(Übersicht!$B$4,J380,1)+MOD(M380-WEEKDAY(DATE(Übersicht!$B$4,J380,1),2),7)+7*(N380-1)+L380,NA()),NA())))),NA())</f>
        <v>46753</v>
      </c>
      <c r="X380" s="15">
        <f t="shared" si="5"/>
        <v>46753</v>
      </c>
      <c r="Y380" s="11" t="s">
        <v>1018</v>
      </c>
      <c r="Z380" s="11" t="s">
        <v>1019</v>
      </c>
      <c r="AA380" s="26" t="s">
        <v>768</v>
      </c>
    </row>
    <row r="381" spans="1:27" ht="44" customHeight="1">
      <c r="A381" s="10" t="s">
        <v>493</v>
      </c>
      <c r="B381" s="10" t="s">
        <v>477</v>
      </c>
      <c r="C381" s="10" t="s">
        <v>1017</v>
      </c>
      <c r="D381" s="24" t="s">
        <v>776</v>
      </c>
      <c r="E381" s="24" t="s">
        <v>777</v>
      </c>
      <c r="F381" s="25" t="s">
        <v>919</v>
      </c>
      <c r="G381" s="25" t="s">
        <v>920</v>
      </c>
      <c r="H381" s="10" t="s">
        <v>823</v>
      </c>
      <c r="I381" s="10" t="s">
        <v>762</v>
      </c>
      <c r="J381" s="28">
        <v>1</v>
      </c>
      <c r="K381" s="28">
        <v>2</v>
      </c>
      <c r="L381" s="24"/>
      <c r="M381" s="24"/>
      <c r="N381" s="24"/>
      <c r="O381" s="29">
        <v>46023</v>
      </c>
      <c r="P381" s="29"/>
      <c r="Q381" s="24">
        <v>100</v>
      </c>
      <c r="R381" s="24" t="s">
        <v>69</v>
      </c>
      <c r="S381" s="10"/>
      <c r="T381" s="10" t="s">
        <v>764</v>
      </c>
      <c r="U381" s="10"/>
      <c r="V381" s="10" t="s">
        <v>824</v>
      </c>
      <c r="W381" s="14">
        <f>IF(AND(ISNUMBER(Übersicht!$B$4),Übersicht!$B$4=INT(Übersicht!$B$4),Übersicht!$B$4&gt;=2026,Übersicht!$B$4&lt;=2028),IF(I381="fixedMonthDay",IF(AND(ISNUMBER(J381),J381=INT(J381),J381&gt;=1,J381&lt;=12,ISNUMBER(K381),K381=INT(K381),K381&gt;=1,K381&lt;=31,MONTH(DATE(Übersicht!$B$4,J381,K381))=J381,DAY(DATE(Übersicht!$B$4,J381,K381))=K381,L381="",M381="",N381=""),DATE(Übersicht!$B$4,J381,K381),NA()),IF(I381="easterOffsetDays",IF(AND(ISNUMBER(L381),L381=INT(L381),L381&gt;=-366,L381&lt;=366,J381="",K381="",M381="",N381=""),$AD$23+L381,NA()),IF(I381="nthWeekdayOfMonth",IF(AND(ISNUMBER(J381),J381=INT(J381),J381&gt;=1,J381&lt;=12,ISNUMBER(M381),M381=INT(M381),M381&gt;=1,M381&lt;=7,ISNUMBER(N381),N381=INT(N381),N381&gt;=1,N381&lt;=5,MONTH(DATE(Übersicht!$B$4,J381,1)+MOD(M381-WEEKDAY(DATE(Übersicht!$B$4,J381,1),2),7)+7*(N381-1))=J381,K381="",L381=""),DATE(Übersicht!$B$4,J381,1)+MOD(M381-WEEKDAY(DATE(Übersicht!$B$4,J381,1),2),7)+7*(N381-1),NA()),IF(I381="nthWeekdayOffsetDays",IF(AND(ISNUMBER(J381),J381=INT(J381),J381&gt;=1,J381&lt;=12,ISNUMBER(M381),M381=INT(M381),M381&gt;=1,M381&lt;=7,ISNUMBER(N381),N381=INT(N381),N381&gt;=1,N381&lt;=5,MONTH(DATE(Übersicht!$B$4,J381,1)+MOD(M381-WEEKDAY(DATE(Übersicht!$B$4,J381,1),2),7)+7*(N381-1))=J381,K381="",ISNUMBER(L381),L381=INT(L381),L381&gt;=-366,L381&lt;=366),DATE(Übersicht!$B$4,J381,1)+MOD(M381-WEEKDAY(DATE(Übersicht!$B$4,J381,1),2),7)+7*(N381-1)+L381,NA()),NA())))),NA())</f>
        <v>46754</v>
      </c>
      <c r="X381" s="14">
        <f t="shared" si="5"/>
        <v>46754</v>
      </c>
      <c r="Y381" s="10" t="s">
        <v>1018</v>
      </c>
      <c r="Z381" s="10" t="s">
        <v>1019</v>
      </c>
      <c r="AA381" s="24" t="s">
        <v>768</v>
      </c>
    </row>
    <row r="382" spans="1:27" ht="44" customHeight="1">
      <c r="A382" s="11" t="s">
        <v>494</v>
      </c>
      <c r="B382" s="11" t="s">
        <v>477</v>
      </c>
      <c r="C382" s="11" t="s">
        <v>1017</v>
      </c>
      <c r="D382" s="26" t="s">
        <v>779</v>
      </c>
      <c r="E382" s="26" t="s">
        <v>780</v>
      </c>
      <c r="F382" s="27" t="s">
        <v>889</v>
      </c>
      <c r="G382" s="27" t="s">
        <v>890</v>
      </c>
      <c r="H382" s="11" t="s">
        <v>823</v>
      </c>
      <c r="I382" s="11" t="s">
        <v>781</v>
      </c>
      <c r="J382" s="30"/>
      <c r="K382" s="30"/>
      <c r="L382" s="26">
        <v>-2</v>
      </c>
      <c r="M382" s="26"/>
      <c r="N382" s="26"/>
      <c r="O382" s="31">
        <v>46023</v>
      </c>
      <c r="P382" s="31"/>
      <c r="Q382" s="26">
        <v>100</v>
      </c>
      <c r="R382" s="26" t="s">
        <v>69</v>
      </c>
      <c r="S382" s="11"/>
      <c r="T382" s="11" t="s">
        <v>764</v>
      </c>
      <c r="U382" s="11"/>
      <c r="V382" s="11" t="s">
        <v>824</v>
      </c>
      <c r="W382" s="15">
        <f>IF(AND(ISNUMBER(Übersicht!$B$4),Übersicht!$B$4=INT(Übersicht!$B$4),Übersicht!$B$4&gt;=2026,Übersicht!$B$4&lt;=2028),IF(I382="fixedMonthDay",IF(AND(ISNUMBER(J382),J382=INT(J382),J382&gt;=1,J382&lt;=12,ISNUMBER(K382),K382=INT(K382),K382&gt;=1,K382&lt;=31,MONTH(DATE(Übersicht!$B$4,J382,K382))=J382,DAY(DATE(Übersicht!$B$4,J382,K382))=K382,L382="",M382="",N382=""),DATE(Übersicht!$B$4,J382,K382),NA()),IF(I382="easterOffsetDays",IF(AND(ISNUMBER(L382),L382=INT(L382),L382&gt;=-366,L382&lt;=366,J382="",K382="",M382="",N382=""),$AD$23+L382,NA()),IF(I382="nthWeekdayOfMonth",IF(AND(ISNUMBER(J382),J382=INT(J382),J382&gt;=1,J382&lt;=12,ISNUMBER(M382),M382=INT(M382),M382&gt;=1,M382&lt;=7,ISNUMBER(N382),N382=INT(N382),N382&gt;=1,N382&lt;=5,MONTH(DATE(Übersicht!$B$4,J382,1)+MOD(M382-WEEKDAY(DATE(Übersicht!$B$4,J382,1),2),7)+7*(N382-1))=J382,K382="",L382=""),DATE(Übersicht!$B$4,J382,1)+MOD(M382-WEEKDAY(DATE(Übersicht!$B$4,J382,1),2),7)+7*(N382-1),NA()),IF(I382="nthWeekdayOffsetDays",IF(AND(ISNUMBER(J382),J382=INT(J382),J382&gt;=1,J382&lt;=12,ISNUMBER(M382),M382=INT(M382),M382&gt;=1,M382&lt;=7,ISNUMBER(N382),N382=INT(N382),N382&gt;=1,N382&lt;=5,MONTH(DATE(Übersicht!$B$4,J382,1)+MOD(M382-WEEKDAY(DATE(Übersicht!$B$4,J382,1),2),7)+7*(N382-1))=J382,K382="",ISNUMBER(L382),L382=INT(L382),L382&gt;=-366,L382&lt;=366),DATE(Übersicht!$B$4,J382,1)+MOD(M382-WEEKDAY(DATE(Übersicht!$B$4,J382,1),2),7)+7*(N382-1)+L382,NA()),NA())))),NA())</f>
        <v>46857</v>
      </c>
      <c r="X382" s="15">
        <f t="shared" si="5"/>
        <v>46857</v>
      </c>
      <c r="Y382" s="11" t="s">
        <v>1018</v>
      </c>
      <c r="Z382" s="11" t="s">
        <v>1019</v>
      </c>
      <c r="AA382" s="26" t="s">
        <v>768</v>
      </c>
    </row>
    <row r="383" spans="1:27" ht="44" customHeight="1">
      <c r="A383" s="10" t="s">
        <v>495</v>
      </c>
      <c r="B383" s="10" t="s">
        <v>477</v>
      </c>
      <c r="C383" s="10" t="s">
        <v>1017</v>
      </c>
      <c r="D383" s="24" t="s">
        <v>784</v>
      </c>
      <c r="E383" s="24" t="s">
        <v>785</v>
      </c>
      <c r="F383" s="25" t="s">
        <v>892</v>
      </c>
      <c r="G383" s="25" t="s">
        <v>893</v>
      </c>
      <c r="H383" s="10" t="s">
        <v>823</v>
      </c>
      <c r="I383" s="10" t="s">
        <v>781</v>
      </c>
      <c r="J383" s="28"/>
      <c r="K383" s="28"/>
      <c r="L383" s="24">
        <v>0</v>
      </c>
      <c r="M383" s="24"/>
      <c r="N383" s="24"/>
      <c r="O383" s="29">
        <v>46023</v>
      </c>
      <c r="P383" s="29"/>
      <c r="Q383" s="24">
        <v>100</v>
      </c>
      <c r="R383" s="24" t="s">
        <v>69</v>
      </c>
      <c r="S383" s="10"/>
      <c r="T383" s="10" t="s">
        <v>764</v>
      </c>
      <c r="U383" s="10"/>
      <c r="V383" s="10" t="s">
        <v>824</v>
      </c>
      <c r="W383" s="14">
        <f>IF(AND(ISNUMBER(Übersicht!$B$4),Übersicht!$B$4=INT(Übersicht!$B$4),Übersicht!$B$4&gt;=2026,Übersicht!$B$4&lt;=2028),IF(I383="fixedMonthDay",IF(AND(ISNUMBER(J383),J383=INT(J383),J383&gt;=1,J383&lt;=12,ISNUMBER(K383),K383=INT(K383),K383&gt;=1,K383&lt;=31,MONTH(DATE(Übersicht!$B$4,J383,K383))=J383,DAY(DATE(Übersicht!$B$4,J383,K383))=K383,L383="",M383="",N383=""),DATE(Übersicht!$B$4,J383,K383),NA()),IF(I383="easterOffsetDays",IF(AND(ISNUMBER(L383),L383=INT(L383),L383&gt;=-366,L383&lt;=366,J383="",K383="",M383="",N383=""),$AD$23+L383,NA()),IF(I383="nthWeekdayOfMonth",IF(AND(ISNUMBER(J383),J383=INT(J383),J383&gt;=1,J383&lt;=12,ISNUMBER(M383),M383=INT(M383),M383&gt;=1,M383&lt;=7,ISNUMBER(N383),N383=INT(N383),N383&gt;=1,N383&lt;=5,MONTH(DATE(Übersicht!$B$4,J383,1)+MOD(M383-WEEKDAY(DATE(Übersicht!$B$4,J383,1),2),7)+7*(N383-1))=J383,K383="",L383=""),DATE(Übersicht!$B$4,J383,1)+MOD(M383-WEEKDAY(DATE(Übersicht!$B$4,J383,1),2),7)+7*(N383-1),NA()),IF(I383="nthWeekdayOffsetDays",IF(AND(ISNUMBER(J383),J383=INT(J383),J383&gt;=1,J383&lt;=12,ISNUMBER(M383),M383=INT(M383),M383&gt;=1,M383&lt;=7,ISNUMBER(N383),N383=INT(N383),N383&gt;=1,N383&lt;=5,MONTH(DATE(Übersicht!$B$4,J383,1)+MOD(M383-WEEKDAY(DATE(Übersicht!$B$4,J383,1),2),7)+7*(N383-1))=J383,K383="",ISNUMBER(L383),L383=INT(L383),L383&gt;=-366,L383&lt;=366),DATE(Übersicht!$B$4,J383,1)+MOD(M383-WEEKDAY(DATE(Übersicht!$B$4,J383,1),2),7)+7*(N383-1)+L383,NA()),NA())))),NA())</f>
        <v>46859</v>
      </c>
      <c r="X383" s="14">
        <f t="shared" si="5"/>
        <v>46859</v>
      </c>
      <c r="Y383" s="10" t="s">
        <v>1018</v>
      </c>
      <c r="Z383" s="10" t="s">
        <v>1019</v>
      </c>
      <c r="AA383" s="24" t="s">
        <v>768</v>
      </c>
    </row>
    <row r="384" spans="1:27" ht="44" customHeight="1">
      <c r="A384" s="11" t="s">
        <v>496</v>
      </c>
      <c r="B384" s="11" t="s">
        <v>477</v>
      </c>
      <c r="C384" s="11" t="s">
        <v>1017</v>
      </c>
      <c r="D384" s="26" t="s">
        <v>787</v>
      </c>
      <c r="E384" s="26" t="s">
        <v>788</v>
      </c>
      <c r="F384" s="27" t="s">
        <v>860</v>
      </c>
      <c r="G384" s="27" t="s">
        <v>861</v>
      </c>
      <c r="H384" s="11" t="s">
        <v>823</v>
      </c>
      <c r="I384" s="11" t="s">
        <v>781</v>
      </c>
      <c r="J384" s="30"/>
      <c r="K384" s="30"/>
      <c r="L384" s="26">
        <v>1</v>
      </c>
      <c r="M384" s="26"/>
      <c r="N384" s="26"/>
      <c r="O384" s="31">
        <v>46023</v>
      </c>
      <c r="P384" s="31"/>
      <c r="Q384" s="26">
        <v>100</v>
      </c>
      <c r="R384" s="26" t="s">
        <v>69</v>
      </c>
      <c r="S384" s="11"/>
      <c r="T384" s="11" t="s">
        <v>764</v>
      </c>
      <c r="U384" s="11"/>
      <c r="V384" s="11" t="s">
        <v>824</v>
      </c>
      <c r="W384" s="15">
        <f>IF(AND(ISNUMBER(Übersicht!$B$4),Übersicht!$B$4=INT(Übersicht!$B$4),Übersicht!$B$4&gt;=2026,Übersicht!$B$4&lt;=2028),IF(I384="fixedMonthDay",IF(AND(ISNUMBER(J384),J384=INT(J384),J384&gt;=1,J384&lt;=12,ISNUMBER(K384),K384=INT(K384),K384&gt;=1,K384&lt;=31,MONTH(DATE(Übersicht!$B$4,J384,K384))=J384,DAY(DATE(Übersicht!$B$4,J384,K384))=K384,L384="",M384="",N384=""),DATE(Übersicht!$B$4,J384,K384),NA()),IF(I384="easterOffsetDays",IF(AND(ISNUMBER(L384),L384=INT(L384),L384&gt;=-366,L384&lt;=366,J384="",K384="",M384="",N384=""),$AD$23+L384,NA()),IF(I384="nthWeekdayOfMonth",IF(AND(ISNUMBER(J384),J384=INT(J384),J384&gt;=1,J384&lt;=12,ISNUMBER(M384),M384=INT(M384),M384&gt;=1,M384&lt;=7,ISNUMBER(N384),N384=INT(N384),N384&gt;=1,N384&lt;=5,MONTH(DATE(Übersicht!$B$4,J384,1)+MOD(M384-WEEKDAY(DATE(Übersicht!$B$4,J384,1),2),7)+7*(N384-1))=J384,K384="",L384=""),DATE(Übersicht!$B$4,J384,1)+MOD(M384-WEEKDAY(DATE(Übersicht!$B$4,J384,1),2),7)+7*(N384-1),NA()),IF(I384="nthWeekdayOffsetDays",IF(AND(ISNUMBER(J384),J384=INT(J384),J384&gt;=1,J384&lt;=12,ISNUMBER(M384),M384=INT(M384),M384&gt;=1,M384&lt;=7,ISNUMBER(N384),N384=INT(N384),N384&gt;=1,N384&lt;=5,MONTH(DATE(Übersicht!$B$4,J384,1)+MOD(M384-WEEKDAY(DATE(Übersicht!$B$4,J384,1),2),7)+7*(N384-1))=J384,K384="",ISNUMBER(L384),L384=INT(L384),L384&gt;=-366,L384&lt;=366),DATE(Übersicht!$B$4,J384,1)+MOD(M384-WEEKDAY(DATE(Übersicht!$B$4,J384,1),2),7)+7*(N384-1)+L384,NA()),NA())))),NA())</f>
        <v>46860</v>
      </c>
      <c r="X384" s="15">
        <f t="shared" si="5"/>
        <v>46860</v>
      </c>
      <c r="Y384" s="11" t="s">
        <v>1018</v>
      </c>
      <c r="Z384" s="11" t="s">
        <v>1019</v>
      </c>
      <c r="AA384" s="26" t="s">
        <v>768</v>
      </c>
    </row>
    <row r="385" spans="1:27" ht="44" customHeight="1">
      <c r="A385" s="10" t="s">
        <v>497</v>
      </c>
      <c r="B385" s="10" t="s">
        <v>477</v>
      </c>
      <c r="C385" s="10" t="s">
        <v>1017</v>
      </c>
      <c r="D385" s="24" t="s">
        <v>790</v>
      </c>
      <c r="E385" s="24" t="s">
        <v>791</v>
      </c>
      <c r="F385" s="25" t="s">
        <v>864</v>
      </c>
      <c r="G385" s="25" t="s">
        <v>865</v>
      </c>
      <c r="H385" s="10" t="s">
        <v>823</v>
      </c>
      <c r="I385" s="10" t="s">
        <v>781</v>
      </c>
      <c r="J385" s="28"/>
      <c r="K385" s="28"/>
      <c r="L385" s="24">
        <v>39</v>
      </c>
      <c r="M385" s="24"/>
      <c r="N385" s="24"/>
      <c r="O385" s="29">
        <v>46023</v>
      </c>
      <c r="P385" s="29"/>
      <c r="Q385" s="24">
        <v>100</v>
      </c>
      <c r="R385" s="24" t="s">
        <v>69</v>
      </c>
      <c r="S385" s="10"/>
      <c r="T385" s="10" t="s">
        <v>764</v>
      </c>
      <c r="U385" s="10"/>
      <c r="V385" s="10" t="s">
        <v>824</v>
      </c>
      <c r="W385" s="14">
        <f>IF(AND(ISNUMBER(Übersicht!$B$4),Übersicht!$B$4=INT(Übersicht!$B$4),Übersicht!$B$4&gt;=2026,Übersicht!$B$4&lt;=2028),IF(I385="fixedMonthDay",IF(AND(ISNUMBER(J385),J385=INT(J385),J385&gt;=1,J385&lt;=12,ISNUMBER(K385),K385=INT(K385),K385&gt;=1,K385&lt;=31,MONTH(DATE(Übersicht!$B$4,J385,K385))=J385,DAY(DATE(Übersicht!$B$4,J385,K385))=K385,L385="",M385="",N385=""),DATE(Übersicht!$B$4,J385,K385),NA()),IF(I385="easterOffsetDays",IF(AND(ISNUMBER(L385),L385=INT(L385),L385&gt;=-366,L385&lt;=366,J385="",K385="",M385="",N385=""),$AD$23+L385,NA()),IF(I385="nthWeekdayOfMonth",IF(AND(ISNUMBER(J385),J385=INT(J385),J385&gt;=1,J385&lt;=12,ISNUMBER(M385),M385=INT(M385),M385&gt;=1,M385&lt;=7,ISNUMBER(N385),N385=INT(N385),N385&gt;=1,N385&lt;=5,MONTH(DATE(Übersicht!$B$4,J385,1)+MOD(M385-WEEKDAY(DATE(Übersicht!$B$4,J385,1),2),7)+7*(N385-1))=J385,K385="",L385=""),DATE(Übersicht!$B$4,J385,1)+MOD(M385-WEEKDAY(DATE(Übersicht!$B$4,J385,1),2),7)+7*(N385-1),NA()),IF(I385="nthWeekdayOffsetDays",IF(AND(ISNUMBER(J385),J385=INT(J385),J385&gt;=1,J385&lt;=12,ISNUMBER(M385),M385=INT(M385),M385&gt;=1,M385&lt;=7,ISNUMBER(N385),N385=INT(N385),N385&gt;=1,N385&lt;=5,MONTH(DATE(Übersicht!$B$4,J385,1)+MOD(M385-WEEKDAY(DATE(Übersicht!$B$4,J385,1),2),7)+7*(N385-1))=J385,K385="",ISNUMBER(L385),L385=INT(L385),L385&gt;=-366,L385&lt;=366),DATE(Übersicht!$B$4,J385,1)+MOD(M385-WEEKDAY(DATE(Übersicht!$B$4,J385,1),2),7)+7*(N385-1)+L385,NA()),NA())))),NA())</f>
        <v>46898</v>
      </c>
      <c r="X385" s="14">
        <f t="shared" si="5"/>
        <v>46898</v>
      </c>
      <c r="Y385" s="10" t="s">
        <v>1018</v>
      </c>
      <c r="Z385" s="10" t="s">
        <v>1019</v>
      </c>
      <c r="AA385" s="24" t="s">
        <v>768</v>
      </c>
    </row>
    <row r="386" spans="1:27" ht="44" customHeight="1">
      <c r="A386" s="11" t="s">
        <v>498</v>
      </c>
      <c r="B386" s="11" t="s">
        <v>477</v>
      </c>
      <c r="C386" s="11" t="s">
        <v>1017</v>
      </c>
      <c r="D386" s="26" t="s">
        <v>793</v>
      </c>
      <c r="E386" s="26" t="s">
        <v>794</v>
      </c>
      <c r="F386" s="27" t="s">
        <v>896</v>
      </c>
      <c r="G386" s="27" t="s">
        <v>897</v>
      </c>
      <c r="H386" s="11" t="s">
        <v>823</v>
      </c>
      <c r="I386" s="11" t="s">
        <v>781</v>
      </c>
      <c r="J386" s="30"/>
      <c r="K386" s="30"/>
      <c r="L386" s="26">
        <v>49</v>
      </c>
      <c r="M386" s="26"/>
      <c r="N386" s="26"/>
      <c r="O386" s="31">
        <v>46023</v>
      </c>
      <c r="P386" s="31"/>
      <c r="Q386" s="26">
        <v>100</v>
      </c>
      <c r="R386" s="26" t="s">
        <v>69</v>
      </c>
      <c r="S386" s="11"/>
      <c r="T386" s="11" t="s">
        <v>764</v>
      </c>
      <c r="U386" s="11"/>
      <c r="V386" s="11" t="s">
        <v>824</v>
      </c>
      <c r="W386" s="15">
        <f>IF(AND(ISNUMBER(Übersicht!$B$4),Übersicht!$B$4=INT(Übersicht!$B$4),Übersicht!$B$4&gt;=2026,Übersicht!$B$4&lt;=2028),IF(I386="fixedMonthDay",IF(AND(ISNUMBER(J386),J386=INT(J386),J386&gt;=1,J386&lt;=12,ISNUMBER(K386),K386=INT(K386),K386&gt;=1,K386&lt;=31,MONTH(DATE(Übersicht!$B$4,J386,K386))=J386,DAY(DATE(Übersicht!$B$4,J386,K386))=K386,L386="",M386="",N386=""),DATE(Übersicht!$B$4,J386,K386),NA()),IF(I386="easterOffsetDays",IF(AND(ISNUMBER(L386),L386=INT(L386),L386&gt;=-366,L386&lt;=366,J386="",K386="",M386="",N386=""),$AD$23+L386,NA()),IF(I386="nthWeekdayOfMonth",IF(AND(ISNUMBER(J386),J386=INT(J386),J386&gt;=1,J386&lt;=12,ISNUMBER(M386),M386=INT(M386),M386&gt;=1,M386&lt;=7,ISNUMBER(N386),N386=INT(N386),N386&gt;=1,N386&lt;=5,MONTH(DATE(Übersicht!$B$4,J386,1)+MOD(M386-WEEKDAY(DATE(Übersicht!$B$4,J386,1),2),7)+7*(N386-1))=J386,K386="",L386=""),DATE(Übersicht!$B$4,J386,1)+MOD(M386-WEEKDAY(DATE(Übersicht!$B$4,J386,1),2),7)+7*(N386-1),NA()),IF(I386="nthWeekdayOffsetDays",IF(AND(ISNUMBER(J386),J386=INT(J386),J386&gt;=1,J386&lt;=12,ISNUMBER(M386),M386=INT(M386),M386&gt;=1,M386&lt;=7,ISNUMBER(N386),N386=INT(N386),N386&gt;=1,N386&lt;=5,MONTH(DATE(Übersicht!$B$4,J386,1)+MOD(M386-WEEKDAY(DATE(Übersicht!$B$4,J386,1),2),7)+7*(N386-1))=J386,K386="",ISNUMBER(L386),L386=INT(L386),L386&gt;=-366,L386&lt;=366),DATE(Übersicht!$B$4,J386,1)+MOD(M386-WEEKDAY(DATE(Übersicht!$B$4,J386,1),2),7)+7*(N386-1)+L386,NA()),NA())))),NA())</f>
        <v>46908</v>
      </c>
      <c r="X386" s="15">
        <f t="shared" si="5"/>
        <v>46908</v>
      </c>
      <c r="Y386" s="11" t="s">
        <v>1018</v>
      </c>
      <c r="Z386" s="11" t="s">
        <v>1019</v>
      </c>
      <c r="AA386" s="26" t="s">
        <v>768</v>
      </c>
    </row>
    <row r="387" spans="1:27" ht="44" customHeight="1">
      <c r="A387" s="10" t="s">
        <v>499</v>
      </c>
      <c r="B387" s="10" t="s">
        <v>477</v>
      </c>
      <c r="C387" s="10" t="s">
        <v>1017</v>
      </c>
      <c r="D387" s="24" t="s">
        <v>796</v>
      </c>
      <c r="E387" s="24" t="s">
        <v>797</v>
      </c>
      <c r="F387" s="25" t="s">
        <v>866</v>
      </c>
      <c r="G387" s="25" t="s">
        <v>867</v>
      </c>
      <c r="H387" s="10" t="s">
        <v>823</v>
      </c>
      <c r="I387" s="10" t="s">
        <v>781</v>
      </c>
      <c r="J387" s="28"/>
      <c r="K387" s="28"/>
      <c r="L387" s="24">
        <v>50</v>
      </c>
      <c r="M387" s="24"/>
      <c r="N387" s="24"/>
      <c r="O387" s="29">
        <v>46023</v>
      </c>
      <c r="P387" s="29"/>
      <c r="Q387" s="24">
        <v>100</v>
      </c>
      <c r="R387" s="24" t="s">
        <v>69</v>
      </c>
      <c r="S387" s="10"/>
      <c r="T387" s="10" t="s">
        <v>764</v>
      </c>
      <c r="U387" s="10"/>
      <c r="V387" s="10" t="s">
        <v>824</v>
      </c>
      <c r="W387" s="14">
        <f>IF(AND(ISNUMBER(Übersicht!$B$4),Übersicht!$B$4=INT(Übersicht!$B$4),Übersicht!$B$4&gt;=2026,Übersicht!$B$4&lt;=2028),IF(I387="fixedMonthDay",IF(AND(ISNUMBER(J387),J387=INT(J387),J387&gt;=1,J387&lt;=12,ISNUMBER(K387),K387=INT(K387),K387&gt;=1,K387&lt;=31,MONTH(DATE(Übersicht!$B$4,J387,K387))=J387,DAY(DATE(Übersicht!$B$4,J387,K387))=K387,L387="",M387="",N387=""),DATE(Übersicht!$B$4,J387,K387),NA()),IF(I387="easterOffsetDays",IF(AND(ISNUMBER(L387),L387=INT(L387),L387&gt;=-366,L387&lt;=366,J387="",K387="",M387="",N387=""),$AD$23+L387,NA()),IF(I387="nthWeekdayOfMonth",IF(AND(ISNUMBER(J387),J387=INT(J387),J387&gt;=1,J387&lt;=12,ISNUMBER(M387),M387=INT(M387),M387&gt;=1,M387&lt;=7,ISNUMBER(N387),N387=INT(N387),N387&gt;=1,N387&lt;=5,MONTH(DATE(Übersicht!$B$4,J387,1)+MOD(M387-WEEKDAY(DATE(Übersicht!$B$4,J387,1),2),7)+7*(N387-1))=J387,K387="",L387=""),DATE(Übersicht!$B$4,J387,1)+MOD(M387-WEEKDAY(DATE(Übersicht!$B$4,J387,1),2),7)+7*(N387-1),NA()),IF(I387="nthWeekdayOffsetDays",IF(AND(ISNUMBER(J387),J387=INT(J387),J387&gt;=1,J387&lt;=12,ISNUMBER(M387),M387=INT(M387),M387&gt;=1,M387&lt;=7,ISNUMBER(N387),N387=INT(N387),N387&gt;=1,N387&lt;=5,MONTH(DATE(Übersicht!$B$4,J387,1)+MOD(M387-WEEKDAY(DATE(Übersicht!$B$4,J387,1),2),7)+7*(N387-1))=J387,K387="",ISNUMBER(L387),L387=INT(L387),L387&gt;=-366,L387&lt;=366),DATE(Übersicht!$B$4,J387,1)+MOD(M387-WEEKDAY(DATE(Übersicht!$B$4,J387,1),2),7)+7*(N387-1)+L387,NA()),NA())))),NA())</f>
        <v>46909</v>
      </c>
      <c r="X387" s="14">
        <f t="shared" si="5"/>
        <v>46909</v>
      </c>
      <c r="Y387" s="10" t="s">
        <v>1018</v>
      </c>
      <c r="Z387" s="10" t="s">
        <v>1019</v>
      </c>
      <c r="AA387" s="24" t="s">
        <v>768</v>
      </c>
    </row>
    <row r="388" spans="1:27" ht="44" customHeight="1">
      <c r="A388" s="11" t="s">
        <v>500</v>
      </c>
      <c r="B388" s="11" t="s">
        <v>477</v>
      </c>
      <c r="C388" s="11" t="s">
        <v>1017</v>
      </c>
      <c r="D388" s="26" t="s">
        <v>810</v>
      </c>
      <c r="E388" s="26" t="s">
        <v>811</v>
      </c>
      <c r="F388" s="27" t="s">
        <v>868</v>
      </c>
      <c r="G388" s="27" t="s">
        <v>869</v>
      </c>
      <c r="H388" s="11" t="s">
        <v>823</v>
      </c>
      <c r="I388" s="11" t="s">
        <v>781</v>
      </c>
      <c r="J388" s="30"/>
      <c r="K388" s="30"/>
      <c r="L388" s="26">
        <v>60</v>
      </c>
      <c r="M388" s="26"/>
      <c r="N388" s="26"/>
      <c r="O388" s="31">
        <v>46023</v>
      </c>
      <c r="P388" s="31"/>
      <c r="Q388" s="26">
        <v>100</v>
      </c>
      <c r="R388" s="26" t="s">
        <v>69</v>
      </c>
      <c r="S388" s="11"/>
      <c r="T388" s="11" t="s">
        <v>764</v>
      </c>
      <c r="U388" s="11"/>
      <c r="V388" s="11" t="s">
        <v>824</v>
      </c>
      <c r="W388" s="15">
        <f>IF(AND(ISNUMBER(Übersicht!$B$4),Übersicht!$B$4=INT(Übersicht!$B$4),Übersicht!$B$4&gt;=2026,Übersicht!$B$4&lt;=2028),IF(I388="fixedMonthDay",IF(AND(ISNUMBER(J388),J388=INT(J388),J388&gt;=1,J388&lt;=12,ISNUMBER(K388),K388=INT(K388),K388&gt;=1,K388&lt;=31,MONTH(DATE(Übersicht!$B$4,J388,K388))=J388,DAY(DATE(Übersicht!$B$4,J388,K388))=K388,L388="",M388="",N388=""),DATE(Übersicht!$B$4,J388,K388),NA()),IF(I388="easterOffsetDays",IF(AND(ISNUMBER(L388),L388=INT(L388),L388&gt;=-366,L388&lt;=366,J388="",K388="",M388="",N388=""),$AD$23+L388,NA()),IF(I388="nthWeekdayOfMonth",IF(AND(ISNUMBER(J388),J388=INT(J388),J388&gt;=1,J388&lt;=12,ISNUMBER(M388),M388=INT(M388),M388&gt;=1,M388&lt;=7,ISNUMBER(N388),N388=INT(N388),N388&gt;=1,N388&lt;=5,MONTH(DATE(Übersicht!$B$4,J388,1)+MOD(M388-WEEKDAY(DATE(Übersicht!$B$4,J388,1),2),7)+7*(N388-1))=J388,K388="",L388=""),DATE(Übersicht!$B$4,J388,1)+MOD(M388-WEEKDAY(DATE(Übersicht!$B$4,J388,1),2),7)+7*(N388-1),NA()),IF(I388="nthWeekdayOffsetDays",IF(AND(ISNUMBER(J388),J388=INT(J388),J388&gt;=1,J388&lt;=12,ISNUMBER(M388),M388=INT(M388),M388&gt;=1,M388&lt;=7,ISNUMBER(N388),N388=INT(N388),N388&gt;=1,N388&lt;=5,MONTH(DATE(Übersicht!$B$4,J388,1)+MOD(M388-WEEKDAY(DATE(Übersicht!$B$4,J388,1),2),7)+7*(N388-1))=J388,K388="",ISNUMBER(L388),L388=INT(L388),L388&gt;=-366,L388&lt;=366),DATE(Übersicht!$B$4,J388,1)+MOD(M388-WEEKDAY(DATE(Übersicht!$B$4,J388,1),2),7)+7*(N388-1)+L388,NA()),NA())))),NA())</f>
        <v>46919</v>
      </c>
      <c r="X388" s="15">
        <f t="shared" si="5"/>
        <v>46919</v>
      </c>
      <c r="Y388" s="11" t="s">
        <v>1018</v>
      </c>
      <c r="Z388" s="11" t="s">
        <v>1019</v>
      </c>
      <c r="AA388" s="26" t="s">
        <v>768</v>
      </c>
    </row>
    <row r="389" spans="1:27" ht="44" customHeight="1">
      <c r="A389" s="10" t="s">
        <v>501</v>
      </c>
      <c r="B389" s="10" t="s">
        <v>477</v>
      </c>
      <c r="C389" s="10" t="s">
        <v>1017</v>
      </c>
      <c r="D389" s="24" t="s">
        <v>759</v>
      </c>
      <c r="E389" s="24" t="s">
        <v>760</v>
      </c>
      <c r="F389" s="25" t="s">
        <v>874</v>
      </c>
      <c r="G389" s="25" t="s">
        <v>875</v>
      </c>
      <c r="H389" s="10" t="s">
        <v>823</v>
      </c>
      <c r="I389" s="10" t="s">
        <v>762</v>
      </c>
      <c r="J389" s="28">
        <v>8</v>
      </c>
      <c r="K389" s="28">
        <v>1</v>
      </c>
      <c r="L389" s="24"/>
      <c r="M389" s="24"/>
      <c r="N389" s="24"/>
      <c r="O389" s="29">
        <v>46023</v>
      </c>
      <c r="P389" s="29"/>
      <c r="Q389" s="24">
        <v>100</v>
      </c>
      <c r="R389" s="24" t="s">
        <v>69</v>
      </c>
      <c r="S389" s="10"/>
      <c r="T389" s="10" t="s">
        <v>764</v>
      </c>
      <c r="U389" s="10"/>
      <c r="V389" s="10" t="s">
        <v>824</v>
      </c>
      <c r="W389" s="14">
        <f>IF(AND(ISNUMBER(Übersicht!$B$4),Übersicht!$B$4=INT(Übersicht!$B$4),Übersicht!$B$4&gt;=2026,Übersicht!$B$4&lt;=2028),IF(I389="fixedMonthDay",IF(AND(ISNUMBER(J389),J389=INT(J389),J389&gt;=1,J389&lt;=12,ISNUMBER(K389),K389=INT(K389),K389&gt;=1,K389&lt;=31,MONTH(DATE(Übersicht!$B$4,J389,K389))=J389,DAY(DATE(Übersicht!$B$4,J389,K389))=K389,L389="",M389="",N389=""),DATE(Übersicht!$B$4,J389,K389),NA()),IF(I389="easterOffsetDays",IF(AND(ISNUMBER(L389),L389=INT(L389),L389&gt;=-366,L389&lt;=366,J389="",K389="",M389="",N389=""),$AD$23+L389,NA()),IF(I389="nthWeekdayOfMonth",IF(AND(ISNUMBER(J389),J389=INT(J389),J389&gt;=1,J389&lt;=12,ISNUMBER(M389),M389=INT(M389),M389&gt;=1,M389&lt;=7,ISNUMBER(N389),N389=INT(N389),N389&gt;=1,N389&lt;=5,MONTH(DATE(Übersicht!$B$4,J389,1)+MOD(M389-WEEKDAY(DATE(Übersicht!$B$4,J389,1),2),7)+7*(N389-1))=J389,K389="",L389=""),DATE(Übersicht!$B$4,J389,1)+MOD(M389-WEEKDAY(DATE(Übersicht!$B$4,J389,1),2),7)+7*(N389-1),NA()),IF(I389="nthWeekdayOffsetDays",IF(AND(ISNUMBER(J389),J389=INT(J389),J389&gt;=1,J389&lt;=12,ISNUMBER(M389),M389=INT(M389),M389&gt;=1,M389&lt;=7,ISNUMBER(N389),N389=INT(N389),N389&gt;=1,N389&lt;=5,MONTH(DATE(Übersicht!$B$4,J389,1)+MOD(M389-WEEKDAY(DATE(Übersicht!$B$4,J389,1),2),7)+7*(N389-1))=J389,K389="",ISNUMBER(L389),L389=INT(L389),L389&gt;=-366,L389&lt;=366),DATE(Übersicht!$B$4,J389,1)+MOD(M389-WEEKDAY(DATE(Übersicht!$B$4,J389,1),2),7)+7*(N389-1)+L389,NA()),NA())))),NA())</f>
        <v>46966</v>
      </c>
      <c r="X389" s="14">
        <f t="shared" si="5"/>
        <v>46966</v>
      </c>
      <c r="Y389" s="10" t="s">
        <v>1018</v>
      </c>
      <c r="Z389" s="10" t="s">
        <v>1019</v>
      </c>
      <c r="AA389" s="24" t="s">
        <v>768</v>
      </c>
    </row>
    <row r="390" spans="1:27" ht="44" customHeight="1">
      <c r="A390" s="11" t="s">
        <v>502</v>
      </c>
      <c r="B390" s="11" t="s">
        <v>477</v>
      </c>
      <c r="C390" s="11" t="s">
        <v>1017</v>
      </c>
      <c r="D390" s="26" t="s">
        <v>834</v>
      </c>
      <c r="E390" s="26" t="s">
        <v>835</v>
      </c>
      <c r="F390" s="27" t="s">
        <v>876</v>
      </c>
      <c r="G390" s="27" t="s">
        <v>877</v>
      </c>
      <c r="H390" s="11" t="s">
        <v>823</v>
      </c>
      <c r="I390" s="11" t="s">
        <v>762</v>
      </c>
      <c r="J390" s="30">
        <v>8</v>
      </c>
      <c r="K390" s="30">
        <v>15</v>
      </c>
      <c r="L390" s="26"/>
      <c r="M390" s="26"/>
      <c r="N390" s="26"/>
      <c r="O390" s="31">
        <v>46023</v>
      </c>
      <c r="P390" s="31"/>
      <c r="Q390" s="26">
        <v>100</v>
      </c>
      <c r="R390" s="26" t="s">
        <v>69</v>
      </c>
      <c r="S390" s="11"/>
      <c r="T390" s="11" t="s">
        <v>764</v>
      </c>
      <c r="U390" s="11"/>
      <c r="V390" s="11" t="s">
        <v>824</v>
      </c>
      <c r="W390" s="15">
        <f>IF(AND(ISNUMBER(Übersicht!$B$4),Übersicht!$B$4=INT(Übersicht!$B$4),Übersicht!$B$4&gt;=2026,Übersicht!$B$4&lt;=2028),IF(I390="fixedMonthDay",IF(AND(ISNUMBER(J390),J390=INT(J390),J390&gt;=1,J390&lt;=12,ISNUMBER(K390),K390=INT(K390),K390&gt;=1,K390&lt;=31,MONTH(DATE(Übersicht!$B$4,J390,K390))=J390,DAY(DATE(Übersicht!$B$4,J390,K390))=K390,L390="",M390="",N390=""),DATE(Übersicht!$B$4,J390,K390),NA()),IF(I390="easterOffsetDays",IF(AND(ISNUMBER(L390),L390=INT(L390),L390&gt;=-366,L390&lt;=366,J390="",K390="",M390="",N390=""),$AD$23+L390,NA()),IF(I390="nthWeekdayOfMonth",IF(AND(ISNUMBER(J390),J390=INT(J390),J390&gt;=1,J390&lt;=12,ISNUMBER(M390),M390=INT(M390),M390&gt;=1,M390&lt;=7,ISNUMBER(N390),N390=INT(N390),N390&gt;=1,N390&lt;=5,MONTH(DATE(Übersicht!$B$4,J390,1)+MOD(M390-WEEKDAY(DATE(Übersicht!$B$4,J390,1),2),7)+7*(N390-1))=J390,K390="",L390=""),DATE(Übersicht!$B$4,J390,1)+MOD(M390-WEEKDAY(DATE(Übersicht!$B$4,J390,1),2),7)+7*(N390-1),NA()),IF(I390="nthWeekdayOffsetDays",IF(AND(ISNUMBER(J390),J390=INT(J390),J390&gt;=1,J390&lt;=12,ISNUMBER(M390),M390=INT(M390),M390&gt;=1,M390&lt;=7,ISNUMBER(N390),N390=INT(N390),N390&gt;=1,N390&lt;=5,MONTH(DATE(Übersicht!$B$4,J390,1)+MOD(M390-WEEKDAY(DATE(Übersicht!$B$4,J390,1),2),7)+7*(N390-1))=J390,K390="",ISNUMBER(L390),L390=INT(L390),L390&gt;=-366,L390&lt;=366),DATE(Übersicht!$B$4,J390,1)+MOD(M390-WEEKDAY(DATE(Übersicht!$B$4,J390,1),2),7)+7*(N390-1)+L390,NA()),NA())))),NA())</f>
        <v>46980</v>
      </c>
      <c r="X390" s="15">
        <f t="shared" si="5"/>
        <v>46980</v>
      </c>
      <c r="Y390" s="11" t="s">
        <v>1018</v>
      </c>
      <c r="Z390" s="11" t="s">
        <v>1019</v>
      </c>
      <c r="AA390" s="26" t="s">
        <v>768</v>
      </c>
    </row>
    <row r="391" spans="1:27" ht="44" customHeight="1">
      <c r="A391" s="10" t="s">
        <v>503</v>
      </c>
      <c r="B391" s="10" t="s">
        <v>477</v>
      </c>
      <c r="C391" s="10" t="s">
        <v>1017</v>
      </c>
      <c r="D391" s="24" t="s">
        <v>799</v>
      </c>
      <c r="E391" s="24" t="s">
        <v>800</v>
      </c>
      <c r="F391" s="25" t="s">
        <v>899</v>
      </c>
      <c r="G391" s="25" t="s">
        <v>900</v>
      </c>
      <c r="H391" s="10" t="s">
        <v>823</v>
      </c>
      <c r="I391" s="10" t="s">
        <v>801</v>
      </c>
      <c r="J391" s="28">
        <v>9</v>
      </c>
      <c r="K391" s="28"/>
      <c r="L391" s="24"/>
      <c r="M391" s="24">
        <v>7</v>
      </c>
      <c r="N391" s="24">
        <v>3</v>
      </c>
      <c r="O391" s="29">
        <v>46023</v>
      </c>
      <c r="P391" s="29"/>
      <c r="Q391" s="24">
        <v>100</v>
      </c>
      <c r="R391" s="24" t="s">
        <v>69</v>
      </c>
      <c r="S391" s="10"/>
      <c r="T391" s="10" t="s">
        <v>764</v>
      </c>
      <c r="U391" s="10"/>
      <c r="V391" s="10" t="s">
        <v>824</v>
      </c>
      <c r="W391" s="14">
        <f>IF(AND(ISNUMBER(Übersicht!$B$4),Übersicht!$B$4=INT(Übersicht!$B$4),Übersicht!$B$4&gt;=2026,Übersicht!$B$4&lt;=2028),IF(I391="fixedMonthDay",IF(AND(ISNUMBER(J391),J391=INT(J391),J391&gt;=1,J391&lt;=12,ISNUMBER(K391),K391=INT(K391),K391&gt;=1,K391&lt;=31,MONTH(DATE(Übersicht!$B$4,J391,K391))=J391,DAY(DATE(Übersicht!$B$4,J391,K391))=K391,L391="",M391="",N391=""),DATE(Übersicht!$B$4,J391,K391),NA()),IF(I391="easterOffsetDays",IF(AND(ISNUMBER(L391),L391=INT(L391),L391&gt;=-366,L391&lt;=366,J391="",K391="",M391="",N391=""),$AD$23+L391,NA()),IF(I391="nthWeekdayOfMonth",IF(AND(ISNUMBER(J391),J391=INT(J391),J391&gt;=1,J391&lt;=12,ISNUMBER(M391),M391=INT(M391),M391&gt;=1,M391&lt;=7,ISNUMBER(N391),N391=INT(N391),N391&gt;=1,N391&lt;=5,MONTH(DATE(Übersicht!$B$4,J391,1)+MOD(M391-WEEKDAY(DATE(Übersicht!$B$4,J391,1),2),7)+7*(N391-1))=J391,K391="",L391=""),DATE(Übersicht!$B$4,J391,1)+MOD(M391-WEEKDAY(DATE(Übersicht!$B$4,J391,1),2),7)+7*(N391-1),NA()),IF(I391="nthWeekdayOffsetDays",IF(AND(ISNUMBER(J391),J391=INT(J391),J391&gt;=1,J391&lt;=12,ISNUMBER(M391),M391=INT(M391),M391&gt;=1,M391&lt;=7,ISNUMBER(N391),N391=INT(N391),N391&gt;=1,N391&lt;=5,MONTH(DATE(Übersicht!$B$4,J391,1)+MOD(M391-WEEKDAY(DATE(Übersicht!$B$4,J391,1),2),7)+7*(N391-1))=J391,K391="",ISNUMBER(L391),L391=INT(L391),L391&gt;=-366,L391&lt;=366),DATE(Übersicht!$B$4,J391,1)+MOD(M391-WEEKDAY(DATE(Übersicht!$B$4,J391,1),2),7)+7*(N391-1)+L391,NA()),NA())))),NA())</f>
        <v>47013</v>
      </c>
      <c r="X391" s="14">
        <f t="shared" ref="X391:X454" si="6">IF(AND(ISNUMBER(O391),O391=INT(O391),O391&gt;=-115780,O391&lt;=2958465,OR(P391="",AND(ISNUMBER(P391),P391=INT(P391),P391&gt;=-115780,P391&lt;=2958465,P391&gt;=O391)),OR(AA391="Ganztägig",AA391="Ab 12.00 Uhr")),IF(AND(W391&gt;=O391,OR(P391="",W391&lt;=P391)),W391,"Ausserhalb Geltung"),NA())</f>
        <v>47013</v>
      </c>
      <c r="Y391" s="10" t="s">
        <v>1018</v>
      </c>
      <c r="Z391" s="10" t="s">
        <v>1019</v>
      </c>
      <c r="AA391" s="24" t="s">
        <v>768</v>
      </c>
    </row>
    <row r="392" spans="1:27" ht="44" customHeight="1">
      <c r="A392" s="11" t="s">
        <v>504</v>
      </c>
      <c r="B392" s="11" t="s">
        <v>477</v>
      </c>
      <c r="C392" s="11" t="s">
        <v>1017</v>
      </c>
      <c r="D392" s="26" t="s">
        <v>821</v>
      </c>
      <c r="E392" s="26" t="s">
        <v>822</v>
      </c>
      <c r="F392" s="27" t="s">
        <v>878</v>
      </c>
      <c r="G392" s="27" t="s">
        <v>879</v>
      </c>
      <c r="H392" s="11" t="s">
        <v>823</v>
      </c>
      <c r="I392" s="11" t="s">
        <v>762</v>
      </c>
      <c r="J392" s="30">
        <v>11</v>
      </c>
      <c r="K392" s="30">
        <v>1</v>
      </c>
      <c r="L392" s="26"/>
      <c r="M392" s="26"/>
      <c r="N392" s="26"/>
      <c r="O392" s="31">
        <v>46023</v>
      </c>
      <c r="P392" s="31"/>
      <c r="Q392" s="26">
        <v>100</v>
      </c>
      <c r="R392" s="26" t="s">
        <v>69</v>
      </c>
      <c r="S392" s="11"/>
      <c r="T392" s="11" t="s">
        <v>764</v>
      </c>
      <c r="U392" s="11"/>
      <c r="V392" s="11" t="s">
        <v>824</v>
      </c>
      <c r="W392" s="15">
        <f>IF(AND(ISNUMBER(Übersicht!$B$4),Übersicht!$B$4=INT(Übersicht!$B$4),Übersicht!$B$4&gt;=2026,Übersicht!$B$4&lt;=2028),IF(I392="fixedMonthDay",IF(AND(ISNUMBER(J392),J392=INT(J392),J392&gt;=1,J392&lt;=12,ISNUMBER(K392),K392=INT(K392),K392&gt;=1,K392&lt;=31,MONTH(DATE(Übersicht!$B$4,J392,K392))=J392,DAY(DATE(Übersicht!$B$4,J392,K392))=K392,L392="",M392="",N392=""),DATE(Übersicht!$B$4,J392,K392),NA()),IF(I392="easterOffsetDays",IF(AND(ISNUMBER(L392),L392=INT(L392),L392&gt;=-366,L392&lt;=366,J392="",K392="",M392="",N392=""),$AD$23+L392,NA()),IF(I392="nthWeekdayOfMonth",IF(AND(ISNUMBER(J392),J392=INT(J392),J392&gt;=1,J392&lt;=12,ISNUMBER(M392),M392=INT(M392),M392&gt;=1,M392&lt;=7,ISNUMBER(N392),N392=INT(N392),N392&gt;=1,N392&lt;=5,MONTH(DATE(Übersicht!$B$4,J392,1)+MOD(M392-WEEKDAY(DATE(Übersicht!$B$4,J392,1),2),7)+7*(N392-1))=J392,K392="",L392=""),DATE(Übersicht!$B$4,J392,1)+MOD(M392-WEEKDAY(DATE(Übersicht!$B$4,J392,1),2),7)+7*(N392-1),NA()),IF(I392="nthWeekdayOffsetDays",IF(AND(ISNUMBER(J392),J392=INT(J392),J392&gt;=1,J392&lt;=12,ISNUMBER(M392),M392=INT(M392),M392&gt;=1,M392&lt;=7,ISNUMBER(N392),N392=INT(N392),N392&gt;=1,N392&lt;=5,MONTH(DATE(Übersicht!$B$4,J392,1)+MOD(M392-WEEKDAY(DATE(Übersicht!$B$4,J392,1),2),7)+7*(N392-1))=J392,K392="",ISNUMBER(L392),L392=INT(L392),L392&gt;=-366,L392&lt;=366),DATE(Übersicht!$B$4,J392,1)+MOD(M392-WEEKDAY(DATE(Übersicht!$B$4,J392,1),2),7)+7*(N392-1)+L392,NA()),NA())))),NA())</f>
        <v>47058</v>
      </c>
      <c r="X392" s="15">
        <f t="shared" si="6"/>
        <v>47058</v>
      </c>
      <c r="Y392" s="11" t="s">
        <v>1018</v>
      </c>
      <c r="Z392" s="11" t="s">
        <v>1019</v>
      </c>
      <c r="AA392" s="26" t="s">
        <v>768</v>
      </c>
    </row>
    <row r="393" spans="1:27" ht="44" customHeight="1">
      <c r="A393" s="10" t="s">
        <v>505</v>
      </c>
      <c r="B393" s="10" t="s">
        <v>477</v>
      </c>
      <c r="C393" s="10" t="s">
        <v>1017</v>
      </c>
      <c r="D393" s="24" t="s">
        <v>838</v>
      </c>
      <c r="E393" s="24" t="s">
        <v>839</v>
      </c>
      <c r="F393" s="25" t="s">
        <v>880</v>
      </c>
      <c r="G393" s="25" t="s">
        <v>881</v>
      </c>
      <c r="H393" s="10" t="s">
        <v>823</v>
      </c>
      <c r="I393" s="10" t="s">
        <v>762</v>
      </c>
      <c r="J393" s="28">
        <v>12</v>
      </c>
      <c r="K393" s="28">
        <v>8</v>
      </c>
      <c r="L393" s="24"/>
      <c r="M393" s="24"/>
      <c r="N393" s="24"/>
      <c r="O393" s="29">
        <v>46023</v>
      </c>
      <c r="P393" s="29"/>
      <c r="Q393" s="24">
        <v>100</v>
      </c>
      <c r="R393" s="24" t="s">
        <v>69</v>
      </c>
      <c r="S393" s="10"/>
      <c r="T393" s="10" t="s">
        <v>764</v>
      </c>
      <c r="U393" s="10"/>
      <c r="V393" s="10" t="s">
        <v>824</v>
      </c>
      <c r="W393" s="14">
        <f>IF(AND(ISNUMBER(Übersicht!$B$4),Übersicht!$B$4=INT(Übersicht!$B$4),Übersicht!$B$4&gt;=2026,Übersicht!$B$4&lt;=2028),IF(I393="fixedMonthDay",IF(AND(ISNUMBER(J393),J393=INT(J393),J393&gt;=1,J393&lt;=12,ISNUMBER(K393),K393=INT(K393),K393&gt;=1,K393&lt;=31,MONTH(DATE(Übersicht!$B$4,J393,K393))=J393,DAY(DATE(Übersicht!$B$4,J393,K393))=K393,L393="",M393="",N393=""),DATE(Übersicht!$B$4,J393,K393),NA()),IF(I393="easterOffsetDays",IF(AND(ISNUMBER(L393),L393=INT(L393),L393&gt;=-366,L393&lt;=366,J393="",K393="",M393="",N393=""),$AD$23+L393,NA()),IF(I393="nthWeekdayOfMonth",IF(AND(ISNUMBER(J393),J393=INT(J393),J393&gt;=1,J393&lt;=12,ISNUMBER(M393),M393=INT(M393),M393&gt;=1,M393&lt;=7,ISNUMBER(N393),N393=INT(N393),N393&gt;=1,N393&lt;=5,MONTH(DATE(Übersicht!$B$4,J393,1)+MOD(M393-WEEKDAY(DATE(Übersicht!$B$4,J393,1),2),7)+7*(N393-1))=J393,K393="",L393=""),DATE(Übersicht!$B$4,J393,1)+MOD(M393-WEEKDAY(DATE(Übersicht!$B$4,J393,1),2),7)+7*(N393-1),NA()),IF(I393="nthWeekdayOffsetDays",IF(AND(ISNUMBER(J393),J393=INT(J393),J393&gt;=1,J393&lt;=12,ISNUMBER(M393),M393=INT(M393),M393&gt;=1,M393&lt;=7,ISNUMBER(N393),N393=INT(N393),N393&gt;=1,N393&lt;=5,MONTH(DATE(Übersicht!$B$4,J393,1)+MOD(M393-WEEKDAY(DATE(Übersicht!$B$4,J393,1),2),7)+7*(N393-1))=J393,K393="",ISNUMBER(L393),L393=INT(L393),L393&gt;=-366,L393&lt;=366),DATE(Übersicht!$B$4,J393,1)+MOD(M393-WEEKDAY(DATE(Übersicht!$B$4,J393,1),2),7)+7*(N393-1)+L393,NA()),NA())))),NA())</f>
        <v>47095</v>
      </c>
      <c r="X393" s="14">
        <f t="shared" si="6"/>
        <v>47095</v>
      </c>
      <c r="Y393" s="10" t="s">
        <v>1018</v>
      </c>
      <c r="Z393" s="10" t="s">
        <v>1019</v>
      </c>
      <c r="AA393" s="24" t="s">
        <v>768</v>
      </c>
    </row>
    <row r="394" spans="1:27" ht="44" customHeight="1">
      <c r="A394" s="11" t="s">
        <v>506</v>
      </c>
      <c r="B394" s="11" t="s">
        <v>477</v>
      </c>
      <c r="C394" s="11" t="s">
        <v>1017</v>
      </c>
      <c r="D394" s="26" t="s">
        <v>803</v>
      </c>
      <c r="E394" s="26" t="s">
        <v>804</v>
      </c>
      <c r="F394" s="27" t="s">
        <v>882</v>
      </c>
      <c r="G394" s="27" t="s">
        <v>883</v>
      </c>
      <c r="H394" s="11" t="s">
        <v>823</v>
      </c>
      <c r="I394" s="11" t="s">
        <v>762</v>
      </c>
      <c r="J394" s="30">
        <v>12</v>
      </c>
      <c r="K394" s="30">
        <v>25</v>
      </c>
      <c r="L394" s="26"/>
      <c r="M394" s="26"/>
      <c r="N394" s="26"/>
      <c r="O394" s="31">
        <v>46023</v>
      </c>
      <c r="P394" s="31"/>
      <c r="Q394" s="26">
        <v>100</v>
      </c>
      <c r="R394" s="26" t="s">
        <v>69</v>
      </c>
      <c r="S394" s="11"/>
      <c r="T394" s="11" t="s">
        <v>764</v>
      </c>
      <c r="U394" s="11"/>
      <c r="V394" s="11" t="s">
        <v>824</v>
      </c>
      <c r="W394" s="15">
        <f>IF(AND(ISNUMBER(Übersicht!$B$4),Übersicht!$B$4=INT(Übersicht!$B$4),Übersicht!$B$4&gt;=2026,Übersicht!$B$4&lt;=2028),IF(I394="fixedMonthDay",IF(AND(ISNUMBER(J394),J394=INT(J394),J394&gt;=1,J394&lt;=12,ISNUMBER(K394),K394=INT(K394),K394&gt;=1,K394&lt;=31,MONTH(DATE(Übersicht!$B$4,J394,K394))=J394,DAY(DATE(Übersicht!$B$4,J394,K394))=K394,L394="",M394="",N394=""),DATE(Übersicht!$B$4,J394,K394),NA()),IF(I394="easterOffsetDays",IF(AND(ISNUMBER(L394),L394=INT(L394),L394&gt;=-366,L394&lt;=366,J394="",K394="",M394="",N394=""),$AD$23+L394,NA()),IF(I394="nthWeekdayOfMonth",IF(AND(ISNUMBER(J394),J394=INT(J394),J394&gt;=1,J394&lt;=12,ISNUMBER(M394),M394=INT(M394),M394&gt;=1,M394&lt;=7,ISNUMBER(N394),N394=INT(N394),N394&gt;=1,N394&lt;=5,MONTH(DATE(Übersicht!$B$4,J394,1)+MOD(M394-WEEKDAY(DATE(Übersicht!$B$4,J394,1),2),7)+7*(N394-1))=J394,K394="",L394=""),DATE(Übersicht!$B$4,J394,1)+MOD(M394-WEEKDAY(DATE(Übersicht!$B$4,J394,1),2),7)+7*(N394-1),NA()),IF(I394="nthWeekdayOffsetDays",IF(AND(ISNUMBER(J394),J394=INT(J394),J394&gt;=1,J394&lt;=12,ISNUMBER(M394),M394=INT(M394),M394&gt;=1,M394&lt;=7,ISNUMBER(N394),N394=INT(N394),N394&gt;=1,N394&lt;=5,MONTH(DATE(Übersicht!$B$4,J394,1)+MOD(M394-WEEKDAY(DATE(Übersicht!$B$4,J394,1),2),7)+7*(N394-1))=J394,K394="",ISNUMBER(L394),L394=INT(L394),L394&gt;=-366,L394&lt;=366),DATE(Übersicht!$B$4,J394,1)+MOD(M394-WEEKDAY(DATE(Übersicht!$B$4,J394,1),2),7)+7*(N394-1)+L394,NA()),NA())))),NA())</f>
        <v>47112</v>
      </c>
      <c r="X394" s="15">
        <f t="shared" si="6"/>
        <v>47112</v>
      </c>
      <c r="Y394" s="11" t="s">
        <v>1018</v>
      </c>
      <c r="Z394" s="11" t="s">
        <v>1019</v>
      </c>
      <c r="AA394" s="26" t="s">
        <v>768</v>
      </c>
    </row>
    <row r="395" spans="1:27" ht="44" customHeight="1">
      <c r="A395" s="10" t="s">
        <v>507</v>
      </c>
      <c r="B395" s="10" t="s">
        <v>477</v>
      </c>
      <c r="C395" s="10" t="s">
        <v>1017</v>
      </c>
      <c r="D395" s="24" t="s">
        <v>806</v>
      </c>
      <c r="E395" s="24" t="s">
        <v>807</v>
      </c>
      <c r="F395" s="25" t="s">
        <v>884</v>
      </c>
      <c r="G395" s="25" t="s">
        <v>885</v>
      </c>
      <c r="H395" s="10" t="s">
        <v>823</v>
      </c>
      <c r="I395" s="10" t="s">
        <v>762</v>
      </c>
      <c r="J395" s="28">
        <v>12</v>
      </c>
      <c r="K395" s="28">
        <v>26</v>
      </c>
      <c r="L395" s="24"/>
      <c r="M395" s="24"/>
      <c r="N395" s="24"/>
      <c r="O395" s="29">
        <v>46023</v>
      </c>
      <c r="P395" s="29"/>
      <c r="Q395" s="24">
        <v>100</v>
      </c>
      <c r="R395" s="24" t="s">
        <v>69</v>
      </c>
      <c r="S395" s="10"/>
      <c r="T395" s="10" t="s">
        <v>764</v>
      </c>
      <c r="U395" s="10"/>
      <c r="V395" s="10" t="s">
        <v>824</v>
      </c>
      <c r="W395" s="14">
        <f>IF(AND(ISNUMBER(Übersicht!$B$4),Übersicht!$B$4=INT(Übersicht!$B$4),Übersicht!$B$4&gt;=2026,Übersicht!$B$4&lt;=2028),IF(I395="fixedMonthDay",IF(AND(ISNUMBER(J395),J395=INT(J395),J395&gt;=1,J395&lt;=12,ISNUMBER(K395),K395=INT(K395),K395&gt;=1,K395&lt;=31,MONTH(DATE(Übersicht!$B$4,J395,K395))=J395,DAY(DATE(Übersicht!$B$4,J395,K395))=K395,L395="",M395="",N395=""),DATE(Übersicht!$B$4,J395,K395),NA()),IF(I395="easterOffsetDays",IF(AND(ISNUMBER(L395),L395=INT(L395),L395&gt;=-366,L395&lt;=366,J395="",K395="",M395="",N395=""),$AD$23+L395,NA()),IF(I395="nthWeekdayOfMonth",IF(AND(ISNUMBER(J395),J395=INT(J395),J395&gt;=1,J395&lt;=12,ISNUMBER(M395),M395=INT(M395),M395&gt;=1,M395&lt;=7,ISNUMBER(N395),N395=INT(N395),N395&gt;=1,N395&lt;=5,MONTH(DATE(Übersicht!$B$4,J395,1)+MOD(M395-WEEKDAY(DATE(Übersicht!$B$4,J395,1),2),7)+7*(N395-1))=J395,K395="",L395=""),DATE(Übersicht!$B$4,J395,1)+MOD(M395-WEEKDAY(DATE(Übersicht!$B$4,J395,1),2),7)+7*(N395-1),NA()),IF(I395="nthWeekdayOffsetDays",IF(AND(ISNUMBER(J395),J395=INT(J395),J395&gt;=1,J395&lt;=12,ISNUMBER(M395),M395=INT(M395),M395&gt;=1,M395&lt;=7,ISNUMBER(N395),N395=INT(N395),N395&gt;=1,N395&lt;=5,MONTH(DATE(Übersicht!$B$4,J395,1)+MOD(M395-WEEKDAY(DATE(Übersicht!$B$4,J395,1),2),7)+7*(N395-1))=J395,K395="",ISNUMBER(L395),L395=INT(L395),L395&gt;=-366,L395&lt;=366),DATE(Übersicht!$B$4,J395,1)+MOD(M395-WEEKDAY(DATE(Übersicht!$B$4,J395,1),2),7)+7*(N395-1)+L395,NA()),NA())))),NA())</f>
        <v>47113</v>
      </c>
      <c r="X395" s="14">
        <f t="shared" si="6"/>
        <v>47113</v>
      </c>
      <c r="Y395" s="10" t="s">
        <v>1018</v>
      </c>
      <c r="Z395" s="10" t="s">
        <v>1019</v>
      </c>
      <c r="AA395" s="24" t="s">
        <v>768</v>
      </c>
    </row>
    <row r="396" spans="1:27" ht="44" customHeight="1">
      <c r="A396" s="11" t="s">
        <v>510</v>
      </c>
      <c r="B396" s="11" t="s">
        <v>508</v>
      </c>
      <c r="C396" s="11" t="s">
        <v>1020</v>
      </c>
      <c r="D396" s="26" t="s">
        <v>771</v>
      </c>
      <c r="E396" s="26" t="s">
        <v>772</v>
      </c>
      <c r="F396" s="27" t="s">
        <v>849</v>
      </c>
      <c r="G396" s="27" t="s">
        <v>850</v>
      </c>
      <c r="H396" s="11" t="s">
        <v>761</v>
      </c>
      <c r="I396" s="11" t="s">
        <v>762</v>
      </c>
      <c r="J396" s="30">
        <v>1</v>
      </c>
      <c r="K396" s="30">
        <v>1</v>
      </c>
      <c r="L396" s="26"/>
      <c r="M396" s="26"/>
      <c r="N396" s="26"/>
      <c r="O396" s="31">
        <v>46023</v>
      </c>
      <c r="P396" s="31"/>
      <c r="Q396" s="26">
        <v>100</v>
      </c>
      <c r="R396" s="26" t="s">
        <v>69</v>
      </c>
      <c r="S396" s="11"/>
      <c r="T396" s="11" t="s">
        <v>764</v>
      </c>
      <c r="U396" s="11"/>
      <c r="V396" s="11" t="s">
        <v>824</v>
      </c>
      <c r="W396" s="15">
        <f>IF(AND(ISNUMBER(Übersicht!$B$4),Übersicht!$B$4=INT(Übersicht!$B$4),Übersicht!$B$4&gt;=2026,Übersicht!$B$4&lt;=2028),IF(I396="fixedMonthDay",IF(AND(ISNUMBER(J396),J396=INT(J396),J396&gt;=1,J396&lt;=12,ISNUMBER(K396),K396=INT(K396),K396&gt;=1,K396&lt;=31,MONTH(DATE(Übersicht!$B$4,J396,K396))=J396,DAY(DATE(Übersicht!$B$4,J396,K396))=K396,L396="",M396="",N396=""),DATE(Übersicht!$B$4,J396,K396),NA()),IF(I396="easterOffsetDays",IF(AND(ISNUMBER(L396),L396=INT(L396),L396&gt;=-366,L396&lt;=366,J396="",K396="",M396="",N396=""),$AD$23+L396,NA()),IF(I396="nthWeekdayOfMonth",IF(AND(ISNUMBER(J396),J396=INT(J396),J396&gt;=1,J396&lt;=12,ISNUMBER(M396),M396=INT(M396),M396&gt;=1,M396&lt;=7,ISNUMBER(N396),N396=INT(N396),N396&gt;=1,N396&lt;=5,MONTH(DATE(Übersicht!$B$4,J396,1)+MOD(M396-WEEKDAY(DATE(Übersicht!$B$4,J396,1),2),7)+7*(N396-1))=J396,K396="",L396=""),DATE(Übersicht!$B$4,J396,1)+MOD(M396-WEEKDAY(DATE(Übersicht!$B$4,J396,1),2),7)+7*(N396-1),NA()),IF(I396="nthWeekdayOffsetDays",IF(AND(ISNUMBER(J396),J396=INT(J396),J396&gt;=1,J396&lt;=12,ISNUMBER(M396),M396=INT(M396),M396&gt;=1,M396&lt;=7,ISNUMBER(N396),N396=INT(N396),N396&gt;=1,N396&lt;=5,MONTH(DATE(Übersicht!$B$4,J396,1)+MOD(M396-WEEKDAY(DATE(Übersicht!$B$4,J396,1),2),7)+7*(N396-1))=J396,K396="",ISNUMBER(L396),L396=INT(L396),L396&gt;=-366,L396&lt;=366),DATE(Übersicht!$B$4,J396,1)+MOD(M396-WEEKDAY(DATE(Übersicht!$B$4,J396,1),2),7)+7*(N396-1)+L396,NA()),NA())))),NA())</f>
        <v>46753</v>
      </c>
      <c r="X396" s="15">
        <f t="shared" si="6"/>
        <v>46753</v>
      </c>
      <c r="Y396" s="11" t="s">
        <v>1021</v>
      </c>
      <c r="Z396" s="11" t="s">
        <v>782</v>
      </c>
      <c r="AA396" s="26" t="s">
        <v>768</v>
      </c>
    </row>
    <row r="397" spans="1:27" ht="44" customHeight="1">
      <c r="A397" s="10" t="s">
        <v>511</v>
      </c>
      <c r="B397" s="10" t="s">
        <v>508</v>
      </c>
      <c r="C397" s="10" t="s">
        <v>1020</v>
      </c>
      <c r="D397" s="24" t="s">
        <v>779</v>
      </c>
      <c r="E397" s="24" t="s">
        <v>780</v>
      </c>
      <c r="F397" s="25" t="s">
        <v>889</v>
      </c>
      <c r="G397" s="25" t="s">
        <v>890</v>
      </c>
      <c r="H397" s="10" t="s">
        <v>761</v>
      </c>
      <c r="I397" s="10" t="s">
        <v>781</v>
      </c>
      <c r="J397" s="28"/>
      <c r="K397" s="28"/>
      <c r="L397" s="24">
        <v>-2</v>
      </c>
      <c r="M397" s="24"/>
      <c r="N397" s="24"/>
      <c r="O397" s="29">
        <v>46023</v>
      </c>
      <c r="P397" s="29"/>
      <c r="Q397" s="24">
        <v>100</v>
      </c>
      <c r="R397" s="24" t="s">
        <v>69</v>
      </c>
      <c r="S397" s="10"/>
      <c r="T397" s="10" t="s">
        <v>764</v>
      </c>
      <c r="U397" s="10"/>
      <c r="V397" s="10" t="s">
        <v>824</v>
      </c>
      <c r="W397" s="14">
        <f>IF(AND(ISNUMBER(Übersicht!$B$4),Übersicht!$B$4=INT(Übersicht!$B$4),Übersicht!$B$4&gt;=2026,Übersicht!$B$4&lt;=2028),IF(I397="fixedMonthDay",IF(AND(ISNUMBER(J397),J397=INT(J397),J397&gt;=1,J397&lt;=12,ISNUMBER(K397),K397=INT(K397),K397&gt;=1,K397&lt;=31,MONTH(DATE(Übersicht!$B$4,J397,K397))=J397,DAY(DATE(Übersicht!$B$4,J397,K397))=K397,L397="",M397="",N397=""),DATE(Übersicht!$B$4,J397,K397),NA()),IF(I397="easterOffsetDays",IF(AND(ISNUMBER(L397),L397=INT(L397),L397&gt;=-366,L397&lt;=366,J397="",K397="",M397="",N397=""),$AD$23+L397,NA()),IF(I397="nthWeekdayOfMonth",IF(AND(ISNUMBER(J397),J397=INT(J397),J397&gt;=1,J397&lt;=12,ISNUMBER(M397),M397=INT(M397),M397&gt;=1,M397&lt;=7,ISNUMBER(N397),N397=INT(N397),N397&gt;=1,N397&lt;=5,MONTH(DATE(Übersicht!$B$4,J397,1)+MOD(M397-WEEKDAY(DATE(Übersicht!$B$4,J397,1),2),7)+7*(N397-1))=J397,K397="",L397=""),DATE(Übersicht!$B$4,J397,1)+MOD(M397-WEEKDAY(DATE(Übersicht!$B$4,J397,1),2),7)+7*(N397-1),NA()),IF(I397="nthWeekdayOffsetDays",IF(AND(ISNUMBER(J397),J397=INT(J397),J397&gt;=1,J397&lt;=12,ISNUMBER(M397),M397=INT(M397),M397&gt;=1,M397&lt;=7,ISNUMBER(N397),N397=INT(N397),N397&gt;=1,N397&lt;=5,MONTH(DATE(Übersicht!$B$4,J397,1)+MOD(M397-WEEKDAY(DATE(Übersicht!$B$4,J397,1),2),7)+7*(N397-1))=J397,K397="",ISNUMBER(L397),L397=INT(L397),L397&gt;=-366,L397&lt;=366),DATE(Übersicht!$B$4,J397,1)+MOD(M397-WEEKDAY(DATE(Übersicht!$B$4,J397,1),2),7)+7*(N397-1)+L397,NA()),NA())))),NA())</f>
        <v>46857</v>
      </c>
      <c r="X397" s="14">
        <f t="shared" si="6"/>
        <v>46857</v>
      </c>
      <c r="Y397" s="10" t="s">
        <v>1021</v>
      </c>
      <c r="Z397" s="10" t="s">
        <v>774</v>
      </c>
      <c r="AA397" s="24" t="s">
        <v>768</v>
      </c>
    </row>
    <row r="398" spans="1:27" ht="44" customHeight="1">
      <c r="A398" s="11" t="s">
        <v>512</v>
      </c>
      <c r="B398" s="11" t="s">
        <v>508</v>
      </c>
      <c r="C398" s="11" t="s">
        <v>1020</v>
      </c>
      <c r="D398" s="26" t="s">
        <v>784</v>
      </c>
      <c r="E398" s="26" t="s">
        <v>785</v>
      </c>
      <c r="F398" s="27" t="s">
        <v>892</v>
      </c>
      <c r="G398" s="27" t="s">
        <v>893</v>
      </c>
      <c r="H398" s="11" t="s">
        <v>761</v>
      </c>
      <c r="I398" s="11" t="s">
        <v>781</v>
      </c>
      <c r="J398" s="30"/>
      <c r="K398" s="30"/>
      <c r="L398" s="26">
        <v>0</v>
      </c>
      <c r="M398" s="26"/>
      <c r="N398" s="26"/>
      <c r="O398" s="31">
        <v>46023</v>
      </c>
      <c r="P398" s="31"/>
      <c r="Q398" s="26">
        <v>100</v>
      </c>
      <c r="R398" s="26" t="s">
        <v>69</v>
      </c>
      <c r="S398" s="11"/>
      <c r="T398" s="11" t="s">
        <v>764</v>
      </c>
      <c r="U398" s="11"/>
      <c r="V398" s="11" t="s">
        <v>824</v>
      </c>
      <c r="W398" s="15">
        <f>IF(AND(ISNUMBER(Übersicht!$B$4),Übersicht!$B$4=INT(Übersicht!$B$4),Übersicht!$B$4&gt;=2026,Übersicht!$B$4&lt;=2028),IF(I398="fixedMonthDay",IF(AND(ISNUMBER(J398),J398=INT(J398),J398&gt;=1,J398&lt;=12,ISNUMBER(K398),K398=INT(K398),K398&gt;=1,K398&lt;=31,MONTH(DATE(Übersicht!$B$4,J398,K398))=J398,DAY(DATE(Übersicht!$B$4,J398,K398))=K398,L398="",M398="",N398=""),DATE(Übersicht!$B$4,J398,K398),NA()),IF(I398="easterOffsetDays",IF(AND(ISNUMBER(L398),L398=INT(L398),L398&gt;=-366,L398&lt;=366,J398="",K398="",M398="",N398=""),$AD$23+L398,NA()),IF(I398="nthWeekdayOfMonth",IF(AND(ISNUMBER(J398),J398=INT(J398),J398&gt;=1,J398&lt;=12,ISNUMBER(M398),M398=INT(M398),M398&gt;=1,M398&lt;=7,ISNUMBER(N398),N398=INT(N398),N398&gt;=1,N398&lt;=5,MONTH(DATE(Übersicht!$B$4,J398,1)+MOD(M398-WEEKDAY(DATE(Übersicht!$B$4,J398,1),2),7)+7*(N398-1))=J398,K398="",L398=""),DATE(Übersicht!$B$4,J398,1)+MOD(M398-WEEKDAY(DATE(Übersicht!$B$4,J398,1),2),7)+7*(N398-1),NA()),IF(I398="nthWeekdayOffsetDays",IF(AND(ISNUMBER(J398),J398=INT(J398),J398&gt;=1,J398&lt;=12,ISNUMBER(M398),M398=INT(M398),M398&gt;=1,M398&lt;=7,ISNUMBER(N398),N398=INT(N398),N398&gt;=1,N398&lt;=5,MONTH(DATE(Übersicht!$B$4,J398,1)+MOD(M398-WEEKDAY(DATE(Übersicht!$B$4,J398,1),2),7)+7*(N398-1))=J398,K398="",ISNUMBER(L398),L398=INT(L398),L398&gt;=-366,L398&lt;=366),DATE(Übersicht!$B$4,J398,1)+MOD(M398-WEEKDAY(DATE(Übersicht!$B$4,J398,1),2),7)+7*(N398-1)+L398,NA()),NA())))),NA())</f>
        <v>46859</v>
      </c>
      <c r="X398" s="15">
        <f t="shared" si="6"/>
        <v>46859</v>
      </c>
      <c r="Y398" s="11" t="s">
        <v>1021</v>
      </c>
      <c r="Z398" s="11" t="s">
        <v>774</v>
      </c>
      <c r="AA398" s="26" t="s">
        <v>768</v>
      </c>
    </row>
    <row r="399" spans="1:27" ht="44" customHeight="1">
      <c r="A399" s="10" t="s">
        <v>513</v>
      </c>
      <c r="B399" s="10" t="s">
        <v>508</v>
      </c>
      <c r="C399" s="10" t="s">
        <v>1020</v>
      </c>
      <c r="D399" s="24" t="s">
        <v>787</v>
      </c>
      <c r="E399" s="24" t="s">
        <v>788</v>
      </c>
      <c r="F399" s="25" t="s">
        <v>860</v>
      </c>
      <c r="G399" s="25" t="s">
        <v>861</v>
      </c>
      <c r="H399" s="10" t="s">
        <v>761</v>
      </c>
      <c r="I399" s="10" t="s">
        <v>781</v>
      </c>
      <c r="J399" s="28"/>
      <c r="K399" s="28"/>
      <c r="L399" s="24">
        <v>1</v>
      </c>
      <c r="M399" s="24"/>
      <c r="N399" s="24"/>
      <c r="O399" s="29">
        <v>46023</v>
      </c>
      <c r="P399" s="29"/>
      <c r="Q399" s="24">
        <v>100</v>
      </c>
      <c r="R399" s="24" t="s">
        <v>69</v>
      </c>
      <c r="S399" s="10"/>
      <c r="T399" s="10" t="s">
        <v>764</v>
      </c>
      <c r="U399" s="10"/>
      <c r="V399" s="10" t="s">
        <v>824</v>
      </c>
      <c r="W399" s="14">
        <f>IF(AND(ISNUMBER(Übersicht!$B$4),Übersicht!$B$4=INT(Übersicht!$B$4),Übersicht!$B$4&gt;=2026,Übersicht!$B$4&lt;=2028),IF(I399="fixedMonthDay",IF(AND(ISNUMBER(J399),J399=INT(J399),J399&gt;=1,J399&lt;=12,ISNUMBER(K399),K399=INT(K399),K399&gt;=1,K399&lt;=31,MONTH(DATE(Übersicht!$B$4,J399,K399))=J399,DAY(DATE(Übersicht!$B$4,J399,K399))=K399,L399="",M399="",N399=""),DATE(Übersicht!$B$4,J399,K399),NA()),IF(I399="easterOffsetDays",IF(AND(ISNUMBER(L399),L399=INT(L399),L399&gt;=-366,L399&lt;=366,J399="",K399="",M399="",N399=""),$AD$23+L399,NA()),IF(I399="nthWeekdayOfMonth",IF(AND(ISNUMBER(J399),J399=INT(J399),J399&gt;=1,J399&lt;=12,ISNUMBER(M399),M399=INT(M399),M399&gt;=1,M399&lt;=7,ISNUMBER(N399),N399=INT(N399),N399&gt;=1,N399&lt;=5,MONTH(DATE(Übersicht!$B$4,J399,1)+MOD(M399-WEEKDAY(DATE(Übersicht!$B$4,J399,1),2),7)+7*(N399-1))=J399,K399="",L399=""),DATE(Übersicht!$B$4,J399,1)+MOD(M399-WEEKDAY(DATE(Übersicht!$B$4,J399,1),2),7)+7*(N399-1),NA()),IF(I399="nthWeekdayOffsetDays",IF(AND(ISNUMBER(J399),J399=INT(J399),J399&gt;=1,J399&lt;=12,ISNUMBER(M399),M399=INT(M399),M399&gt;=1,M399&lt;=7,ISNUMBER(N399),N399=INT(N399),N399&gt;=1,N399&lt;=5,MONTH(DATE(Übersicht!$B$4,J399,1)+MOD(M399-WEEKDAY(DATE(Übersicht!$B$4,J399,1),2),7)+7*(N399-1))=J399,K399="",ISNUMBER(L399),L399=INT(L399),L399&gt;=-366,L399&lt;=366),DATE(Übersicht!$B$4,J399,1)+MOD(M399-WEEKDAY(DATE(Übersicht!$B$4,J399,1),2),7)+7*(N399-1)+L399,NA()),NA())))),NA())</f>
        <v>46860</v>
      </c>
      <c r="X399" s="14">
        <f t="shared" si="6"/>
        <v>46860</v>
      </c>
      <c r="Y399" s="10" t="s">
        <v>1021</v>
      </c>
      <c r="Z399" s="10" t="s">
        <v>782</v>
      </c>
      <c r="AA399" s="24" t="s">
        <v>768</v>
      </c>
    </row>
    <row r="400" spans="1:27" ht="44" customHeight="1">
      <c r="A400" s="11" t="s">
        <v>514</v>
      </c>
      <c r="B400" s="11" t="s">
        <v>508</v>
      </c>
      <c r="C400" s="11" t="s">
        <v>1020</v>
      </c>
      <c r="D400" s="26" t="s">
        <v>790</v>
      </c>
      <c r="E400" s="26" t="s">
        <v>791</v>
      </c>
      <c r="F400" s="27" t="s">
        <v>864</v>
      </c>
      <c r="G400" s="27" t="s">
        <v>865</v>
      </c>
      <c r="H400" s="11" t="s">
        <v>761</v>
      </c>
      <c r="I400" s="11" t="s">
        <v>781</v>
      </c>
      <c r="J400" s="30"/>
      <c r="K400" s="30"/>
      <c r="L400" s="26">
        <v>39</v>
      </c>
      <c r="M400" s="26"/>
      <c r="N400" s="26"/>
      <c r="O400" s="31">
        <v>46023</v>
      </c>
      <c r="P400" s="31"/>
      <c r="Q400" s="26">
        <v>100</v>
      </c>
      <c r="R400" s="26" t="s">
        <v>69</v>
      </c>
      <c r="S400" s="11"/>
      <c r="T400" s="11" t="s">
        <v>764</v>
      </c>
      <c r="U400" s="11"/>
      <c r="V400" s="11" t="s">
        <v>824</v>
      </c>
      <c r="W400" s="15">
        <f>IF(AND(ISNUMBER(Übersicht!$B$4),Übersicht!$B$4=INT(Übersicht!$B$4),Übersicht!$B$4&gt;=2026,Übersicht!$B$4&lt;=2028),IF(I400="fixedMonthDay",IF(AND(ISNUMBER(J400),J400=INT(J400),J400&gt;=1,J400&lt;=12,ISNUMBER(K400),K400=INT(K400),K400&gt;=1,K400&lt;=31,MONTH(DATE(Übersicht!$B$4,J400,K400))=J400,DAY(DATE(Übersicht!$B$4,J400,K400))=K400,L400="",M400="",N400=""),DATE(Übersicht!$B$4,J400,K400),NA()),IF(I400="easterOffsetDays",IF(AND(ISNUMBER(L400),L400=INT(L400),L400&gt;=-366,L400&lt;=366,J400="",K400="",M400="",N400=""),$AD$23+L400,NA()),IF(I400="nthWeekdayOfMonth",IF(AND(ISNUMBER(J400),J400=INT(J400),J400&gt;=1,J400&lt;=12,ISNUMBER(M400),M400=INT(M400),M400&gt;=1,M400&lt;=7,ISNUMBER(N400),N400=INT(N400),N400&gt;=1,N400&lt;=5,MONTH(DATE(Übersicht!$B$4,J400,1)+MOD(M400-WEEKDAY(DATE(Übersicht!$B$4,J400,1),2),7)+7*(N400-1))=J400,K400="",L400=""),DATE(Übersicht!$B$4,J400,1)+MOD(M400-WEEKDAY(DATE(Übersicht!$B$4,J400,1),2),7)+7*(N400-1),NA()),IF(I400="nthWeekdayOffsetDays",IF(AND(ISNUMBER(J400),J400=INT(J400),J400&gt;=1,J400&lt;=12,ISNUMBER(M400),M400=INT(M400),M400&gt;=1,M400&lt;=7,ISNUMBER(N400),N400=INT(N400),N400&gt;=1,N400&lt;=5,MONTH(DATE(Übersicht!$B$4,J400,1)+MOD(M400-WEEKDAY(DATE(Übersicht!$B$4,J400,1),2),7)+7*(N400-1))=J400,K400="",ISNUMBER(L400),L400=INT(L400),L400&gt;=-366,L400&lt;=366),DATE(Übersicht!$B$4,J400,1)+MOD(M400-WEEKDAY(DATE(Übersicht!$B$4,J400,1),2),7)+7*(N400-1)+L400,NA()),NA())))),NA())</f>
        <v>46898</v>
      </c>
      <c r="X400" s="15">
        <f t="shared" si="6"/>
        <v>46898</v>
      </c>
      <c r="Y400" s="11" t="s">
        <v>1021</v>
      </c>
      <c r="Z400" s="11" t="s">
        <v>782</v>
      </c>
      <c r="AA400" s="26" t="s">
        <v>768</v>
      </c>
    </row>
    <row r="401" spans="1:27" ht="44" customHeight="1">
      <c r="A401" s="10" t="s">
        <v>515</v>
      </c>
      <c r="B401" s="10" t="s">
        <v>508</v>
      </c>
      <c r="C401" s="10" t="s">
        <v>1020</v>
      </c>
      <c r="D401" s="24" t="s">
        <v>793</v>
      </c>
      <c r="E401" s="24" t="s">
        <v>794</v>
      </c>
      <c r="F401" s="25" t="s">
        <v>896</v>
      </c>
      <c r="G401" s="25" t="s">
        <v>897</v>
      </c>
      <c r="H401" s="10" t="s">
        <v>761</v>
      </c>
      <c r="I401" s="10" t="s">
        <v>781</v>
      </c>
      <c r="J401" s="28"/>
      <c r="K401" s="28"/>
      <c r="L401" s="24">
        <v>49</v>
      </c>
      <c r="M401" s="24"/>
      <c r="N401" s="24"/>
      <c r="O401" s="29">
        <v>46023</v>
      </c>
      <c r="P401" s="29"/>
      <c r="Q401" s="24">
        <v>100</v>
      </c>
      <c r="R401" s="24" t="s">
        <v>69</v>
      </c>
      <c r="S401" s="10"/>
      <c r="T401" s="10" t="s">
        <v>764</v>
      </c>
      <c r="U401" s="10"/>
      <c r="V401" s="10" t="s">
        <v>824</v>
      </c>
      <c r="W401" s="14">
        <f>IF(AND(ISNUMBER(Übersicht!$B$4),Übersicht!$B$4=INT(Übersicht!$B$4),Übersicht!$B$4&gt;=2026,Übersicht!$B$4&lt;=2028),IF(I401="fixedMonthDay",IF(AND(ISNUMBER(J401),J401=INT(J401),J401&gt;=1,J401&lt;=12,ISNUMBER(K401),K401=INT(K401),K401&gt;=1,K401&lt;=31,MONTH(DATE(Übersicht!$B$4,J401,K401))=J401,DAY(DATE(Übersicht!$B$4,J401,K401))=K401,L401="",M401="",N401=""),DATE(Übersicht!$B$4,J401,K401),NA()),IF(I401="easterOffsetDays",IF(AND(ISNUMBER(L401),L401=INT(L401),L401&gt;=-366,L401&lt;=366,J401="",K401="",M401="",N401=""),$AD$23+L401,NA()),IF(I401="nthWeekdayOfMonth",IF(AND(ISNUMBER(J401),J401=INT(J401),J401&gt;=1,J401&lt;=12,ISNUMBER(M401),M401=INT(M401),M401&gt;=1,M401&lt;=7,ISNUMBER(N401),N401=INT(N401),N401&gt;=1,N401&lt;=5,MONTH(DATE(Übersicht!$B$4,J401,1)+MOD(M401-WEEKDAY(DATE(Übersicht!$B$4,J401,1),2),7)+7*(N401-1))=J401,K401="",L401=""),DATE(Übersicht!$B$4,J401,1)+MOD(M401-WEEKDAY(DATE(Übersicht!$B$4,J401,1),2),7)+7*(N401-1),NA()),IF(I401="nthWeekdayOffsetDays",IF(AND(ISNUMBER(J401),J401=INT(J401),J401&gt;=1,J401&lt;=12,ISNUMBER(M401),M401=INT(M401),M401&gt;=1,M401&lt;=7,ISNUMBER(N401),N401=INT(N401),N401&gt;=1,N401&lt;=5,MONTH(DATE(Übersicht!$B$4,J401,1)+MOD(M401-WEEKDAY(DATE(Übersicht!$B$4,J401,1),2),7)+7*(N401-1))=J401,K401="",ISNUMBER(L401),L401=INT(L401),L401&gt;=-366,L401&lt;=366),DATE(Übersicht!$B$4,J401,1)+MOD(M401-WEEKDAY(DATE(Übersicht!$B$4,J401,1),2),7)+7*(N401-1)+L401,NA()),NA())))),NA())</f>
        <v>46908</v>
      </c>
      <c r="X401" s="14">
        <f t="shared" si="6"/>
        <v>46908</v>
      </c>
      <c r="Y401" s="10" t="s">
        <v>1021</v>
      </c>
      <c r="Z401" s="10" t="s">
        <v>774</v>
      </c>
      <c r="AA401" s="24" t="s">
        <v>768</v>
      </c>
    </row>
    <row r="402" spans="1:27" ht="44" customHeight="1">
      <c r="A402" s="11" t="s">
        <v>516</v>
      </c>
      <c r="B402" s="11" t="s">
        <v>508</v>
      </c>
      <c r="C402" s="11" t="s">
        <v>1020</v>
      </c>
      <c r="D402" s="26" t="s">
        <v>796</v>
      </c>
      <c r="E402" s="26" t="s">
        <v>797</v>
      </c>
      <c r="F402" s="27" t="s">
        <v>866</v>
      </c>
      <c r="G402" s="27" t="s">
        <v>867</v>
      </c>
      <c r="H402" s="11" t="s">
        <v>761</v>
      </c>
      <c r="I402" s="11" t="s">
        <v>781</v>
      </c>
      <c r="J402" s="30"/>
      <c r="K402" s="30"/>
      <c r="L402" s="26">
        <v>50</v>
      </c>
      <c r="M402" s="26"/>
      <c r="N402" s="26"/>
      <c r="O402" s="31">
        <v>46023</v>
      </c>
      <c r="P402" s="31"/>
      <c r="Q402" s="26">
        <v>100</v>
      </c>
      <c r="R402" s="26" t="s">
        <v>69</v>
      </c>
      <c r="S402" s="11"/>
      <c r="T402" s="11" t="s">
        <v>764</v>
      </c>
      <c r="U402" s="11"/>
      <c r="V402" s="11" t="s">
        <v>824</v>
      </c>
      <c r="W402" s="15">
        <f>IF(AND(ISNUMBER(Übersicht!$B$4),Übersicht!$B$4=INT(Übersicht!$B$4),Übersicht!$B$4&gt;=2026,Übersicht!$B$4&lt;=2028),IF(I402="fixedMonthDay",IF(AND(ISNUMBER(J402),J402=INT(J402),J402&gt;=1,J402&lt;=12,ISNUMBER(K402),K402=INT(K402),K402&gt;=1,K402&lt;=31,MONTH(DATE(Übersicht!$B$4,J402,K402))=J402,DAY(DATE(Übersicht!$B$4,J402,K402))=K402,L402="",M402="",N402=""),DATE(Übersicht!$B$4,J402,K402),NA()),IF(I402="easterOffsetDays",IF(AND(ISNUMBER(L402),L402=INT(L402),L402&gt;=-366,L402&lt;=366,J402="",K402="",M402="",N402=""),$AD$23+L402,NA()),IF(I402="nthWeekdayOfMonth",IF(AND(ISNUMBER(J402),J402=INT(J402),J402&gt;=1,J402&lt;=12,ISNUMBER(M402),M402=INT(M402),M402&gt;=1,M402&lt;=7,ISNUMBER(N402),N402=INT(N402),N402&gt;=1,N402&lt;=5,MONTH(DATE(Übersicht!$B$4,J402,1)+MOD(M402-WEEKDAY(DATE(Übersicht!$B$4,J402,1),2),7)+7*(N402-1))=J402,K402="",L402=""),DATE(Übersicht!$B$4,J402,1)+MOD(M402-WEEKDAY(DATE(Übersicht!$B$4,J402,1),2),7)+7*(N402-1),NA()),IF(I402="nthWeekdayOffsetDays",IF(AND(ISNUMBER(J402),J402=INT(J402),J402&gt;=1,J402&lt;=12,ISNUMBER(M402),M402=INT(M402),M402&gt;=1,M402&lt;=7,ISNUMBER(N402),N402=INT(N402),N402&gt;=1,N402&lt;=5,MONTH(DATE(Übersicht!$B$4,J402,1)+MOD(M402-WEEKDAY(DATE(Übersicht!$B$4,J402,1),2),7)+7*(N402-1))=J402,K402="",ISNUMBER(L402),L402=INT(L402),L402&gt;=-366,L402&lt;=366),DATE(Übersicht!$B$4,J402,1)+MOD(M402-WEEKDAY(DATE(Übersicht!$B$4,J402,1),2),7)+7*(N402-1)+L402,NA()),NA())))),NA())</f>
        <v>46909</v>
      </c>
      <c r="X402" s="15">
        <f t="shared" si="6"/>
        <v>46909</v>
      </c>
      <c r="Y402" s="11" t="s">
        <v>1021</v>
      </c>
      <c r="Z402" s="11" t="s">
        <v>782</v>
      </c>
      <c r="AA402" s="26" t="s">
        <v>768</v>
      </c>
    </row>
    <row r="403" spans="1:27" ht="44" customHeight="1">
      <c r="A403" s="10" t="s">
        <v>517</v>
      </c>
      <c r="B403" s="10" t="s">
        <v>508</v>
      </c>
      <c r="C403" s="10" t="s">
        <v>1020</v>
      </c>
      <c r="D403" s="24" t="s">
        <v>759</v>
      </c>
      <c r="E403" s="24" t="s">
        <v>760</v>
      </c>
      <c r="F403" s="25" t="s">
        <v>874</v>
      </c>
      <c r="G403" s="25" t="s">
        <v>875</v>
      </c>
      <c r="H403" s="10" t="s">
        <v>761</v>
      </c>
      <c r="I403" s="10" t="s">
        <v>762</v>
      </c>
      <c r="J403" s="28">
        <v>8</v>
      </c>
      <c r="K403" s="28">
        <v>1</v>
      </c>
      <c r="L403" s="24"/>
      <c r="M403" s="24"/>
      <c r="N403" s="24"/>
      <c r="O403" s="29">
        <v>46023</v>
      </c>
      <c r="P403" s="29"/>
      <c r="Q403" s="24">
        <v>100</v>
      </c>
      <c r="R403" s="24" t="s">
        <v>69</v>
      </c>
      <c r="S403" s="10"/>
      <c r="T403" s="10" t="s">
        <v>764</v>
      </c>
      <c r="U403" s="10"/>
      <c r="V403" s="10" t="s">
        <v>824</v>
      </c>
      <c r="W403" s="14">
        <f>IF(AND(ISNUMBER(Übersicht!$B$4),Übersicht!$B$4=INT(Übersicht!$B$4),Übersicht!$B$4&gt;=2026,Übersicht!$B$4&lt;=2028),IF(I403="fixedMonthDay",IF(AND(ISNUMBER(J403),J403=INT(J403),J403&gt;=1,J403&lt;=12,ISNUMBER(K403),K403=INT(K403),K403&gt;=1,K403&lt;=31,MONTH(DATE(Übersicht!$B$4,J403,K403))=J403,DAY(DATE(Übersicht!$B$4,J403,K403))=K403,L403="",M403="",N403=""),DATE(Übersicht!$B$4,J403,K403),NA()),IF(I403="easterOffsetDays",IF(AND(ISNUMBER(L403),L403=INT(L403),L403&gt;=-366,L403&lt;=366,J403="",K403="",M403="",N403=""),$AD$23+L403,NA()),IF(I403="nthWeekdayOfMonth",IF(AND(ISNUMBER(J403),J403=INT(J403),J403&gt;=1,J403&lt;=12,ISNUMBER(M403),M403=INT(M403),M403&gt;=1,M403&lt;=7,ISNUMBER(N403),N403=INT(N403),N403&gt;=1,N403&lt;=5,MONTH(DATE(Übersicht!$B$4,J403,1)+MOD(M403-WEEKDAY(DATE(Übersicht!$B$4,J403,1),2),7)+7*(N403-1))=J403,K403="",L403=""),DATE(Übersicht!$B$4,J403,1)+MOD(M403-WEEKDAY(DATE(Übersicht!$B$4,J403,1),2),7)+7*(N403-1),NA()),IF(I403="nthWeekdayOffsetDays",IF(AND(ISNUMBER(J403),J403=INT(J403),J403&gt;=1,J403&lt;=12,ISNUMBER(M403),M403=INT(M403),M403&gt;=1,M403&lt;=7,ISNUMBER(N403),N403=INT(N403),N403&gt;=1,N403&lt;=5,MONTH(DATE(Übersicht!$B$4,J403,1)+MOD(M403-WEEKDAY(DATE(Übersicht!$B$4,J403,1),2),7)+7*(N403-1))=J403,K403="",ISNUMBER(L403),L403=INT(L403),L403&gt;=-366,L403&lt;=366),DATE(Übersicht!$B$4,J403,1)+MOD(M403-WEEKDAY(DATE(Übersicht!$B$4,J403,1),2),7)+7*(N403-1)+L403,NA()),NA())))),NA())</f>
        <v>46966</v>
      </c>
      <c r="X403" s="14">
        <f t="shared" si="6"/>
        <v>46966</v>
      </c>
      <c r="Y403" s="10" t="s">
        <v>766</v>
      </c>
      <c r="Z403" s="10" t="s">
        <v>989</v>
      </c>
      <c r="AA403" s="24" t="s">
        <v>768</v>
      </c>
    </row>
    <row r="404" spans="1:27" ht="44" customHeight="1">
      <c r="A404" s="11" t="s">
        <v>518</v>
      </c>
      <c r="B404" s="11" t="s">
        <v>508</v>
      </c>
      <c r="C404" s="11" t="s">
        <v>1020</v>
      </c>
      <c r="D404" s="26" t="s">
        <v>799</v>
      </c>
      <c r="E404" s="26" t="s">
        <v>800</v>
      </c>
      <c r="F404" s="27" t="s">
        <v>899</v>
      </c>
      <c r="G404" s="27" t="s">
        <v>900</v>
      </c>
      <c r="H404" s="11" t="s">
        <v>761</v>
      </c>
      <c r="I404" s="11" t="s">
        <v>801</v>
      </c>
      <c r="J404" s="30">
        <v>9</v>
      </c>
      <c r="K404" s="30"/>
      <c r="L404" s="26"/>
      <c r="M404" s="26">
        <v>7</v>
      </c>
      <c r="N404" s="26">
        <v>3</v>
      </c>
      <c r="O404" s="31">
        <v>46023</v>
      </c>
      <c r="P404" s="31"/>
      <c r="Q404" s="26">
        <v>100</v>
      </c>
      <c r="R404" s="26" t="s">
        <v>69</v>
      </c>
      <c r="S404" s="11"/>
      <c r="T404" s="11" t="s">
        <v>764</v>
      </c>
      <c r="U404" s="11"/>
      <c r="V404" s="11" t="s">
        <v>824</v>
      </c>
      <c r="W404" s="15">
        <f>IF(AND(ISNUMBER(Übersicht!$B$4),Übersicht!$B$4=INT(Übersicht!$B$4),Übersicht!$B$4&gt;=2026,Übersicht!$B$4&lt;=2028),IF(I404="fixedMonthDay",IF(AND(ISNUMBER(J404),J404=INT(J404),J404&gt;=1,J404&lt;=12,ISNUMBER(K404),K404=INT(K404),K404&gt;=1,K404&lt;=31,MONTH(DATE(Übersicht!$B$4,J404,K404))=J404,DAY(DATE(Übersicht!$B$4,J404,K404))=K404,L404="",M404="",N404=""),DATE(Übersicht!$B$4,J404,K404),NA()),IF(I404="easterOffsetDays",IF(AND(ISNUMBER(L404),L404=INT(L404),L404&gt;=-366,L404&lt;=366,J404="",K404="",M404="",N404=""),$AD$23+L404,NA()),IF(I404="nthWeekdayOfMonth",IF(AND(ISNUMBER(J404),J404=INT(J404),J404&gt;=1,J404&lt;=12,ISNUMBER(M404),M404=INT(M404),M404&gt;=1,M404&lt;=7,ISNUMBER(N404),N404=INT(N404),N404&gt;=1,N404&lt;=5,MONTH(DATE(Übersicht!$B$4,J404,1)+MOD(M404-WEEKDAY(DATE(Übersicht!$B$4,J404,1),2),7)+7*(N404-1))=J404,K404="",L404=""),DATE(Übersicht!$B$4,J404,1)+MOD(M404-WEEKDAY(DATE(Übersicht!$B$4,J404,1),2),7)+7*(N404-1),NA()),IF(I404="nthWeekdayOffsetDays",IF(AND(ISNUMBER(J404),J404=INT(J404),J404&gt;=1,J404&lt;=12,ISNUMBER(M404),M404=INT(M404),M404&gt;=1,M404&lt;=7,ISNUMBER(N404),N404=INT(N404),N404&gt;=1,N404&lt;=5,MONTH(DATE(Übersicht!$B$4,J404,1)+MOD(M404-WEEKDAY(DATE(Übersicht!$B$4,J404,1),2),7)+7*(N404-1))=J404,K404="",ISNUMBER(L404),L404=INT(L404),L404&gt;=-366,L404&lt;=366),DATE(Übersicht!$B$4,J404,1)+MOD(M404-WEEKDAY(DATE(Übersicht!$B$4,J404,1),2),7)+7*(N404-1)+L404,NA()),NA())))),NA())</f>
        <v>47013</v>
      </c>
      <c r="X404" s="15">
        <f t="shared" si="6"/>
        <v>47013</v>
      </c>
      <c r="Y404" s="11" t="s">
        <v>1021</v>
      </c>
      <c r="Z404" s="11" t="s">
        <v>774</v>
      </c>
      <c r="AA404" s="26" t="s">
        <v>768</v>
      </c>
    </row>
    <row r="405" spans="1:27" ht="44" customHeight="1">
      <c r="A405" s="10" t="s">
        <v>519</v>
      </c>
      <c r="B405" s="10" t="s">
        <v>508</v>
      </c>
      <c r="C405" s="10" t="s">
        <v>1020</v>
      </c>
      <c r="D405" s="24" t="s">
        <v>821</v>
      </c>
      <c r="E405" s="24" t="s">
        <v>822</v>
      </c>
      <c r="F405" s="25" t="s">
        <v>878</v>
      </c>
      <c r="G405" s="25" t="s">
        <v>879</v>
      </c>
      <c r="H405" s="10" t="s">
        <v>761</v>
      </c>
      <c r="I405" s="10" t="s">
        <v>762</v>
      </c>
      <c r="J405" s="28">
        <v>11</v>
      </c>
      <c r="K405" s="28">
        <v>1</v>
      </c>
      <c r="L405" s="24"/>
      <c r="M405" s="24"/>
      <c r="N405" s="24"/>
      <c r="O405" s="29">
        <v>46023</v>
      </c>
      <c r="P405" s="29"/>
      <c r="Q405" s="24">
        <v>100</v>
      </c>
      <c r="R405" s="24" t="s">
        <v>69</v>
      </c>
      <c r="S405" s="10"/>
      <c r="T405" s="10" t="s">
        <v>764</v>
      </c>
      <c r="U405" s="10"/>
      <c r="V405" s="10" t="s">
        <v>824</v>
      </c>
      <c r="W405" s="14">
        <f>IF(AND(ISNUMBER(Übersicht!$B$4),Übersicht!$B$4=INT(Übersicht!$B$4),Übersicht!$B$4&gt;=2026,Übersicht!$B$4&lt;=2028),IF(I405="fixedMonthDay",IF(AND(ISNUMBER(J405),J405=INT(J405),J405&gt;=1,J405&lt;=12,ISNUMBER(K405),K405=INT(K405),K405&gt;=1,K405&lt;=31,MONTH(DATE(Übersicht!$B$4,J405,K405))=J405,DAY(DATE(Übersicht!$B$4,J405,K405))=K405,L405="",M405="",N405=""),DATE(Übersicht!$B$4,J405,K405),NA()),IF(I405="easterOffsetDays",IF(AND(ISNUMBER(L405),L405=INT(L405),L405&gt;=-366,L405&lt;=366,J405="",K405="",M405="",N405=""),$AD$23+L405,NA()),IF(I405="nthWeekdayOfMonth",IF(AND(ISNUMBER(J405),J405=INT(J405),J405&gt;=1,J405&lt;=12,ISNUMBER(M405),M405=INT(M405),M405&gt;=1,M405&lt;=7,ISNUMBER(N405),N405=INT(N405),N405&gt;=1,N405&lt;=5,MONTH(DATE(Übersicht!$B$4,J405,1)+MOD(M405-WEEKDAY(DATE(Übersicht!$B$4,J405,1),2),7)+7*(N405-1))=J405,K405="",L405=""),DATE(Übersicht!$B$4,J405,1)+MOD(M405-WEEKDAY(DATE(Übersicht!$B$4,J405,1),2),7)+7*(N405-1),NA()),IF(I405="nthWeekdayOffsetDays",IF(AND(ISNUMBER(J405),J405=INT(J405),J405&gt;=1,J405&lt;=12,ISNUMBER(M405),M405=INT(M405),M405&gt;=1,M405&lt;=7,ISNUMBER(N405),N405=INT(N405),N405&gt;=1,N405&lt;=5,MONTH(DATE(Übersicht!$B$4,J405,1)+MOD(M405-WEEKDAY(DATE(Übersicht!$B$4,J405,1),2),7)+7*(N405-1))=J405,K405="",ISNUMBER(L405),L405=INT(L405),L405&gt;=-366,L405&lt;=366),DATE(Übersicht!$B$4,J405,1)+MOD(M405-WEEKDAY(DATE(Übersicht!$B$4,J405,1),2),7)+7*(N405-1)+L405,NA()),NA())))),NA())</f>
        <v>47058</v>
      </c>
      <c r="X405" s="14">
        <f t="shared" si="6"/>
        <v>47058</v>
      </c>
      <c r="Y405" s="10" t="s">
        <v>1021</v>
      </c>
      <c r="Z405" s="10" t="s">
        <v>782</v>
      </c>
      <c r="AA405" s="24" t="s">
        <v>768</v>
      </c>
    </row>
    <row r="406" spans="1:27" ht="44" customHeight="1">
      <c r="A406" s="11" t="s">
        <v>520</v>
      </c>
      <c r="B406" s="11" t="s">
        <v>508</v>
      </c>
      <c r="C406" s="11" t="s">
        <v>1020</v>
      </c>
      <c r="D406" s="26" t="s">
        <v>803</v>
      </c>
      <c r="E406" s="26" t="s">
        <v>804</v>
      </c>
      <c r="F406" s="27" t="s">
        <v>882</v>
      </c>
      <c r="G406" s="27" t="s">
        <v>883</v>
      </c>
      <c r="H406" s="11" t="s">
        <v>761</v>
      </c>
      <c r="I406" s="11" t="s">
        <v>762</v>
      </c>
      <c r="J406" s="30">
        <v>12</v>
      </c>
      <c r="K406" s="30">
        <v>25</v>
      </c>
      <c r="L406" s="26"/>
      <c r="M406" s="26"/>
      <c r="N406" s="26"/>
      <c r="O406" s="31">
        <v>46023</v>
      </c>
      <c r="P406" s="31"/>
      <c r="Q406" s="26">
        <v>100</v>
      </c>
      <c r="R406" s="26" t="s">
        <v>69</v>
      </c>
      <c r="S406" s="11"/>
      <c r="T406" s="11" t="s">
        <v>764</v>
      </c>
      <c r="U406" s="11"/>
      <c r="V406" s="11" t="s">
        <v>824</v>
      </c>
      <c r="W406" s="15">
        <f>IF(AND(ISNUMBER(Übersicht!$B$4),Übersicht!$B$4=INT(Übersicht!$B$4),Übersicht!$B$4&gt;=2026,Übersicht!$B$4&lt;=2028),IF(I406="fixedMonthDay",IF(AND(ISNUMBER(J406),J406=INT(J406),J406&gt;=1,J406&lt;=12,ISNUMBER(K406),K406=INT(K406),K406&gt;=1,K406&lt;=31,MONTH(DATE(Übersicht!$B$4,J406,K406))=J406,DAY(DATE(Übersicht!$B$4,J406,K406))=K406,L406="",M406="",N406=""),DATE(Übersicht!$B$4,J406,K406),NA()),IF(I406="easterOffsetDays",IF(AND(ISNUMBER(L406),L406=INT(L406),L406&gt;=-366,L406&lt;=366,J406="",K406="",M406="",N406=""),$AD$23+L406,NA()),IF(I406="nthWeekdayOfMonth",IF(AND(ISNUMBER(J406),J406=INT(J406),J406&gt;=1,J406&lt;=12,ISNUMBER(M406),M406=INT(M406),M406&gt;=1,M406&lt;=7,ISNUMBER(N406),N406=INT(N406),N406&gt;=1,N406&lt;=5,MONTH(DATE(Übersicht!$B$4,J406,1)+MOD(M406-WEEKDAY(DATE(Übersicht!$B$4,J406,1),2),7)+7*(N406-1))=J406,K406="",L406=""),DATE(Übersicht!$B$4,J406,1)+MOD(M406-WEEKDAY(DATE(Übersicht!$B$4,J406,1),2),7)+7*(N406-1),NA()),IF(I406="nthWeekdayOffsetDays",IF(AND(ISNUMBER(J406),J406=INT(J406),J406&gt;=1,J406&lt;=12,ISNUMBER(M406),M406=INT(M406),M406&gt;=1,M406&lt;=7,ISNUMBER(N406),N406=INT(N406),N406&gt;=1,N406&lt;=5,MONTH(DATE(Übersicht!$B$4,J406,1)+MOD(M406-WEEKDAY(DATE(Übersicht!$B$4,J406,1),2),7)+7*(N406-1))=J406,K406="",ISNUMBER(L406),L406=INT(L406),L406&gt;=-366,L406&lt;=366),DATE(Übersicht!$B$4,J406,1)+MOD(M406-WEEKDAY(DATE(Übersicht!$B$4,J406,1),2),7)+7*(N406-1)+L406,NA()),NA())))),NA())</f>
        <v>47112</v>
      </c>
      <c r="X406" s="15">
        <f t="shared" si="6"/>
        <v>47112</v>
      </c>
      <c r="Y406" s="11" t="s">
        <v>1021</v>
      </c>
      <c r="Z406" s="11" t="s">
        <v>774</v>
      </c>
      <c r="AA406" s="26" t="s">
        <v>768</v>
      </c>
    </row>
    <row r="407" spans="1:27" ht="44" customHeight="1">
      <c r="A407" s="10" t="s">
        <v>521</v>
      </c>
      <c r="B407" s="10" t="s">
        <v>508</v>
      </c>
      <c r="C407" s="10" t="s">
        <v>1020</v>
      </c>
      <c r="D407" s="24" t="s">
        <v>806</v>
      </c>
      <c r="E407" s="24" t="s">
        <v>807</v>
      </c>
      <c r="F407" s="25" t="s">
        <v>884</v>
      </c>
      <c r="G407" s="25" t="s">
        <v>885</v>
      </c>
      <c r="H407" s="10" t="s">
        <v>761</v>
      </c>
      <c r="I407" s="10" t="s">
        <v>762</v>
      </c>
      <c r="J407" s="28">
        <v>12</v>
      </c>
      <c r="K407" s="28">
        <v>26</v>
      </c>
      <c r="L407" s="24"/>
      <c r="M407" s="24"/>
      <c r="N407" s="24"/>
      <c r="O407" s="29">
        <v>46023</v>
      </c>
      <c r="P407" s="29"/>
      <c r="Q407" s="24">
        <v>100</v>
      </c>
      <c r="R407" s="24" t="s">
        <v>69</v>
      </c>
      <c r="S407" s="10"/>
      <c r="T407" s="10" t="s">
        <v>764</v>
      </c>
      <c r="U407" s="10"/>
      <c r="V407" s="10" t="s">
        <v>824</v>
      </c>
      <c r="W407" s="14">
        <f>IF(AND(ISNUMBER(Übersicht!$B$4),Übersicht!$B$4=INT(Übersicht!$B$4),Übersicht!$B$4&gt;=2026,Übersicht!$B$4&lt;=2028),IF(I407="fixedMonthDay",IF(AND(ISNUMBER(J407),J407=INT(J407),J407&gt;=1,J407&lt;=12,ISNUMBER(K407),K407=INT(K407),K407&gt;=1,K407&lt;=31,MONTH(DATE(Übersicht!$B$4,J407,K407))=J407,DAY(DATE(Übersicht!$B$4,J407,K407))=K407,L407="",M407="",N407=""),DATE(Übersicht!$B$4,J407,K407),NA()),IF(I407="easterOffsetDays",IF(AND(ISNUMBER(L407),L407=INT(L407),L407&gt;=-366,L407&lt;=366,J407="",K407="",M407="",N407=""),$AD$23+L407,NA()),IF(I407="nthWeekdayOfMonth",IF(AND(ISNUMBER(J407),J407=INT(J407),J407&gt;=1,J407&lt;=12,ISNUMBER(M407),M407=INT(M407),M407&gt;=1,M407&lt;=7,ISNUMBER(N407),N407=INT(N407),N407&gt;=1,N407&lt;=5,MONTH(DATE(Übersicht!$B$4,J407,1)+MOD(M407-WEEKDAY(DATE(Übersicht!$B$4,J407,1),2),7)+7*(N407-1))=J407,K407="",L407=""),DATE(Übersicht!$B$4,J407,1)+MOD(M407-WEEKDAY(DATE(Übersicht!$B$4,J407,1),2),7)+7*(N407-1),NA()),IF(I407="nthWeekdayOffsetDays",IF(AND(ISNUMBER(J407),J407=INT(J407),J407&gt;=1,J407&lt;=12,ISNUMBER(M407),M407=INT(M407),M407&gt;=1,M407&lt;=7,ISNUMBER(N407),N407=INT(N407),N407&gt;=1,N407&lt;=5,MONTH(DATE(Übersicht!$B$4,J407,1)+MOD(M407-WEEKDAY(DATE(Übersicht!$B$4,J407,1),2),7)+7*(N407-1))=J407,K407="",ISNUMBER(L407),L407=INT(L407),L407&gt;=-366,L407&lt;=366),DATE(Übersicht!$B$4,J407,1)+MOD(M407-WEEKDAY(DATE(Übersicht!$B$4,J407,1),2),7)+7*(N407-1)+L407,NA()),NA())))),NA())</f>
        <v>47113</v>
      </c>
      <c r="X407" s="14">
        <f t="shared" si="6"/>
        <v>47113</v>
      </c>
      <c r="Y407" s="10" t="s">
        <v>1021</v>
      </c>
      <c r="Z407" s="10" t="s">
        <v>782</v>
      </c>
      <c r="AA407" s="24" t="s">
        <v>768</v>
      </c>
    </row>
    <row r="408" spans="1:27" ht="44" customHeight="1">
      <c r="A408" s="11" t="s">
        <v>524</v>
      </c>
      <c r="B408" s="11" t="s">
        <v>522</v>
      </c>
      <c r="C408" s="11" t="s">
        <v>1022</v>
      </c>
      <c r="D408" s="26" t="s">
        <v>771</v>
      </c>
      <c r="E408" s="26" t="s">
        <v>772</v>
      </c>
      <c r="F408" s="27" t="s">
        <v>849</v>
      </c>
      <c r="G408" s="27" t="s">
        <v>850</v>
      </c>
      <c r="H408" s="11" t="s">
        <v>761</v>
      </c>
      <c r="I408" s="11" t="s">
        <v>762</v>
      </c>
      <c r="J408" s="30">
        <v>1</v>
      </c>
      <c r="K408" s="30">
        <v>1</v>
      </c>
      <c r="L408" s="26"/>
      <c r="M408" s="26"/>
      <c r="N408" s="26"/>
      <c r="O408" s="31">
        <v>46023</v>
      </c>
      <c r="P408" s="31"/>
      <c r="Q408" s="26">
        <v>100</v>
      </c>
      <c r="R408" s="26" t="s">
        <v>69</v>
      </c>
      <c r="S408" s="11"/>
      <c r="T408" s="11" t="s">
        <v>764</v>
      </c>
      <c r="U408" s="11"/>
      <c r="V408" s="11" t="s">
        <v>824</v>
      </c>
      <c r="W408" s="15">
        <f>IF(AND(ISNUMBER(Übersicht!$B$4),Übersicht!$B$4=INT(Übersicht!$B$4),Übersicht!$B$4&gt;=2026,Übersicht!$B$4&lt;=2028),IF(I408="fixedMonthDay",IF(AND(ISNUMBER(J408),J408=INT(J408),J408&gt;=1,J408&lt;=12,ISNUMBER(K408),K408=INT(K408),K408&gt;=1,K408&lt;=31,MONTH(DATE(Übersicht!$B$4,J408,K408))=J408,DAY(DATE(Übersicht!$B$4,J408,K408))=K408,L408="",M408="",N408=""),DATE(Übersicht!$B$4,J408,K408),NA()),IF(I408="easterOffsetDays",IF(AND(ISNUMBER(L408),L408=INT(L408),L408&gt;=-366,L408&lt;=366,J408="",K408="",M408="",N408=""),$AD$23+L408,NA()),IF(I408="nthWeekdayOfMonth",IF(AND(ISNUMBER(J408),J408=INT(J408),J408&gt;=1,J408&lt;=12,ISNUMBER(M408),M408=INT(M408),M408&gt;=1,M408&lt;=7,ISNUMBER(N408),N408=INT(N408),N408&gt;=1,N408&lt;=5,MONTH(DATE(Übersicht!$B$4,J408,1)+MOD(M408-WEEKDAY(DATE(Übersicht!$B$4,J408,1),2),7)+7*(N408-1))=J408,K408="",L408=""),DATE(Übersicht!$B$4,J408,1)+MOD(M408-WEEKDAY(DATE(Übersicht!$B$4,J408,1),2),7)+7*(N408-1),NA()),IF(I408="nthWeekdayOffsetDays",IF(AND(ISNUMBER(J408),J408=INT(J408),J408&gt;=1,J408&lt;=12,ISNUMBER(M408),M408=INT(M408),M408&gt;=1,M408&lt;=7,ISNUMBER(N408),N408=INT(N408),N408&gt;=1,N408&lt;=5,MONTH(DATE(Übersicht!$B$4,J408,1)+MOD(M408-WEEKDAY(DATE(Übersicht!$B$4,J408,1),2),7)+7*(N408-1))=J408,K408="",ISNUMBER(L408),L408=INT(L408),L408&gt;=-366,L408&lt;=366),DATE(Übersicht!$B$4,J408,1)+MOD(M408-WEEKDAY(DATE(Übersicht!$B$4,J408,1),2),7)+7*(N408-1)+L408,NA()),NA())))),NA())</f>
        <v>46753</v>
      </c>
      <c r="X408" s="15">
        <f t="shared" si="6"/>
        <v>46753</v>
      </c>
      <c r="Y408" s="11" t="s">
        <v>1023</v>
      </c>
      <c r="Z408" s="11" t="s">
        <v>1024</v>
      </c>
      <c r="AA408" s="26" t="s">
        <v>768</v>
      </c>
    </row>
    <row r="409" spans="1:27" ht="44" customHeight="1">
      <c r="A409" s="10" t="s">
        <v>525</v>
      </c>
      <c r="B409" s="10" t="s">
        <v>522</v>
      </c>
      <c r="C409" s="10" t="s">
        <v>1022</v>
      </c>
      <c r="D409" s="24" t="s">
        <v>779</v>
      </c>
      <c r="E409" s="24" t="s">
        <v>780</v>
      </c>
      <c r="F409" s="25" t="s">
        <v>889</v>
      </c>
      <c r="G409" s="25" t="s">
        <v>890</v>
      </c>
      <c r="H409" s="10" t="s">
        <v>761</v>
      </c>
      <c r="I409" s="10" t="s">
        <v>781</v>
      </c>
      <c r="J409" s="28"/>
      <c r="K409" s="28"/>
      <c r="L409" s="24">
        <v>-2</v>
      </c>
      <c r="M409" s="24"/>
      <c r="N409" s="24"/>
      <c r="O409" s="29">
        <v>46023</v>
      </c>
      <c r="P409" s="29"/>
      <c r="Q409" s="24">
        <v>100</v>
      </c>
      <c r="R409" s="24" t="s">
        <v>69</v>
      </c>
      <c r="S409" s="10"/>
      <c r="T409" s="10" t="s">
        <v>764</v>
      </c>
      <c r="U409" s="10"/>
      <c r="V409" s="10" t="s">
        <v>824</v>
      </c>
      <c r="W409" s="14">
        <f>IF(AND(ISNUMBER(Übersicht!$B$4),Übersicht!$B$4=INT(Übersicht!$B$4),Übersicht!$B$4&gt;=2026,Übersicht!$B$4&lt;=2028),IF(I409="fixedMonthDay",IF(AND(ISNUMBER(J409),J409=INT(J409),J409&gt;=1,J409&lt;=12,ISNUMBER(K409),K409=INT(K409),K409&gt;=1,K409&lt;=31,MONTH(DATE(Übersicht!$B$4,J409,K409))=J409,DAY(DATE(Übersicht!$B$4,J409,K409))=K409,L409="",M409="",N409=""),DATE(Übersicht!$B$4,J409,K409),NA()),IF(I409="easterOffsetDays",IF(AND(ISNUMBER(L409),L409=INT(L409),L409&gt;=-366,L409&lt;=366,J409="",K409="",M409="",N409=""),$AD$23+L409,NA()),IF(I409="nthWeekdayOfMonth",IF(AND(ISNUMBER(J409),J409=INT(J409),J409&gt;=1,J409&lt;=12,ISNUMBER(M409),M409=INT(M409),M409&gt;=1,M409&lt;=7,ISNUMBER(N409),N409=INT(N409),N409&gt;=1,N409&lt;=5,MONTH(DATE(Übersicht!$B$4,J409,1)+MOD(M409-WEEKDAY(DATE(Übersicht!$B$4,J409,1),2),7)+7*(N409-1))=J409,K409="",L409=""),DATE(Übersicht!$B$4,J409,1)+MOD(M409-WEEKDAY(DATE(Übersicht!$B$4,J409,1),2),7)+7*(N409-1),NA()),IF(I409="nthWeekdayOffsetDays",IF(AND(ISNUMBER(J409),J409=INT(J409),J409&gt;=1,J409&lt;=12,ISNUMBER(M409),M409=INT(M409),M409&gt;=1,M409&lt;=7,ISNUMBER(N409),N409=INT(N409),N409&gt;=1,N409&lt;=5,MONTH(DATE(Übersicht!$B$4,J409,1)+MOD(M409-WEEKDAY(DATE(Übersicht!$B$4,J409,1),2),7)+7*(N409-1))=J409,K409="",ISNUMBER(L409),L409=INT(L409),L409&gt;=-366,L409&lt;=366),DATE(Übersicht!$B$4,J409,1)+MOD(M409-WEEKDAY(DATE(Übersicht!$B$4,J409,1),2),7)+7*(N409-1)+L409,NA()),NA())))),NA())</f>
        <v>46857</v>
      </c>
      <c r="X409" s="14">
        <f t="shared" si="6"/>
        <v>46857</v>
      </c>
      <c r="Y409" s="10" t="s">
        <v>1023</v>
      </c>
      <c r="Z409" s="10" t="s">
        <v>1024</v>
      </c>
      <c r="AA409" s="24" t="s">
        <v>768</v>
      </c>
    </row>
    <row r="410" spans="1:27" ht="44" customHeight="1">
      <c r="A410" s="11" t="s">
        <v>526</v>
      </c>
      <c r="B410" s="11" t="s">
        <v>522</v>
      </c>
      <c r="C410" s="11" t="s">
        <v>1022</v>
      </c>
      <c r="D410" s="26" t="s">
        <v>784</v>
      </c>
      <c r="E410" s="26" t="s">
        <v>785</v>
      </c>
      <c r="F410" s="27" t="s">
        <v>892</v>
      </c>
      <c r="G410" s="27" t="s">
        <v>893</v>
      </c>
      <c r="H410" s="11" t="s">
        <v>761</v>
      </c>
      <c r="I410" s="11" t="s">
        <v>781</v>
      </c>
      <c r="J410" s="30"/>
      <c r="K410" s="30"/>
      <c r="L410" s="26">
        <v>0</v>
      </c>
      <c r="M410" s="26"/>
      <c r="N410" s="26"/>
      <c r="O410" s="31">
        <v>46023</v>
      </c>
      <c r="P410" s="31"/>
      <c r="Q410" s="26">
        <v>100</v>
      </c>
      <c r="R410" s="26" t="s">
        <v>69</v>
      </c>
      <c r="S410" s="11"/>
      <c r="T410" s="11" t="s">
        <v>764</v>
      </c>
      <c r="U410" s="11"/>
      <c r="V410" s="11" t="s">
        <v>824</v>
      </c>
      <c r="W410" s="15">
        <f>IF(AND(ISNUMBER(Übersicht!$B$4),Übersicht!$B$4=INT(Übersicht!$B$4),Übersicht!$B$4&gt;=2026,Übersicht!$B$4&lt;=2028),IF(I410="fixedMonthDay",IF(AND(ISNUMBER(J410),J410=INT(J410),J410&gt;=1,J410&lt;=12,ISNUMBER(K410),K410=INT(K410),K410&gt;=1,K410&lt;=31,MONTH(DATE(Übersicht!$B$4,J410,K410))=J410,DAY(DATE(Übersicht!$B$4,J410,K410))=K410,L410="",M410="",N410=""),DATE(Übersicht!$B$4,J410,K410),NA()),IF(I410="easterOffsetDays",IF(AND(ISNUMBER(L410),L410=INT(L410),L410&gt;=-366,L410&lt;=366,J410="",K410="",M410="",N410=""),$AD$23+L410,NA()),IF(I410="nthWeekdayOfMonth",IF(AND(ISNUMBER(J410),J410=INT(J410),J410&gt;=1,J410&lt;=12,ISNUMBER(M410),M410=INT(M410),M410&gt;=1,M410&lt;=7,ISNUMBER(N410),N410=INT(N410),N410&gt;=1,N410&lt;=5,MONTH(DATE(Übersicht!$B$4,J410,1)+MOD(M410-WEEKDAY(DATE(Übersicht!$B$4,J410,1),2),7)+7*(N410-1))=J410,K410="",L410=""),DATE(Übersicht!$B$4,J410,1)+MOD(M410-WEEKDAY(DATE(Übersicht!$B$4,J410,1),2),7)+7*(N410-1),NA()),IF(I410="nthWeekdayOffsetDays",IF(AND(ISNUMBER(J410),J410=INT(J410),J410&gt;=1,J410&lt;=12,ISNUMBER(M410),M410=INT(M410),M410&gt;=1,M410&lt;=7,ISNUMBER(N410),N410=INT(N410),N410&gt;=1,N410&lt;=5,MONTH(DATE(Übersicht!$B$4,J410,1)+MOD(M410-WEEKDAY(DATE(Übersicht!$B$4,J410,1),2),7)+7*(N410-1))=J410,K410="",ISNUMBER(L410),L410=INT(L410),L410&gt;=-366,L410&lt;=366),DATE(Übersicht!$B$4,J410,1)+MOD(M410-WEEKDAY(DATE(Übersicht!$B$4,J410,1),2),7)+7*(N410-1)+L410,NA()),NA())))),NA())</f>
        <v>46859</v>
      </c>
      <c r="X410" s="15">
        <f t="shared" si="6"/>
        <v>46859</v>
      </c>
      <c r="Y410" s="11" t="s">
        <v>1023</v>
      </c>
      <c r="Z410" s="11" t="s">
        <v>1024</v>
      </c>
      <c r="AA410" s="26" t="s">
        <v>768</v>
      </c>
    </row>
    <row r="411" spans="1:27" ht="44" customHeight="1">
      <c r="A411" s="10" t="s">
        <v>527</v>
      </c>
      <c r="B411" s="10" t="s">
        <v>522</v>
      </c>
      <c r="C411" s="10" t="s">
        <v>1022</v>
      </c>
      <c r="D411" s="24" t="s">
        <v>787</v>
      </c>
      <c r="E411" s="24" t="s">
        <v>788</v>
      </c>
      <c r="F411" s="25" t="s">
        <v>860</v>
      </c>
      <c r="G411" s="25" t="s">
        <v>861</v>
      </c>
      <c r="H411" s="10" t="s">
        <v>761</v>
      </c>
      <c r="I411" s="10" t="s">
        <v>781</v>
      </c>
      <c r="J411" s="28"/>
      <c r="K411" s="28"/>
      <c r="L411" s="24">
        <v>1</v>
      </c>
      <c r="M411" s="24"/>
      <c r="N411" s="24"/>
      <c r="O411" s="29">
        <v>46023</v>
      </c>
      <c r="P411" s="29"/>
      <c r="Q411" s="24">
        <v>100</v>
      </c>
      <c r="R411" s="24" t="s">
        <v>69</v>
      </c>
      <c r="S411" s="10"/>
      <c r="T411" s="10" t="s">
        <v>764</v>
      </c>
      <c r="U411" s="10"/>
      <c r="V411" s="10" t="s">
        <v>824</v>
      </c>
      <c r="W411" s="14">
        <f>IF(AND(ISNUMBER(Übersicht!$B$4),Übersicht!$B$4=INT(Übersicht!$B$4),Übersicht!$B$4&gt;=2026,Übersicht!$B$4&lt;=2028),IF(I411="fixedMonthDay",IF(AND(ISNUMBER(J411),J411=INT(J411),J411&gt;=1,J411&lt;=12,ISNUMBER(K411),K411=INT(K411),K411&gt;=1,K411&lt;=31,MONTH(DATE(Übersicht!$B$4,J411,K411))=J411,DAY(DATE(Übersicht!$B$4,J411,K411))=K411,L411="",M411="",N411=""),DATE(Übersicht!$B$4,J411,K411),NA()),IF(I411="easterOffsetDays",IF(AND(ISNUMBER(L411),L411=INT(L411),L411&gt;=-366,L411&lt;=366,J411="",K411="",M411="",N411=""),$AD$23+L411,NA()),IF(I411="nthWeekdayOfMonth",IF(AND(ISNUMBER(J411),J411=INT(J411),J411&gt;=1,J411&lt;=12,ISNUMBER(M411),M411=INT(M411),M411&gt;=1,M411&lt;=7,ISNUMBER(N411),N411=INT(N411),N411&gt;=1,N411&lt;=5,MONTH(DATE(Übersicht!$B$4,J411,1)+MOD(M411-WEEKDAY(DATE(Übersicht!$B$4,J411,1),2),7)+7*(N411-1))=J411,K411="",L411=""),DATE(Übersicht!$B$4,J411,1)+MOD(M411-WEEKDAY(DATE(Übersicht!$B$4,J411,1),2),7)+7*(N411-1),NA()),IF(I411="nthWeekdayOffsetDays",IF(AND(ISNUMBER(J411),J411=INT(J411),J411&gt;=1,J411&lt;=12,ISNUMBER(M411),M411=INT(M411),M411&gt;=1,M411&lt;=7,ISNUMBER(N411),N411=INT(N411),N411&gt;=1,N411&lt;=5,MONTH(DATE(Übersicht!$B$4,J411,1)+MOD(M411-WEEKDAY(DATE(Übersicht!$B$4,J411,1),2),7)+7*(N411-1))=J411,K411="",ISNUMBER(L411),L411=INT(L411),L411&gt;=-366,L411&lt;=366),DATE(Übersicht!$B$4,J411,1)+MOD(M411-WEEKDAY(DATE(Übersicht!$B$4,J411,1),2),7)+7*(N411-1)+L411,NA()),NA())))),NA())</f>
        <v>46860</v>
      </c>
      <c r="X411" s="14">
        <f t="shared" si="6"/>
        <v>46860</v>
      </c>
      <c r="Y411" s="10" t="s">
        <v>1023</v>
      </c>
      <c r="Z411" s="10" t="s">
        <v>1024</v>
      </c>
      <c r="AA411" s="24" t="s">
        <v>768</v>
      </c>
    </row>
    <row r="412" spans="1:27" ht="44" customHeight="1">
      <c r="A412" s="11" t="s">
        <v>528</v>
      </c>
      <c r="B412" s="11" t="s">
        <v>522</v>
      </c>
      <c r="C412" s="11" t="s">
        <v>1022</v>
      </c>
      <c r="D412" s="26" t="s">
        <v>846</v>
      </c>
      <c r="E412" s="26" t="s">
        <v>847</v>
      </c>
      <c r="F412" s="27" t="s">
        <v>862</v>
      </c>
      <c r="G412" s="27" t="s">
        <v>863</v>
      </c>
      <c r="H412" s="11" t="s">
        <v>761</v>
      </c>
      <c r="I412" s="11" t="s">
        <v>762</v>
      </c>
      <c r="J412" s="30">
        <v>5</v>
      </c>
      <c r="K412" s="30">
        <v>1</v>
      </c>
      <c r="L412" s="26"/>
      <c r="M412" s="26"/>
      <c r="N412" s="26"/>
      <c r="O412" s="31">
        <v>46023</v>
      </c>
      <c r="P412" s="31"/>
      <c r="Q412" s="26">
        <v>100</v>
      </c>
      <c r="R412" s="26" t="s">
        <v>69</v>
      </c>
      <c r="S412" s="11"/>
      <c r="T412" s="11" t="s">
        <v>764</v>
      </c>
      <c r="U412" s="11"/>
      <c r="V412" s="11" t="s">
        <v>824</v>
      </c>
      <c r="W412" s="15">
        <f>IF(AND(ISNUMBER(Übersicht!$B$4),Übersicht!$B$4=INT(Übersicht!$B$4),Übersicht!$B$4&gt;=2026,Übersicht!$B$4&lt;=2028),IF(I412="fixedMonthDay",IF(AND(ISNUMBER(J412),J412=INT(J412),J412&gt;=1,J412&lt;=12,ISNUMBER(K412),K412=INT(K412),K412&gt;=1,K412&lt;=31,MONTH(DATE(Übersicht!$B$4,J412,K412))=J412,DAY(DATE(Übersicht!$B$4,J412,K412))=K412,L412="",M412="",N412=""),DATE(Übersicht!$B$4,J412,K412),NA()),IF(I412="easterOffsetDays",IF(AND(ISNUMBER(L412),L412=INT(L412),L412&gt;=-366,L412&lt;=366,J412="",K412="",M412="",N412=""),$AD$23+L412,NA()),IF(I412="nthWeekdayOfMonth",IF(AND(ISNUMBER(J412),J412=INT(J412),J412&gt;=1,J412&lt;=12,ISNUMBER(M412),M412=INT(M412),M412&gt;=1,M412&lt;=7,ISNUMBER(N412),N412=INT(N412),N412&gt;=1,N412&lt;=5,MONTH(DATE(Übersicht!$B$4,J412,1)+MOD(M412-WEEKDAY(DATE(Übersicht!$B$4,J412,1),2),7)+7*(N412-1))=J412,K412="",L412=""),DATE(Übersicht!$B$4,J412,1)+MOD(M412-WEEKDAY(DATE(Übersicht!$B$4,J412,1),2),7)+7*(N412-1),NA()),IF(I412="nthWeekdayOffsetDays",IF(AND(ISNUMBER(J412),J412=INT(J412),J412&gt;=1,J412&lt;=12,ISNUMBER(M412),M412=INT(M412),M412&gt;=1,M412&lt;=7,ISNUMBER(N412),N412=INT(N412),N412&gt;=1,N412&lt;=5,MONTH(DATE(Übersicht!$B$4,J412,1)+MOD(M412-WEEKDAY(DATE(Übersicht!$B$4,J412,1),2),7)+7*(N412-1))=J412,K412="",ISNUMBER(L412),L412=INT(L412),L412&gt;=-366,L412&lt;=366),DATE(Übersicht!$B$4,J412,1)+MOD(M412-WEEKDAY(DATE(Übersicht!$B$4,J412,1),2),7)+7*(N412-1)+L412,NA()),NA())))),NA())</f>
        <v>46874</v>
      </c>
      <c r="X412" s="15">
        <f t="shared" si="6"/>
        <v>46874</v>
      </c>
      <c r="Y412" s="11" t="s">
        <v>1023</v>
      </c>
      <c r="Z412" s="11" t="s">
        <v>1024</v>
      </c>
      <c r="AA412" s="26" t="s">
        <v>768</v>
      </c>
    </row>
    <row r="413" spans="1:27" ht="44" customHeight="1">
      <c r="A413" s="10" t="s">
        <v>529</v>
      </c>
      <c r="B413" s="10" t="s">
        <v>522</v>
      </c>
      <c r="C413" s="10" t="s">
        <v>1022</v>
      </c>
      <c r="D413" s="24" t="s">
        <v>790</v>
      </c>
      <c r="E413" s="24" t="s">
        <v>791</v>
      </c>
      <c r="F413" s="25" t="s">
        <v>864</v>
      </c>
      <c r="G413" s="25" t="s">
        <v>865</v>
      </c>
      <c r="H413" s="10" t="s">
        <v>761</v>
      </c>
      <c r="I413" s="10" t="s">
        <v>781</v>
      </c>
      <c r="J413" s="28"/>
      <c r="K413" s="28"/>
      <c r="L413" s="24">
        <v>39</v>
      </c>
      <c r="M413" s="24"/>
      <c r="N413" s="24"/>
      <c r="O413" s="29">
        <v>46023</v>
      </c>
      <c r="P413" s="29"/>
      <c r="Q413" s="24">
        <v>100</v>
      </c>
      <c r="R413" s="24" t="s">
        <v>69</v>
      </c>
      <c r="S413" s="10"/>
      <c r="T413" s="10" t="s">
        <v>764</v>
      </c>
      <c r="U413" s="10"/>
      <c r="V413" s="10" t="s">
        <v>824</v>
      </c>
      <c r="W413" s="14">
        <f>IF(AND(ISNUMBER(Übersicht!$B$4),Übersicht!$B$4=INT(Übersicht!$B$4),Übersicht!$B$4&gt;=2026,Übersicht!$B$4&lt;=2028),IF(I413="fixedMonthDay",IF(AND(ISNUMBER(J413),J413=INT(J413),J413&gt;=1,J413&lt;=12,ISNUMBER(K413),K413=INT(K413),K413&gt;=1,K413&lt;=31,MONTH(DATE(Übersicht!$B$4,J413,K413))=J413,DAY(DATE(Übersicht!$B$4,J413,K413))=K413,L413="",M413="",N413=""),DATE(Übersicht!$B$4,J413,K413),NA()),IF(I413="easterOffsetDays",IF(AND(ISNUMBER(L413),L413=INT(L413),L413&gt;=-366,L413&lt;=366,J413="",K413="",M413="",N413=""),$AD$23+L413,NA()),IF(I413="nthWeekdayOfMonth",IF(AND(ISNUMBER(J413),J413=INT(J413),J413&gt;=1,J413&lt;=12,ISNUMBER(M413),M413=INT(M413),M413&gt;=1,M413&lt;=7,ISNUMBER(N413),N413=INT(N413),N413&gt;=1,N413&lt;=5,MONTH(DATE(Übersicht!$B$4,J413,1)+MOD(M413-WEEKDAY(DATE(Übersicht!$B$4,J413,1),2),7)+7*(N413-1))=J413,K413="",L413=""),DATE(Übersicht!$B$4,J413,1)+MOD(M413-WEEKDAY(DATE(Übersicht!$B$4,J413,1),2),7)+7*(N413-1),NA()),IF(I413="nthWeekdayOffsetDays",IF(AND(ISNUMBER(J413),J413=INT(J413),J413&gt;=1,J413&lt;=12,ISNUMBER(M413),M413=INT(M413),M413&gt;=1,M413&lt;=7,ISNUMBER(N413),N413=INT(N413),N413&gt;=1,N413&lt;=5,MONTH(DATE(Übersicht!$B$4,J413,1)+MOD(M413-WEEKDAY(DATE(Übersicht!$B$4,J413,1),2),7)+7*(N413-1))=J413,K413="",ISNUMBER(L413),L413=INT(L413),L413&gt;=-366,L413&lt;=366),DATE(Übersicht!$B$4,J413,1)+MOD(M413-WEEKDAY(DATE(Übersicht!$B$4,J413,1),2),7)+7*(N413-1)+L413,NA()),NA())))),NA())</f>
        <v>46898</v>
      </c>
      <c r="X413" s="14">
        <f t="shared" si="6"/>
        <v>46898</v>
      </c>
      <c r="Y413" s="10" t="s">
        <v>1023</v>
      </c>
      <c r="Z413" s="10" t="s">
        <v>1024</v>
      </c>
      <c r="AA413" s="24" t="s">
        <v>768</v>
      </c>
    </row>
    <row r="414" spans="1:27" ht="44" customHeight="1">
      <c r="A414" s="11" t="s">
        <v>530</v>
      </c>
      <c r="B414" s="11" t="s">
        <v>522</v>
      </c>
      <c r="C414" s="11" t="s">
        <v>1022</v>
      </c>
      <c r="D414" s="26" t="s">
        <v>793</v>
      </c>
      <c r="E414" s="26" t="s">
        <v>794</v>
      </c>
      <c r="F414" s="27" t="s">
        <v>896</v>
      </c>
      <c r="G414" s="27" t="s">
        <v>897</v>
      </c>
      <c r="H414" s="11" t="s">
        <v>761</v>
      </c>
      <c r="I414" s="11" t="s">
        <v>781</v>
      </c>
      <c r="J414" s="30"/>
      <c r="K414" s="30"/>
      <c r="L414" s="26">
        <v>49</v>
      </c>
      <c r="M414" s="26"/>
      <c r="N414" s="26"/>
      <c r="O414" s="31">
        <v>46023</v>
      </c>
      <c r="P414" s="31"/>
      <c r="Q414" s="26">
        <v>100</v>
      </c>
      <c r="R414" s="26" t="s">
        <v>69</v>
      </c>
      <c r="S414" s="11"/>
      <c r="T414" s="11" t="s">
        <v>764</v>
      </c>
      <c r="U414" s="11"/>
      <c r="V414" s="11" t="s">
        <v>824</v>
      </c>
      <c r="W414" s="15">
        <f>IF(AND(ISNUMBER(Übersicht!$B$4),Übersicht!$B$4=INT(Übersicht!$B$4),Übersicht!$B$4&gt;=2026,Übersicht!$B$4&lt;=2028),IF(I414="fixedMonthDay",IF(AND(ISNUMBER(J414),J414=INT(J414),J414&gt;=1,J414&lt;=12,ISNUMBER(K414),K414=INT(K414),K414&gt;=1,K414&lt;=31,MONTH(DATE(Übersicht!$B$4,J414,K414))=J414,DAY(DATE(Übersicht!$B$4,J414,K414))=K414,L414="",M414="",N414=""),DATE(Übersicht!$B$4,J414,K414),NA()),IF(I414="easterOffsetDays",IF(AND(ISNUMBER(L414),L414=INT(L414),L414&gt;=-366,L414&lt;=366,J414="",K414="",M414="",N414=""),$AD$23+L414,NA()),IF(I414="nthWeekdayOfMonth",IF(AND(ISNUMBER(J414),J414=INT(J414),J414&gt;=1,J414&lt;=12,ISNUMBER(M414),M414=INT(M414),M414&gt;=1,M414&lt;=7,ISNUMBER(N414),N414=INT(N414),N414&gt;=1,N414&lt;=5,MONTH(DATE(Übersicht!$B$4,J414,1)+MOD(M414-WEEKDAY(DATE(Übersicht!$B$4,J414,1),2),7)+7*(N414-1))=J414,K414="",L414=""),DATE(Übersicht!$B$4,J414,1)+MOD(M414-WEEKDAY(DATE(Übersicht!$B$4,J414,1),2),7)+7*(N414-1),NA()),IF(I414="nthWeekdayOffsetDays",IF(AND(ISNUMBER(J414),J414=INT(J414),J414&gt;=1,J414&lt;=12,ISNUMBER(M414),M414=INT(M414),M414&gt;=1,M414&lt;=7,ISNUMBER(N414),N414=INT(N414),N414&gt;=1,N414&lt;=5,MONTH(DATE(Übersicht!$B$4,J414,1)+MOD(M414-WEEKDAY(DATE(Übersicht!$B$4,J414,1),2),7)+7*(N414-1))=J414,K414="",ISNUMBER(L414),L414=INT(L414),L414&gt;=-366,L414&lt;=366),DATE(Übersicht!$B$4,J414,1)+MOD(M414-WEEKDAY(DATE(Übersicht!$B$4,J414,1),2),7)+7*(N414-1)+L414,NA()),NA())))),NA())</f>
        <v>46908</v>
      </c>
      <c r="X414" s="15">
        <f t="shared" si="6"/>
        <v>46908</v>
      </c>
      <c r="Y414" s="11" t="s">
        <v>1023</v>
      </c>
      <c r="Z414" s="11" t="s">
        <v>1024</v>
      </c>
      <c r="AA414" s="26" t="s">
        <v>768</v>
      </c>
    </row>
    <row r="415" spans="1:27" ht="44" customHeight="1">
      <c r="A415" s="10" t="s">
        <v>531</v>
      </c>
      <c r="B415" s="10" t="s">
        <v>522</v>
      </c>
      <c r="C415" s="10" t="s">
        <v>1022</v>
      </c>
      <c r="D415" s="24" t="s">
        <v>796</v>
      </c>
      <c r="E415" s="24" t="s">
        <v>797</v>
      </c>
      <c r="F415" s="25" t="s">
        <v>866</v>
      </c>
      <c r="G415" s="25" t="s">
        <v>867</v>
      </c>
      <c r="H415" s="10" t="s">
        <v>761</v>
      </c>
      <c r="I415" s="10" t="s">
        <v>781</v>
      </c>
      <c r="J415" s="28"/>
      <c r="K415" s="28"/>
      <c r="L415" s="24">
        <v>50</v>
      </c>
      <c r="M415" s="24"/>
      <c r="N415" s="24"/>
      <c r="O415" s="29">
        <v>46023</v>
      </c>
      <c r="P415" s="29"/>
      <c r="Q415" s="24">
        <v>100</v>
      </c>
      <c r="R415" s="24" t="s">
        <v>69</v>
      </c>
      <c r="S415" s="10"/>
      <c r="T415" s="10" t="s">
        <v>764</v>
      </c>
      <c r="U415" s="10"/>
      <c r="V415" s="10" t="s">
        <v>824</v>
      </c>
      <c r="W415" s="14">
        <f>IF(AND(ISNUMBER(Übersicht!$B$4),Übersicht!$B$4=INT(Übersicht!$B$4),Übersicht!$B$4&gt;=2026,Übersicht!$B$4&lt;=2028),IF(I415="fixedMonthDay",IF(AND(ISNUMBER(J415),J415=INT(J415),J415&gt;=1,J415&lt;=12,ISNUMBER(K415),K415=INT(K415),K415&gt;=1,K415&lt;=31,MONTH(DATE(Übersicht!$B$4,J415,K415))=J415,DAY(DATE(Übersicht!$B$4,J415,K415))=K415,L415="",M415="",N415=""),DATE(Übersicht!$B$4,J415,K415),NA()),IF(I415="easterOffsetDays",IF(AND(ISNUMBER(L415),L415=INT(L415),L415&gt;=-366,L415&lt;=366,J415="",K415="",M415="",N415=""),$AD$23+L415,NA()),IF(I415="nthWeekdayOfMonth",IF(AND(ISNUMBER(J415),J415=INT(J415),J415&gt;=1,J415&lt;=12,ISNUMBER(M415),M415=INT(M415),M415&gt;=1,M415&lt;=7,ISNUMBER(N415),N415=INT(N415),N415&gt;=1,N415&lt;=5,MONTH(DATE(Übersicht!$B$4,J415,1)+MOD(M415-WEEKDAY(DATE(Übersicht!$B$4,J415,1),2),7)+7*(N415-1))=J415,K415="",L415=""),DATE(Übersicht!$B$4,J415,1)+MOD(M415-WEEKDAY(DATE(Übersicht!$B$4,J415,1),2),7)+7*(N415-1),NA()),IF(I415="nthWeekdayOffsetDays",IF(AND(ISNUMBER(J415),J415=INT(J415),J415&gt;=1,J415&lt;=12,ISNUMBER(M415),M415=INT(M415),M415&gt;=1,M415&lt;=7,ISNUMBER(N415),N415=INT(N415),N415&gt;=1,N415&lt;=5,MONTH(DATE(Übersicht!$B$4,J415,1)+MOD(M415-WEEKDAY(DATE(Übersicht!$B$4,J415,1),2),7)+7*(N415-1))=J415,K415="",ISNUMBER(L415),L415=INT(L415),L415&gt;=-366,L415&lt;=366),DATE(Übersicht!$B$4,J415,1)+MOD(M415-WEEKDAY(DATE(Übersicht!$B$4,J415,1),2),7)+7*(N415-1)+L415,NA()),NA())))),NA())</f>
        <v>46909</v>
      </c>
      <c r="X415" s="14">
        <f t="shared" si="6"/>
        <v>46909</v>
      </c>
      <c r="Y415" s="10" t="s">
        <v>1023</v>
      </c>
      <c r="Z415" s="10" t="s">
        <v>1024</v>
      </c>
      <c r="AA415" s="24" t="s">
        <v>768</v>
      </c>
    </row>
    <row r="416" spans="1:27" ht="44" customHeight="1">
      <c r="A416" s="11" t="s">
        <v>532</v>
      </c>
      <c r="B416" s="11" t="s">
        <v>522</v>
      </c>
      <c r="C416" s="11" t="s">
        <v>1022</v>
      </c>
      <c r="D416" s="26" t="s">
        <v>759</v>
      </c>
      <c r="E416" s="26" t="s">
        <v>760</v>
      </c>
      <c r="F416" s="27" t="s">
        <v>874</v>
      </c>
      <c r="G416" s="27" t="s">
        <v>875</v>
      </c>
      <c r="H416" s="11" t="s">
        <v>761</v>
      </c>
      <c r="I416" s="11" t="s">
        <v>762</v>
      </c>
      <c r="J416" s="30">
        <v>8</v>
      </c>
      <c r="K416" s="30">
        <v>1</v>
      </c>
      <c r="L416" s="26"/>
      <c r="M416" s="26"/>
      <c r="N416" s="26"/>
      <c r="O416" s="31">
        <v>46023</v>
      </c>
      <c r="P416" s="31"/>
      <c r="Q416" s="26">
        <v>100</v>
      </c>
      <c r="R416" s="26" t="s">
        <v>69</v>
      </c>
      <c r="S416" s="11"/>
      <c r="T416" s="11" t="s">
        <v>764</v>
      </c>
      <c r="U416" s="11"/>
      <c r="V416" s="11" t="s">
        <v>824</v>
      </c>
      <c r="W416" s="15">
        <f>IF(AND(ISNUMBER(Übersicht!$B$4),Übersicht!$B$4=INT(Übersicht!$B$4),Übersicht!$B$4&gt;=2026,Übersicht!$B$4&lt;=2028),IF(I416="fixedMonthDay",IF(AND(ISNUMBER(J416),J416=INT(J416),J416&gt;=1,J416&lt;=12,ISNUMBER(K416),K416=INT(K416),K416&gt;=1,K416&lt;=31,MONTH(DATE(Übersicht!$B$4,J416,K416))=J416,DAY(DATE(Übersicht!$B$4,J416,K416))=K416,L416="",M416="",N416=""),DATE(Übersicht!$B$4,J416,K416),NA()),IF(I416="easterOffsetDays",IF(AND(ISNUMBER(L416),L416=INT(L416),L416&gt;=-366,L416&lt;=366,J416="",K416="",M416="",N416=""),$AD$23+L416,NA()),IF(I416="nthWeekdayOfMonth",IF(AND(ISNUMBER(J416),J416=INT(J416),J416&gt;=1,J416&lt;=12,ISNUMBER(M416),M416=INT(M416),M416&gt;=1,M416&lt;=7,ISNUMBER(N416),N416=INT(N416),N416&gt;=1,N416&lt;=5,MONTH(DATE(Übersicht!$B$4,J416,1)+MOD(M416-WEEKDAY(DATE(Übersicht!$B$4,J416,1),2),7)+7*(N416-1))=J416,K416="",L416=""),DATE(Übersicht!$B$4,J416,1)+MOD(M416-WEEKDAY(DATE(Übersicht!$B$4,J416,1),2),7)+7*(N416-1),NA()),IF(I416="nthWeekdayOffsetDays",IF(AND(ISNUMBER(J416),J416=INT(J416),J416&gt;=1,J416&lt;=12,ISNUMBER(M416),M416=INT(M416),M416&gt;=1,M416&lt;=7,ISNUMBER(N416),N416=INT(N416),N416&gt;=1,N416&lt;=5,MONTH(DATE(Übersicht!$B$4,J416,1)+MOD(M416-WEEKDAY(DATE(Übersicht!$B$4,J416,1),2),7)+7*(N416-1))=J416,K416="",ISNUMBER(L416),L416=INT(L416),L416&gt;=-366,L416&lt;=366),DATE(Übersicht!$B$4,J416,1)+MOD(M416-WEEKDAY(DATE(Übersicht!$B$4,J416,1),2),7)+7*(N416-1)+L416,NA()),NA())))),NA())</f>
        <v>46966</v>
      </c>
      <c r="X416" s="15">
        <f t="shared" si="6"/>
        <v>46966</v>
      </c>
      <c r="Y416" s="11" t="s">
        <v>766</v>
      </c>
      <c r="Z416" s="11" t="s">
        <v>1025</v>
      </c>
      <c r="AA416" s="26" t="s">
        <v>768</v>
      </c>
    </row>
    <row r="417" spans="1:27" ht="44" customHeight="1">
      <c r="A417" s="10" t="s">
        <v>533</v>
      </c>
      <c r="B417" s="10" t="s">
        <v>522</v>
      </c>
      <c r="C417" s="10" t="s">
        <v>1022</v>
      </c>
      <c r="D417" s="24" t="s">
        <v>799</v>
      </c>
      <c r="E417" s="24" t="s">
        <v>800</v>
      </c>
      <c r="F417" s="25" t="s">
        <v>899</v>
      </c>
      <c r="G417" s="25" t="s">
        <v>900</v>
      </c>
      <c r="H417" s="10" t="s">
        <v>761</v>
      </c>
      <c r="I417" s="10" t="s">
        <v>801</v>
      </c>
      <c r="J417" s="28">
        <v>9</v>
      </c>
      <c r="K417" s="28"/>
      <c r="L417" s="24"/>
      <c r="M417" s="24">
        <v>7</v>
      </c>
      <c r="N417" s="24">
        <v>3</v>
      </c>
      <c r="O417" s="29">
        <v>46023</v>
      </c>
      <c r="P417" s="29"/>
      <c r="Q417" s="24">
        <v>100</v>
      </c>
      <c r="R417" s="24" t="s">
        <v>69</v>
      </c>
      <c r="S417" s="10"/>
      <c r="T417" s="10" t="s">
        <v>764</v>
      </c>
      <c r="U417" s="10"/>
      <c r="V417" s="10" t="s">
        <v>824</v>
      </c>
      <c r="W417" s="14">
        <f>IF(AND(ISNUMBER(Übersicht!$B$4),Übersicht!$B$4=INT(Übersicht!$B$4),Übersicht!$B$4&gt;=2026,Übersicht!$B$4&lt;=2028),IF(I417="fixedMonthDay",IF(AND(ISNUMBER(J417),J417=INT(J417),J417&gt;=1,J417&lt;=12,ISNUMBER(K417),K417=INT(K417),K417&gt;=1,K417&lt;=31,MONTH(DATE(Übersicht!$B$4,J417,K417))=J417,DAY(DATE(Übersicht!$B$4,J417,K417))=K417,L417="",M417="",N417=""),DATE(Übersicht!$B$4,J417,K417),NA()),IF(I417="easterOffsetDays",IF(AND(ISNUMBER(L417),L417=INT(L417),L417&gt;=-366,L417&lt;=366,J417="",K417="",M417="",N417=""),$AD$23+L417,NA()),IF(I417="nthWeekdayOfMonth",IF(AND(ISNUMBER(J417),J417=INT(J417),J417&gt;=1,J417&lt;=12,ISNUMBER(M417),M417=INT(M417),M417&gt;=1,M417&lt;=7,ISNUMBER(N417),N417=INT(N417),N417&gt;=1,N417&lt;=5,MONTH(DATE(Übersicht!$B$4,J417,1)+MOD(M417-WEEKDAY(DATE(Übersicht!$B$4,J417,1),2),7)+7*(N417-1))=J417,K417="",L417=""),DATE(Übersicht!$B$4,J417,1)+MOD(M417-WEEKDAY(DATE(Übersicht!$B$4,J417,1),2),7)+7*(N417-1),NA()),IF(I417="nthWeekdayOffsetDays",IF(AND(ISNUMBER(J417),J417=INT(J417),J417&gt;=1,J417&lt;=12,ISNUMBER(M417),M417=INT(M417),M417&gt;=1,M417&lt;=7,ISNUMBER(N417),N417=INT(N417),N417&gt;=1,N417&lt;=5,MONTH(DATE(Übersicht!$B$4,J417,1)+MOD(M417-WEEKDAY(DATE(Übersicht!$B$4,J417,1),2),7)+7*(N417-1))=J417,K417="",ISNUMBER(L417),L417=INT(L417),L417&gt;=-366,L417&lt;=366),DATE(Übersicht!$B$4,J417,1)+MOD(M417-WEEKDAY(DATE(Übersicht!$B$4,J417,1),2),7)+7*(N417-1)+L417,NA()),NA())))),NA())</f>
        <v>47013</v>
      </c>
      <c r="X417" s="14">
        <f t="shared" si="6"/>
        <v>47013</v>
      </c>
      <c r="Y417" s="10" t="s">
        <v>1023</v>
      </c>
      <c r="Z417" s="10" t="s">
        <v>1024</v>
      </c>
      <c r="AA417" s="24" t="s">
        <v>768</v>
      </c>
    </row>
    <row r="418" spans="1:27" ht="44" customHeight="1">
      <c r="A418" s="11" t="s">
        <v>534</v>
      </c>
      <c r="B418" s="11" t="s">
        <v>522</v>
      </c>
      <c r="C418" s="11" t="s">
        <v>1022</v>
      </c>
      <c r="D418" s="26" t="s">
        <v>803</v>
      </c>
      <c r="E418" s="26" t="s">
        <v>804</v>
      </c>
      <c r="F418" s="27" t="s">
        <v>882</v>
      </c>
      <c r="G418" s="27" t="s">
        <v>883</v>
      </c>
      <c r="H418" s="11" t="s">
        <v>761</v>
      </c>
      <c r="I418" s="11" t="s">
        <v>762</v>
      </c>
      <c r="J418" s="30">
        <v>12</v>
      </c>
      <c r="K418" s="30">
        <v>25</v>
      </c>
      <c r="L418" s="26"/>
      <c r="M418" s="26"/>
      <c r="N418" s="26"/>
      <c r="O418" s="31">
        <v>46023</v>
      </c>
      <c r="P418" s="31"/>
      <c r="Q418" s="26">
        <v>100</v>
      </c>
      <c r="R418" s="26" t="s">
        <v>69</v>
      </c>
      <c r="S418" s="11"/>
      <c r="T418" s="11" t="s">
        <v>764</v>
      </c>
      <c r="U418" s="11"/>
      <c r="V418" s="11" t="s">
        <v>824</v>
      </c>
      <c r="W418" s="15">
        <f>IF(AND(ISNUMBER(Übersicht!$B$4),Übersicht!$B$4=INT(Übersicht!$B$4),Übersicht!$B$4&gt;=2026,Übersicht!$B$4&lt;=2028),IF(I418="fixedMonthDay",IF(AND(ISNUMBER(J418),J418=INT(J418),J418&gt;=1,J418&lt;=12,ISNUMBER(K418),K418=INT(K418),K418&gt;=1,K418&lt;=31,MONTH(DATE(Übersicht!$B$4,J418,K418))=J418,DAY(DATE(Übersicht!$B$4,J418,K418))=K418,L418="",M418="",N418=""),DATE(Übersicht!$B$4,J418,K418),NA()),IF(I418="easterOffsetDays",IF(AND(ISNUMBER(L418),L418=INT(L418),L418&gt;=-366,L418&lt;=366,J418="",K418="",M418="",N418=""),$AD$23+L418,NA()),IF(I418="nthWeekdayOfMonth",IF(AND(ISNUMBER(J418),J418=INT(J418),J418&gt;=1,J418&lt;=12,ISNUMBER(M418),M418=INT(M418),M418&gt;=1,M418&lt;=7,ISNUMBER(N418),N418=INT(N418),N418&gt;=1,N418&lt;=5,MONTH(DATE(Übersicht!$B$4,J418,1)+MOD(M418-WEEKDAY(DATE(Übersicht!$B$4,J418,1),2),7)+7*(N418-1))=J418,K418="",L418=""),DATE(Übersicht!$B$4,J418,1)+MOD(M418-WEEKDAY(DATE(Übersicht!$B$4,J418,1),2),7)+7*(N418-1),NA()),IF(I418="nthWeekdayOffsetDays",IF(AND(ISNUMBER(J418),J418=INT(J418),J418&gt;=1,J418&lt;=12,ISNUMBER(M418),M418=INT(M418),M418&gt;=1,M418&lt;=7,ISNUMBER(N418),N418=INT(N418),N418&gt;=1,N418&lt;=5,MONTH(DATE(Übersicht!$B$4,J418,1)+MOD(M418-WEEKDAY(DATE(Übersicht!$B$4,J418,1),2),7)+7*(N418-1))=J418,K418="",ISNUMBER(L418),L418=INT(L418),L418&gt;=-366,L418&lt;=366),DATE(Übersicht!$B$4,J418,1)+MOD(M418-WEEKDAY(DATE(Übersicht!$B$4,J418,1),2),7)+7*(N418-1)+L418,NA()),NA())))),NA())</f>
        <v>47112</v>
      </c>
      <c r="X418" s="15">
        <f t="shared" si="6"/>
        <v>47112</v>
      </c>
      <c r="Y418" s="11" t="s">
        <v>1023</v>
      </c>
      <c r="Z418" s="11" t="s">
        <v>1024</v>
      </c>
      <c r="AA418" s="26" t="s">
        <v>768</v>
      </c>
    </row>
    <row r="419" spans="1:27" ht="44" customHeight="1">
      <c r="A419" s="10" t="s">
        <v>535</v>
      </c>
      <c r="B419" s="10" t="s">
        <v>522</v>
      </c>
      <c r="C419" s="10" t="s">
        <v>1022</v>
      </c>
      <c r="D419" s="24" t="s">
        <v>806</v>
      </c>
      <c r="E419" s="24" t="s">
        <v>807</v>
      </c>
      <c r="F419" s="25" t="s">
        <v>884</v>
      </c>
      <c r="G419" s="25" t="s">
        <v>885</v>
      </c>
      <c r="H419" s="10" t="s">
        <v>761</v>
      </c>
      <c r="I419" s="10" t="s">
        <v>762</v>
      </c>
      <c r="J419" s="28">
        <v>12</v>
      </c>
      <c r="K419" s="28">
        <v>26</v>
      </c>
      <c r="L419" s="24"/>
      <c r="M419" s="24"/>
      <c r="N419" s="24"/>
      <c r="O419" s="29">
        <v>46023</v>
      </c>
      <c r="P419" s="29"/>
      <c r="Q419" s="24">
        <v>100</v>
      </c>
      <c r="R419" s="24" t="s">
        <v>69</v>
      </c>
      <c r="S419" s="10"/>
      <c r="T419" s="10" t="s">
        <v>764</v>
      </c>
      <c r="U419" s="10"/>
      <c r="V419" s="10" t="s">
        <v>824</v>
      </c>
      <c r="W419" s="14">
        <f>IF(AND(ISNUMBER(Übersicht!$B$4),Übersicht!$B$4=INT(Übersicht!$B$4),Übersicht!$B$4&gt;=2026,Übersicht!$B$4&lt;=2028),IF(I419="fixedMonthDay",IF(AND(ISNUMBER(J419),J419=INT(J419),J419&gt;=1,J419&lt;=12,ISNUMBER(K419),K419=INT(K419),K419&gt;=1,K419&lt;=31,MONTH(DATE(Übersicht!$B$4,J419,K419))=J419,DAY(DATE(Übersicht!$B$4,J419,K419))=K419,L419="",M419="",N419=""),DATE(Übersicht!$B$4,J419,K419),NA()),IF(I419="easterOffsetDays",IF(AND(ISNUMBER(L419),L419=INT(L419),L419&gt;=-366,L419&lt;=366,J419="",K419="",M419="",N419=""),$AD$23+L419,NA()),IF(I419="nthWeekdayOfMonth",IF(AND(ISNUMBER(J419),J419=INT(J419),J419&gt;=1,J419&lt;=12,ISNUMBER(M419),M419=INT(M419),M419&gt;=1,M419&lt;=7,ISNUMBER(N419),N419=INT(N419),N419&gt;=1,N419&lt;=5,MONTH(DATE(Übersicht!$B$4,J419,1)+MOD(M419-WEEKDAY(DATE(Übersicht!$B$4,J419,1),2),7)+7*(N419-1))=J419,K419="",L419=""),DATE(Übersicht!$B$4,J419,1)+MOD(M419-WEEKDAY(DATE(Übersicht!$B$4,J419,1),2),7)+7*(N419-1),NA()),IF(I419="nthWeekdayOffsetDays",IF(AND(ISNUMBER(J419),J419=INT(J419),J419&gt;=1,J419&lt;=12,ISNUMBER(M419),M419=INT(M419),M419&gt;=1,M419&lt;=7,ISNUMBER(N419),N419=INT(N419),N419&gt;=1,N419&lt;=5,MONTH(DATE(Übersicht!$B$4,J419,1)+MOD(M419-WEEKDAY(DATE(Übersicht!$B$4,J419,1),2),7)+7*(N419-1))=J419,K419="",ISNUMBER(L419),L419=INT(L419),L419&gt;=-366,L419&lt;=366),DATE(Übersicht!$B$4,J419,1)+MOD(M419-WEEKDAY(DATE(Übersicht!$B$4,J419,1),2),7)+7*(N419-1)+L419,NA()),NA())))),NA())</f>
        <v>47113</v>
      </c>
      <c r="X419" s="14">
        <f t="shared" si="6"/>
        <v>47113</v>
      </c>
      <c r="Y419" s="10" t="s">
        <v>1023</v>
      </c>
      <c r="Z419" s="10" t="s">
        <v>1024</v>
      </c>
      <c r="AA419" s="24" t="s">
        <v>768</v>
      </c>
    </row>
    <row r="420" spans="1:27" ht="44" customHeight="1">
      <c r="A420" s="11" t="s">
        <v>538</v>
      </c>
      <c r="B420" s="11" t="s">
        <v>536</v>
      </c>
      <c r="C420" s="11" t="s">
        <v>1026</v>
      </c>
      <c r="D420" s="26" t="s">
        <v>771</v>
      </c>
      <c r="E420" s="26" t="s">
        <v>772</v>
      </c>
      <c r="F420" s="27" t="s">
        <v>849</v>
      </c>
      <c r="G420" s="27" t="s">
        <v>850</v>
      </c>
      <c r="H420" s="11" t="s">
        <v>761</v>
      </c>
      <c r="I420" s="11" t="s">
        <v>762</v>
      </c>
      <c r="J420" s="30">
        <v>1</v>
      </c>
      <c r="K420" s="30">
        <v>1</v>
      </c>
      <c r="L420" s="26"/>
      <c r="M420" s="26"/>
      <c r="N420" s="26"/>
      <c r="O420" s="31">
        <v>46023</v>
      </c>
      <c r="P420" s="31"/>
      <c r="Q420" s="26">
        <v>100</v>
      </c>
      <c r="R420" s="26" t="s">
        <v>69</v>
      </c>
      <c r="S420" s="11"/>
      <c r="T420" s="11" t="s">
        <v>764</v>
      </c>
      <c r="U420" s="11"/>
      <c r="V420" s="11" t="s">
        <v>824</v>
      </c>
      <c r="W420" s="15">
        <f>IF(AND(ISNUMBER(Übersicht!$B$4),Übersicht!$B$4=INT(Übersicht!$B$4),Übersicht!$B$4&gt;=2026,Übersicht!$B$4&lt;=2028),IF(I420="fixedMonthDay",IF(AND(ISNUMBER(J420),J420=INT(J420),J420&gt;=1,J420&lt;=12,ISNUMBER(K420),K420=INT(K420),K420&gt;=1,K420&lt;=31,MONTH(DATE(Übersicht!$B$4,J420,K420))=J420,DAY(DATE(Übersicht!$B$4,J420,K420))=K420,L420="",M420="",N420=""),DATE(Übersicht!$B$4,J420,K420),NA()),IF(I420="easterOffsetDays",IF(AND(ISNUMBER(L420),L420=INT(L420),L420&gt;=-366,L420&lt;=366,J420="",K420="",M420="",N420=""),$AD$23+L420,NA()),IF(I420="nthWeekdayOfMonth",IF(AND(ISNUMBER(J420),J420=INT(J420),J420&gt;=1,J420&lt;=12,ISNUMBER(M420),M420=INT(M420),M420&gt;=1,M420&lt;=7,ISNUMBER(N420),N420=INT(N420),N420&gt;=1,N420&lt;=5,MONTH(DATE(Übersicht!$B$4,J420,1)+MOD(M420-WEEKDAY(DATE(Übersicht!$B$4,J420,1),2),7)+7*(N420-1))=J420,K420="",L420=""),DATE(Übersicht!$B$4,J420,1)+MOD(M420-WEEKDAY(DATE(Übersicht!$B$4,J420,1),2),7)+7*(N420-1),NA()),IF(I420="nthWeekdayOffsetDays",IF(AND(ISNUMBER(J420),J420=INT(J420),J420&gt;=1,J420&lt;=12,ISNUMBER(M420),M420=INT(M420),M420&gt;=1,M420&lt;=7,ISNUMBER(N420),N420=INT(N420),N420&gt;=1,N420&lt;=5,MONTH(DATE(Übersicht!$B$4,J420,1)+MOD(M420-WEEKDAY(DATE(Übersicht!$B$4,J420,1),2),7)+7*(N420-1))=J420,K420="",ISNUMBER(L420),L420=INT(L420),L420&gt;=-366,L420&lt;=366),DATE(Übersicht!$B$4,J420,1)+MOD(M420-WEEKDAY(DATE(Übersicht!$B$4,J420,1),2),7)+7*(N420-1)+L420,NA()),NA())))),NA())</f>
        <v>46753</v>
      </c>
      <c r="X420" s="15">
        <f t="shared" si="6"/>
        <v>46753</v>
      </c>
      <c r="Y420" s="11" t="s">
        <v>1027</v>
      </c>
      <c r="Z420" s="11" t="s">
        <v>1028</v>
      </c>
      <c r="AA420" s="26" t="s">
        <v>768</v>
      </c>
    </row>
    <row r="421" spans="1:27" ht="44" customHeight="1">
      <c r="A421" s="10" t="s">
        <v>539</v>
      </c>
      <c r="B421" s="10" t="s">
        <v>536</v>
      </c>
      <c r="C421" s="10" t="s">
        <v>1026</v>
      </c>
      <c r="D421" s="24" t="s">
        <v>779</v>
      </c>
      <c r="E421" s="24" t="s">
        <v>780</v>
      </c>
      <c r="F421" s="25" t="s">
        <v>889</v>
      </c>
      <c r="G421" s="25" t="s">
        <v>890</v>
      </c>
      <c r="H421" s="10" t="s">
        <v>761</v>
      </c>
      <c r="I421" s="10" t="s">
        <v>781</v>
      </c>
      <c r="J421" s="28"/>
      <c r="K421" s="28"/>
      <c r="L421" s="24">
        <v>-2</v>
      </c>
      <c r="M421" s="24"/>
      <c r="N421" s="24"/>
      <c r="O421" s="29">
        <v>46023</v>
      </c>
      <c r="P421" s="29"/>
      <c r="Q421" s="24">
        <v>100</v>
      </c>
      <c r="R421" s="24" t="s">
        <v>69</v>
      </c>
      <c r="S421" s="10"/>
      <c r="T421" s="10" t="s">
        <v>764</v>
      </c>
      <c r="U421" s="10"/>
      <c r="V421" s="10" t="s">
        <v>824</v>
      </c>
      <c r="W421" s="14">
        <f>IF(AND(ISNUMBER(Übersicht!$B$4),Übersicht!$B$4=INT(Übersicht!$B$4),Übersicht!$B$4&gt;=2026,Übersicht!$B$4&lt;=2028),IF(I421="fixedMonthDay",IF(AND(ISNUMBER(J421),J421=INT(J421),J421&gt;=1,J421&lt;=12,ISNUMBER(K421),K421=INT(K421),K421&gt;=1,K421&lt;=31,MONTH(DATE(Übersicht!$B$4,J421,K421))=J421,DAY(DATE(Übersicht!$B$4,J421,K421))=K421,L421="",M421="",N421=""),DATE(Übersicht!$B$4,J421,K421),NA()),IF(I421="easterOffsetDays",IF(AND(ISNUMBER(L421),L421=INT(L421),L421&gt;=-366,L421&lt;=366,J421="",K421="",M421="",N421=""),$AD$23+L421,NA()),IF(I421="nthWeekdayOfMonth",IF(AND(ISNUMBER(J421),J421=INT(J421),J421&gt;=1,J421&lt;=12,ISNUMBER(M421),M421=INT(M421),M421&gt;=1,M421&lt;=7,ISNUMBER(N421),N421=INT(N421),N421&gt;=1,N421&lt;=5,MONTH(DATE(Übersicht!$B$4,J421,1)+MOD(M421-WEEKDAY(DATE(Übersicht!$B$4,J421,1),2),7)+7*(N421-1))=J421,K421="",L421=""),DATE(Übersicht!$B$4,J421,1)+MOD(M421-WEEKDAY(DATE(Übersicht!$B$4,J421,1),2),7)+7*(N421-1),NA()),IF(I421="nthWeekdayOffsetDays",IF(AND(ISNUMBER(J421),J421=INT(J421),J421&gt;=1,J421&lt;=12,ISNUMBER(M421),M421=INT(M421),M421&gt;=1,M421&lt;=7,ISNUMBER(N421),N421=INT(N421),N421&gt;=1,N421&lt;=5,MONTH(DATE(Übersicht!$B$4,J421,1)+MOD(M421-WEEKDAY(DATE(Übersicht!$B$4,J421,1),2),7)+7*(N421-1))=J421,K421="",ISNUMBER(L421),L421=INT(L421),L421&gt;=-366,L421&lt;=366),DATE(Übersicht!$B$4,J421,1)+MOD(M421-WEEKDAY(DATE(Übersicht!$B$4,J421,1),2),7)+7*(N421-1)+L421,NA()),NA())))),NA())</f>
        <v>46857</v>
      </c>
      <c r="X421" s="14">
        <f t="shared" si="6"/>
        <v>46857</v>
      </c>
      <c r="Y421" s="10" t="s">
        <v>1027</v>
      </c>
      <c r="Z421" s="10" t="s">
        <v>1028</v>
      </c>
      <c r="AA421" s="24" t="s">
        <v>768</v>
      </c>
    </row>
    <row r="422" spans="1:27" ht="44" customHeight="1">
      <c r="A422" s="11" t="s">
        <v>540</v>
      </c>
      <c r="B422" s="11" t="s">
        <v>536</v>
      </c>
      <c r="C422" s="11" t="s">
        <v>1026</v>
      </c>
      <c r="D422" s="26" t="s">
        <v>784</v>
      </c>
      <c r="E422" s="26" t="s">
        <v>785</v>
      </c>
      <c r="F422" s="27" t="s">
        <v>892</v>
      </c>
      <c r="G422" s="27" t="s">
        <v>893</v>
      </c>
      <c r="H422" s="11" t="s">
        <v>761</v>
      </c>
      <c r="I422" s="11" t="s">
        <v>781</v>
      </c>
      <c r="J422" s="30"/>
      <c r="K422" s="30"/>
      <c r="L422" s="26">
        <v>0</v>
      </c>
      <c r="M422" s="26"/>
      <c r="N422" s="26"/>
      <c r="O422" s="31">
        <v>46023</v>
      </c>
      <c r="P422" s="31"/>
      <c r="Q422" s="26">
        <v>100</v>
      </c>
      <c r="R422" s="26" t="s">
        <v>69</v>
      </c>
      <c r="S422" s="11"/>
      <c r="T422" s="11" t="s">
        <v>764</v>
      </c>
      <c r="U422" s="11"/>
      <c r="V422" s="11" t="s">
        <v>824</v>
      </c>
      <c r="W422" s="15">
        <f>IF(AND(ISNUMBER(Übersicht!$B$4),Übersicht!$B$4=INT(Übersicht!$B$4),Übersicht!$B$4&gt;=2026,Übersicht!$B$4&lt;=2028),IF(I422="fixedMonthDay",IF(AND(ISNUMBER(J422),J422=INT(J422),J422&gt;=1,J422&lt;=12,ISNUMBER(K422),K422=INT(K422),K422&gt;=1,K422&lt;=31,MONTH(DATE(Übersicht!$B$4,J422,K422))=J422,DAY(DATE(Übersicht!$B$4,J422,K422))=K422,L422="",M422="",N422=""),DATE(Übersicht!$B$4,J422,K422),NA()),IF(I422="easterOffsetDays",IF(AND(ISNUMBER(L422),L422=INT(L422),L422&gt;=-366,L422&lt;=366,J422="",K422="",M422="",N422=""),$AD$23+L422,NA()),IF(I422="nthWeekdayOfMonth",IF(AND(ISNUMBER(J422),J422=INT(J422),J422&gt;=1,J422&lt;=12,ISNUMBER(M422),M422=INT(M422),M422&gt;=1,M422&lt;=7,ISNUMBER(N422),N422=INT(N422),N422&gt;=1,N422&lt;=5,MONTH(DATE(Übersicht!$B$4,J422,1)+MOD(M422-WEEKDAY(DATE(Übersicht!$B$4,J422,1),2),7)+7*(N422-1))=J422,K422="",L422=""),DATE(Übersicht!$B$4,J422,1)+MOD(M422-WEEKDAY(DATE(Übersicht!$B$4,J422,1),2),7)+7*(N422-1),NA()),IF(I422="nthWeekdayOffsetDays",IF(AND(ISNUMBER(J422),J422=INT(J422),J422&gt;=1,J422&lt;=12,ISNUMBER(M422),M422=INT(M422),M422&gt;=1,M422&lt;=7,ISNUMBER(N422),N422=INT(N422),N422&gt;=1,N422&lt;=5,MONTH(DATE(Übersicht!$B$4,J422,1)+MOD(M422-WEEKDAY(DATE(Übersicht!$B$4,J422,1),2),7)+7*(N422-1))=J422,K422="",ISNUMBER(L422),L422=INT(L422),L422&gt;=-366,L422&lt;=366),DATE(Übersicht!$B$4,J422,1)+MOD(M422-WEEKDAY(DATE(Übersicht!$B$4,J422,1),2),7)+7*(N422-1)+L422,NA()),NA())))),NA())</f>
        <v>46859</v>
      </c>
      <c r="X422" s="15">
        <f t="shared" si="6"/>
        <v>46859</v>
      </c>
      <c r="Y422" s="11" t="s">
        <v>1027</v>
      </c>
      <c r="Z422" s="11" t="s">
        <v>1028</v>
      </c>
      <c r="AA422" s="26" t="s">
        <v>768</v>
      </c>
    </row>
    <row r="423" spans="1:27" ht="44" customHeight="1">
      <c r="A423" s="10" t="s">
        <v>541</v>
      </c>
      <c r="B423" s="10" t="s">
        <v>536</v>
      </c>
      <c r="C423" s="10" t="s">
        <v>1026</v>
      </c>
      <c r="D423" s="24" t="s">
        <v>787</v>
      </c>
      <c r="E423" s="24" t="s">
        <v>788</v>
      </c>
      <c r="F423" s="25" t="s">
        <v>860</v>
      </c>
      <c r="G423" s="25" t="s">
        <v>861</v>
      </c>
      <c r="H423" s="10" t="s">
        <v>761</v>
      </c>
      <c r="I423" s="10" t="s">
        <v>781</v>
      </c>
      <c r="J423" s="28"/>
      <c r="K423" s="28"/>
      <c r="L423" s="24">
        <v>1</v>
      </c>
      <c r="M423" s="24"/>
      <c r="N423" s="24"/>
      <c r="O423" s="29">
        <v>46023</v>
      </c>
      <c r="P423" s="29"/>
      <c r="Q423" s="24">
        <v>100</v>
      </c>
      <c r="R423" s="24" t="s">
        <v>69</v>
      </c>
      <c r="S423" s="10"/>
      <c r="T423" s="10" t="s">
        <v>764</v>
      </c>
      <c r="U423" s="10"/>
      <c r="V423" s="10" t="s">
        <v>824</v>
      </c>
      <c r="W423" s="14">
        <f>IF(AND(ISNUMBER(Übersicht!$B$4),Übersicht!$B$4=INT(Übersicht!$B$4),Übersicht!$B$4&gt;=2026,Übersicht!$B$4&lt;=2028),IF(I423="fixedMonthDay",IF(AND(ISNUMBER(J423),J423=INT(J423),J423&gt;=1,J423&lt;=12,ISNUMBER(K423),K423=INT(K423),K423&gt;=1,K423&lt;=31,MONTH(DATE(Übersicht!$B$4,J423,K423))=J423,DAY(DATE(Übersicht!$B$4,J423,K423))=K423,L423="",M423="",N423=""),DATE(Übersicht!$B$4,J423,K423),NA()),IF(I423="easterOffsetDays",IF(AND(ISNUMBER(L423),L423=INT(L423),L423&gt;=-366,L423&lt;=366,J423="",K423="",M423="",N423=""),$AD$23+L423,NA()),IF(I423="nthWeekdayOfMonth",IF(AND(ISNUMBER(J423),J423=INT(J423),J423&gt;=1,J423&lt;=12,ISNUMBER(M423),M423=INT(M423),M423&gt;=1,M423&lt;=7,ISNUMBER(N423),N423=INT(N423),N423&gt;=1,N423&lt;=5,MONTH(DATE(Übersicht!$B$4,J423,1)+MOD(M423-WEEKDAY(DATE(Übersicht!$B$4,J423,1),2),7)+7*(N423-1))=J423,K423="",L423=""),DATE(Übersicht!$B$4,J423,1)+MOD(M423-WEEKDAY(DATE(Übersicht!$B$4,J423,1),2),7)+7*(N423-1),NA()),IF(I423="nthWeekdayOffsetDays",IF(AND(ISNUMBER(J423),J423=INT(J423),J423&gt;=1,J423&lt;=12,ISNUMBER(M423),M423=INT(M423),M423&gt;=1,M423&lt;=7,ISNUMBER(N423),N423=INT(N423),N423&gt;=1,N423&lt;=5,MONTH(DATE(Übersicht!$B$4,J423,1)+MOD(M423-WEEKDAY(DATE(Übersicht!$B$4,J423,1),2),7)+7*(N423-1))=J423,K423="",ISNUMBER(L423),L423=INT(L423),L423&gt;=-366,L423&lt;=366),DATE(Übersicht!$B$4,J423,1)+MOD(M423-WEEKDAY(DATE(Übersicht!$B$4,J423,1),2),7)+7*(N423-1)+L423,NA()),NA())))),NA())</f>
        <v>46860</v>
      </c>
      <c r="X423" s="14">
        <f t="shared" si="6"/>
        <v>46860</v>
      </c>
      <c r="Y423" s="10" t="s">
        <v>1027</v>
      </c>
      <c r="Z423" s="10" t="s">
        <v>1028</v>
      </c>
      <c r="AA423" s="24" t="s">
        <v>768</v>
      </c>
    </row>
    <row r="424" spans="1:27" ht="44" customHeight="1">
      <c r="A424" s="11" t="s">
        <v>542</v>
      </c>
      <c r="B424" s="11" t="s">
        <v>536</v>
      </c>
      <c r="C424" s="11" t="s">
        <v>1026</v>
      </c>
      <c r="D424" s="26" t="s">
        <v>846</v>
      </c>
      <c r="E424" s="26" t="s">
        <v>847</v>
      </c>
      <c r="F424" s="27" t="s">
        <v>862</v>
      </c>
      <c r="G424" s="27" t="s">
        <v>863</v>
      </c>
      <c r="H424" s="11" t="s">
        <v>761</v>
      </c>
      <c r="I424" s="11" t="s">
        <v>762</v>
      </c>
      <c r="J424" s="30">
        <v>5</v>
      </c>
      <c r="K424" s="30">
        <v>1</v>
      </c>
      <c r="L424" s="26"/>
      <c r="M424" s="26"/>
      <c r="N424" s="26"/>
      <c r="O424" s="31">
        <v>46023</v>
      </c>
      <c r="P424" s="31"/>
      <c r="Q424" s="26">
        <v>100</v>
      </c>
      <c r="R424" s="26" t="s">
        <v>69</v>
      </c>
      <c r="S424" s="11"/>
      <c r="T424" s="11" t="s">
        <v>764</v>
      </c>
      <c r="U424" s="11"/>
      <c r="V424" s="11" t="s">
        <v>824</v>
      </c>
      <c r="W424" s="15">
        <f>IF(AND(ISNUMBER(Übersicht!$B$4),Übersicht!$B$4=INT(Übersicht!$B$4),Übersicht!$B$4&gt;=2026,Übersicht!$B$4&lt;=2028),IF(I424="fixedMonthDay",IF(AND(ISNUMBER(J424),J424=INT(J424),J424&gt;=1,J424&lt;=12,ISNUMBER(K424),K424=INT(K424),K424&gt;=1,K424&lt;=31,MONTH(DATE(Übersicht!$B$4,J424,K424))=J424,DAY(DATE(Übersicht!$B$4,J424,K424))=K424,L424="",M424="",N424=""),DATE(Übersicht!$B$4,J424,K424),NA()),IF(I424="easterOffsetDays",IF(AND(ISNUMBER(L424),L424=INT(L424),L424&gt;=-366,L424&lt;=366,J424="",K424="",M424="",N424=""),$AD$23+L424,NA()),IF(I424="nthWeekdayOfMonth",IF(AND(ISNUMBER(J424),J424=INT(J424),J424&gt;=1,J424&lt;=12,ISNUMBER(M424),M424=INT(M424),M424&gt;=1,M424&lt;=7,ISNUMBER(N424),N424=INT(N424),N424&gt;=1,N424&lt;=5,MONTH(DATE(Übersicht!$B$4,J424,1)+MOD(M424-WEEKDAY(DATE(Übersicht!$B$4,J424,1),2),7)+7*(N424-1))=J424,K424="",L424=""),DATE(Übersicht!$B$4,J424,1)+MOD(M424-WEEKDAY(DATE(Übersicht!$B$4,J424,1),2),7)+7*(N424-1),NA()),IF(I424="nthWeekdayOffsetDays",IF(AND(ISNUMBER(J424),J424=INT(J424),J424&gt;=1,J424&lt;=12,ISNUMBER(M424),M424=INT(M424),M424&gt;=1,M424&lt;=7,ISNUMBER(N424),N424=INT(N424),N424&gt;=1,N424&lt;=5,MONTH(DATE(Übersicht!$B$4,J424,1)+MOD(M424-WEEKDAY(DATE(Übersicht!$B$4,J424,1),2),7)+7*(N424-1))=J424,K424="",ISNUMBER(L424),L424=INT(L424),L424&gt;=-366,L424&lt;=366),DATE(Übersicht!$B$4,J424,1)+MOD(M424-WEEKDAY(DATE(Übersicht!$B$4,J424,1),2),7)+7*(N424-1)+L424,NA()),NA())))),NA())</f>
        <v>46874</v>
      </c>
      <c r="X424" s="15">
        <f t="shared" si="6"/>
        <v>46874</v>
      </c>
      <c r="Y424" s="11" t="s">
        <v>1027</v>
      </c>
      <c r="Z424" s="11" t="s">
        <v>1028</v>
      </c>
      <c r="AA424" s="26" t="s">
        <v>768</v>
      </c>
    </row>
    <row r="425" spans="1:27" ht="44" customHeight="1">
      <c r="A425" s="10" t="s">
        <v>543</v>
      </c>
      <c r="B425" s="10" t="s">
        <v>536</v>
      </c>
      <c r="C425" s="10" t="s">
        <v>1026</v>
      </c>
      <c r="D425" s="24" t="s">
        <v>790</v>
      </c>
      <c r="E425" s="24" t="s">
        <v>791</v>
      </c>
      <c r="F425" s="25" t="s">
        <v>864</v>
      </c>
      <c r="G425" s="25" t="s">
        <v>865</v>
      </c>
      <c r="H425" s="10" t="s">
        <v>761</v>
      </c>
      <c r="I425" s="10" t="s">
        <v>781</v>
      </c>
      <c r="J425" s="28"/>
      <c r="K425" s="28"/>
      <c r="L425" s="24">
        <v>39</v>
      </c>
      <c r="M425" s="24"/>
      <c r="N425" s="24"/>
      <c r="O425" s="29">
        <v>46023</v>
      </c>
      <c r="P425" s="29"/>
      <c r="Q425" s="24">
        <v>100</v>
      </c>
      <c r="R425" s="24" t="s">
        <v>69</v>
      </c>
      <c r="S425" s="10"/>
      <c r="T425" s="10" t="s">
        <v>764</v>
      </c>
      <c r="U425" s="10"/>
      <c r="V425" s="10" t="s">
        <v>824</v>
      </c>
      <c r="W425" s="14">
        <f>IF(AND(ISNUMBER(Übersicht!$B$4),Übersicht!$B$4=INT(Übersicht!$B$4),Übersicht!$B$4&gt;=2026,Übersicht!$B$4&lt;=2028),IF(I425="fixedMonthDay",IF(AND(ISNUMBER(J425),J425=INT(J425),J425&gt;=1,J425&lt;=12,ISNUMBER(K425),K425=INT(K425),K425&gt;=1,K425&lt;=31,MONTH(DATE(Übersicht!$B$4,J425,K425))=J425,DAY(DATE(Übersicht!$B$4,J425,K425))=K425,L425="",M425="",N425=""),DATE(Übersicht!$B$4,J425,K425),NA()),IF(I425="easterOffsetDays",IF(AND(ISNUMBER(L425),L425=INT(L425),L425&gt;=-366,L425&lt;=366,J425="",K425="",M425="",N425=""),$AD$23+L425,NA()),IF(I425="nthWeekdayOfMonth",IF(AND(ISNUMBER(J425),J425=INT(J425),J425&gt;=1,J425&lt;=12,ISNUMBER(M425),M425=INT(M425),M425&gt;=1,M425&lt;=7,ISNUMBER(N425),N425=INT(N425),N425&gt;=1,N425&lt;=5,MONTH(DATE(Übersicht!$B$4,J425,1)+MOD(M425-WEEKDAY(DATE(Übersicht!$B$4,J425,1),2),7)+7*(N425-1))=J425,K425="",L425=""),DATE(Übersicht!$B$4,J425,1)+MOD(M425-WEEKDAY(DATE(Übersicht!$B$4,J425,1),2),7)+7*(N425-1),NA()),IF(I425="nthWeekdayOffsetDays",IF(AND(ISNUMBER(J425),J425=INT(J425),J425&gt;=1,J425&lt;=12,ISNUMBER(M425),M425=INT(M425),M425&gt;=1,M425&lt;=7,ISNUMBER(N425),N425=INT(N425),N425&gt;=1,N425&lt;=5,MONTH(DATE(Übersicht!$B$4,J425,1)+MOD(M425-WEEKDAY(DATE(Übersicht!$B$4,J425,1),2),7)+7*(N425-1))=J425,K425="",ISNUMBER(L425),L425=INT(L425),L425&gt;=-366,L425&lt;=366),DATE(Übersicht!$B$4,J425,1)+MOD(M425-WEEKDAY(DATE(Übersicht!$B$4,J425,1),2),7)+7*(N425-1)+L425,NA()),NA())))),NA())</f>
        <v>46898</v>
      </c>
      <c r="X425" s="14">
        <f t="shared" si="6"/>
        <v>46898</v>
      </c>
      <c r="Y425" s="10" t="s">
        <v>1027</v>
      </c>
      <c r="Z425" s="10" t="s">
        <v>1028</v>
      </c>
      <c r="AA425" s="24" t="s">
        <v>768</v>
      </c>
    </row>
    <row r="426" spans="1:27" ht="44" customHeight="1">
      <c r="A426" s="11" t="s">
        <v>544</v>
      </c>
      <c r="B426" s="11" t="s">
        <v>536</v>
      </c>
      <c r="C426" s="11" t="s">
        <v>1026</v>
      </c>
      <c r="D426" s="26" t="s">
        <v>793</v>
      </c>
      <c r="E426" s="26" t="s">
        <v>794</v>
      </c>
      <c r="F426" s="27" t="s">
        <v>896</v>
      </c>
      <c r="G426" s="27" t="s">
        <v>897</v>
      </c>
      <c r="H426" s="11" t="s">
        <v>761</v>
      </c>
      <c r="I426" s="11" t="s">
        <v>781</v>
      </c>
      <c r="J426" s="30"/>
      <c r="K426" s="30"/>
      <c r="L426" s="26">
        <v>49</v>
      </c>
      <c r="M426" s="26"/>
      <c r="N426" s="26"/>
      <c r="O426" s="31">
        <v>46023</v>
      </c>
      <c r="P426" s="31"/>
      <c r="Q426" s="26">
        <v>100</v>
      </c>
      <c r="R426" s="26" t="s">
        <v>69</v>
      </c>
      <c r="S426" s="11"/>
      <c r="T426" s="11" t="s">
        <v>764</v>
      </c>
      <c r="U426" s="11"/>
      <c r="V426" s="11" t="s">
        <v>824</v>
      </c>
      <c r="W426" s="15">
        <f>IF(AND(ISNUMBER(Übersicht!$B$4),Übersicht!$B$4=INT(Übersicht!$B$4),Übersicht!$B$4&gt;=2026,Übersicht!$B$4&lt;=2028),IF(I426="fixedMonthDay",IF(AND(ISNUMBER(J426),J426=INT(J426),J426&gt;=1,J426&lt;=12,ISNUMBER(K426),K426=INT(K426),K426&gt;=1,K426&lt;=31,MONTH(DATE(Übersicht!$B$4,J426,K426))=J426,DAY(DATE(Übersicht!$B$4,J426,K426))=K426,L426="",M426="",N426=""),DATE(Übersicht!$B$4,J426,K426),NA()),IF(I426="easterOffsetDays",IF(AND(ISNUMBER(L426),L426=INT(L426),L426&gt;=-366,L426&lt;=366,J426="",K426="",M426="",N426=""),$AD$23+L426,NA()),IF(I426="nthWeekdayOfMonth",IF(AND(ISNUMBER(J426),J426=INT(J426),J426&gt;=1,J426&lt;=12,ISNUMBER(M426),M426=INT(M426),M426&gt;=1,M426&lt;=7,ISNUMBER(N426),N426=INT(N426),N426&gt;=1,N426&lt;=5,MONTH(DATE(Übersicht!$B$4,J426,1)+MOD(M426-WEEKDAY(DATE(Übersicht!$B$4,J426,1),2),7)+7*(N426-1))=J426,K426="",L426=""),DATE(Übersicht!$B$4,J426,1)+MOD(M426-WEEKDAY(DATE(Übersicht!$B$4,J426,1),2),7)+7*(N426-1),NA()),IF(I426="nthWeekdayOffsetDays",IF(AND(ISNUMBER(J426),J426=INT(J426),J426&gt;=1,J426&lt;=12,ISNUMBER(M426),M426=INT(M426),M426&gt;=1,M426&lt;=7,ISNUMBER(N426),N426=INT(N426),N426&gt;=1,N426&lt;=5,MONTH(DATE(Übersicht!$B$4,J426,1)+MOD(M426-WEEKDAY(DATE(Übersicht!$B$4,J426,1),2),7)+7*(N426-1))=J426,K426="",ISNUMBER(L426),L426=INT(L426),L426&gt;=-366,L426&lt;=366),DATE(Übersicht!$B$4,J426,1)+MOD(M426-WEEKDAY(DATE(Übersicht!$B$4,J426,1),2),7)+7*(N426-1)+L426,NA()),NA())))),NA())</f>
        <v>46908</v>
      </c>
      <c r="X426" s="15">
        <f t="shared" si="6"/>
        <v>46908</v>
      </c>
      <c r="Y426" s="11" t="s">
        <v>1027</v>
      </c>
      <c r="Z426" s="11" t="s">
        <v>1028</v>
      </c>
      <c r="AA426" s="26" t="s">
        <v>768</v>
      </c>
    </row>
    <row r="427" spans="1:27" ht="44" customHeight="1">
      <c r="A427" s="10" t="s">
        <v>545</v>
      </c>
      <c r="B427" s="10" t="s">
        <v>536</v>
      </c>
      <c r="C427" s="10" t="s">
        <v>1026</v>
      </c>
      <c r="D427" s="24" t="s">
        <v>796</v>
      </c>
      <c r="E427" s="24" t="s">
        <v>797</v>
      </c>
      <c r="F427" s="25" t="s">
        <v>866</v>
      </c>
      <c r="G427" s="25" t="s">
        <v>867</v>
      </c>
      <c r="H427" s="10" t="s">
        <v>761</v>
      </c>
      <c r="I427" s="10" t="s">
        <v>781</v>
      </c>
      <c r="J427" s="28"/>
      <c r="K427" s="28"/>
      <c r="L427" s="24">
        <v>50</v>
      </c>
      <c r="M427" s="24"/>
      <c r="N427" s="24"/>
      <c r="O427" s="29">
        <v>46023</v>
      </c>
      <c r="P427" s="29"/>
      <c r="Q427" s="24">
        <v>100</v>
      </c>
      <c r="R427" s="24" t="s">
        <v>69</v>
      </c>
      <c r="S427" s="10"/>
      <c r="T427" s="10" t="s">
        <v>764</v>
      </c>
      <c r="U427" s="10"/>
      <c r="V427" s="10" t="s">
        <v>824</v>
      </c>
      <c r="W427" s="14">
        <f>IF(AND(ISNUMBER(Übersicht!$B$4),Übersicht!$B$4=INT(Übersicht!$B$4),Übersicht!$B$4&gt;=2026,Übersicht!$B$4&lt;=2028),IF(I427="fixedMonthDay",IF(AND(ISNUMBER(J427),J427=INT(J427),J427&gt;=1,J427&lt;=12,ISNUMBER(K427),K427=INT(K427),K427&gt;=1,K427&lt;=31,MONTH(DATE(Übersicht!$B$4,J427,K427))=J427,DAY(DATE(Übersicht!$B$4,J427,K427))=K427,L427="",M427="",N427=""),DATE(Übersicht!$B$4,J427,K427),NA()),IF(I427="easterOffsetDays",IF(AND(ISNUMBER(L427),L427=INT(L427),L427&gt;=-366,L427&lt;=366,J427="",K427="",M427="",N427=""),$AD$23+L427,NA()),IF(I427="nthWeekdayOfMonth",IF(AND(ISNUMBER(J427),J427=INT(J427),J427&gt;=1,J427&lt;=12,ISNUMBER(M427),M427=INT(M427),M427&gt;=1,M427&lt;=7,ISNUMBER(N427),N427=INT(N427),N427&gt;=1,N427&lt;=5,MONTH(DATE(Übersicht!$B$4,J427,1)+MOD(M427-WEEKDAY(DATE(Übersicht!$B$4,J427,1),2),7)+7*(N427-1))=J427,K427="",L427=""),DATE(Übersicht!$B$4,J427,1)+MOD(M427-WEEKDAY(DATE(Übersicht!$B$4,J427,1),2),7)+7*(N427-1),NA()),IF(I427="nthWeekdayOffsetDays",IF(AND(ISNUMBER(J427),J427=INT(J427),J427&gt;=1,J427&lt;=12,ISNUMBER(M427),M427=INT(M427),M427&gt;=1,M427&lt;=7,ISNUMBER(N427),N427=INT(N427),N427&gt;=1,N427&lt;=5,MONTH(DATE(Übersicht!$B$4,J427,1)+MOD(M427-WEEKDAY(DATE(Übersicht!$B$4,J427,1),2),7)+7*(N427-1))=J427,K427="",ISNUMBER(L427),L427=INT(L427),L427&gt;=-366,L427&lt;=366),DATE(Übersicht!$B$4,J427,1)+MOD(M427-WEEKDAY(DATE(Übersicht!$B$4,J427,1),2),7)+7*(N427-1)+L427,NA()),NA())))),NA())</f>
        <v>46909</v>
      </c>
      <c r="X427" s="14">
        <f t="shared" si="6"/>
        <v>46909</v>
      </c>
      <c r="Y427" s="10" t="s">
        <v>1027</v>
      </c>
      <c r="Z427" s="10" t="s">
        <v>1028</v>
      </c>
      <c r="AA427" s="24" t="s">
        <v>768</v>
      </c>
    </row>
    <row r="428" spans="1:27" ht="44" customHeight="1">
      <c r="A428" s="11" t="s">
        <v>546</v>
      </c>
      <c r="B428" s="11" t="s">
        <v>536</v>
      </c>
      <c r="C428" s="11" t="s">
        <v>1026</v>
      </c>
      <c r="D428" s="26" t="s">
        <v>759</v>
      </c>
      <c r="E428" s="26" t="s">
        <v>760</v>
      </c>
      <c r="F428" s="27" t="s">
        <v>874</v>
      </c>
      <c r="G428" s="27" t="s">
        <v>875</v>
      </c>
      <c r="H428" s="11" t="s">
        <v>761</v>
      </c>
      <c r="I428" s="11" t="s">
        <v>762</v>
      </c>
      <c r="J428" s="30">
        <v>8</v>
      </c>
      <c r="K428" s="30">
        <v>1</v>
      </c>
      <c r="L428" s="26"/>
      <c r="M428" s="26"/>
      <c r="N428" s="26"/>
      <c r="O428" s="31">
        <v>46023</v>
      </c>
      <c r="P428" s="31"/>
      <c r="Q428" s="26">
        <v>100</v>
      </c>
      <c r="R428" s="26" t="s">
        <v>69</v>
      </c>
      <c r="S428" s="11"/>
      <c r="T428" s="11" t="s">
        <v>764</v>
      </c>
      <c r="U428" s="11"/>
      <c r="V428" s="11" t="s">
        <v>824</v>
      </c>
      <c r="W428" s="15">
        <f>IF(AND(ISNUMBER(Übersicht!$B$4),Übersicht!$B$4=INT(Übersicht!$B$4),Übersicht!$B$4&gt;=2026,Übersicht!$B$4&lt;=2028),IF(I428="fixedMonthDay",IF(AND(ISNUMBER(J428),J428=INT(J428),J428&gt;=1,J428&lt;=12,ISNUMBER(K428),K428=INT(K428),K428&gt;=1,K428&lt;=31,MONTH(DATE(Übersicht!$B$4,J428,K428))=J428,DAY(DATE(Übersicht!$B$4,J428,K428))=K428,L428="",M428="",N428=""),DATE(Übersicht!$B$4,J428,K428),NA()),IF(I428="easterOffsetDays",IF(AND(ISNUMBER(L428),L428=INT(L428),L428&gt;=-366,L428&lt;=366,J428="",K428="",M428="",N428=""),$AD$23+L428,NA()),IF(I428="nthWeekdayOfMonth",IF(AND(ISNUMBER(J428),J428=INT(J428),J428&gt;=1,J428&lt;=12,ISNUMBER(M428),M428=INT(M428),M428&gt;=1,M428&lt;=7,ISNUMBER(N428),N428=INT(N428),N428&gt;=1,N428&lt;=5,MONTH(DATE(Übersicht!$B$4,J428,1)+MOD(M428-WEEKDAY(DATE(Übersicht!$B$4,J428,1),2),7)+7*(N428-1))=J428,K428="",L428=""),DATE(Übersicht!$B$4,J428,1)+MOD(M428-WEEKDAY(DATE(Übersicht!$B$4,J428,1),2),7)+7*(N428-1),NA()),IF(I428="nthWeekdayOffsetDays",IF(AND(ISNUMBER(J428),J428=INT(J428),J428&gt;=1,J428&lt;=12,ISNUMBER(M428),M428=INT(M428),M428&gt;=1,M428&lt;=7,ISNUMBER(N428),N428=INT(N428),N428&gt;=1,N428&lt;=5,MONTH(DATE(Übersicht!$B$4,J428,1)+MOD(M428-WEEKDAY(DATE(Übersicht!$B$4,J428,1),2),7)+7*(N428-1))=J428,K428="",ISNUMBER(L428),L428=INT(L428),L428&gt;=-366,L428&lt;=366),DATE(Übersicht!$B$4,J428,1)+MOD(M428-WEEKDAY(DATE(Übersicht!$B$4,J428,1),2),7)+7*(N428-1)+L428,NA()),NA())))),NA())</f>
        <v>46966</v>
      </c>
      <c r="X428" s="15">
        <f t="shared" si="6"/>
        <v>46966</v>
      </c>
      <c r="Y428" s="11" t="s">
        <v>766</v>
      </c>
      <c r="Z428" s="11" t="s">
        <v>1029</v>
      </c>
      <c r="AA428" s="26" t="s">
        <v>768</v>
      </c>
    </row>
    <row r="429" spans="1:27" ht="44" customHeight="1">
      <c r="A429" s="10" t="s">
        <v>547</v>
      </c>
      <c r="B429" s="10" t="s">
        <v>536</v>
      </c>
      <c r="C429" s="10" t="s">
        <v>1026</v>
      </c>
      <c r="D429" s="24" t="s">
        <v>799</v>
      </c>
      <c r="E429" s="24" t="s">
        <v>800</v>
      </c>
      <c r="F429" s="25" t="s">
        <v>899</v>
      </c>
      <c r="G429" s="25" t="s">
        <v>900</v>
      </c>
      <c r="H429" s="10" t="s">
        <v>761</v>
      </c>
      <c r="I429" s="10" t="s">
        <v>801</v>
      </c>
      <c r="J429" s="28">
        <v>9</v>
      </c>
      <c r="K429" s="28"/>
      <c r="L429" s="24"/>
      <c r="M429" s="24">
        <v>7</v>
      </c>
      <c r="N429" s="24">
        <v>3</v>
      </c>
      <c r="O429" s="29">
        <v>46023</v>
      </c>
      <c r="P429" s="29"/>
      <c r="Q429" s="24">
        <v>100</v>
      </c>
      <c r="R429" s="24" t="s">
        <v>69</v>
      </c>
      <c r="S429" s="10"/>
      <c r="T429" s="10" t="s">
        <v>764</v>
      </c>
      <c r="U429" s="10"/>
      <c r="V429" s="10" t="s">
        <v>824</v>
      </c>
      <c r="W429" s="14">
        <f>IF(AND(ISNUMBER(Übersicht!$B$4),Übersicht!$B$4=INT(Übersicht!$B$4),Übersicht!$B$4&gt;=2026,Übersicht!$B$4&lt;=2028),IF(I429="fixedMonthDay",IF(AND(ISNUMBER(J429),J429=INT(J429),J429&gt;=1,J429&lt;=12,ISNUMBER(K429),K429=INT(K429),K429&gt;=1,K429&lt;=31,MONTH(DATE(Übersicht!$B$4,J429,K429))=J429,DAY(DATE(Übersicht!$B$4,J429,K429))=K429,L429="",M429="",N429=""),DATE(Übersicht!$B$4,J429,K429),NA()),IF(I429="easterOffsetDays",IF(AND(ISNUMBER(L429),L429=INT(L429),L429&gt;=-366,L429&lt;=366,J429="",K429="",M429="",N429=""),$AD$23+L429,NA()),IF(I429="nthWeekdayOfMonth",IF(AND(ISNUMBER(J429),J429=INT(J429),J429&gt;=1,J429&lt;=12,ISNUMBER(M429),M429=INT(M429),M429&gt;=1,M429&lt;=7,ISNUMBER(N429),N429=INT(N429),N429&gt;=1,N429&lt;=5,MONTH(DATE(Übersicht!$B$4,J429,1)+MOD(M429-WEEKDAY(DATE(Übersicht!$B$4,J429,1),2),7)+7*(N429-1))=J429,K429="",L429=""),DATE(Übersicht!$B$4,J429,1)+MOD(M429-WEEKDAY(DATE(Übersicht!$B$4,J429,1),2),7)+7*(N429-1),NA()),IF(I429="nthWeekdayOffsetDays",IF(AND(ISNUMBER(J429),J429=INT(J429),J429&gt;=1,J429&lt;=12,ISNUMBER(M429),M429=INT(M429),M429&gt;=1,M429&lt;=7,ISNUMBER(N429),N429=INT(N429),N429&gt;=1,N429&lt;=5,MONTH(DATE(Übersicht!$B$4,J429,1)+MOD(M429-WEEKDAY(DATE(Übersicht!$B$4,J429,1),2),7)+7*(N429-1))=J429,K429="",ISNUMBER(L429),L429=INT(L429),L429&gt;=-366,L429&lt;=366),DATE(Übersicht!$B$4,J429,1)+MOD(M429-WEEKDAY(DATE(Übersicht!$B$4,J429,1),2),7)+7*(N429-1)+L429,NA()),NA())))),NA())</f>
        <v>47013</v>
      </c>
      <c r="X429" s="14">
        <f t="shared" si="6"/>
        <v>47013</v>
      </c>
      <c r="Y429" s="10" t="s">
        <v>1027</v>
      </c>
      <c r="Z429" s="10" t="s">
        <v>1028</v>
      </c>
      <c r="AA429" s="24" t="s">
        <v>768</v>
      </c>
    </row>
    <row r="430" spans="1:27" ht="44" customHeight="1">
      <c r="A430" s="11" t="s">
        <v>548</v>
      </c>
      <c r="B430" s="11" t="s">
        <v>536</v>
      </c>
      <c r="C430" s="11" t="s">
        <v>1026</v>
      </c>
      <c r="D430" s="26" t="s">
        <v>803</v>
      </c>
      <c r="E430" s="26" t="s">
        <v>804</v>
      </c>
      <c r="F430" s="27" t="s">
        <v>882</v>
      </c>
      <c r="G430" s="27" t="s">
        <v>883</v>
      </c>
      <c r="H430" s="11" t="s">
        <v>761</v>
      </c>
      <c r="I430" s="11" t="s">
        <v>762</v>
      </c>
      <c r="J430" s="30">
        <v>12</v>
      </c>
      <c r="K430" s="30">
        <v>25</v>
      </c>
      <c r="L430" s="26"/>
      <c r="M430" s="26"/>
      <c r="N430" s="26"/>
      <c r="O430" s="31">
        <v>46023</v>
      </c>
      <c r="P430" s="31"/>
      <c r="Q430" s="26">
        <v>100</v>
      </c>
      <c r="R430" s="26" t="s">
        <v>69</v>
      </c>
      <c r="S430" s="11"/>
      <c r="T430" s="11" t="s">
        <v>764</v>
      </c>
      <c r="U430" s="11"/>
      <c r="V430" s="11" t="s">
        <v>824</v>
      </c>
      <c r="W430" s="15">
        <f>IF(AND(ISNUMBER(Übersicht!$B$4),Übersicht!$B$4=INT(Übersicht!$B$4),Übersicht!$B$4&gt;=2026,Übersicht!$B$4&lt;=2028),IF(I430="fixedMonthDay",IF(AND(ISNUMBER(J430),J430=INT(J430),J430&gt;=1,J430&lt;=12,ISNUMBER(K430),K430=INT(K430),K430&gt;=1,K430&lt;=31,MONTH(DATE(Übersicht!$B$4,J430,K430))=J430,DAY(DATE(Übersicht!$B$4,J430,K430))=K430,L430="",M430="",N430=""),DATE(Übersicht!$B$4,J430,K430),NA()),IF(I430="easterOffsetDays",IF(AND(ISNUMBER(L430),L430=INT(L430),L430&gt;=-366,L430&lt;=366,J430="",K430="",M430="",N430=""),$AD$23+L430,NA()),IF(I430="nthWeekdayOfMonth",IF(AND(ISNUMBER(J430),J430=INT(J430),J430&gt;=1,J430&lt;=12,ISNUMBER(M430),M430=INT(M430),M430&gt;=1,M430&lt;=7,ISNUMBER(N430),N430=INT(N430),N430&gt;=1,N430&lt;=5,MONTH(DATE(Übersicht!$B$4,J430,1)+MOD(M430-WEEKDAY(DATE(Übersicht!$B$4,J430,1),2),7)+7*(N430-1))=J430,K430="",L430=""),DATE(Übersicht!$B$4,J430,1)+MOD(M430-WEEKDAY(DATE(Übersicht!$B$4,J430,1),2),7)+7*(N430-1),NA()),IF(I430="nthWeekdayOffsetDays",IF(AND(ISNUMBER(J430),J430=INT(J430),J430&gt;=1,J430&lt;=12,ISNUMBER(M430),M430=INT(M430),M430&gt;=1,M430&lt;=7,ISNUMBER(N430),N430=INT(N430),N430&gt;=1,N430&lt;=5,MONTH(DATE(Übersicht!$B$4,J430,1)+MOD(M430-WEEKDAY(DATE(Übersicht!$B$4,J430,1),2),7)+7*(N430-1))=J430,K430="",ISNUMBER(L430),L430=INT(L430),L430&gt;=-366,L430&lt;=366),DATE(Übersicht!$B$4,J430,1)+MOD(M430-WEEKDAY(DATE(Übersicht!$B$4,J430,1),2),7)+7*(N430-1)+L430,NA()),NA())))),NA())</f>
        <v>47112</v>
      </c>
      <c r="X430" s="15">
        <f t="shared" si="6"/>
        <v>47112</v>
      </c>
      <c r="Y430" s="11" t="s">
        <v>1027</v>
      </c>
      <c r="Z430" s="11" t="s">
        <v>1028</v>
      </c>
      <c r="AA430" s="26" t="s">
        <v>768</v>
      </c>
    </row>
    <row r="431" spans="1:27" ht="44" customHeight="1">
      <c r="A431" s="10" t="s">
        <v>549</v>
      </c>
      <c r="B431" s="10" t="s">
        <v>536</v>
      </c>
      <c r="C431" s="10" t="s">
        <v>1026</v>
      </c>
      <c r="D431" s="24" t="s">
        <v>806</v>
      </c>
      <c r="E431" s="24" t="s">
        <v>807</v>
      </c>
      <c r="F431" s="25" t="s">
        <v>884</v>
      </c>
      <c r="G431" s="25" t="s">
        <v>885</v>
      </c>
      <c r="H431" s="10" t="s">
        <v>761</v>
      </c>
      <c r="I431" s="10" t="s">
        <v>762</v>
      </c>
      <c r="J431" s="28">
        <v>12</v>
      </c>
      <c r="K431" s="28">
        <v>26</v>
      </c>
      <c r="L431" s="24"/>
      <c r="M431" s="24"/>
      <c r="N431" s="24"/>
      <c r="O431" s="29">
        <v>46023</v>
      </c>
      <c r="P431" s="29"/>
      <c r="Q431" s="24">
        <v>100</v>
      </c>
      <c r="R431" s="24" t="s">
        <v>69</v>
      </c>
      <c r="S431" s="10"/>
      <c r="T431" s="10" t="s">
        <v>764</v>
      </c>
      <c r="U431" s="10"/>
      <c r="V431" s="10" t="s">
        <v>824</v>
      </c>
      <c r="W431" s="14">
        <f>IF(AND(ISNUMBER(Übersicht!$B$4),Übersicht!$B$4=INT(Übersicht!$B$4),Übersicht!$B$4&gt;=2026,Übersicht!$B$4&lt;=2028),IF(I431="fixedMonthDay",IF(AND(ISNUMBER(J431),J431=INT(J431),J431&gt;=1,J431&lt;=12,ISNUMBER(K431),K431=INT(K431),K431&gt;=1,K431&lt;=31,MONTH(DATE(Übersicht!$B$4,J431,K431))=J431,DAY(DATE(Übersicht!$B$4,J431,K431))=K431,L431="",M431="",N431=""),DATE(Übersicht!$B$4,J431,K431),NA()),IF(I431="easterOffsetDays",IF(AND(ISNUMBER(L431),L431=INT(L431),L431&gt;=-366,L431&lt;=366,J431="",K431="",M431="",N431=""),$AD$23+L431,NA()),IF(I431="nthWeekdayOfMonth",IF(AND(ISNUMBER(J431),J431=INT(J431),J431&gt;=1,J431&lt;=12,ISNUMBER(M431),M431=INT(M431),M431&gt;=1,M431&lt;=7,ISNUMBER(N431),N431=INT(N431),N431&gt;=1,N431&lt;=5,MONTH(DATE(Übersicht!$B$4,J431,1)+MOD(M431-WEEKDAY(DATE(Übersicht!$B$4,J431,1),2),7)+7*(N431-1))=J431,K431="",L431=""),DATE(Übersicht!$B$4,J431,1)+MOD(M431-WEEKDAY(DATE(Übersicht!$B$4,J431,1),2),7)+7*(N431-1),NA()),IF(I431="nthWeekdayOffsetDays",IF(AND(ISNUMBER(J431),J431=INT(J431),J431&gt;=1,J431&lt;=12,ISNUMBER(M431),M431=INT(M431),M431&gt;=1,M431&lt;=7,ISNUMBER(N431),N431=INT(N431),N431&gt;=1,N431&lt;=5,MONTH(DATE(Übersicht!$B$4,J431,1)+MOD(M431-WEEKDAY(DATE(Übersicht!$B$4,J431,1),2),7)+7*(N431-1))=J431,K431="",ISNUMBER(L431),L431=INT(L431),L431&gt;=-366,L431&lt;=366),DATE(Übersicht!$B$4,J431,1)+MOD(M431-WEEKDAY(DATE(Übersicht!$B$4,J431,1),2),7)+7*(N431-1)+L431,NA()),NA())))),NA())</f>
        <v>47113</v>
      </c>
      <c r="X431" s="14">
        <f t="shared" si="6"/>
        <v>47113</v>
      </c>
      <c r="Y431" s="10" t="s">
        <v>1027</v>
      </c>
      <c r="Z431" s="10" t="s">
        <v>1028</v>
      </c>
      <c r="AA431" s="24" t="s">
        <v>768</v>
      </c>
    </row>
    <row r="432" spans="1:27" ht="44" customHeight="1">
      <c r="A432" s="11" t="s">
        <v>552</v>
      </c>
      <c r="B432" s="11" t="s">
        <v>550</v>
      </c>
      <c r="C432" s="11" t="s">
        <v>1030</v>
      </c>
      <c r="D432" s="26" t="s">
        <v>771</v>
      </c>
      <c r="E432" s="26" t="s">
        <v>772</v>
      </c>
      <c r="F432" s="27" t="s">
        <v>849</v>
      </c>
      <c r="G432" s="27" t="s">
        <v>850</v>
      </c>
      <c r="H432" s="11" t="s">
        <v>812</v>
      </c>
      <c r="I432" s="11" t="s">
        <v>762</v>
      </c>
      <c r="J432" s="30">
        <v>1</v>
      </c>
      <c r="K432" s="30">
        <v>1</v>
      </c>
      <c r="L432" s="26"/>
      <c r="M432" s="26"/>
      <c r="N432" s="26"/>
      <c r="O432" s="31">
        <v>46023</v>
      </c>
      <c r="P432" s="31"/>
      <c r="Q432" s="26">
        <v>100</v>
      </c>
      <c r="R432" s="26" t="s">
        <v>69</v>
      </c>
      <c r="S432" s="11"/>
      <c r="T432" s="11" t="s">
        <v>764</v>
      </c>
      <c r="U432" s="11"/>
      <c r="V432" s="11" t="s">
        <v>824</v>
      </c>
      <c r="W432" s="15">
        <f>IF(AND(ISNUMBER(Übersicht!$B$4),Übersicht!$B$4=INT(Übersicht!$B$4),Übersicht!$B$4&gt;=2026,Übersicht!$B$4&lt;=2028),IF(I432="fixedMonthDay",IF(AND(ISNUMBER(J432),J432=INT(J432),J432&gt;=1,J432&lt;=12,ISNUMBER(K432),K432=INT(K432),K432&gt;=1,K432&lt;=31,MONTH(DATE(Übersicht!$B$4,J432,K432))=J432,DAY(DATE(Übersicht!$B$4,J432,K432))=K432,L432="",M432="",N432=""),DATE(Übersicht!$B$4,J432,K432),NA()),IF(I432="easterOffsetDays",IF(AND(ISNUMBER(L432),L432=INT(L432),L432&gt;=-366,L432&lt;=366,J432="",K432="",M432="",N432=""),$AD$23+L432,NA()),IF(I432="nthWeekdayOfMonth",IF(AND(ISNUMBER(J432),J432=INT(J432),J432&gt;=1,J432&lt;=12,ISNUMBER(M432),M432=INT(M432),M432&gt;=1,M432&lt;=7,ISNUMBER(N432),N432=INT(N432),N432&gt;=1,N432&lt;=5,MONTH(DATE(Übersicht!$B$4,J432,1)+MOD(M432-WEEKDAY(DATE(Übersicht!$B$4,J432,1),2),7)+7*(N432-1))=J432,K432="",L432=""),DATE(Übersicht!$B$4,J432,1)+MOD(M432-WEEKDAY(DATE(Übersicht!$B$4,J432,1),2),7)+7*(N432-1),NA()),IF(I432="nthWeekdayOffsetDays",IF(AND(ISNUMBER(J432),J432=INT(J432),J432&gt;=1,J432&lt;=12,ISNUMBER(M432),M432=INT(M432),M432&gt;=1,M432&lt;=7,ISNUMBER(N432),N432=INT(N432),N432&gt;=1,N432&lt;=5,MONTH(DATE(Übersicht!$B$4,J432,1)+MOD(M432-WEEKDAY(DATE(Übersicht!$B$4,J432,1),2),7)+7*(N432-1))=J432,K432="",ISNUMBER(L432),L432=INT(L432),L432&gt;=-366,L432&lt;=366),DATE(Übersicht!$B$4,J432,1)+MOD(M432-WEEKDAY(DATE(Übersicht!$B$4,J432,1),2),7)+7*(N432-1)+L432,NA()),NA())))),NA())</f>
        <v>46753</v>
      </c>
      <c r="X432" s="15">
        <f t="shared" si="6"/>
        <v>46753</v>
      </c>
      <c r="Y432" s="11" t="s">
        <v>1031</v>
      </c>
      <c r="Z432" s="11" t="s">
        <v>1032</v>
      </c>
      <c r="AA432" s="26" t="s">
        <v>768</v>
      </c>
    </row>
    <row r="433" spans="1:27" ht="44" customHeight="1">
      <c r="A433" s="10" t="s">
        <v>553</v>
      </c>
      <c r="B433" s="10" t="s">
        <v>550</v>
      </c>
      <c r="C433" s="10" t="s">
        <v>1030</v>
      </c>
      <c r="D433" s="24" t="s">
        <v>906</v>
      </c>
      <c r="E433" s="24" t="s">
        <v>907</v>
      </c>
      <c r="F433" s="25" t="s">
        <v>1033</v>
      </c>
      <c r="G433" s="25" t="s">
        <v>1034</v>
      </c>
      <c r="H433" s="10" t="s">
        <v>812</v>
      </c>
      <c r="I433" s="10" t="s">
        <v>762</v>
      </c>
      <c r="J433" s="28">
        <v>1</v>
      </c>
      <c r="K433" s="28">
        <v>2</v>
      </c>
      <c r="L433" s="24"/>
      <c r="M433" s="24"/>
      <c r="N433" s="24"/>
      <c r="O433" s="29">
        <v>46023</v>
      </c>
      <c r="P433" s="29"/>
      <c r="Q433" s="24">
        <v>100</v>
      </c>
      <c r="R433" s="24" t="s">
        <v>69</v>
      </c>
      <c r="S433" s="10"/>
      <c r="T433" s="10" t="s">
        <v>764</v>
      </c>
      <c r="U433" s="10"/>
      <c r="V433" s="10" t="s">
        <v>824</v>
      </c>
      <c r="W433" s="14">
        <f>IF(AND(ISNUMBER(Übersicht!$B$4),Übersicht!$B$4=INT(Übersicht!$B$4),Übersicht!$B$4&gt;=2026,Übersicht!$B$4&lt;=2028),IF(I433="fixedMonthDay",IF(AND(ISNUMBER(J433),J433=INT(J433),J433&gt;=1,J433&lt;=12,ISNUMBER(K433),K433=INT(K433),K433&gt;=1,K433&lt;=31,MONTH(DATE(Übersicht!$B$4,J433,K433))=J433,DAY(DATE(Übersicht!$B$4,J433,K433))=K433,L433="",M433="",N433=""),DATE(Übersicht!$B$4,J433,K433),NA()),IF(I433="easterOffsetDays",IF(AND(ISNUMBER(L433),L433=INT(L433),L433&gt;=-366,L433&lt;=366,J433="",K433="",M433="",N433=""),$AD$23+L433,NA()),IF(I433="nthWeekdayOfMonth",IF(AND(ISNUMBER(J433),J433=INT(J433),J433&gt;=1,J433&lt;=12,ISNUMBER(M433),M433=INT(M433),M433&gt;=1,M433&lt;=7,ISNUMBER(N433),N433=INT(N433),N433&gt;=1,N433&lt;=5,MONTH(DATE(Übersicht!$B$4,J433,1)+MOD(M433-WEEKDAY(DATE(Übersicht!$B$4,J433,1),2),7)+7*(N433-1))=J433,K433="",L433=""),DATE(Übersicht!$B$4,J433,1)+MOD(M433-WEEKDAY(DATE(Übersicht!$B$4,J433,1),2),7)+7*(N433-1),NA()),IF(I433="nthWeekdayOffsetDays",IF(AND(ISNUMBER(J433),J433=INT(J433),J433&gt;=1,J433&lt;=12,ISNUMBER(M433),M433=INT(M433),M433&gt;=1,M433&lt;=7,ISNUMBER(N433),N433=INT(N433),N433&gt;=1,N433&lt;=5,MONTH(DATE(Übersicht!$B$4,J433,1)+MOD(M433-WEEKDAY(DATE(Übersicht!$B$4,J433,1),2),7)+7*(N433-1))=J433,K433="",ISNUMBER(L433),L433=INT(L433),L433&gt;=-366,L433&lt;=366),DATE(Übersicht!$B$4,J433,1)+MOD(M433-WEEKDAY(DATE(Übersicht!$B$4,J433,1),2),7)+7*(N433-1)+L433,NA()),NA())))),NA())</f>
        <v>46754</v>
      </c>
      <c r="X433" s="14">
        <f t="shared" si="6"/>
        <v>46754</v>
      </c>
      <c r="Y433" s="10" t="s">
        <v>1031</v>
      </c>
      <c r="Z433" s="10" t="s">
        <v>1032</v>
      </c>
      <c r="AA433" s="24" t="s">
        <v>768</v>
      </c>
    </row>
    <row r="434" spans="1:27" ht="44" customHeight="1">
      <c r="A434" s="11" t="s">
        <v>554</v>
      </c>
      <c r="B434" s="11" t="s">
        <v>550</v>
      </c>
      <c r="C434" s="11" t="s">
        <v>1030</v>
      </c>
      <c r="D434" s="26" t="s">
        <v>779</v>
      </c>
      <c r="E434" s="26" t="s">
        <v>780</v>
      </c>
      <c r="F434" s="27" t="s">
        <v>889</v>
      </c>
      <c r="G434" s="27" t="s">
        <v>890</v>
      </c>
      <c r="H434" s="11" t="s">
        <v>812</v>
      </c>
      <c r="I434" s="11" t="s">
        <v>781</v>
      </c>
      <c r="J434" s="30"/>
      <c r="K434" s="30"/>
      <c r="L434" s="26">
        <v>-2</v>
      </c>
      <c r="M434" s="26"/>
      <c r="N434" s="26"/>
      <c r="O434" s="31">
        <v>46023</v>
      </c>
      <c r="P434" s="31"/>
      <c r="Q434" s="26">
        <v>100</v>
      </c>
      <c r="R434" s="26" t="s">
        <v>69</v>
      </c>
      <c r="S434" s="11"/>
      <c r="T434" s="11" t="s">
        <v>764</v>
      </c>
      <c r="U434" s="11"/>
      <c r="V434" s="11" t="s">
        <v>824</v>
      </c>
      <c r="W434" s="15">
        <f>IF(AND(ISNUMBER(Übersicht!$B$4),Übersicht!$B$4=INT(Übersicht!$B$4),Übersicht!$B$4&gt;=2026,Übersicht!$B$4&lt;=2028),IF(I434="fixedMonthDay",IF(AND(ISNUMBER(J434),J434=INT(J434),J434&gt;=1,J434&lt;=12,ISNUMBER(K434),K434=INT(K434),K434&gt;=1,K434&lt;=31,MONTH(DATE(Übersicht!$B$4,J434,K434))=J434,DAY(DATE(Übersicht!$B$4,J434,K434))=K434,L434="",M434="",N434=""),DATE(Übersicht!$B$4,J434,K434),NA()),IF(I434="easterOffsetDays",IF(AND(ISNUMBER(L434),L434=INT(L434),L434&gt;=-366,L434&lt;=366,J434="",K434="",M434="",N434=""),$AD$23+L434,NA()),IF(I434="nthWeekdayOfMonth",IF(AND(ISNUMBER(J434),J434=INT(J434),J434&gt;=1,J434&lt;=12,ISNUMBER(M434),M434=INT(M434),M434&gt;=1,M434&lt;=7,ISNUMBER(N434),N434=INT(N434),N434&gt;=1,N434&lt;=5,MONTH(DATE(Übersicht!$B$4,J434,1)+MOD(M434-WEEKDAY(DATE(Übersicht!$B$4,J434,1),2),7)+7*(N434-1))=J434,K434="",L434=""),DATE(Übersicht!$B$4,J434,1)+MOD(M434-WEEKDAY(DATE(Übersicht!$B$4,J434,1),2),7)+7*(N434-1),NA()),IF(I434="nthWeekdayOffsetDays",IF(AND(ISNUMBER(J434),J434=INT(J434),J434&gt;=1,J434&lt;=12,ISNUMBER(M434),M434=INT(M434),M434&gt;=1,M434&lt;=7,ISNUMBER(N434),N434=INT(N434),N434&gt;=1,N434&lt;=5,MONTH(DATE(Übersicht!$B$4,J434,1)+MOD(M434-WEEKDAY(DATE(Übersicht!$B$4,J434,1),2),7)+7*(N434-1))=J434,K434="",ISNUMBER(L434),L434=INT(L434),L434&gt;=-366,L434&lt;=366),DATE(Übersicht!$B$4,J434,1)+MOD(M434-WEEKDAY(DATE(Übersicht!$B$4,J434,1),2),7)+7*(N434-1)+L434,NA()),NA())))),NA())</f>
        <v>46857</v>
      </c>
      <c r="X434" s="15">
        <f t="shared" si="6"/>
        <v>46857</v>
      </c>
      <c r="Y434" s="11" t="s">
        <v>1031</v>
      </c>
      <c r="Z434" s="11" t="s">
        <v>1032</v>
      </c>
      <c r="AA434" s="26" t="s">
        <v>768</v>
      </c>
    </row>
    <row r="435" spans="1:27" ht="44" customHeight="1">
      <c r="A435" s="10" t="s">
        <v>555</v>
      </c>
      <c r="B435" s="10" t="s">
        <v>550</v>
      </c>
      <c r="C435" s="10" t="s">
        <v>1030</v>
      </c>
      <c r="D435" s="24" t="s">
        <v>787</v>
      </c>
      <c r="E435" s="24" t="s">
        <v>788</v>
      </c>
      <c r="F435" s="25" t="s">
        <v>860</v>
      </c>
      <c r="G435" s="25" t="s">
        <v>861</v>
      </c>
      <c r="H435" s="10" t="s">
        <v>812</v>
      </c>
      <c r="I435" s="10" t="s">
        <v>781</v>
      </c>
      <c r="J435" s="28"/>
      <c r="K435" s="28"/>
      <c r="L435" s="24">
        <v>1</v>
      </c>
      <c r="M435" s="24"/>
      <c r="N435" s="24"/>
      <c r="O435" s="29">
        <v>46023</v>
      </c>
      <c r="P435" s="29"/>
      <c r="Q435" s="24">
        <v>100</v>
      </c>
      <c r="R435" s="24" t="s">
        <v>69</v>
      </c>
      <c r="S435" s="10"/>
      <c r="T435" s="10" t="s">
        <v>764</v>
      </c>
      <c r="U435" s="10"/>
      <c r="V435" s="10" t="s">
        <v>824</v>
      </c>
      <c r="W435" s="14">
        <f>IF(AND(ISNUMBER(Übersicht!$B$4),Übersicht!$B$4=INT(Übersicht!$B$4),Übersicht!$B$4&gt;=2026,Übersicht!$B$4&lt;=2028),IF(I435="fixedMonthDay",IF(AND(ISNUMBER(J435),J435=INT(J435),J435&gt;=1,J435&lt;=12,ISNUMBER(K435),K435=INT(K435),K435&gt;=1,K435&lt;=31,MONTH(DATE(Übersicht!$B$4,J435,K435))=J435,DAY(DATE(Übersicht!$B$4,J435,K435))=K435,L435="",M435="",N435=""),DATE(Übersicht!$B$4,J435,K435),NA()),IF(I435="easterOffsetDays",IF(AND(ISNUMBER(L435),L435=INT(L435),L435&gt;=-366,L435&lt;=366,J435="",K435="",M435="",N435=""),$AD$23+L435,NA()),IF(I435="nthWeekdayOfMonth",IF(AND(ISNUMBER(J435),J435=INT(J435),J435&gt;=1,J435&lt;=12,ISNUMBER(M435),M435=INT(M435),M435&gt;=1,M435&lt;=7,ISNUMBER(N435),N435=INT(N435),N435&gt;=1,N435&lt;=5,MONTH(DATE(Übersicht!$B$4,J435,1)+MOD(M435-WEEKDAY(DATE(Übersicht!$B$4,J435,1),2),7)+7*(N435-1))=J435,K435="",L435=""),DATE(Übersicht!$B$4,J435,1)+MOD(M435-WEEKDAY(DATE(Übersicht!$B$4,J435,1),2),7)+7*(N435-1),NA()),IF(I435="nthWeekdayOffsetDays",IF(AND(ISNUMBER(J435),J435=INT(J435),J435&gt;=1,J435&lt;=12,ISNUMBER(M435),M435=INT(M435),M435&gt;=1,M435&lt;=7,ISNUMBER(N435),N435=INT(N435),N435&gt;=1,N435&lt;=5,MONTH(DATE(Übersicht!$B$4,J435,1)+MOD(M435-WEEKDAY(DATE(Übersicht!$B$4,J435,1),2),7)+7*(N435-1))=J435,K435="",ISNUMBER(L435),L435=INT(L435),L435&gt;=-366,L435&lt;=366),DATE(Übersicht!$B$4,J435,1)+MOD(M435-WEEKDAY(DATE(Übersicht!$B$4,J435,1),2),7)+7*(N435-1)+L435,NA()),NA())))),NA())</f>
        <v>46860</v>
      </c>
      <c r="X435" s="14">
        <f t="shared" si="6"/>
        <v>46860</v>
      </c>
      <c r="Y435" s="10" t="s">
        <v>1031</v>
      </c>
      <c r="Z435" s="10" t="s">
        <v>1032</v>
      </c>
      <c r="AA435" s="24" t="s">
        <v>768</v>
      </c>
    </row>
    <row r="436" spans="1:27" ht="44" customHeight="1">
      <c r="A436" s="11" t="s">
        <v>556</v>
      </c>
      <c r="B436" s="11" t="s">
        <v>550</v>
      </c>
      <c r="C436" s="11" t="s">
        <v>1030</v>
      </c>
      <c r="D436" s="26" t="s">
        <v>790</v>
      </c>
      <c r="E436" s="26" t="s">
        <v>791</v>
      </c>
      <c r="F436" s="27" t="s">
        <v>864</v>
      </c>
      <c r="G436" s="27" t="s">
        <v>865</v>
      </c>
      <c r="H436" s="11" t="s">
        <v>812</v>
      </c>
      <c r="I436" s="11" t="s">
        <v>781</v>
      </c>
      <c r="J436" s="30"/>
      <c r="K436" s="30"/>
      <c r="L436" s="26">
        <v>39</v>
      </c>
      <c r="M436" s="26"/>
      <c r="N436" s="26"/>
      <c r="O436" s="31">
        <v>46023</v>
      </c>
      <c r="P436" s="31"/>
      <c r="Q436" s="26">
        <v>100</v>
      </c>
      <c r="R436" s="26" t="s">
        <v>69</v>
      </c>
      <c r="S436" s="11"/>
      <c r="T436" s="11" t="s">
        <v>764</v>
      </c>
      <c r="U436" s="11"/>
      <c r="V436" s="11" t="s">
        <v>824</v>
      </c>
      <c r="W436" s="15">
        <f>IF(AND(ISNUMBER(Übersicht!$B$4),Übersicht!$B$4=INT(Übersicht!$B$4),Übersicht!$B$4&gt;=2026,Übersicht!$B$4&lt;=2028),IF(I436="fixedMonthDay",IF(AND(ISNUMBER(J436),J436=INT(J436),J436&gt;=1,J436&lt;=12,ISNUMBER(K436),K436=INT(K436),K436&gt;=1,K436&lt;=31,MONTH(DATE(Übersicht!$B$4,J436,K436))=J436,DAY(DATE(Übersicht!$B$4,J436,K436))=K436,L436="",M436="",N436=""),DATE(Übersicht!$B$4,J436,K436),NA()),IF(I436="easterOffsetDays",IF(AND(ISNUMBER(L436),L436=INT(L436),L436&gt;=-366,L436&lt;=366,J436="",K436="",M436="",N436=""),$AD$23+L436,NA()),IF(I436="nthWeekdayOfMonth",IF(AND(ISNUMBER(J436),J436=INT(J436),J436&gt;=1,J436&lt;=12,ISNUMBER(M436),M436=INT(M436),M436&gt;=1,M436&lt;=7,ISNUMBER(N436),N436=INT(N436),N436&gt;=1,N436&lt;=5,MONTH(DATE(Übersicht!$B$4,J436,1)+MOD(M436-WEEKDAY(DATE(Übersicht!$B$4,J436,1),2),7)+7*(N436-1))=J436,K436="",L436=""),DATE(Übersicht!$B$4,J436,1)+MOD(M436-WEEKDAY(DATE(Übersicht!$B$4,J436,1),2),7)+7*(N436-1),NA()),IF(I436="nthWeekdayOffsetDays",IF(AND(ISNUMBER(J436),J436=INT(J436),J436&gt;=1,J436&lt;=12,ISNUMBER(M436),M436=INT(M436),M436&gt;=1,M436&lt;=7,ISNUMBER(N436),N436=INT(N436),N436&gt;=1,N436&lt;=5,MONTH(DATE(Übersicht!$B$4,J436,1)+MOD(M436-WEEKDAY(DATE(Übersicht!$B$4,J436,1),2),7)+7*(N436-1))=J436,K436="",ISNUMBER(L436),L436=INT(L436),L436&gt;=-366,L436&lt;=366),DATE(Übersicht!$B$4,J436,1)+MOD(M436-WEEKDAY(DATE(Übersicht!$B$4,J436,1),2),7)+7*(N436-1)+L436,NA()),NA())))),NA())</f>
        <v>46898</v>
      </c>
      <c r="X436" s="15">
        <f t="shared" si="6"/>
        <v>46898</v>
      </c>
      <c r="Y436" s="11" t="s">
        <v>1031</v>
      </c>
      <c r="Z436" s="11" t="s">
        <v>1032</v>
      </c>
      <c r="AA436" s="26" t="s">
        <v>768</v>
      </c>
    </row>
    <row r="437" spans="1:27" ht="44" customHeight="1">
      <c r="A437" s="10" t="s">
        <v>557</v>
      </c>
      <c r="B437" s="10" t="s">
        <v>550</v>
      </c>
      <c r="C437" s="10" t="s">
        <v>1030</v>
      </c>
      <c r="D437" s="24" t="s">
        <v>796</v>
      </c>
      <c r="E437" s="24" t="s">
        <v>797</v>
      </c>
      <c r="F437" s="25" t="s">
        <v>866</v>
      </c>
      <c r="G437" s="25" t="s">
        <v>867</v>
      </c>
      <c r="H437" s="10" t="s">
        <v>812</v>
      </c>
      <c r="I437" s="10" t="s">
        <v>781</v>
      </c>
      <c r="J437" s="28"/>
      <c r="K437" s="28"/>
      <c r="L437" s="24">
        <v>50</v>
      </c>
      <c r="M437" s="24"/>
      <c r="N437" s="24"/>
      <c r="O437" s="29">
        <v>46023</v>
      </c>
      <c r="P437" s="29"/>
      <c r="Q437" s="24">
        <v>100</v>
      </c>
      <c r="R437" s="24" t="s">
        <v>69</v>
      </c>
      <c r="S437" s="10"/>
      <c r="T437" s="10" t="s">
        <v>764</v>
      </c>
      <c r="U437" s="10"/>
      <c r="V437" s="10" t="s">
        <v>824</v>
      </c>
      <c r="W437" s="14">
        <f>IF(AND(ISNUMBER(Übersicht!$B$4),Übersicht!$B$4=INT(Übersicht!$B$4),Übersicht!$B$4&gt;=2026,Übersicht!$B$4&lt;=2028),IF(I437="fixedMonthDay",IF(AND(ISNUMBER(J437),J437=INT(J437),J437&gt;=1,J437&lt;=12,ISNUMBER(K437),K437=INT(K437),K437&gt;=1,K437&lt;=31,MONTH(DATE(Übersicht!$B$4,J437,K437))=J437,DAY(DATE(Übersicht!$B$4,J437,K437))=K437,L437="",M437="",N437=""),DATE(Übersicht!$B$4,J437,K437),NA()),IF(I437="easterOffsetDays",IF(AND(ISNUMBER(L437),L437=INT(L437),L437&gt;=-366,L437&lt;=366,J437="",K437="",M437="",N437=""),$AD$23+L437,NA()),IF(I437="nthWeekdayOfMonth",IF(AND(ISNUMBER(J437),J437=INT(J437),J437&gt;=1,J437&lt;=12,ISNUMBER(M437),M437=INT(M437),M437&gt;=1,M437&lt;=7,ISNUMBER(N437),N437=INT(N437),N437&gt;=1,N437&lt;=5,MONTH(DATE(Übersicht!$B$4,J437,1)+MOD(M437-WEEKDAY(DATE(Übersicht!$B$4,J437,1),2),7)+7*(N437-1))=J437,K437="",L437=""),DATE(Übersicht!$B$4,J437,1)+MOD(M437-WEEKDAY(DATE(Übersicht!$B$4,J437,1),2),7)+7*(N437-1),NA()),IF(I437="nthWeekdayOffsetDays",IF(AND(ISNUMBER(J437),J437=INT(J437),J437&gt;=1,J437&lt;=12,ISNUMBER(M437),M437=INT(M437),M437&gt;=1,M437&lt;=7,ISNUMBER(N437),N437=INT(N437),N437&gt;=1,N437&lt;=5,MONTH(DATE(Übersicht!$B$4,J437,1)+MOD(M437-WEEKDAY(DATE(Übersicht!$B$4,J437,1),2),7)+7*(N437-1))=J437,K437="",ISNUMBER(L437),L437=INT(L437),L437&gt;=-366,L437&lt;=366),DATE(Übersicht!$B$4,J437,1)+MOD(M437-WEEKDAY(DATE(Übersicht!$B$4,J437,1),2),7)+7*(N437-1)+L437,NA()),NA())))),NA())</f>
        <v>46909</v>
      </c>
      <c r="X437" s="14">
        <f t="shared" si="6"/>
        <v>46909</v>
      </c>
      <c r="Y437" s="10" t="s">
        <v>1031</v>
      </c>
      <c r="Z437" s="10" t="s">
        <v>1032</v>
      </c>
      <c r="AA437" s="24" t="s">
        <v>768</v>
      </c>
    </row>
    <row r="438" spans="1:27" ht="44" customHeight="1">
      <c r="A438" s="11" t="s">
        <v>558</v>
      </c>
      <c r="B438" s="11" t="s">
        <v>550</v>
      </c>
      <c r="C438" s="11" t="s">
        <v>1030</v>
      </c>
      <c r="D438" s="26" t="s">
        <v>759</v>
      </c>
      <c r="E438" s="26" t="s">
        <v>760</v>
      </c>
      <c r="F438" s="27" t="s">
        <v>874</v>
      </c>
      <c r="G438" s="27" t="s">
        <v>875</v>
      </c>
      <c r="H438" s="11" t="s">
        <v>761</v>
      </c>
      <c r="I438" s="11" t="s">
        <v>762</v>
      </c>
      <c r="J438" s="30">
        <v>8</v>
      </c>
      <c r="K438" s="30">
        <v>1</v>
      </c>
      <c r="L438" s="26"/>
      <c r="M438" s="26"/>
      <c r="N438" s="26"/>
      <c r="O438" s="31">
        <v>46023</v>
      </c>
      <c r="P438" s="31"/>
      <c r="Q438" s="26">
        <v>100</v>
      </c>
      <c r="R438" s="26" t="s">
        <v>69</v>
      </c>
      <c r="S438" s="11"/>
      <c r="T438" s="11" t="s">
        <v>764</v>
      </c>
      <c r="U438" s="11"/>
      <c r="V438" s="11" t="s">
        <v>824</v>
      </c>
      <c r="W438" s="15">
        <f>IF(AND(ISNUMBER(Übersicht!$B$4),Übersicht!$B$4=INT(Übersicht!$B$4),Übersicht!$B$4&gt;=2026,Übersicht!$B$4&lt;=2028),IF(I438="fixedMonthDay",IF(AND(ISNUMBER(J438),J438=INT(J438),J438&gt;=1,J438&lt;=12,ISNUMBER(K438),K438=INT(K438),K438&gt;=1,K438&lt;=31,MONTH(DATE(Übersicht!$B$4,J438,K438))=J438,DAY(DATE(Übersicht!$B$4,J438,K438))=K438,L438="",M438="",N438=""),DATE(Übersicht!$B$4,J438,K438),NA()),IF(I438="easterOffsetDays",IF(AND(ISNUMBER(L438),L438=INT(L438),L438&gt;=-366,L438&lt;=366,J438="",K438="",M438="",N438=""),$AD$23+L438,NA()),IF(I438="nthWeekdayOfMonth",IF(AND(ISNUMBER(J438),J438=INT(J438),J438&gt;=1,J438&lt;=12,ISNUMBER(M438),M438=INT(M438),M438&gt;=1,M438&lt;=7,ISNUMBER(N438),N438=INT(N438),N438&gt;=1,N438&lt;=5,MONTH(DATE(Übersicht!$B$4,J438,1)+MOD(M438-WEEKDAY(DATE(Übersicht!$B$4,J438,1),2),7)+7*(N438-1))=J438,K438="",L438=""),DATE(Übersicht!$B$4,J438,1)+MOD(M438-WEEKDAY(DATE(Übersicht!$B$4,J438,1),2),7)+7*(N438-1),NA()),IF(I438="nthWeekdayOffsetDays",IF(AND(ISNUMBER(J438),J438=INT(J438),J438&gt;=1,J438&lt;=12,ISNUMBER(M438),M438=INT(M438),M438&gt;=1,M438&lt;=7,ISNUMBER(N438),N438=INT(N438),N438&gt;=1,N438&lt;=5,MONTH(DATE(Übersicht!$B$4,J438,1)+MOD(M438-WEEKDAY(DATE(Übersicht!$B$4,J438,1),2),7)+7*(N438-1))=J438,K438="",ISNUMBER(L438),L438=INT(L438),L438&gt;=-366,L438&lt;=366),DATE(Übersicht!$B$4,J438,1)+MOD(M438-WEEKDAY(DATE(Übersicht!$B$4,J438,1),2),7)+7*(N438-1)+L438,NA()),NA())))),NA())</f>
        <v>46966</v>
      </c>
      <c r="X438" s="15">
        <f t="shared" si="6"/>
        <v>46966</v>
      </c>
      <c r="Y438" s="11" t="s">
        <v>766</v>
      </c>
      <c r="Z438" s="11" t="s">
        <v>1035</v>
      </c>
      <c r="AA438" s="26" t="s">
        <v>768</v>
      </c>
    </row>
    <row r="439" spans="1:27" ht="44" customHeight="1">
      <c r="A439" s="10" t="s">
        <v>559</v>
      </c>
      <c r="B439" s="10" t="s">
        <v>550</v>
      </c>
      <c r="C439" s="10" t="s">
        <v>1030</v>
      </c>
      <c r="D439" s="24" t="s">
        <v>1036</v>
      </c>
      <c r="E439" s="24" t="s">
        <v>1037</v>
      </c>
      <c r="F439" s="25" t="s">
        <v>1038</v>
      </c>
      <c r="G439" s="25" t="s">
        <v>1039</v>
      </c>
      <c r="H439" s="10" t="s">
        <v>812</v>
      </c>
      <c r="I439" s="10" t="s">
        <v>946</v>
      </c>
      <c r="J439" s="28">
        <v>9</v>
      </c>
      <c r="K439" s="28"/>
      <c r="L439" s="24">
        <v>1</v>
      </c>
      <c r="M439" s="24">
        <v>7</v>
      </c>
      <c r="N439" s="24">
        <v>3</v>
      </c>
      <c r="O439" s="29">
        <v>46023</v>
      </c>
      <c r="P439" s="29"/>
      <c r="Q439" s="24">
        <v>100</v>
      </c>
      <c r="R439" s="24" t="s">
        <v>69</v>
      </c>
      <c r="S439" s="10"/>
      <c r="T439" s="10" t="s">
        <v>764</v>
      </c>
      <c r="U439" s="10"/>
      <c r="V439" s="10" t="s">
        <v>824</v>
      </c>
      <c r="W439" s="14">
        <f>IF(AND(ISNUMBER(Übersicht!$B$4),Übersicht!$B$4=INT(Übersicht!$B$4),Übersicht!$B$4&gt;=2026,Übersicht!$B$4&lt;=2028),IF(I439="fixedMonthDay",IF(AND(ISNUMBER(J439),J439=INT(J439),J439&gt;=1,J439&lt;=12,ISNUMBER(K439),K439=INT(K439),K439&gt;=1,K439&lt;=31,MONTH(DATE(Übersicht!$B$4,J439,K439))=J439,DAY(DATE(Übersicht!$B$4,J439,K439))=K439,L439="",M439="",N439=""),DATE(Übersicht!$B$4,J439,K439),NA()),IF(I439="easterOffsetDays",IF(AND(ISNUMBER(L439),L439=INT(L439),L439&gt;=-366,L439&lt;=366,J439="",K439="",M439="",N439=""),$AD$23+L439,NA()),IF(I439="nthWeekdayOfMonth",IF(AND(ISNUMBER(J439),J439=INT(J439),J439&gt;=1,J439&lt;=12,ISNUMBER(M439),M439=INT(M439),M439&gt;=1,M439&lt;=7,ISNUMBER(N439),N439=INT(N439),N439&gt;=1,N439&lt;=5,MONTH(DATE(Übersicht!$B$4,J439,1)+MOD(M439-WEEKDAY(DATE(Übersicht!$B$4,J439,1),2),7)+7*(N439-1))=J439,K439="",L439=""),DATE(Übersicht!$B$4,J439,1)+MOD(M439-WEEKDAY(DATE(Übersicht!$B$4,J439,1),2),7)+7*(N439-1),NA()),IF(I439="nthWeekdayOffsetDays",IF(AND(ISNUMBER(J439),J439=INT(J439),J439&gt;=1,J439&lt;=12,ISNUMBER(M439),M439=INT(M439),M439&gt;=1,M439&lt;=7,ISNUMBER(N439),N439=INT(N439),N439&gt;=1,N439&lt;=5,MONTH(DATE(Übersicht!$B$4,J439,1)+MOD(M439-WEEKDAY(DATE(Übersicht!$B$4,J439,1),2),7)+7*(N439-1))=J439,K439="",ISNUMBER(L439),L439=INT(L439),L439&gt;=-366,L439&lt;=366),DATE(Übersicht!$B$4,J439,1)+MOD(M439-WEEKDAY(DATE(Übersicht!$B$4,J439,1),2),7)+7*(N439-1)+L439,NA()),NA())))),NA())</f>
        <v>47014</v>
      </c>
      <c r="X439" s="14">
        <f t="shared" si="6"/>
        <v>47014</v>
      </c>
      <c r="Y439" s="10" t="s">
        <v>1031</v>
      </c>
      <c r="Z439" s="10" t="s">
        <v>1032</v>
      </c>
      <c r="AA439" s="24" t="s">
        <v>768</v>
      </c>
    </row>
    <row r="440" spans="1:27" ht="44" customHeight="1">
      <c r="A440" s="11" t="s">
        <v>560</v>
      </c>
      <c r="B440" s="11" t="s">
        <v>550</v>
      </c>
      <c r="C440" s="11" t="s">
        <v>1030</v>
      </c>
      <c r="D440" s="26" t="s">
        <v>803</v>
      </c>
      <c r="E440" s="26" t="s">
        <v>804</v>
      </c>
      <c r="F440" s="27" t="s">
        <v>882</v>
      </c>
      <c r="G440" s="27" t="s">
        <v>883</v>
      </c>
      <c r="H440" s="11" t="s">
        <v>812</v>
      </c>
      <c r="I440" s="11" t="s">
        <v>762</v>
      </c>
      <c r="J440" s="30">
        <v>12</v>
      </c>
      <c r="K440" s="30">
        <v>25</v>
      </c>
      <c r="L440" s="26"/>
      <c r="M440" s="26"/>
      <c r="N440" s="26"/>
      <c r="O440" s="31">
        <v>46023</v>
      </c>
      <c r="P440" s="31"/>
      <c r="Q440" s="26">
        <v>100</v>
      </c>
      <c r="R440" s="26" t="s">
        <v>69</v>
      </c>
      <c r="S440" s="11"/>
      <c r="T440" s="11" t="s">
        <v>764</v>
      </c>
      <c r="U440" s="11"/>
      <c r="V440" s="11" t="s">
        <v>824</v>
      </c>
      <c r="W440" s="15">
        <f>IF(AND(ISNUMBER(Übersicht!$B$4),Übersicht!$B$4=INT(Übersicht!$B$4),Übersicht!$B$4&gt;=2026,Übersicht!$B$4&lt;=2028),IF(I440="fixedMonthDay",IF(AND(ISNUMBER(J440),J440=INT(J440),J440&gt;=1,J440&lt;=12,ISNUMBER(K440),K440=INT(K440),K440&gt;=1,K440&lt;=31,MONTH(DATE(Übersicht!$B$4,J440,K440))=J440,DAY(DATE(Übersicht!$B$4,J440,K440))=K440,L440="",M440="",N440=""),DATE(Übersicht!$B$4,J440,K440),NA()),IF(I440="easterOffsetDays",IF(AND(ISNUMBER(L440),L440=INT(L440),L440&gt;=-366,L440&lt;=366,J440="",K440="",M440="",N440=""),$AD$23+L440,NA()),IF(I440="nthWeekdayOfMonth",IF(AND(ISNUMBER(J440),J440=INT(J440),J440&gt;=1,J440&lt;=12,ISNUMBER(M440),M440=INT(M440),M440&gt;=1,M440&lt;=7,ISNUMBER(N440),N440=INT(N440),N440&gt;=1,N440&lt;=5,MONTH(DATE(Übersicht!$B$4,J440,1)+MOD(M440-WEEKDAY(DATE(Übersicht!$B$4,J440,1),2),7)+7*(N440-1))=J440,K440="",L440=""),DATE(Übersicht!$B$4,J440,1)+MOD(M440-WEEKDAY(DATE(Übersicht!$B$4,J440,1),2),7)+7*(N440-1),NA()),IF(I440="nthWeekdayOffsetDays",IF(AND(ISNUMBER(J440),J440=INT(J440),J440&gt;=1,J440&lt;=12,ISNUMBER(M440),M440=INT(M440),M440&gt;=1,M440&lt;=7,ISNUMBER(N440),N440=INT(N440),N440&gt;=1,N440&lt;=5,MONTH(DATE(Übersicht!$B$4,J440,1)+MOD(M440-WEEKDAY(DATE(Übersicht!$B$4,J440,1),2),7)+7*(N440-1))=J440,K440="",ISNUMBER(L440),L440=INT(L440),L440&gt;=-366,L440&lt;=366),DATE(Übersicht!$B$4,J440,1)+MOD(M440-WEEKDAY(DATE(Übersicht!$B$4,J440,1),2),7)+7*(N440-1)+L440,NA()),NA())))),NA())</f>
        <v>47112</v>
      </c>
      <c r="X440" s="15">
        <f t="shared" si="6"/>
        <v>47112</v>
      </c>
      <c r="Y440" s="11" t="s">
        <v>1031</v>
      </c>
      <c r="Z440" s="11" t="s">
        <v>1032</v>
      </c>
      <c r="AA440" s="26" t="s">
        <v>768</v>
      </c>
    </row>
    <row r="441" spans="1:27" ht="44" customHeight="1">
      <c r="A441" s="10" t="s">
        <v>563</v>
      </c>
      <c r="B441" s="10" t="s">
        <v>561</v>
      </c>
      <c r="C441" s="10" t="s">
        <v>1040</v>
      </c>
      <c r="D441" s="24" t="s">
        <v>771</v>
      </c>
      <c r="E441" s="24" t="s">
        <v>772</v>
      </c>
      <c r="F441" s="25" t="s">
        <v>849</v>
      </c>
      <c r="G441" s="25" t="s">
        <v>850</v>
      </c>
      <c r="H441" s="10" t="s">
        <v>761</v>
      </c>
      <c r="I441" s="10" t="s">
        <v>762</v>
      </c>
      <c r="J441" s="28">
        <v>1</v>
      </c>
      <c r="K441" s="28">
        <v>1</v>
      </c>
      <c r="L441" s="24"/>
      <c r="M441" s="24"/>
      <c r="N441" s="24"/>
      <c r="O441" s="29">
        <v>46023</v>
      </c>
      <c r="P441" s="29"/>
      <c r="Q441" s="24">
        <v>100</v>
      </c>
      <c r="R441" s="24" t="s">
        <v>69</v>
      </c>
      <c r="S441" s="10"/>
      <c r="T441" s="10" t="s">
        <v>764</v>
      </c>
      <c r="U441" s="10"/>
      <c r="V441" s="10" t="s">
        <v>824</v>
      </c>
      <c r="W441" s="14">
        <f>IF(AND(ISNUMBER(Übersicht!$B$4),Übersicht!$B$4=INT(Übersicht!$B$4),Übersicht!$B$4&gt;=2026,Übersicht!$B$4&lt;=2028),IF(I441="fixedMonthDay",IF(AND(ISNUMBER(J441),J441=INT(J441),J441&gt;=1,J441&lt;=12,ISNUMBER(K441),K441=INT(K441),K441&gt;=1,K441&lt;=31,MONTH(DATE(Übersicht!$B$4,J441,K441))=J441,DAY(DATE(Übersicht!$B$4,J441,K441))=K441,L441="",M441="",N441=""),DATE(Übersicht!$B$4,J441,K441),NA()),IF(I441="easterOffsetDays",IF(AND(ISNUMBER(L441),L441=INT(L441),L441&gt;=-366,L441&lt;=366,J441="",K441="",M441="",N441=""),$AD$23+L441,NA()),IF(I441="nthWeekdayOfMonth",IF(AND(ISNUMBER(J441),J441=INT(J441),J441&gt;=1,J441&lt;=12,ISNUMBER(M441),M441=INT(M441),M441&gt;=1,M441&lt;=7,ISNUMBER(N441),N441=INT(N441),N441&gt;=1,N441&lt;=5,MONTH(DATE(Übersicht!$B$4,J441,1)+MOD(M441-WEEKDAY(DATE(Übersicht!$B$4,J441,1),2),7)+7*(N441-1))=J441,K441="",L441=""),DATE(Übersicht!$B$4,J441,1)+MOD(M441-WEEKDAY(DATE(Übersicht!$B$4,J441,1),2),7)+7*(N441-1),NA()),IF(I441="nthWeekdayOffsetDays",IF(AND(ISNUMBER(J441),J441=INT(J441),J441&gt;=1,J441&lt;=12,ISNUMBER(M441),M441=INT(M441),M441&gt;=1,M441&lt;=7,ISNUMBER(N441),N441=INT(N441),N441&gt;=1,N441&lt;=5,MONTH(DATE(Übersicht!$B$4,J441,1)+MOD(M441-WEEKDAY(DATE(Übersicht!$B$4,J441,1),2),7)+7*(N441-1))=J441,K441="",ISNUMBER(L441),L441=INT(L441),L441&gt;=-366,L441&lt;=366),DATE(Übersicht!$B$4,J441,1)+MOD(M441-WEEKDAY(DATE(Übersicht!$B$4,J441,1),2),7)+7*(N441-1)+L441,NA()),NA())))),NA())</f>
        <v>46753</v>
      </c>
      <c r="X441" s="14">
        <f t="shared" si="6"/>
        <v>46753</v>
      </c>
      <c r="Y441" s="10" t="s">
        <v>1041</v>
      </c>
      <c r="Z441" s="10" t="s">
        <v>1042</v>
      </c>
      <c r="AA441" s="24" t="s">
        <v>768</v>
      </c>
    </row>
    <row r="442" spans="1:27" ht="44" customHeight="1">
      <c r="A442" s="11" t="s">
        <v>564</v>
      </c>
      <c r="B442" s="11" t="s">
        <v>561</v>
      </c>
      <c r="C442" s="11" t="s">
        <v>1040</v>
      </c>
      <c r="D442" s="26" t="s">
        <v>1043</v>
      </c>
      <c r="E442" s="26" t="s">
        <v>1044</v>
      </c>
      <c r="F442" s="27" t="s">
        <v>1045</v>
      </c>
      <c r="G442" s="27" t="s">
        <v>1046</v>
      </c>
      <c r="H442" s="11" t="s">
        <v>761</v>
      </c>
      <c r="I442" s="11" t="s">
        <v>762</v>
      </c>
      <c r="J442" s="30">
        <v>3</v>
      </c>
      <c r="K442" s="30">
        <v>1</v>
      </c>
      <c r="L442" s="26"/>
      <c r="M442" s="26"/>
      <c r="N442" s="26"/>
      <c r="O442" s="31">
        <v>46023</v>
      </c>
      <c r="P442" s="31"/>
      <c r="Q442" s="26">
        <v>100</v>
      </c>
      <c r="R442" s="26" t="s">
        <v>69</v>
      </c>
      <c r="S442" s="11"/>
      <c r="T442" s="11" t="s">
        <v>764</v>
      </c>
      <c r="U442" s="11"/>
      <c r="V442" s="11" t="s">
        <v>824</v>
      </c>
      <c r="W442" s="15">
        <f>IF(AND(ISNUMBER(Übersicht!$B$4),Übersicht!$B$4=INT(Übersicht!$B$4),Übersicht!$B$4&gt;=2026,Übersicht!$B$4&lt;=2028),IF(I442="fixedMonthDay",IF(AND(ISNUMBER(J442),J442=INT(J442),J442&gt;=1,J442&lt;=12,ISNUMBER(K442),K442=INT(K442),K442&gt;=1,K442&lt;=31,MONTH(DATE(Übersicht!$B$4,J442,K442))=J442,DAY(DATE(Übersicht!$B$4,J442,K442))=K442,L442="",M442="",N442=""),DATE(Übersicht!$B$4,J442,K442),NA()),IF(I442="easterOffsetDays",IF(AND(ISNUMBER(L442),L442=INT(L442),L442&gt;=-366,L442&lt;=366,J442="",K442="",M442="",N442=""),$AD$23+L442,NA()),IF(I442="nthWeekdayOfMonth",IF(AND(ISNUMBER(J442),J442=INT(J442),J442&gt;=1,J442&lt;=12,ISNUMBER(M442),M442=INT(M442),M442&gt;=1,M442&lt;=7,ISNUMBER(N442),N442=INT(N442),N442&gt;=1,N442&lt;=5,MONTH(DATE(Übersicht!$B$4,J442,1)+MOD(M442-WEEKDAY(DATE(Übersicht!$B$4,J442,1),2),7)+7*(N442-1))=J442,K442="",L442=""),DATE(Übersicht!$B$4,J442,1)+MOD(M442-WEEKDAY(DATE(Übersicht!$B$4,J442,1),2),7)+7*(N442-1),NA()),IF(I442="nthWeekdayOffsetDays",IF(AND(ISNUMBER(J442),J442=INT(J442),J442&gt;=1,J442&lt;=12,ISNUMBER(M442),M442=INT(M442),M442&gt;=1,M442&lt;=7,ISNUMBER(N442),N442=INT(N442),N442&gt;=1,N442&lt;=5,MONTH(DATE(Übersicht!$B$4,J442,1)+MOD(M442-WEEKDAY(DATE(Übersicht!$B$4,J442,1),2),7)+7*(N442-1))=J442,K442="",ISNUMBER(L442),L442=INT(L442),L442&gt;=-366,L442&lt;=366),DATE(Übersicht!$B$4,J442,1)+MOD(M442-WEEKDAY(DATE(Übersicht!$B$4,J442,1),2),7)+7*(N442-1)+L442,NA()),NA())))),NA())</f>
        <v>46813</v>
      </c>
      <c r="X442" s="15">
        <f t="shared" si="6"/>
        <v>46813</v>
      </c>
      <c r="Y442" s="11" t="s">
        <v>1041</v>
      </c>
      <c r="Z442" s="11" t="s">
        <v>1042</v>
      </c>
      <c r="AA442" s="26" t="s">
        <v>768</v>
      </c>
    </row>
    <row r="443" spans="1:27" ht="44" customHeight="1">
      <c r="A443" s="10" t="s">
        <v>565</v>
      </c>
      <c r="B443" s="10" t="s">
        <v>561</v>
      </c>
      <c r="C443" s="10" t="s">
        <v>1040</v>
      </c>
      <c r="D443" s="24" t="s">
        <v>779</v>
      </c>
      <c r="E443" s="24" t="s">
        <v>780</v>
      </c>
      <c r="F443" s="25" t="s">
        <v>889</v>
      </c>
      <c r="G443" s="25" t="s">
        <v>890</v>
      </c>
      <c r="H443" s="10" t="s">
        <v>761</v>
      </c>
      <c r="I443" s="10" t="s">
        <v>781</v>
      </c>
      <c r="J443" s="28"/>
      <c r="K443" s="28"/>
      <c r="L443" s="24">
        <v>-2</v>
      </c>
      <c r="M443" s="24"/>
      <c r="N443" s="24"/>
      <c r="O443" s="29">
        <v>46023</v>
      </c>
      <c r="P443" s="29"/>
      <c r="Q443" s="24">
        <v>100</v>
      </c>
      <c r="R443" s="24" t="s">
        <v>69</v>
      </c>
      <c r="S443" s="10"/>
      <c r="T443" s="10" t="s">
        <v>764</v>
      </c>
      <c r="U443" s="10"/>
      <c r="V443" s="10" t="s">
        <v>824</v>
      </c>
      <c r="W443" s="14">
        <f>IF(AND(ISNUMBER(Übersicht!$B$4),Übersicht!$B$4=INT(Übersicht!$B$4),Übersicht!$B$4&gt;=2026,Übersicht!$B$4&lt;=2028),IF(I443="fixedMonthDay",IF(AND(ISNUMBER(J443),J443=INT(J443),J443&gt;=1,J443&lt;=12,ISNUMBER(K443),K443=INT(K443),K443&gt;=1,K443&lt;=31,MONTH(DATE(Übersicht!$B$4,J443,K443))=J443,DAY(DATE(Übersicht!$B$4,J443,K443))=K443,L443="",M443="",N443=""),DATE(Übersicht!$B$4,J443,K443),NA()),IF(I443="easterOffsetDays",IF(AND(ISNUMBER(L443),L443=INT(L443),L443&gt;=-366,L443&lt;=366,J443="",K443="",M443="",N443=""),$AD$23+L443,NA()),IF(I443="nthWeekdayOfMonth",IF(AND(ISNUMBER(J443),J443=INT(J443),J443&gt;=1,J443&lt;=12,ISNUMBER(M443),M443=INT(M443),M443&gt;=1,M443&lt;=7,ISNUMBER(N443),N443=INT(N443),N443&gt;=1,N443&lt;=5,MONTH(DATE(Übersicht!$B$4,J443,1)+MOD(M443-WEEKDAY(DATE(Übersicht!$B$4,J443,1),2),7)+7*(N443-1))=J443,K443="",L443=""),DATE(Übersicht!$B$4,J443,1)+MOD(M443-WEEKDAY(DATE(Übersicht!$B$4,J443,1),2),7)+7*(N443-1),NA()),IF(I443="nthWeekdayOffsetDays",IF(AND(ISNUMBER(J443),J443=INT(J443),J443&gt;=1,J443&lt;=12,ISNUMBER(M443),M443=INT(M443),M443&gt;=1,M443&lt;=7,ISNUMBER(N443),N443=INT(N443),N443&gt;=1,N443&lt;=5,MONTH(DATE(Übersicht!$B$4,J443,1)+MOD(M443-WEEKDAY(DATE(Übersicht!$B$4,J443,1),2),7)+7*(N443-1))=J443,K443="",ISNUMBER(L443),L443=INT(L443),L443&gt;=-366,L443&lt;=366),DATE(Übersicht!$B$4,J443,1)+MOD(M443-WEEKDAY(DATE(Übersicht!$B$4,J443,1),2),7)+7*(N443-1)+L443,NA()),NA())))),NA())</f>
        <v>46857</v>
      </c>
      <c r="X443" s="14">
        <f t="shared" si="6"/>
        <v>46857</v>
      </c>
      <c r="Y443" s="10" t="s">
        <v>1041</v>
      </c>
      <c r="Z443" s="10" t="s">
        <v>1042</v>
      </c>
      <c r="AA443" s="24" t="s">
        <v>768</v>
      </c>
    </row>
    <row r="444" spans="1:27" ht="44" customHeight="1">
      <c r="A444" s="11" t="s">
        <v>566</v>
      </c>
      <c r="B444" s="11" t="s">
        <v>561</v>
      </c>
      <c r="C444" s="11" t="s">
        <v>1040</v>
      </c>
      <c r="D444" s="26" t="s">
        <v>846</v>
      </c>
      <c r="E444" s="26" t="s">
        <v>847</v>
      </c>
      <c r="F444" s="27" t="s">
        <v>862</v>
      </c>
      <c r="G444" s="27" t="s">
        <v>863</v>
      </c>
      <c r="H444" s="11" t="s">
        <v>761</v>
      </c>
      <c r="I444" s="11" t="s">
        <v>762</v>
      </c>
      <c r="J444" s="30">
        <v>5</v>
      </c>
      <c r="K444" s="30">
        <v>1</v>
      </c>
      <c r="L444" s="26"/>
      <c r="M444" s="26"/>
      <c r="N444" s="26"/>
      <c r="O444" s="31">
        <v>46023</v>
      </c>
      <c r="P444" s="31"/>
      <c r="Q444" s="26">
        <v>100</v>
      </c>
      <c r="R444" s="26" t="s">
        <v>69</v>
      </c>
      <c r="S444" s="11"/>
      <c r="T444" s="11" t="s">
        <v>764</v>
      </c>
      <c r="U444" s="11"/>
      <c r="V444" s="11" t="s">
        <v>824</v>
      </c>
      <c r="W444" s="15">
        <f>IF(AND(ISNUMBER(Übersicht!$B$4),Übersicht!$B$4=INT(Übersicht!$B$4),Übersicht!$B$4&gt;=2026,Übersicht!$B$4&lt;=2028),IF(I444="fixedMonthDay",IF(AND(ISNUMBER(J444),J444=INT(J444),J444&gt;=1,J444&lt;=12,ISNUMBER(K444),K444=INT(K444),K444&gt;=1,K444&lt;=31,MONTH(DATE(Übersicht!$B$4,J444,K444))=J444,DAY(DATE(Übersicht!$B$4,J444,K444))=K444,L444="",M444="",N444=""),DATE(Übersicht!$B$4,J444,K444),NA()),IF(I444="easterOffsetDays",IF(AND(ISNUMBER(L444),L444=INT(L444),L444&gt;=-366,L444&lt;=366,J444="",K444="",M444="",N444=""),$AD$23+L444,NA()),IF(I444="nthWeekdayOfMonth",IF(AND(ISNUMBER(J444),J444=INT(J444),J444&gt;=1,J444&lt;=12,ISNUMBER(M444),M444=INT(M444),M444&gt;=1,M444&lt;=7,ISNUMBER(N444),N444=INT(N444),N444&gt;=1,N444&lt;=5,MONTH(DATE(Übersicht!$B$4,J444,1)+MOD(M444-WEEKDAY(DATE(Übersicht!$B$4,J444,1),2),7)+7*(N444-1))=J444,K444="",L444=""),DATE(Übersicht!$B$4,J444,1)+MOD(M444-WEEKDAY(DATE(Übersicht!$B$4,J444,1),2),7)+7*(N444-1),NA()),IF(I444="nthWeekdayOffsetDays",IF(AND(ISNUMBER(J444),J444=INT(J444),J444&gt;=1,J444&lt;=12,ISNUMBER(M444),M444=INT(M444),M444&gt;=1,M444&lt;=7,ISNUMBER(N444),N444=INT(N444),N444&gt;=1,N444&lt;=5,MONTH(DATE(Übersicht!$B$4,J444,1)+MOD(M444-WEEKDAY(DATE(Übersicht!$B$4,J444,1),2),7)+7*(N444-1))=J444,K444="",ISNUMBER(L444),L444=INT(L444),L444&gt;=-366,L444&lt;=366),DATE(Übersicht!$B$4,J444,1)+MOD(M444-WEEKDAY(DATE(Übersicht!$B$4,J444,1),2),7)+7*(N444-1)+L444,NA()),NA())))),NA())</f>
        <v>46874</v>
      </c>
      <c r="X444" s="15">
        <f t="shared" si="6"/>
        <v>46874</v>
      </c>
      <c r="Y444" s="11" t="s">
        <v>1041</v>
      </c>
      <c r="Z444" s="11" t="s">
        <v>1042</v>
      </c>
      <c r="AA444" s="26" t="s">
        <v>768</v>
      </c>
    </row>
    <row r="445" spans="1:27" ht="44" customHeight="1">
      <c r="A445" s="10" t="s">
        <v>567</v>
      </c>
      <c r="B445" s="10" t="s">
        <v>561</v>
      </c>
      <c r="C445" s="10" t="s">
        <v>1040</v>
      </c>
      <c r="D445" s="24" t="s">
        <v>790</v>
      </c>
      <c r="E445" s="24" t="s">
        <v>791</v>
      </c>
      <c r="F445" s="25" t="s">
        <v>864</v>
      </c>
      <c r="G445" s="25" t="s">
        <v>865</v>
      </c>
      <c r="H445" s="10" t="s">
        <v>761</v>
      </c>
      <c r="I445" s="10" t="s">
        <v>781</v>
      </c>
      <c r="J445" s="28"/>
      <c r="K445" s="28"/>
      <c r="L445" s="24">
        <v>39</v>
      </c>
      <c r="M445" s="24"/>
      <c r="N445" s="24"/>
      <c r="O445" s="29">
        <v>46023</v>
      </c>
      <c r="P445" s="29"/>
      <c r="Q445" s="24">
        <v>100</v>
      </c>
      <c r="R445" s="24" t="s">
        <v>69</v>
      </c>
      <c r="S445" s="10"/>
      <c r="T445" s="10" t="s">
        <v>764</v>
      </c>
      <c r="U445" s="10"/>
      <c r="V445" s="10" t="s">
        <v>824</v>
      </c>
      <c r="W445" s="14">
        <f>IF(AND(ISNUMBER(Übersicht!$B$4),Übersicht!$B$4=INT(Übersicht!$B$4),Übersicht!$B$4&gt;=2026,Übersicht!$B$4&lt;=2028),IF(I445="fixedMonthDay",IF(AND(ISNUMBER(J445),J445=INT(J445),J445&gt;=1,J445&lt;=12,ISNUMBER(K445),K445=INT(K445),K445&gt;=1,K445&lt;=31,MONTH(DATE(Übersicht!$B$4,J445,K445))=J445,DAY(DATE(Übersicht!$B$4,J445,K445))=K445,L445="",M445="",N445=""),DATE(Übersicht!$B$4,J445,K445),NA()),IF(I445="easterOffsetDays",IF(AND(ISNUMBER(L445),L445=INT(L445),L445&gt;=-366,L445&lt;=366,J445="",K445="",M445="",N445=""),$AD$23+L445,NA()),IF(I445="nthWeekdayOfMonth",IF(AND(ISNUMBER(J445),J445=INT(J445),J445&gt;=1,J445&lt;=12,ISNUMBER(M445),M445=INT(M445),M445&gt;=1,M445&lt;=7,ISNUMBER(N445),N445=INT(N445),N445&gt;=1,N445&lt;=5,MONTH(DATE(Übersicht!$B$4,J445,1)+MOD(M445-WEEKDAY(DATE(Übersicht!$B$4,J445,1),2),7)+7*(N445-1))=J445,K445="",L445=""),DATE(Übersicht!$B$4,J445,1)+MOD(M445-WEEKDAY(DATE(Übersicht!$B$4,J445,1),2),7)+7*(N445-1),NA()),IF(I445="nthWeekdayOffsetDays",IF(AND(ISNUMBER(J445),J445=INT(J445),J445&gt;=1,J445&lt;=12,ISNUMBER(M445),M445=INT(M445),M445&gt;=1,M445&lt;=7,ISNUMBER(N445),N445=INT(N445),N445&gt;=1,N445&lt;=5,MONTH(DATE(Übersicht!$B$4,J445,1)+MOD(M445-WEEKDAY(DATE(Übersicht!$B$4,J445,1),2),7)+7*(N445-1))=J445,K445="",ISNUMBER(L445),L445=INT(L445),L445&gt;=-366,L445&lt;=366),DATE(Übersicht!$B$4,J445,1)+MOD(M445-WEEKDAY(DATE(Übersicht!$B$4,J445,1),2),7)+7*(N445-1)+L445,NA()),NA())))),NA())</f>
        <v>46898</v>
      </c>
      <c r="X445" s="14">
        <f t="shared" si="6"/>
        <v>46898</v>
      </c>
      <c r="Y445" s="10" t="s">
        <v>1041</v>
      </c>
      <c r="Z445" s="10" t="s">
        <v>1042</v>
      </c>
      <c r="AA445" s="24" t="s">
        <v>768</v>
      </c>
    </row>
    <row r="446" spans="1:27" ht="44" customHeight="1">
      <c r="A446" s="11" t="s">
        <v>568</v>
      </c>
      <c r="B446" s="11" t="s">
        <v>561</v>
      </c>
      <c r="C446" s="11" t="s">
        <v>1040</v>
      </c>
      <c r="D446" s="26" t="s">
        <v>759</v>
      </c>
      <c r="E446" s="26" t="s">
        <v>760</v>
      </c>
      <c r="F446" s="27" t="s">
        <v>874</v>
      </c>
      <c r="G446" s="27" t="s">
        <v>875</v>
      </c>
      <c r="H446" s="11" t="s">
        <v>761</v>
      </c>
      <c r="I446" s="11" t="s">
        <v>762</v>
      </c>
      <c r="J446" s="30">
        <v>8</v>
      </c>
      <c r="K446" s="30">
        <v>1</v>
      </c>
      <c r="L446" s="26"/>
      <c r="M446" s="26"/>
      <c r="N446" s="26"/>
      <c r="O446" s="31">
        <v>46023</v>
      </c>
      <c r="P446" s="31"/>
      <c r="Q446" s="26">
        <v>100</v>
      </c>
      <c r="R446" s="26" t="s">
        <v>69</v>
      </c>
      <c r="S446" s="11"/>
      <c r="T446" s="11" t="s">
        <v>764</v>
      </c>
      <c r="U446" s="11"/>
      <c r="V446" s="11" t="s">
        <v>824</v>
      </c>
      <c r="W446" s="15">
        <f>IF(AND(ISNUMBER(Übersicht!$B$4),Übersicht!$B$4=INT(Übersicht!$B$4),Übersicht!$B$4&gt;=2026,Übersicht!$B$4&lt;=2028),IF(I446="fixedMonthDay",IF(AND(ISNUMBER(J446),J446=INT(J446),J446&gt;=1,J446&lt;=12,ISNUMBER(K446),K446=INT(K446),K446&gt;=1,K446&lt;=31,MONTH(DATE(Übersicht!$B$4,J446,K446))=J446,DAY(DATE(Übersicht!$B$4,J446,K446))=K446,L446="",M446="",N446=""),DATE(Übersicht!$B$4,J446,K446),NA()),IF(I446="easterOffsetDays",IF(AND(ISNUMBER(L446),L446=INT(L446),L446&gt;=-366,L446&lt;=366,J446="",K446="",M446="",N446=""),$AD$23+L446,NA()),IF(I446="nthWeekdayOfMonth",IF(AND(ISNUMBER(J446),J446=INT(J446),J446&gt;=1,J446&lt;=12,ISNUMBER(M446),M446=INT(M446),M446&gt;=1,M446&lt;=7,ISNUMBER(N446),N446=INT(N446),N446&gt;=1,N446&lt;=5,MONTH(DATE(Übersicht!$B$4,J446,1)+MOD(M446-WEEKDAY(DATE(Übersicht!$B$4,J446,1),2),7)+7*(N446-1))=J446,K446="",L446=""),DATE(Übersicht!$B$4,J446,1)+MOD(M446-WEEKDAY(DATE(Übersicht!$B$4,J446,1),2),7)+7*(N446-1),NA()),IF(I446="nthWeekdayOffsetDays",IF(AND(ISNUMBER(J446),J446=INT(J446),J446&gt;=1,J446&lt;=12,ISNUMBER(M446),M446=INT(M446),M446&gt;=1,M446&lt;=7,ISNUMBER(N446),N446=INT(N446),N446&gt;=1,N446&lt;=5,MONTH(DATE(Übersicht!$B$4,J446,1)+MOD(M446-WEEKDAY(DATE(Übersicht!$B$4,J446,1),2),7)+7*(N446-1))=J446,K446="",ISNUMBER(L446),L446=INT(L446),L446&gt;=-366,L446&lt;=366),DATE(Übersicht!$B$4,J446,1)+MOD(M446-WEEKDAY(DATE(Übersicht!$B$4,J446,1),2),7)+7*(N446-1)+L446,NA()),NA())))),NA())</f>
        <v>46966</v>
      </c>
      <c r="X446" s="15">
        <f t="shared" si="6"/>
        <v>46966</v>
      </c>
      <c r="Y446" s="11" t="s">
        <v>766</v>
      </c>
      <c r="Z446" s="11" t="s">
        <v>1047</v>
      </c>
      <c r="AA446" s="26" t="s">
        <v>768</v>
      </c>
    </row>
    <row r="447" spans="1:27" ht="44" customHeight="1">
      <c r="A447" s="10" t="s">
        <v>569</v>
      </c>
      <c r="B447" s="10" t="s">
        <v>561</v>
      </c>
      <c r="C447" s="10" t="s">
        <v>1040</v>
      </c>
      <c r="D447" s="24" t="s">
        <v>803</v>
      </c>
      <c r="E447" s="24" t="s">
        <v>804</v>
      </c>
      <c r="F447" s="25" t="s">
        <v>882</v>
      </c>
      <c r="G447" s="25" t="s">
        <v>883</v>
      </c>
      <c r="H447" s="10" t="s">
        <v>761</v>
      </c>
      <c r="I447" s="10" t="s">
        <v>762</v>
      </c>
      <c r="J447" s="28">
        <v>12</v>
      </c>
      <c r="K447" s="28">
        <v>25</v>
      </c>
      <c r="L447" s="24"/>
      <c r="M447" s="24"/>
      <c r="N447" s="24"/>
      <c r="O447" s="29">
        <v>46023</v>
      </c>
      <c r="P447" s="29"/>
      <c r="Q447" s="24">
        <v>100</v>
      </c>
      <c r="R447" s="24" t="s">
        <v>69</v>
      </c>
      <c r="S447" s="10"/>
      <c r="T447" s="10" t="s">
        <v>764</v>
      </c>
      <c r="U447" s="10"/>
      <c r="V447" s="10" t="s">
        <v>824</v>
      </c>
      <c r="W447" s="14">
        <f>IF(AND(ISNUMBER(Übersicht!$B$4),Übersicht!$B$4=INT(Übersicht!$B$4),Übersicht!$B$4&gt;=2026,Übersicht!$B$4&lt;=2028),IF(I447="fixedMonthDay",IF(AND(ISNUMBER(J447),J447=INT(J447),J447&gt;=1,J447&lt;=12,ISNUMBER(K447),K447=INT(K447),K447&gt;=1,K447&lt;=31,MONTH(DATE(Übersicht!$B$4,J447,K447))=J447,DAY(DATE(Übersicht!$B$4,J447,K447))=K447,L447="",M447="",N447=""),DATE(Übersicht!$B$4,J447,K447),NA()),IF(I447="easterOffsetDays",IF(AND(ISNUMBER(L447),L447=INT(L447),L447&gt;=-366,L447&lt;=366,J447="",K447="",M447="",N447=""),$AD$23+L447,NA()),IF(I447="nthWeekdayOfMonth",IF(AND(ISNUMBER(J447),J447=INT(J447),J447&gt;=1,J447&lt;=12,ISNUMBER(M447),M447=INT(M447),M447&gt;=1,M447&lt;=7,ISNUMBER(N447),N447=INT(N447),N447&gt;=1,N447&lt;=5,MONTH(DATE(Übersicht!$B$4,J447,1)+MOD(M447-WEEKDAY(DATE(Übersicht!$B$4,J447,1),2),7)+7*(N447-1))=J447,K447="",L447=""),DATE(Übersicht!$B$4,J447,1)+MOD(M447-WEEKDAY(DATE(Übersicht!$B$4,J447,1),2),7)+7*(N447-1),NA()),IF(I447="nthWeekdayOffsetDays",IF(AND(ISNUMBER(J447),J447=INT(J447),J447&gt;=1,J447&lt;=12,ISNUMBER(M447),M447=INT(M447),M447&gt;=1,M447&lt;=7,ISNUMBER(N447),N447=INT(N447),N447&gt;=1,N447&lt;=5,MONTH(DATE(Übersicht!$B$4,J447,1)+MOD(M447-WEEKDAY(DATE(Übersicht!$B$4,J447,1),2),7)+7*(N447-1))=J447,K447="",ISNUMBER(L447),L447=INT(L447),L447&gt;=-366,L447&lt;=366),DATE(Übersicht!$B$4,J447,1)+MOD(M447-WEEKDAY(DATE(Übersicht!$B$4,J447,1),2),7)+7*(N447-1)+L447,NA()),NA())))),NA())</f>
        <v>47112</v>
      </c>
      <c r="X447" s="14">
        <f t="shared" si="6"/>
        <v>47112</v>
      </c>
      <c r="Y447" s="10" t="s">
        <v>1041</v>
      </c>
      <c r="Z447" s="10" t="s">
        <v>1042</v>
      </c>
      <c r="AA447" s="24" t="s">
        <v>768</v>
      </c>
    </row>
    <row r="448" spans="1:27" ht="44" customHeight="1">
      <c r="A448" s="11" t="s">
        <v>571</v>
      </c>
      <c r="B448" s="11" t="s">
        <v>561</v>
      </c>
      <c r="C448" s="11" t="s">
        <v>1048</v>
      </c>
      <c r="D448" s="26" t="s">
        <v>810</v>
      </c>
      <c r="E448" s="26" t="s">
        <v>811</v>
      </c>
      <c r="F448" s="27" t="s">
        <v>868</v>
      </c>
      <c r="G448" s="27" t="s">
        <v>869</v>
      </c>
      <c r="H448" s="11" t="s">
        <v>761</v>
      </c>
      <c r="I448" s="11" t="s">
        <v>781</v>
      </c>
      <c r="J448" s="30"/>
      <c r="K448" s="30"/>
      <c r="L448" s="26">
        <v>60</v>
      </c>
      <c r="M448" s="26"/>
      <c r="N448" s="26"/>
      <c r="O448" s="31">
        <v>46023</v>
      </c>
      <c r="P448" s="31"/>
      <c r="Q448" s="26">
        <v>100</v>
      </c>
      <c r="R448" s="26" t="s">
        <v>69</v>
      </c>
      <c r="S448" s="11"/>
      <c r="T448" s="11" t="s">
        <v>764</v>
      </c>
      <c r="U448" s="11"/>
      <c r="V448" s="11" t="s">
        <v>824</v>
      </c>
      <c r="W448" s="15">
        <f>IF(AND(ISNUMBER(Übersicht!$B$4),Übersicht!$B$4=INT(Übersicht!$B$4),Übersicht!$B$4&gt;=2026,Übersicht!$B$4&lt;=2028),IF(I448="fixedMonthDay",IF(AND(ISNUMBER(J448),J448=INT(J448),J448&gt;=1,J448&lt;=12,ISNUMBER(K448),K448=INT(K448),K448&gt;=1,K448&lt;=31,MONTH(DATE(Übersicht!$B$4,J448,K448))=J448,DAY(DATE(Übersicht!$B$4,J448,K448))=K448,L448="",M448="",N448=""),DATE(Übersicht!$B$4,J448,K448),NA()),IF(I448="easterOffsetDays",IF(AND(ISNUMBER(L448),L448=INT(L448),L448&gt;=-366,L448&lt;=366,J448="",K448="",M448="",N448=""),$AD$23+L448,NA()),IF(I448="nthWeekdayOfMonth",IF(AND(ISNUMBER(J448),J448=INT(J448),J448&gt;=1,J448&lt;=12,ISNUMBER(M448),M448=INT(M448),M448&gt;=1,M448&lt;=7,ISNUMBER(N448),N448=INT(N448),N448&gt;=1,N448&lt;=5,MONTH(DATE(Übersicht!$B$4,J448,1)+MOD(M448-WEEKDAY(DATE(Übersicht!$B$4,J448,1),2),7)+7*(N448-1))=J448,K448="",L448=""),DATE(Übersicht!$B$4,J448,1)+MOD(M448-WEEKDAY(DATE(Übersicht!$B$4,J448,1),2),7)+7*(N448-1),NA()),IF(I448="nthWeekdayOffsetDays",IF(AND(ISNUMBER(J448),J448=INT(J448),J448&gt;=1,J448&lt;=12,ISNUMBER(M448),M448=INT(M448),M448&gt;=1,M448&lt;=7,ISNUMBER(N448),N448=INT(N448),N448&gt;=1,N448&lt;=5,MONTH(DATE(Übersicht!$B$4,J448,1)+MOD(M448-WEEKDAY(DATE(Übersicht!$B$4,J448,1),2),7)+7*(N448-1))=J448,K448="",ISNUMBER(L448),L448=INT(L448),L448&gt;=-366,L448&lt;=366),DATE(Übersicht!$B$4,J448,1)+MOD(M448-WEEKDAY(DATE(Übersicht!$B$4,J448,1),2),7)+7*(N448-1)+L448,NA()),NA())))),NA())</f>
        <v>46919</v>
      </c>
      <c r="X448" s="15">
        <f t="shared" si="6"/>
        <v>46919</v>
      </c>
      <c r="Y448" s="11" t="s">
        <v>1049</v>
      </c>
      <c r="Z448" s="11" t="s">
        <v>1050</v>
      </c>
      <c r="AA448" s="26" t="s">
        <v>768</v>
      </c>
    </row>
    <row r="449" spans="1:27" ht="44" customHeight="1">
      <c r="A449" s="10" t="s">
        <v>573</v>
      </c>
      <c r="B449" s="10" t="s">
        <v>561</v>
      </c>
      <c r="C449" s="10" t="s">
        <v>1051</v>
      </c>
      <c r="D449" s="24" t="s">
        <v>906</v>
      </c>
      <c r="E449" s="24" t="s">
        <v>907</v>
      </c>
      <c r="F449" s="25" t="s">
        <v>1033</v>
      </c>
      <c r="G449" s="25" t="s">
        <v>1034</v>
      </c>
      <c r="H449" s="10" t="s">
        <v>823</v>
      </c>
      <c r="I449" s="10" t="s">
        <v>762</v>
      </c>
      <c r="J449" s="28">
        <v>1</v>
      </c>
      <c r="K449" s="28">
        <v>2</v>
      </c>
      <c r="L449" s="24"/>
      <c r="M449" s="24"/>
      <c r="N449" s="24"/>
      <c r="O449" s="29">
        <v>46023</v>
      </c>
      <c r="P449" s="29"/>
      <c r="Q449" s="24">
        <v>100</v>
      </c>
      <c r="R449" s="24" t="s">
        <v>69</v>
      </c>
      <c r="S449" s="10"/>
      <c r="T449" s="10" t="s">
        <v>764</v>
      </c>
      <c r="U449" s="10"/>
      <c r="V449" s="10" t="s">
        <v>824</v>
      </c>
      <c r="W449" s="14">
        <f>IF(AND(ISNUMBER(Übersicht!$B$4),Übersicht!$B$4=INT(Übersicht!$B$4),Übersicht!$B$4&gt;=2026,Übersicht!$B$4&lt;=2028),IF(I449="fixedMonthDay",IF(AND(ISNUMBER(J449),J449=INT(J449),J449&gt;=1,J449&lt;=12,ISNUMBER(K449),K449=INT(K449),K449&gt;=1,K449&lt;=31,MONTH(DATE(Übersicht!$B$4,J449,K449))=J449,DAY(DATE(Übersicht!$B$4,J449,K449))=K449,L449="",M449="",N449=""),DATE(Übersicht!$B$4,J449,K449),NA()),IF(I449="easterOffsetDays",IF(AND(ISNUMBER(L449),L449=INT(L449),L449&gt;=-366,L449&lt;=366,J449="",K449="",M449="",N449=""),$AD$23+L449,NA()),IF(I449="nthWeekdayOfMonth",IF(AND(ISNUMBER(J449),J449=INT(J449),J449&gt;=1,J449&lt;=12,ISNUMBER(M449),M449=INT(M449),M449&gt;=1,M449&lt;=7,ISNUMBER(N449),N449=INT(N449),N449&gt;=1,N449&lt;=5,MONTH(DATE(Übersicht!$B$4,J449,1)+MOD(M449-WEEKDAY(DATE(Übersicht!$B$4,J449,1),2),7)+7*(N449-1))=J449,K449="",L449=""),DATE(Übersicht!$B$4,J449,1)+MOD(M449-WEEKDAY(DATE(Übersicht!$B$4,J449,1),2),7)+7*(N449-1),NA()),IF(I449="nthWeekdayOffsetDays",IF(AND(ISNUMBER(J449),J449=INT(J449),J449&gt;=1,J449&lt;=12,ISNUMBER(M449),M449=INT(M449),M449&gt;=1,M449&lt;=7,ISNUMBER(N449),N449=INT(N449),N449&gt;=1,N449&lt;=5,MONTH(DATE(Übersicht!$B$4,J449,1)+MOD(M449-WEEKDAY(DATE(Übersicht!$B$4,J449,1),2),7)+7*(N449-1))=J449,K449="",ISNUMBER(L449),L449=INT(L449),L449&gt;=-366,L449&lt;=366),DATE(Übersicht!$B$4,J449,1)+MOD(M449-WEEKDAY(DATE(Übersicht!$B$4,J449,1),2),7)+7*(N449-1)+L449,NA()),NA())))),NA())</f>
        <v>46754</v>
      </c>
      <c r="X449" s="14">
        <f t="shared" si="6"/>
        <v>46754</v>
      </c>
      <c r="Y449" s="10" t="s">
        <v>1052</v>
      </c>
      <c r="Z449" s="10" t="s">
        <v>1053</v>
      </c>
      <c r="AA449" s="24" t="s">
        <v>768</v>
      </c>
    </row>
    <row r="450" spans="1:27" ht="44" customHeight="1">
      <c r="A450" s="11" t="s">
        <v>574</v>
      </c>
      <c r="B450" s="11" t="s">
        <v>561</v>
      </c>
      <c r="C450" s="11" t="s">
        <v>1051</v>
      </c>
      <c r="D450" s="26" t="s">
        <v>787</v>
      </c>
      <c r="E450" s="26" t="s">
        <v>788</v>
      </c>
      <c r="F450" s="27" t="s">
        <v>860</v>
      </c>
      <c r="G450" s="27" t="s">
        <v>861</v>
      </c>
      <c r="H450" s="11" t="s">
        <v>823</v>
      </c>
      <c r="I450" s="11" t="s">
        <v>781</v>
      </c>
      <c r="J450" s="30"/>
      <c r="K450" s="30"/>
      <c r="L450" s="26">
        <v>1</v>
      </c>
      <c r="M450" s="26"/>
      <c r="N450" s="26"/>
      <c r="O450" s="31">
        <v>46023</v>
      </c>
      <c r="P450" s="31"/>
      <c r="Q450" s="26">
        <v>100</v>
      </c>
      <c r="R450" s="26" t="s">
        <v>69</v>
      </c>
      <c r="S450" s="11"/>
      <c r="T450" s="11" t="s">
        <v>764</v>
      </c>
      <c r="U450" s="11"/>
      <c r="V450" s="11" t="s">
        <v>824</v>
      </c>
      <c r="W450" s="15">
        <f>IF(AND(ISNUMBER(Übersicht!$B$4),Übersicht!$B$4=INT(Übersicht!$B$4),Übersicht!$B$4&gt;=2026,Übersicht!$B$4&lt;=2028),IF(I450="fixedMonthDay",IF(AND(ISNUMBER(J450),J450=INT(J450),J450&gt;=1,J450&lt;=12,ISNUMBER(K450),K450=INT(K450),K450&gt;=1,K450&lt;=31,MONTH(DATE(Übersicht!$B$4,J450,K450))=J450,DAY(DATE(Übersicht!$B$4,J450,K450))=K450,L450="",M450="",N450=""),DATE(Übersicht!$B$4,J450,K450),NA()),IF(I450="easterOffsetDays",IF(AND(ISNUMBER(L450),L450=INT(L450),L450&gt;=-366,L450&lt;=366,J450="",K450="",M450="",N450=""),$AD$23+L450,NA()),IF(I450="nthWeekdayOfMonth",IF(AND(ISNUMBER(J450),J450=INT(J450),J450&gt;=1,J450&lt;=12,ISNUMBER(M450),M450=INT(M450),M450&gt;=1,M450&lt;=7,ISNUMBER(N450),N450=INT(N450),N450&gt;=1,N450&lt;=5,MONTH(DATE(Übersicht!$B$4,J450,1)+MOD(M450-WEEKDAY(DATE(Übersicht!$B$4,J450,1),2),7)+7*(N450-1))=J450,K450="",L450=""),DATE(Übersicht!$B$4,J450,1)+MOD(M450-WEEKDAY(DATE(Übersicht!$B$4,J450,1),2),7)+7*(N450-1),NA()),IF(I450="nthWeekdayOffsetDays",IF(AND(ISNUMBER(J450),J450=INT(J450),J450&gt;=1,J450&lt;=12,ISNUMBER(M450),M450=INT(M450),M450&gt;=1,M450&lt;=7,ISNUMBER(N450),N450=INT(N450),N450&gt;=1,N450&lt;=5,MONTH(DATE(Übersicht!$B$4,J450,1)+MOD(M450-WEEKDAY(DATE(Übersicht!$B$4,J450,1),2),7)+7*(N450-1))=J450,K450="",ISNUMBER(L450),L450=INT(L450),L450&gt;=-366,L450&lt;=366),DATE(Übersicht!$B$4,J450,1)+MOD(M450-WEEKDAY(DATE(Übersicht!$B$4,J450,1),2),7)+7*(N450-1)+L450,NA()),NA())))),NA())</f>
        <v>46860</v>
      </c>
      <c r="X450" s="15">
        <f t="shared" si="6"/>
        <v>46860</v>
      </c>
      <c r="Y450" s="11" t="s">
        <v>1052</v>
      </c>
      <c r="Z450" s="11" t="s">
        <v>1053</v>
      </c>
      <c r="AA450" s="26" t="s">
        <v>768</v>
      </c>
    </row>
    <row r="451" spans="1:27" ht="44" customHeight="1">
      <c r="A451" s="10" t="s">
        <v>575</v>
      </c>
      <c r="B451" s="10" t="s">
        <v>561</v>
      </c>
      <c r="C451" s="10" t="s">
        <v>1051</v>
      </c>
      <c r="D451" s="24" t="s">
        <v>1054</v>
      </c>
      <c r="E451" s="24" t="s">
        <v>1055</v>
      </c>
      <c r="F451" s="25" t="s">
        <v>1056</v>
      </c>
      <c r="G451" s="25" t="s">
        <v>1057</v>
      </c>
      <c r="H451" s="10" t="s">
        <v>823</v>
      </c>
      <c r="I451" s="10" t="s">
        <v>781</v>
      </c>
      <c r="J451" s="28"/>
      <c r="K451" s="28"/>
      <c r="L451" s="24">
        <v>40</v>
      </c>
      <c r="M451" s="24"/>
      <c r="N451" s="24"/>
      <c r="O451" s="29">
        <v>46023</v>
      </c>
      <c r="P451" s="29"/>
      <c r="Q451" s="24">
        <v>100</v>
      </c>
      <c r="R451" s="24" t="s">
        <v>69</v>
      </c>
      <c r="S451" s="10"/>
      <c r="T451" s="10" t="s">
        <v>764</v>
      </c>
      <c r="U451" s="10"/>
      <c r="V451" s="10" t="s">
        <v>824</v>
      </c>
      <c r="W451" s="14">
        <f>IF(AND(ISNUMBER(Übersicht!$B$4),Übersicht!$B$4=INT(Übersicht!$B$4),Übersicht!$B$4&gt;=2026,Übersicht!$B$4&lt;=2028),IF(I451="fixedMonthDay",IF(AND(ISNUMBER(J451),J451=INT(J451),J451&gt;=1,J451&lt;=12,ISNUMBER(K451),K451=INT(K451),K451&gt;=1,K451&lt;=31,MONTH(DATE(Übersicht!$B$4,J451,K451))=J451,DAY(DATE(Übersicht!$B$4,J451,K451))=K451,L451="",M451="",N451=""),DATE(Übersicht!$B$4,J451,K451),NA()),IF(I451="easterOffsetDays",IF(AND(ISNUMBER(L451),L451=INT(L451),L451&gt;=-366,L451&lt;=366,J451="",K451="",M451="",N451=""),$AD$23+L451,NA()),IF(I451="nthWeekdayOfMonth",IF(AND(ISNUMBER(J451),J451=INT(J451),J451&gt;=1,J451&lt;=12,ISNUMBER(M451),M451=INT(M451),M451&gt;=1,M451&lt;=7,ISNUMBER(N451),N451=INT(N451),N451&gt;=1,N451&lt;=5,MONTH(DATE(Übersicht!$B$4,J451,1)+MOD(M451-WEEKDAY(DATE(Übersicht!$B$4,J451,1),2),7)+7*(N451-1))=J451,K451="",L451=""),DATE(Übersicht!$B$4,J451,1)+MOD(M451-WEEKDAY(DATE(Übersicht!$B$4,J451,1),2),7)+7*(N451-1),NA()),IF(I451="nthWeekdayOffsetDays",IF(AND(ISNUMBER(J451),J451=INT(J451),J451&gt;=1,J451&lt;=12,ISNUMBER(M451),M451=INT(M451),M451&gt;=1,M451&lt;=7,ISNUMBER(N451),N451=INT(N451),N451&gt;=1,N451&lt;=5,MONTH(DATE(Übersicht!$B$4,J451,1)+MOD(M451-WEEKDAY(DATE(Übersicht!$B$4,J451,1),2),7)+7*(N451-1))=J451,K451="",ISNUMBER(L451),L451=INT(L451),L451&gt;=-366,L451&lt;=366),DATE(Übersicht!$B$4,J451,1)+MOD(M451-WEEKDAY(DATE(Übersicht!$B$4,J451,1),2),7)+7*(N451-1)+L451,NA()),NA())))),NA())</f>
        <v>46899</v>
      </c>
      <c r="X451" s="14">
        <f t="shared" si="6"/>
        <v>46899</v>
      </c>
      <c r="Y451" s="10" t="s">
        <v>1052</v>
      </c>
      <c r="Z451" s="10" t="s">
        <v>1053</v>
      </c>
      <c r="AA451" s="24" t="s">
        <v>768</v>
      </c>
    </row>
    <row r="452" spans="1:27" ht="44" customHeight="1">
      <c r="A452" s="11" t="s">
        <v>576</v>
      </c>
      <c r="B452" s="11" t="s">
        <v>561</v>
      </c>
      <c r="C452" s="11" t="s">
        <v>1051</v>
      </c>
      <c r="D452" s="26" t="s">
        <v>796</v>
      </c>
      <c r="E452" s="26" t="s">
        <v>797</v>
      </c>
      <c r="F452" s="27" t="s">
        <v>866</v>
      </c>
      <c r="G452" s="27" t="s">
        <v>867</v>
      </c>
      <c r="H452" s="11" t="s">
        <v>823</v>
      </c>
      <c r="I452" s="11" t="s">
        <v>781</v>
      </c>
      <c r="J452" s="30"/>
      <c r="K452" s="30"/>
      <c r="L452" s="26">
        <v>50</v>
      </c>
      <c r="M452" s="26"/>
      <c r="N452" s="26"/>
      <c r="O452" s="31">
        <v>46023</v>
      </c>
      <c r="P452" s="31"/>
      <c r="Q452" s="26">
        <v>100</v>
      </c>
      <c r="R452" s="26" t="s">
        <v>69</v>
      </c>
      <c r="S452" s="11"/>
      <c r="T452" s="11" t="s">
        <v>764</v>
      </c>
      <c r="U452" s="11"/>
      <c r="V452" s="11" t="s">
        <v>824</v>
      </c>
      <c r="W452" s="15">
        <f>IF(AND(ISNUMBER(Übersicht!$B$4),Übersicht!$B$4=INT(Übersicht!$B$4),Übersicht!$B$4&gt;=2026,Übersicht!$B$4&lt;=2028),IF(I452="fixedMonthDay",IF(AND(ISNUMBER(J452),J452=INT(J452),J452&gt;=1,J452&lt;=12,ISNUMBER(K452),K452=INT(K452),K452&gt;=1,K452&lt;=31,MONTH(DATE(Übersicht!$B$4,J452,K452))=J452,DAY(DATE(Übersicht!$B$4,J452,K452))=K452,L452="",M452="",N452=""),DATE(Übersicht!$B$4,J452,K452),NA()),IF(I452="easterOffsetDays",IF(AND(ISNUMBER(L452),L452=INT(L452),L452&gt;=-366,L452&lt;=366,J452="",K452="",M452="",N452=""),$AD$23+L452,NA()),IF(I452="nthWeekdayOfMonth",IF(AND(ISNUMBER(J452),J452=INT(J452),J452&gt;=1,J452&lt;=12,ISNUMBER(M452),M452=INT(M452),M452&gt;=1,M452&lt;=7,ISNUMBER(N452),N452=INT(N452),N452&gt;=1,N452&lt;=5,MONTH(DATE(Übersicht!$B$4,J452,1)+MOD(M452-WEEKDAY(DATE(Übersicht!$B$4,J452,1),2),7)+7*(N452-1))=J452,K452="",L452=""),DATE(Übersicht!$B$4,J452,1)+MOD(M452-WEEKDAY(DATE(Übersicht!$B$4,J452,1),2),7)+7*(N452-1),NA()),IF(I452="nthWeekdayOffsetDays",IF(AND(ISNUMBER(J452),J452=INT(J452),J452&gt;=1,J452&lt;=12,ISNUMBER(M452),M452=INT(M452),M452&gt;=1,M452&lt;=7,ISNUMBER(N452),N452=INT(N452),N452&gt;=1,N452&lt;=5,MONTH(DATE(Übersicht!$B$4,J452,1)+MOD(M452-WEEKDAY(DATE(Übersicht!$B$4,J452,1),2),7)+7*(N452-1))=J452,K452="",ISNUMBER(L452),L452=INT(L452),L452&gt;=-366,L452&lt;=366),DATE(Übersicht!$B$4,J452,1)+MOD(M452-WEEKDAY(DATE(Übersicht!$B$4,J452,1),2),7)+7*(N452-1)+L452,NA()),NA())))),NA())</f>
        <v>46909</v>
      </c>
      <c r="X452" s="15">
        <f t="shared" si="6"/>
        <v>46909</v>
      </c>
      <c r="Y452" s="11" t="s">
        <v>1052</v>
      </c>
      <c r="Z452" s="11" t="s">
        <v>1053</v>
      </c>
      <c r="AA452" s="26" t="s">
        <v>768</v>
      </c>
    </row>
    <row r="453" spans="1:27" ht="44" customHeight="1">
      <c r="A453" s="10" t="s">
        <v>577</v>
      </c>
      <c r="B453" s="10" t="s">
        <v>561</v>
      </c>
      <c r="C453" s="10" t="s">
        <v>1051</v>
      </c>
      <c r="D453" s="24" t="s">
        <v>1036</v>
      </c>
      <c r="E453" s="24" t="s">
        <v>1037</v>
      </c>
      <c r="F453" s="25" t="s">
        <v>1038</v>
      </c>
      <c r="G453" s="25" t="s">
        <v>1039</v>
      </c>
      <c r="H453" s="10" t="s">
        <v>823</v>
      </c>
      <c r="I453" s="10" t="s">
        <v>946</v>
      </c>
      <c r="J453" s="28">
        <v>9</v>
      </c>
      <c r="K453" s="28"/>
      <c r="L453" s="24">
        <v>1</v>
      </c>
      <c r="M453" s="24">
        <v>7</v>
      </c>
      <c r="N453" s="24">
        <v>3</v>
      </c>
      <c r="O453" s="29">
        <v>46023</v>
      </c>
      <c r="P453" s="29"/>
      <c r="Q453" s="24">
        <v>100</v>
      </c>
      <c r="R453" s="24" t="s">
        <v>69</v>
      </c>
      <c r="S453" s="10"/>
      <c r="T453" s="10" t="s">
        <v>764</v>
      </c>
      <c r="U453" s="10"/>
      <c r="V453" s="10" t="s">
        <v>824</v>
      </c>
      <c r="W453" s="14">
        <f>IF(AND(ISNUMBER(Übersicht!$B$4),Übersicht!$B$4=INT(Übersicht!$B$4),Übersicht!$B$4&gt;=2026,Übersicht!$B$4&lt;=2028),IF(I453="fixedMonthDay",IF(AND(ISNUMBER(J453),J453=INT(J453),J453&gt;=1,J453&lt;=12,ISNUMBER(K453),K453=INT(K453),K453&gt;=1,K453&lt;=31,MONTH(DATE(Übersicht!$B$4,J453,K453))=J453,DAY(DATE(Übersicht!$B$4,J453,K453))=K453,L453="",M453="",N453=""),DATE(Übersicht!$B$4,J453,K453),NA()),IF(I453="easterOffsetDays",IF(AND(ISNUMBER(L453),L453=INT(L453),L453&gt;=-366,L453&lt;=366,J453="",K453="",M453="",N453=""),$AD$23+L453,NA()),IF(I453="nthWeekdayOfMonth",IF(AND(ISNUMBER(J453),J453=INT(J453),J453&gt;=1,J453&lt;=12,ISNUMBER(M453),M453=INT(M453),M453&gt;=1,M453&lt;=7,ISNUMBER(N453),N453=INT(N453),N453&gt;=1,N453&lt;=5,MONTH(DATE(Übersicht!$B$4,J453,1)+MOD(M453-WEEKDAY(DATE(Übersicht!$B$4,J453,1),2),7)+7*(N453-1))=J453,K453="",L453=""),DATE(Übersicht!$B$4,J453,1)+MOD(M453-WEEKDAY(DATE(Übersicht!$B$4,J453,1),2),7)+7*(N453-1),NA()),IF(I453="nthWeekdayOffsetDays",IF(AND(ISNUMBER(J453),J453=INT(J453),J453&gt;=1,J453&lt;=12,ISNUMBER(M453),M453=INT(M453),M453&gt;=1,M453&lt;=7,ISNUMBER(N453),N453=INT(N453),N453&gt;=1,N453&lt;=5,MONTH(DATE(Übersicht!$B$4,J453,1)+MOD(M453-WEEKDAY(DATE(Übersicht!$B$4,J453,1),2),7)+7*(N453-1))=J453,K453="",ISNUMBER(L453),L453=INT(L453),L453&gt;=-366,L453&lt;=366),DATE(Übersicht!$B$4,J453,1)+MOD(M453-WEEKDAY(DATE(Übersicht!$B$4,J453,1),2),7)+7*(N453-1)+L453,NA()),NA())))),NA())</f>
        <v>47014</v>
      </c>
      <c r="X453" s="14">
        <f t="shared" si="6"/>
        <v>47014</v>
      </c>
      <c r="Y453" s="10" t="s">
        <v>1052</v>
      </c>
      <c r="Z453" s="10" t="s">
        <v>1053</v>
      </c>
      <c r="AA453" s="24" t="s">
        <v>768</v>
      </c>
    </row>
    <row r="454" spans="1:27" ht="44" customHeight="1">
      <c r="A454" s="11" t="s">
        <v>578</v>
      </c>
      <c r="B454" s="11" t="s">
        <v>561</v>
      </c>
      <c r="C454" s="11" t="s">
        <v>1051</v>
      </c>
      <c r="D454" s="26" t="s">
        <v>1058</v>
      </c>
      <c r="E454" s="26" t="s">
        <v>1059</v>
      </c>
      <c r="F454" s="27" t="s">
        <v>1060</v>
      </c>
      <c r="G454" s="27" t="s">
        <v>1061</v>
      </c>
      <c r="H454" s="11" t="s">
        <v>823</v>
      </c>
      <c r="I454" s="11" t="s">
        <v>762</v>
      </c>
      <c r="J454" s="30">
        <v>12</v>
      </c>
      <c r="K454" s="30">
        <v>24</v>
      </c>
      <c r="L454" s="26"/>
      <c r="M454" s="26"/>
      <c r="N454" s="26"/>
      <c r="O454" s="31">
        <v>46023</v>
      </c>
      <c r="P454" s="31"/>
      <c r="Q454" s="26">
        <v>100</v>
      </c>
      <c r="R454" s="26" t="s">
        <v>69</v>
      </c>
      <c r="S454" s="11"/>
      <c r="T454" s="11" t="s">
        <v>764</v>
      </c>
      <c r="U454" s="11"/>
      <c r="V454" s="11" t="s">
        <v>824</v>
      </c>
      <c r="W454" s="15">
        <f>IF(AND(ISNUMBER(Übersicht!$B$4),Übersicht!$B$4=INT(Übersicht!$B$4),Übersicht!$B$4&gt;=2026,Übersicht!$B$4&lt;=2028),IF(I454="fixedMonthDay",IF(AND(ISNUMBER(J454),J454=INT(J454),J454&gt;=1,J454&lt;=12,ISNUMBER(K454),K454=INT(K454),K454&gt;=1,K454&lt;=31,MONTH(DATE(Übersicht!$B$4,J454,K454))=J454,DAY(DATE(Übersicht!$B$4,J454,K454))=K454,L454="",M454="",N454=""),DATE(Übersicht!$B$4,J454,K454),NA()),IF(I454="easterOffsetDays",IF(AND(ISNUMBER(L454),L454=INT(L454),L454&gt;=-366,L454&lt;=366,J454="",K454="",M454="",N454=""),$AD$23+L454,NA()),IF(I454="nthWeekdayOfMonth",IF(AND(ISNUMBER(J454),J454=INT(J454),J454&gt;=1,J454&lt;=12,ISNUMBER(M454),M454=INT(M454),M454&gt;=1,M454&lt;=7,ISNUMBER(N454),N454=INT(N454),N454&gt;=1,N454&lt;=5,MONTH(DATE(Übersicht!$B$4,J454,1)+MOD(M454-WEEKDAY(DATE(Übersicht!$B$4,J454,1),2),7)+7*(N454-1))=J454,K454="",L454=""),DATE(Übersicht!$B$4,J454,1)+MOD(M454-WEEKDAY(DATE(Übersicht!$B$4,J454,1),2),7)+7*(N454-1),NA()),IF(I454="nthWeekdayOffsetDays",IF(AND(ISNUMBER(J454),J454=INT(J454),J454&gt;=1,J454&lt;=12,ISNUMBER(M454),M454=INT(M454),M454&gt;=1,M454&lt;=7,ISNUMBER(N454),N454=INT(N454),N454&gt;=1,N454&lt;=5,MONTH(DATE(Übersicht!$B$4,J454,1)+MOD(M454-WEEKDAY(DATE(Übersicht!$B$4,J454,1),2),7)+7*(N454-1))=J454,K454="",ISNUMBER(L454),L454=INT(L454),L454&gt;=-366,L454&lt;=366),DATE(Übersicht!$B$4,J454,1)+MOD(M454-WEEKDAY(DATE(Übersicht!$B$4,J454,1),2),7)+7*(N454-1)+L454,NA()),NA())))),NA())</f>
        <v>47111</v>
      </c>
      <c r="X454" s="15">
        <f t="shared" si="6"/>
        <v>47111</v>
      </c>
      <c r="Y454" s="11" t="s">
        <v>1052</v>
      </c>
      <c r="Z454" s="11" t="s">
        <v>1053</v>
      </c>
      <c r="AA454" s="26" t="s">
        <v>768</v>
      </c>
    </row>
    <row r="455" spans="1:27" ht="44" customHeight="1">
      <c r="A455" s="10" t="s">
        <v>579</v>
      </c>
      <c r="B455" s="10" t="s">
        <v>561</v>
      </c>
      <c r="C455" s="10" t="s">
        <v>1051</v>
      </c>
      <c r="D455" s="24" t="s">
        <v>806</v>
      </c>
      <c r="E455" s="24" t="s">
        <v>807</v>
      </c>
      <c r="F455" s="25" t="s">
        <v>884</v>
      </c>
      <c r="G455" s="25" t="s">
        <v>885</v>
      </c>
      <c r="H455" s="10" t="s">
        <v>823</v>
      </c>
      <c r="I455" s="10" t="s">
        <v>762</v>
      </c>
      <c r="J455" s="28">
        <v>12</v>
      </c>
      <c r="K455" s="28">
        <v>26</v>
      </c>
      <c r="L455" s="24"/>
      <c r="M455" s="24"/>
      <c r="N455" s="24"/>
      <c r="O455" s="29">
        <v>46023</v>
      </c>
      <c r="P455" s="29"/>
      <c r="Q455" s="24">
        <v>100</v>
      </c>
      <c r="R455" s="24" t="s">
        <v>69</v>
      </c>
      <c r="S455" s="10"/>
      <c r="T455" s="10" t="s">
        <v>764</v>
      </c>
      <c r="U455" s="10"/>
      <c r="V455" s="10" t="s">
        <v>824</v>
      </c>
      <c r="W455" s="14">
        <f>IF(AND(ISNUMBER(Übersicht!$B$4),Übersicht!$B$4=INT(Übersicht!$B$4),Übersicht!$B$4&gt;=2026,Übersicht!$B$4&lt;=2028),IF(I455="fixedMonthDay",IF(AND(ISNUMBER(J455),J455=INT(J455),J455&gt;=1,J455&lt;=12,ISNUMBER(K455),K455=INT(K455),K455&gt;=1,K455&lt;=31,MONTH(DATE(Übersicht!$B$4,J455,K455))=J455,DAY(DATE(Übersicht!$B$4,J455,K455))=K455,L455="",M455="",N455=""),DATE(Übersicht!$B$4,J455,K455),NA()),IF(I455="easterOffsetDays",IF(AND(ISNUMBER(L455),L455=INT(L455),L455&gt;=-366,L455&lt;=366,J455="",K455="",M455="",N455=""),$AD$23+L455,NA()),IF(I455="nthWeekdayOfMonth",IF(AND(ISNUMBER(J455),J455=INT(J455),J455&gt;=1,J455&lt;=12,ISNUMBER(M455),M455=INT(M455),M455&gt;=1,M455&lt;=7,ISNUMBER(N455),N455=INT(N455),N455&gt;=1,N455&lt;=5,MONTH(DATE(Übersicht!$B$4,J455,1)+MOD(M455-WEEKDAY(DATE(Übersicht!$B$4,J455,1),2),7)+7*(N455-1))=J455,K455="",L455=""),DATE(Übersicht!$B$4,J455,1)+MOD(M455-WEEKDAY(DATE(Übersicht!$B$4,J455,1),2),7)+7*(N455-1),NA()),IF(I455="nthWeekdayOffsetDays",IF(AND(ISNUMBER(J455),J455=INT(J455),J455&gt;=1,J455&lt;=12,ISNUMBER(M455),M455=INT(M455),M455&gt;=1,M455&lt;=7,ISNUMBER(N455),N455=INT(N455),N455&gt;=1,N455&lt;=5,MONTH(DATE(Übersicht!$B$4,J455,1)+MOD(M455-WEEKDAY(DATE(Übersicht!$B$4,J455,1),2),7)+7*(N455-1))=J455,K455="",ISNUMBER(L455),L455=INT(L455),L455&gt;=-366,L455&lt;=366),DATE(Übersicht!$B$4,J455,1)+MOD(M455-WEEKDAY(DATE(Übersicht!$B$4,J455,1),2),7)+7*(N455-1)+L455,NA()),NA())))),NA())</f>
        <v>47113</v>
      </c>
      <c r="X455" s="14">
        <f t="shared" ref="X455:X518" si="7">IF(AND(ISNUMBER(O455),O455=INT(O455),O455&gt;=-115780,O455&lt;=2958465,OR(P455="",AND(ISNUMBER(P455),P455=INT(P455),P455&gt;=-115780,P455&lt;=2958465,P455&gt;=O455)),OR(AA455="Ganztägig",AA455="Ab 12.00 Uhr")),IF(AND(W455&gt;=O455,OR(P455="",W455&lt;=P455)),W455,"Ausserhalb Geltung"),NA())</f>
        <v>47113</v>
      </c>
      <c r="Y455" s="10" t="s">
        <v>1052</v>
      </c>
      <c r="Z455" s="10" t="s">
        <v>1053</v>
      </c>
      <c r="AA455" s="24" t="s">
        <v>768</v>
      </c>
    </row>
    <row r="456" spans="1:27" ht="44" customHeight="1">
      <c r="A456" s="11" t="s">
        <v>580</v>
      </c>
      <c r="B456" s="11" t="s">
        <v>561</v>
      </c>
      <c r="C456" s="11" t="s">
        <v>1051</v>
      </c>
      <c r="D456" s="26" t="s">
        <v>1062</v>
      </c>
      <c r="E456" s="26" t="s">
        <v>1063</v>
      </c>
      <c r="F456" s="27" t="s">
        <v>1064</v>
      </c>
      <c r="G456" s="27" t="s">
        <v>1062</v>
      </c>
      <c r="H456" s="11" t="s">
        <v>823</v>
      </c>
      <c r="I456" s="11" t="s">
        <v>762</v>
      </c>
      <c r="J456" s="30">
        <v>12</v>
      </c>
      <c r="K456" s="30">
        <v>31</v>
      </c>
      <c r="L456" s="26"/>
      <c r="M456" s="26"/>
      <c r="N456" s="26"/>
      <c r="O456" s="31">
        <v>46023</v>
      </c>
      <c r="P456" s="31"/>
      <c r="Q456" s="26">
        <v>100</v>
      </c>
      <c r="R456" s="26" t="s">
        <v>69</v>
      </c>
      <c r="S456" s="11"/>
      <c r="T456" s="11" t="s">
        <v>764</v>
      </c>
      <c r="U456" s="11"/>
      <c r="V456" s="11" t="s">
        <v>824</v>
      </c>
      <c r="W456" s="15">
        <f>IF(AND(ISNUMBER(Übersicht!$B$4),Übersicht!$B$4=INT(Übersicht!$B$4),Übersicht!$B$4&gt;=2026,Übersicht!$B$4&lt;=2028),IF(I456="fixedMonthDay",IF(AND(ISNUMBER(J456),J456=INT(J456),J456&gt;=1,J456&lt;=12,ISNUMBER(K456),K456=INT(K456),K456&gt;=1,K456&lt;=31,MONTH(DATE(Übersicht!$B$4,J456,K456))=J456,DAY(DATE(Übersicht!$B$4,J456,K456))=K456,L456="",M456="",N456=""),DATE(Übersicht!$B$4,J456,K456),NA()),IF(I456="easterOffsetDays",IF(AND(ISNUMBER(L456),L456=INT(L456),L456&gt;=-366,L456&lt;=366,J456="",K456="",M456="",N456=""),$AD$23+L456,NA()),IF(I456="nthWeekdayOfMonth",IF(AND(ISNUMBER(J456),J456=INT(J456),J456&gt;=1,J456&lt;=12,ISNUMBER(M456),M456=INT(M456),M456&gt;=1,M456&lt;=7,ISNUMBER(N456),N456=INT(N456),N456&gt;=1,N456&lt;=5,MONTH(DATE(Übersicht!$B$4,J456,1)+MOD(M456-WEEKDAY(DATE(Übersicht!$B$4,J456,1),2),7)+7*(N456-1))=J456,K456="",L456=""),DATE(Übersicht!$B$4,J456,1)+MOD(M456-WEEKDAY(DATE(Übersicht!$B$4,J456,1),2),7)+7*(N456-1),NA()),IF(I456="nthWeekdayOffsetDays",IF(AND(ISNUMBER(J456),J456=INT(J456),J456&gt;=1,J456&lt;=12,ISNUMBER(M456),M456=INT(M456),M456&gt;=1,M456&lt;=7,ISNUMBER(N456),N456=INT(N456),N456&gt;=1,N456&lt;=5,MONTH(DATE(Übersicht!$B$4,J456,1)+MOD(M456-WEEKDAY(DATE(Übersicht!$B$4,J456,1),2),7)+7*(N456-1))=J456,K456="",ISNUMBER(L456),L456=INT(L456),L456&gt;=-366,L456&lt;=366),DATE(Übersicht!$B$4,J456,1)+MOD(M456-WEEKDAY(DATE(Übersicht!$B$4,J456,1),2),7)+7*(N456-1)+L456,NA()),NA())))),NA())</f>
        <v>47118</v>
      </c>
      <c r="X456" s="15">
        <f t="shared" si="7"/>
        <v>47118</v>
      </c>
      <c r="Y456" s="11" t="s">
        <v>1052</v>
      </c>
      <c r="Z456" s="11" t="s">
        <v>1053</v>
      </c>
      <c r="AA456" s="26" t="s">
        <v>768</v>
      </c>
    </row>
    <row r="457" spans="1:27" ht="44" customHeight="1">
      <c r="A457" s="10" t="s">
        <v>583</v>
      </c>
      <c r="B457" s="10" t="s">
        <v>581</v>
      </c>
      <c r="C457" s="10" t="s">
        <v>1065</v>
      </c>
      <c r="D457" s="24" t="s">
        <v>771</v>
      </c>
      <c r="E457" s="24" t="s">
        <v>772</v>
      </c>
      <c r="F457" s="25" t="s">
        <v>849</v>
      </c>
      <c r="G457" s="25" t="s">
        <v>850</v>
      </c>
      <c r="H457" s="10" t="s">
        <v>761</v>
      </c>
      <c r="I457" s="10" t="s">
        <v>762</v>
      </c>
      <c r="J457" s="28">
        <v>1</v>
      </c>
      <c r="K457" s="28">
        <v>1</v>
      </c>
      <c r="L457" s="24"/>
      <c r="M457" s="24"/>
      <c r="N457" s="24"/>
      <c r="O457" s="29">
        <v>46023</v>
      </c>
      <c r="P457" s="29"/>
      <c r="Q457" s="24">
        <v>100</v>
      </c>
      <c r="R457" s="24" t="s">
        <v>69</v>
      </c>
      <c r="S457" s="10"/>
      <c r="T457" s="10" t="s">
        <v>764</v>
      </c>
      <c r="U457" s="10"/>
      <c r="V457" s="10" t="s">
        <v>824</v>
      </c>
      <c r="W457" s="14">
        <f>IF(AND(ISNUMBER(Übersicht!$B$4),Übersicht!$B$4=INT(Übersicht!$B$4),Übersicht!$B$4&gt;=2026,Übersicht!$B$4&lt;=2028),IF(I457="fixedMonthDay",IF(AND(ISNUMBER(J457),J457=INT(J457),J457&gt;=1,J457&lt;=12,ISNUMBER(K457),K457=INT(K457),K457&gt;=1,K457&lt;=31,MONTH(DATE(Übersicht!$B$4,J457,K457))=J457,DAY(DATE(Übersicht!$B$4,J457,K457))=K457,L457="",M457="",N457=""),DATE(Übersicht!$B$4,J457,K457),NA()),IF(I457="easterOffsetDays",IF(AND(ISNUMBER(L457),L457=INT(L457),L457&gt;=-366,L457&lt;=366,J457="",K457="",M457="",N457=""),$AD$23+L457,NA()),IF(I457="nthWeekdayOfMonth",IF(AND(ISNUMBER(J457),J457=INT(J457),J457&gt;=1,J457&lt;=12,ISNUMBER(M457),M457=INT(M457),M457&gt;=1,M457&lt;=7,ISNUMBER(N457),N457=INT(N457),N457&gt;=1,N457&lt;=5,MONTH(DATE(Übersicht!$B$4,J457,1)+MOD(M457-WEEKDAY(DATE(Übersicht!$B$4,J457,1),2),7)+7*(N457-1))=J457,K457="",L457=""),DATE(Übersicht!$B$4,J457,1)+MOD(M457-WEEKDAY(DATE(Übersicht!$B$4,J457,1),2),7)+7*(N457-1),NA()),IF(I457="nthWeekdayOffsetDays",IF(AND(ISNUMBER(J457),J457=INT(J457),J457&gt;=1,J457&lt;=12,ISNUMBER(M457),M457=INT(M457),M457&gt;=1,M457&lt;=7,ISNUMBER(N457),N457=INT(N457),N457&gt;=1,N457&lt;=5,MONTH(DATE(Übersicht!$B$4,J457,1)+MOD(M457-WEEKDAY(DATE(Übersicht!$B$4,J457,1),2),7)+7*(N457-1))=J457,K457="",ISNUMBER(L457),L457=INT(L457),L457&gt;=-366,L457&lt;=366),DATE(Übersicht!$B$4,J457,1)+MOD(M457-WEEKDAY(DATE(Übersicht!$B$4,J457,1),2),7)+7*(N457-1)+L457,NA()),NA())))),NA())</f>
        <v>46753</v>
      </c>
      <c r="X457" s="14">
        <f t="shared" si="7"/>
        <v>46753</v>
      </c>
      <c r="Y457" s="10" t="s">
        <v>1066</v>
      </c>
      <c r="Z457" s="10" t="s">
        <v>1067</v>
      </c>
      <c r="AA457" s="24" t="s">
        <v>768</v>
      </c>
    </row>
    <row r="458" spans="1:27" ht="44" customHeight="1">
      <c r="A458" s="11" t="s">
        <v>584</v>
      </c>
      <c r="B458" s="11" t="s">
        <v>581</v>
      </c>
      <c r="C458" s="11" t="s">
        <v>1065</v>
      </c>
      <c r="D458" s="26" t="s">
        <v>906</v>
      </c>
      <c r="E458" s="26" t="s">
        <v>907</v>
      </c>
      <c r="F458" s="27" t="s">
        <v>1033</v>
      </c>
      <c r="G458" s="27" t="s">
        <v>1034</v>
      </c>
      <c r="H458" s="11" t="s">
        <v>761</v>
      </c>
      <c r="I458" s="11" t="s">
        <v>762</v>
      </c>
      <c r="J458" s="30">
        <v>1</v>
      </c>
      <c r="K458" s="30">
        <v>2</v>
      </c>
      <c r="L458" s="26"/>
      <c r="M458" s="26"/>
      <c r="N458" s="26"/>
      <c r="O458" s="31">
        <v>46023</v>
      </c>
      <c r="P458" s="31"/>
      <c r="Q458" s="26">
        <v>100</v>
      </c>
      <c r="R458" s="26" t="s">
        <v>69</v>
      </c>
      <c r="S458" s="11"/>
      <c r="T458" s="11" t="s">
        <v>764</v>
      </c>
      <c r="U458" s="11"/>
      <c r="V458" s="11" t="s">
        <v>824</v>
      </c>
      <c r="W458" s="15">
        <f>IF(AND(ISNUMBER(Übersicht!$B$4),Übersicht!$B$4=INT(Übersicht!$B$4),Übersicht!$B$4&gt;=2026,Übersicht!$B$4&lt;=2028),IF(I458="fixedMonthDay",IF(AND(ISNUMBER(J458),J458=INT(J458),J458&gt;=1,J458&lt;=12,ISNUMBER(K458),K458=INT(K458),K458&gt;=1,K458&lt;=31,MONTH(DATE(Übersicht!$B$4,J458,K458))=J458,DAY(DATE(Übersicht!$B$4,J458,K458))=K458,L458="",M458="",N458=""),DATE(Übersicht!$B$4,J458,K458),NA()),IF(I458="easterOffsetDays",IF(AND(ISNUMBER(L458),L458=INT(L458),L458&gt;=-366,L458&lt;=366,J458="",K458="",M458="",N458=""),$AD$23+L458,NA()),IF(I458="nthWeekdayOfMonth",IF(AND(ISNUMBER(J458),J458=INT(J458),J458&gt;=1,J458&lt;=12,ISNUMBER(M458),M458=INT(M458),M458&gt;=1,M458&lt;=7,ISNUMBER(N458),N458=INT(N458),N458&gt;=1,N458&lt;=5,MONTH(DATE(Übersicht!$B$4,J458,1)+MOD(M458-WEEKDAY(DATE(Übersicht!$B$4,J458,1),2),7)+7*(N458-1))=J458,K458="",L458=""),DATE(Übersicht!$B$4,J458,1)+MOD(M458-WEEKDAY(DATE(Übersicht!$B$4,J458,1),2),7)+7*(N458-1),NA()),IF(I458="nthWeekdayOffsetDays",IF(AND(ISNUMBER(J458),J458=INT(J458),J458&gt;=1,J458&lt;=12,ISNUMBER(M458),M458=INT(M458),M458&gt;=1,M458&lt;=7,ISNUMBER(N458),N458=INT(N458),N458&gt;=1,N458&lt;=5,MONTH(DATE(Übersicht!$B$4,J458,1)+MOD(M458-WEEKDAY(DATE(Übersicht!$B$4,J458,1),2),7)+7*(N458-1))=J458,K458="",ISNUMBER(L458),L458=INT(L458),L458&gt;=-366,L458&lt;=366),DATE(Übersicht!$B$4,J458,1)+MOD(M458-WEEKDAY(DATE(Übersicht!$B$4,J458,1),2),7)+7*(N458-1)+L458,NA()),NA())))),NA())</f>
        <v>46754</v>
      </c>
      <c r="X458" s="15">
        <f t="shared" si="7"/>
        <v>46754</v>
      </c>
      <c r="Y458" s="11" t="s">
        <v>1066</v>
      </c>
      <c r="Z458" s="11" t="s">
        <v>1067</v>
      </c>
      <c r="AA458" s="26" t="s">
        <v>768</v>
      </c>
    </row>
    <row r="459" spans="1:27" ht="44" customHeight="1">
      <c r="A459" s="10" t="s">
        <v>585</v>
      </c>
      <c r="B459" s="10" t="s">
        <v>581</v>
      </c>
      <c r="C459" s="10" t="s">
        <v>1065</v>
      </c>
      <c r="D459" s="24" t="s">
        <v>779</v>
      </c>
      <c r="E459" s="24" t="s">
        <v>780</v>
      </c>
      <c r="F459" s="25" t="s">
        <v>889</v>
      </c>
      <c r="G459" s="25" t="s">
        <v>890</v>
      </c>
      <c r="H459" s="10" t="s">
        <v>761</v>
      </c>
      <c r="I459" s="10" t="s">
        <v>781</v>
      </c>
      <c r="J459" s="28"/>
      <c r="K459" s="28"/>
      <c r="L459" s="24">
        <v>-2</v>
      </c>
      <c r="M459" s="24"/>
      <c r="N459" s="24"/>
      <c r="O459" s="29">
        <v>46023</v>
      </c>
      <c r="P459" s="29"/>
      <c r="Q459" s="24">
        <v>100</v>
      </c>
      <c r="R459" s="24" t="s">
        <v>69</v>
      </c>
      <c r="S459" s="10"/>
      <c r="T459" s="10" t="s">
        <v>764</v>
      </c>
      <c r="U459" s="10"/>
      <c r="V459" s="10" t="s">
        <v>824</v>
      </c>
      <c r="W459" s="14">
        <f>IF(AND(ISNUMBER(Übersicht!$B$4),Übersicht!$B$4=INT(Übersicht!$B$4),Übersicht!$B$4&gt;=2026,Übersicht!$B$4&lt;=2028),IF(I459="fixedMonthDay",IF(AND(ISNUMBER(J459),J459=INT(J459),J459&gt;=1,J459&lt;=12,ISNUMBER(K459),K459=INT(K459),K459&gt;=1,K459&lt;=31,MONTH(DATE(Übersicht!$B$4,J459,K459))=J459,DAY(DATE(Übersicht!$B$4,J459,K459))=K459,L459="",M459="",N459=""),DATE(Übersicht!$B$4,J459,K459),NA()),IF(I459="easterOffsetDays",IF(AND(ISNUMBER(L459),L459=INT(L459),L459&gt;=-366,L459&lt;=366,J459="",K459="",M459="",N459=""),$AD$23+L459,NA()),IF(I459="nthWeekdayOfMonth",IF(AND(ISNUMBER(J459),J459=INT(J459),J459&gt;=1,J459&lt;=12,ISNUMBER(M459),M459=INT(M459),M459&gt;=1,M459&lt;=7,ISNUMBER(N459),N459=INT(N459),N459&gt;=1,N459&lt;=5,MONTH(DATE(Übersicht!$B$4,J459,1)+MOD(M459-WEEKDAY(DATE(Übersicht!$B$4,J459,1),2),7)+7*(N459-1))=J459,K459="",L459=""),DATE(Übersicht!$B$4,J459,1)+MOD(M459-WEEKDAY(DATE(Übersicht!$B$4,J459,1),2),7)+7*(N459-1),NA()),IF(I459="nthWeekdayOffsetDays",IF(AND(ISNUMBER(J459),J459=INT(J459),J459&gt;=1,J459&lt;=12,ISNUMBER(M459),M459=INT(M459),M459&gt;=1,M459&lt;=7,ISNUMBER(N459),N459=INT(N459),N459&gt;=1,N459&lt;=5,MONTH(DATE(Übersicht!$B$4,J459,1)+MOD(M459-WEEKDAY(DATE(Übersicht!$B$4,J459,1),2),7)+7*(N459-1))=J459,K459="",ISNUMBER(L459),L459=INT(L459),L459&gt;=-366,L459&lt;=366),DATE(Übersicht!$B$4,J459,1)+MOD(M459-WEEKDAY(DATE(Übersicht!$B$4,J459,1),2),7)+7*(N459-1)+L459,NA()),NA())))),NA())</f>
        <v>46857</v>
      </c>
      <c r="X459" s="14">
        <f t="shared" si="7"/>
        <v>46857</v>
      </c>
      <c r="Y459" s="10" t="s">
        <v>1066</v>
      </c>
      <c r="Z459" s="10" t="s">
        <v>1067</v>
      </c>
      <c r="AA459" s="24" t="s">
        <v>768</v>
      </c>
    </row>
    <row r="460" spans="1:27" ht="44" customHeight="1">
      <c r="A460" s="11" t="s">
        <v>586</v>
      </c>
      <c r="B460" s="11" t="s">
        <v>581</v>
      </c>
      <c r="C460" s="11" t="s">
        <v>1065</v>
      </c>
      <c r="D460" s="26" t="s">
        <v>784</v>
      </c>
      <c r="E460" s="26" t="s">
        <v>785</v>
      </c>
      <c r="F460" s="27" t="s">
        <v>892</v>
      </c>
      <c r="G460" s="27" t="s">
        <v>893</v>
      </c>
      <c r="H460" s="11" t="s">
        <v>761</v>
      </c>
      <c r="I460" s="11" t="s">
        <v>781</v>
      </c>
      <c r="J460" s="30"/>
      <c r="K460" s="30"/>
      <c r="L460" s="26">
        <v>0</v>
      </c>
      <c r="M460" s="26"/>
      <c r="N460" s="26"/>
      <c r="O460" s="31">
        <v>46023</v>
      </c>
      <c r="P460" s="31"/>
      <c r="Q460" s="26">
        <v>100</v>
      </c>
      <c r="R460" s="26" t="s">
        <v>69</v>
      </c>
      <c r="S460" s="11"/>
      <c r="T460" s="11" t="s">
        <v>764</v>
      </c>
      <c r="U460" s="11"/>
      <c r="V460" s="11" t="s">
        <v>824</v>
      </c>
      <c r="W460" s="15">
        <f>IF(AND(ISNUMBER(Übersicht!$B$4),Übersicht!$B$4=INT(Übersicht!$B$4),Übersicht!$B$4&gt;=2026,Übersicht!$B$4&lt;=2028),IF(I460="fixedMonthDay",IF(AND(ISNUMBER(J460),J460=INT(J460),J460&gt;=1,J460&lt;=12,ISNUMBER(K460),K460=INT(K460),K460&gt;=1,K460&lt;=31,MONTH(DATE(Übersicht!$B$4,J460,K460))=J460,DAY(DATE(Übersicht!$B$4,J460,K460))=K460,L460="",M460="",N460=""),DATE(Übersicht!$B$4,J460,K460),NA()),IF(I460="easterOffsetDays",IF(AND(ISNUMBER(L460),L460=INT(L460),L460&gt;=-366,L460&lt;=366,J460="",K460="",M460="",N460=""),$AD$23+L460,NA()),IF(I460="nthWeekdayOfMonth",IF(AND(ISNUMBER(J460),J460=INT(J460),J460&gt;=1,J460&lt;=12,ISNUMBER(M460),M460=INT(M460),M460&gt;=1,M460&lt;=7,ISNUMBER(N460),N460=INT(N460),N460&gt;=1,N460&lt;=5,MONTH(DATE(Übersicht!$B$4,J460,1)+MOD(M460-WEEKDAY(DATE(Übersicht!$B$4,J460,1),2),7)+7*(N460-1))=J460,K460="",L460=""),DATE(Übersicht!$B$4,J460,1)+MOD(M460-WEEKDAY(DATE(Übersicht!$B$4,J460,1),2),7)+7*(N460-1),NA()),IF(I460="nthWeekdayOffsetDays",IF(AND(ISNUMBER(J460),J460=INT(J460),J460&gt;=1,J460&lt;=12,ISNUMBER(M460),M460=INT(M460),M460&gt;=1,M460&lt;=7,ISNUMBER(N460),N460=INT(N460),N460&gt;=1,N460&lt;=5,MONTH(DATE(Übersicht!$B$4,J460,1)+MOD(M460-WEEKDAY(DATE(Übersicht!$B$4,J460,1),2),7)+7*(N460-1))=J460,K460="",ISNUMBER(L460),L460=INT(L460),L460&gt;=-366,L460&lt;=366),DATE(Übersicht!$B$4,J460,1)+MOD(M460-WEEKDAY(DATE(Übersicht!$B$4,J460,1),2),7)+7*(N460-1)+L460,NA()),NA())))),NA())</f>
        <v>46859</v>
      </c>
      <c r="X460" s="15">
        <f t="shared" si="7"/>
        <v>46859</v>
      </c>
      <c r="Y460" s="11" t="s">
        <v>1066</v>
      </c>
      <c r="Z460" s="11" t="s">
        <v>1067</v>
      </c>
      <c r="AA460" s="26" t="s">
        <v>768</v>
      </c>
    </row>
    <row r="461" spans="1:27" ht="44" customHeight="1">
      <c r="A461" s="10" t="s">
        <v>587</v>
      </c>
      <c r="B461" s="10" t="s">
        <v>581</v>
      </c>
      <c r="C461" s="10" t="s">
        <v>1065</v>
      </c>
      <c r="D461" s="24" t="s">
        <v>787</v>
      </c>
      <c r="E461" s="24" t="s">
        <v>788</v>
      </c>
      <c r="F461" s="25" t="s">
        <v>860</v>
      </c>
      <c r="G461" s="25" t="s">
        <v>861</v>
      </c>
      <c r="H461" s="10" t="s">
        <v>761</v>
      </c>
      <c r="I461" s="10" t="s">
        <v>781</v>
      </c>
      <c r="J461" s="28"/>
      <c r="K461" s="28"/>
      <c r="L461" s="24">
        <v>1</v>
      </c>
      <c r="M461" s="24"/>
      <c r="N461" s="24"/>
      <c r="O461" s="29">
        <v>46023</v>
      </c>
      <c r="P461" s="29"/>
      <c r="Q461" s="24">
        <v>100</v>
      </c>
      <c r="R461" s="24" t="s">
        <v>69</v>
      </c>
      <c r="S461" s="10"/>
      <c r="T461" s="10" t="s">
        <v>764</v>
      </c>
      <c r="U461" s="10"/>
      <c r="V461" s="10" t="s">
        <v>824</v>
      </c>
      <c r="W461" s="14">
        <f>IF(AND(ISNUMBER(Übersicht!$B$4),Übersicht!$B$4=INT(Übersicht!$B$4),Übersicht!$B$4&gt;=2026,Übersicht!$B$4&lt;=2028),IF(I461="fixedMonthDay",IF(AND(ISNUMBER(J461),J461=INT(J461),J461&gt;=1,J461&lt;=12,ISNUMBER(K461),K461=INT(K461),K461&gt;=1,K461&lt;=31,MONTH(DATE(Übersicht!$B$4,J461,K461))=J461,DAY(DATE(Übersicht!$B$4,J461,K461))=K461,L461="",M461="",N461=""),DATE(Übersicht!$B$4,J461,K461),NA()),IF(I461="easterOffsetDays",IF(AND(ISNUMBER(L461),L461=INT(L461),L461&gt;=-366,L461&lt;=366,J461="",K461="",M461="",N461=""),$AD$23+L461,NA()),IF(I461="nthWeekdayOfMonth",IF(AND(ISNUMBER(J461),J461=INT(J461),J461&gt;=1,J461&lt;=12,ISNUMBER(M461),M461=INT(M461),M461&gt;=1,M461&lt;=7,ISNUMBER(N461),N461=INT(N461),N461&gt;=1,N461&lt;=5,MONTH(DATE(Übersicht!$B$4,J461,1)+MOD(M461-WEEKDAY(DATE(Übersicht!$B$4,J461,1),2),7)+7*(N461-1))=J461,K461="",L461=""),DATE(Übersicht!$B$4,J461,1)+MOD(M461-WEEKDAY(DATE(Übersicht!$B$4,J461,1),2),7)+7*(N461-1),NA()),IF(I461="nthWeekdayOffsetDays",IF(AND(ISNUMBER(J461),J461=INT(J461),J461&gt;=1,J461&lt;=12,ISNUMBER(M461),M461=INT(M461),M461&gt;=1,M461&lt;=7,ISNUMBER(N461),N461=INT(N461),N461&gt;=1,N461&lt;=5,MONTH(DATE(Übersicht!$B$4,J461,1)+MOD(M461-WEEKDAY(DATE(Übersicht!$B$4,J461,1),2),7)+7*(N461-1))=J461,K461="",ISNUMBER(L461),L461=INT(L461),L461&gt;=-366,L461&lt;=366),DATE(Übersicht!$B$4,J461,1)+MOD(M461-WEEKDAY(DATE(Übersicht!$B$4,J461,1),2),7)+7*(N461-1)+L461,NA()),NA())))),NA())</f>
        <v>46860</v>
      </c>
      <c r="X461" s="14">
        <f t="shared" si="7"/>
        <v>46860</v>
      </c>
      <c r="Y461" s="10" t="s">
        <v>1066</v>
      </c>
      <c r="Z461" s="10" t="s">
        <v>1067</v>
      </c>
      <c r="AA461" s="24" t="s">
        <v>768</v>
      </c>
    </row>
    <row r="462" spans="1:27" ht="44" customHeight="1">
      <c r="A462" s="11" t="s">
        <v>588</v>
      </c>
      <c r="B462" s="11" t="s">
        <v>581</v>
      </c>
      <c r="C462" s="11" t="s">
        <v>1065</v>
      </c>
      <c r="D462" s="26" t="s">
        <v>846</v>
      </c>
      <c r="E462" s="26" t="s">
        <v>847</v>
      </c>
      <c r="F462" s="27" t="s">
        <v>862</v>
      </c>
      <c r="G462" s="27" t="s">
        <v>863</v>
      </c>
      <c r="H462" s="11" t="s">
        <v>761</v>
      </c>
      <c r="I462" s="11" t="s">
        <v>762</v>
      </c>
      <c r="J462" s="30">
        <v>5</v>
      </c>
      <c r="K462" s="30">
        <v>1</v>
      </c>
      <c r="L462" s="26"/>
      <c r="M462" s="26"/>
      <c r="N462" s="26"/>
      <c r="O462" s="31">
        <v>46023</v>
      </c>
      <c r="P462" s="31"/>
      <c r="Q462" s="26">
        <v>100</v>
      </c>
      <c r="R462" s="26" t="s">
        <v>69</v>
      </c>
      <c r="S462" s="11"/>
      <c r="T462" s="11" t="s">
        <v>764</v>
      </c>
      <c r="U462" s="11"/>
      <c r="V462" s="11" t="s">
        <v>824</v>
      </c>
      <c r="W462" s="15">
        <f>IF(AND(ISNUMBER(Übersicht!$B$4),Übersicht!$B$4=INT(Übersicht!$B$4),Übersicht!$B$4&gt;=2026,Übersicht!$B$4&lt;=2028),IF(I462="fixedMonthDay",IF(AND(ISNUMBER(J462),J462=INT(J462),J462&gt;=1,J462&lt;=12,ISNUMBER(K462),K462=INT(K462),K462&gt;=1,K462&lt;=31,MONTH(DATE(Übersicht!$B$4,J462,K462))=J462,DAY(DATE(Übersicht!$B$4,J462,K462))=K462,L462="",M462="",N462=""),DATE(Übersicht!$B$4,J462,K462),NA()),IF(I462="easterOffsetDays",IF(AND(ISNUMBER(L462),L462=INT(L462),L462&gt;=-366,L462&lt;=366,J462="",K462="",M462="",N462=""),$AD$23+L462,NA()),IF(I462="nthWeekdayOfMonth",IF(AND(ISNUMBER(J462),J462=INT(J462),J462&gt;=1,J462&lt;=12,ISNUMBER(M462),M462=INT(M462),M462&gt;=1,M462&lt;=7,ISNUMBER(N462),N462=INT(N462),N462&gt;=1,N462&lt;=5,MONTH(DATE(Übersicht!$B$4,J462,1)+MOD(M462-WEEKDAY(DATE(Übersicht!$B$4,J462,1),2),7)+7*(N462-1))=J462,K462="",L462=""),DATE(Übersicht!$B$4,J462,1)+MOD(M462-WEEKDAY(DATE(Übersicht!$B$4,J462,1),2),7)+7*(N462-1),NA()),IF(I462="nthWeekdayOffsetDays",IF(AND(ISNUMBER(J462),J462=INT(J462),J462&gt;=1,J462&lt;=12,ISNUMBER(M462),M462=INT(M462),M462&gt;=1,M462&lt;=7,ISNUMBER(N462),N462=INT(N462),N462&gt;=1,N462&lt;=5,MONTH(DATE(Übersicht!$B$4,J462,1)+MOD(M462-WEEKDAY(DATE(Übersicht!$B$4,J462,1),2),7)+7*(N462-1))=J462,K462="",ISNUMBER(L462),L462=INT(L462),L462&gt;=-366,L462&lt;=366),DATE(Übersicht!$B$4,J462,1)+MOD(M462-WEEKDAY(DATE(Übersicht!$B$4,J462,1),2),7)+7*(N462-1)+L462,NA()),NA())))),NA())</f>
        <v>46874</v>
      </c>
      <c r="X462" s="15">
        <f t="shared" si="7"/>
        <v>46874</v>
      </c>
      <c r="Y462" s="11" t="s">
        <v>1066</v>
      </c>
      <c r="Z462" s="11" t="s">
        <v>1067</v>
      </c>
      <c r="AA462" s="26" t="s">
        <v>768</v>
      </c>
    </row>
    <row r="463" spans="1:27" ht="44" customHeight="1">
      <c r="A463" s="10" t="s">
        <v>589</v>
      </c>
      <c r="B463" s="10" t="s">
        <v>581</v>
      </c>
      <c r="C463" s="10" t="s">
        <v>1065</v>
      </c>
      <c r="D463" s="24" t="s">
        <v>790</v>
      </c>
      <c r="E463" s="24" t="s">
        <v>791</v>
      </c>
      <c r="F463" s="25" t="s">
        <v>864</v>
      </c>
      <c r="G463" s="25" t="s">
        <v>865</v>
      </c>
      <c r="H463" s="10" t="s">
        <v>761</v>
      </c>
      <c r="I463" s="10" t="s">
        <v>781</v>
      </c>
      <c r="J463" s="28"/>
      <c r="K463" s="28"/>
      <c r="L463" s="24">
        <v>39</v>
      </c>
      <c r="M463" s="24"/>
      <c r="N463" s="24"/>
      <c r="O463" s="29">
        <v>46023</v>
      </c>
      <c r="P463" s="29"/>
      <c r="Q463" s="24">
        <v>100</v>
      </c>
      <c r="R463" s="24" t="s">
        <v>69</v>
      </c>
      <c r="S463" s="10"/>
      <c r="T463" s="10" t="s">
        <v>764</v>
      </c>
      <c r="U463" s="10"/>
      <c r="V463" s="10" t="s">
        <v>824</v>
      </c>
      <c r="W463" s="14">
        <f>IF(AND(ISNUMBER(Übersicht!$B$4),Übersicht!$B$4=INT(Übersicht!$B$4),Übersicht!$B$4&gt;=2026,Übersicht!$B$4&lt;=2028),IF(I463="fixedMonthDay",IF(AND(ISNUMBER(J463),J463=INT(J463),J463&gt;=1,J463&lt;=12,ISNUMBER(K463),K463=INT(K463),K463&gt;=1,K463&lt;=31,MONTH(DATE(Übersicht!$B$4,J463,K463))=J463,DAY(DATE(Übersicht!$B$4,J463,K463))=K463,L463="",M463="",N463=""),DATE(Übersicht!$B$4,J463,K463),NA()),IF(I463="easterOffsetDays",IF(AND(ISNUMBER(L463),L463=INT(L463),L463&gt;=-366,L463&lt;=366,J463="",K463="",M463="",N463=""),$AD$23+L463,NA()),IF(I463="nthWeekdayOfMonth",IF(AND(ISNUMBER(J463),J463=INT(J463),J463&gt;=1,J463&lt;=12,ISNUMBER(M463),M463=INT(M463),M463&gt;=1,M463&lt;=7,ISNUMBER(N463),N463=INT(N463),N463&gt;=1,N463&lt;=5,MONTH(DATE(Übersicht!$B$4,J463,1)+MOD(M463-WEEKDAY(DATE(Übersicht!$B$4,J463,1),2),7)+7*(N463-1))=J463,K463="",L463=""),DATE(Übersicht!$B$4,J463,1)+MOD(M463-WEEKDAY(DATE(Übersicht!$B$4,J463,1),2),7)+7*(N463-1),NA()),IF(I463="nthWeekdayOffsetDays",IF(AND(ISNUMBER(J463),J463=INT(J463),J463&gt;=1,J463&lt;=12,ISNUMBER(M463),M463=INT(M463),M463&gt;=1,M463&lt;=7,ISNUMBER(N463),N463=INT(N463),N463&gt;=1,N463&lt;=5,MONTH(DATE(Übersicht!$B$4,J463,1)+MOD(M463-WEEKDAY(DATE(Übersicht!$B$4,J463,1),2),7)+7*(N463-1))=J463,K463="",ISNUMBER(L463),L463=INT(L463),L463&gt;=-366,L463&lt;=366),DATE(Übersicht!$B$4,J463,1)+MOD(M463-WEEKDAY(DATE(Übersicht!$B$4,J463,1),2),7)+7*(N463-1)+L463,NA()),NA())))),NA())</f>
        <v>46898</v>
      </c>
      <c r="X463" s="14">
        <f t="shared" si="7"/>
        <v>46898</v>
      </c>
      <c r="Y463" s="10" t="s">
        <v>1066</v>
      </c>
      <c r="Z463" s="10" t="s">
        <v>1067</v>
      </c>
      <c r="AA463" s="24" t="s">
        <v>768</v>
      </c>
    </row>
    <row r="464" spans="1:27" ht="44" customHeight="1">
      <c r="A464" s="11" t="s">
        <v>590</v>
      </c>
      <c r="B464" s="11" t="s">
        <v>581</v>
      </c>
      <c r="C464" s="11" t="s">
        <v>1065</v>
      </c>
      <c r="D464" s="26" t="s">
        <v>793</v>
      </c>
      <c r="E464" s="26" t="s">
        <v>794</v>
      </c>
      <c r="F464" s="27" t="s">
        <v>896</v>
      </c>
      <c r="G464" s="27" t="s">
        <v>897</v>
      </c>
      <c r="H464" s="11" t="s">
        <v>761</v>
      </c>
      <c r="I464" s="11" t="s">
        <v>781</v>
      </c>
      <c r="J464" s="30"/>
      <c r="K464" s="30"/>
      <c r="L464" s="26">
        <v>49</v>
      </c>
      <c r="M464" s="26"/>
      <c r="N464" s="26"/>
      <c r="O464" s="31">
        <v>46023</v>
      </c>
      <c r="P464" s="31"/>
      <c r="Q464" s="26">
        <v>100</v>
      </c>
      <c r="R464" s="26" t="s">
        <v>69</v>
      </c>
      <c r="S464" s="11"/>
      <c r="T464" s="11" t="s">
        <v>764</v>
      </c>
      <c r="U464" s="11"/>
      <c r="V464" s="11" t="s">
        <v>824</v>
      </c>
      <c r="W464" s="15">
        <f>IF(AND(ISNUMBER(Übersicht!$B$4),Übersicht!$B$4=INT(Übersicht!$B$4),Übersicht!$B$4&gt;=2026,Übersicht!$B$4&lt;=2028),IF(I464="fixedMonthDay",IF(AND(ISNUMBER(J464),J464=INT(J464),J464&gt;=1,J464&lt;=12,ISNUMBER(K464),K464=INT(K464),K464&gt;=1,K464&lt;=31,MONTH(DATE(Übersicht!$B$4,J464,K464))=J464,DAY(DATE(Übersicht!$B$4,J464,K464))=K464,L464="",M464="",N464=""),DATE(Übersicht!$B$4,J464,K464),NA()),IF(I464="easterOffsetDays",IF(AND(ISNUMBER(L464),L464=INT(L464),L464&gt;=-366,L464&lt;=366,J464="",K464="",M464="",N464=""),$AD$23+L464,NA()),IF(I464="nthWeekdayOfMonth",IF(AND(ISNUMBER(J464),J464=INT(J464),J464&gt;=1,J464&lt;=12,ISNUMBER(M464),M464=INT(M464),M464&gt;=1,M464&lt;=7,ISNUMBER(N464),N464=INT(N464),N464&gt;=1,N464&lt;=5,MONTH(DATE(Übersicht!$B$4,J464,1)+MOD(M464-WEEKDAY(DATE(Übersicht!$B$4,J464,1),2),7)+7*(N464-1))=J464,K464="",L464=""),DATE(Übersicht!$B$4,J464,1)+MOD(M464-WEEKDAY(DATE(Übersicht!$B$4,J464,1),2),7)+7*(N464-1),NA()),IF(I464="nthWeekdayOffsetDays",IF(AND(ISNUMBER(J464),J464=INT(J464),J464&gt;=1,J464&lt;=12,ISNUMBER(M464),M464=INT(M464),M464&gt;=1,M464&lt;=7,ISNUMBER(N464),N464=INT(N464),N464&gt;=1,N464&lt;=5,MONTH(DATE(Übersicht!$B$4,J464,1)+MOD(M464-WEEKDAY(DATE(Übersicht!$B$4,J464,1),2),7)+7*(N464-1))=J464,K464="",ISNUMBER(L464),L464=INT(L464),L464&gt;=-366,L464&lt;=366),DATE(Übersicht!$B$4,J464,1)+MOD(M464-WEEKDAY(DATE(Übersicht!$B$4,J464,1),2),7)+7*(N464-1)+L464,NA()),NA())))),NA())</f>
        <v>46908</v>
      </c>
      <c r="X464" s="15">
        <f t="shared" si="7"/>
        <v>46908</v>
      </c>
      <c r="Y464" s="11" t="s">
        <v>1066</v>
      </c>
      <c r="Z464" s="11" t="s">
        <v>1067</v>
      </c>
      <c r="AA464" s="26" t="s">
        <v>768</v>
      </c>
    </row>
    <row r="465" spans="1:27" ht="44" customHeight="1">
      <c r="A465" s="10" t="s">
        <v>591</v>
      </c>
      <c r="B465" s="10" t="s">
        <v>581</v>
      </c>
      <c r="C465" s="10" t="s">
        <v>1065</v>
      </c>
      <c r="D465" s="24" t="s">
        <v>796</v>
      </c>
      <c r="E465" s="24" t="s">
        <v>797</v>
      </c>
      <c r="F465" s="25" t="s">
        <v>866</v>
      </c>
      <c r="G465" s="25" t="s">
        <v>867</v>
      </c>
      <c r="H465" s="10" t="s">
        <v>761</v>
      </c>
      <c r="I465" s="10" t="s">
        <v>781</v>
      </c>
      <c r="J465" s="28"/>
      <c r="K465" s="28"/>
      <c r="L465" s="24">
        <v>50</v>
      </c>
      <c r="M465" s="24"/>
      <c r="N465" s="24"/>
      <c r="O465" s="29">
        <v>46023</v>
      </c>
      <c r="P465" s="29"/>
      <c r="Q465" s="24">
        <v>100</v>
      </c>
      <c r="R465" s="24" t="s">
        <v>69</v>
      </c>
      <c r="S465" s="10"/>
      <c r="T465" s="10" t="s">
        <v>764</v>
      </c>
      <c r="U465" s="10"/>
      <c r="V465" s="10" t="s">
        <v>824</v>
      </c>
      <c r="W465" s="14">
        <f>IF(AND(ISNUMBER(Übersicht!$B$4),Übersicht!$B$4=INT(Übersicht!$B$4),Übersicht!$B$4&gt;=2026,Übersicht!$B$4&lt;=2028),IF(I465="fixedMonthDay",IF(AND(ISNUMBER(J465),J465=INT(J465),J465&gt;=1,J465&lt;=12,ISNUMBER(K465),K465=INT(K465),K465&gt;=1,K465&lt;=31,MONTH(DATE(Übersicht!$B$4,J465,K465))=J465,DAY(DATE(Übersicht!$B$4,J465,K465))=K465,L465="",M465="",N465=""),DATE(Übersicht!$B$4,J465,K465),NA()),IF(I465="easterOffsetDays",IF(AND(ISNUMBER(L465),L465=INT(L465),L465&gt;=-366,L465&lt;=366,J465="",K465="",M465="",N465=""),$AD$23+L465,NA()),IF(I465="nthWeekdayOfMonth",IF(AND(ISNUMBER(J465),J465=INT(J465),J465&gt;=1,J465&lt;=12,ISNUMBER(M465),M465=INT(M465),M465&gt;=1,M465&lt;=7,ISNUMBER(N465),N465=INT(N465),N465&gt;=1,N465&lt;=5,MONTH(DATE(Übersicht!$B$4,J465,1)+MOD(M465-WEEKDAY(DATE(Übersicht!$B$4,J465,1),2),7)+7*(N465-1))=J465,K465="",L465=""),DATE(Übersicht!$B$4,J465,1)+MOD(M465-WEEKDAY(DATE(Übersicht!$B$4,J465,1),2),7)+7*(N465-1),NA()),IF(I465="nthWeekdayOffsetDays",IF(AND(ISNUMBER(J465),J465=INT(J465),J465&gt;=1,J465&lt;=12,ISNUMBER(M465),M465=INT(M465),M465&gt;=1,M465&lt;=7,ISNUMBER(N465),N465=INT(N465),N465&gt;=1,N465&lt;=5,MONTH(DATE(Übersicht!$B$4,J465,1)+MOD(M465-WEEKDAY(DATE(Übersicht!$B$4,J465,1),2),7)+7*(N465-1))=J465,K465="",ISNUMBER(L465),L465=INT(L465),L465&gt;=-366,L465&lt;=366),DATE(Übersicht!$B$4,J465,1)+MOD(M465-WEEKDAY(DATE(Übersicht!$B$4,J465,1),2),7)+7*(N465-1)+L465,NA()),NA())))),NA())</f>
        <v>46909</v>
      </c>
      <c r="X465" s="14">
        <f t="shared" si="7"/>
        <v>46909</v>
      </c>
      <c r="Y465" s="10" t="s">
        <v>1066</v>
      </c>
      <c r="Z465" s="10" t="s">
        <v>1067</v>
      </c>
      <c r="AA465" s="24" t="s">
        <v>768</v>
      </c>
    </row>
    <row r="466" spans="1:27" ht="44" customHeight="1">
      <c r="A466" s="11" t="s">
        <v>592</v>
      </c>
      <c r="B466" s="11" t="s">
        <v>581</v>
      </c>
      <c r="C466" s="11" t="s">
        <v>1065</v>
      </c>
      <c r="D466" s="26" t="s">
        <v>810</v>
      </c>
      <c r="E466" s="26" t="s">
        <v>811</v>
      </c>
      <c r="F466" s="27" t="s">
        <v>868</v>
      </c>
      <c r="G466" s="27" t="s">
        <v>869</v>
      </c>
      <c r="H466" s="11" t="s">
        <v>761</v>
      </c>
      <c r="I466" s="11" t="s">
        <v>781</v>
      </c>
      <c r="J466" s="30"/>
      <c r="K466" s="30"/>
      <c r="L466" s="26">
        <v>60</v>
      </c>
      <c r="M466" s="26"/>
      <c r="N466" s="26"/>
      <c r="O466" s="31">
        <v>46023</v>
      </c>
      <c r="P466" s="31"/>
      <c r="Q466" s="26">
        <v>100</v>
      </c>
      <c r="R466" s="26" t="s">
        <v>69</v>
      </c>
      <c r="S466" s="11"/>
      <c r="T466" s="11" t="s">
        <v>764</v>
      </c>
      <c r="U466" s="11"/>
      <c r="V466" s="11" t="s">
        <v>824</v>
      </c>
      <c r="W466" s="15">
        <f>IF(AND(ISNUMBER(Übersicht!$B$4),Übersicht!$B$4=INT(Übersicht!$B$4),Übersicht!$B$4&gt;=2026,Übersicht!$B$4&lt;=2028),IF(I466="fixedMonthDay",IF(AND(ISNUMBER(J466),J466=INT(J466),J466&gt;=1,J466&lt;=12,ISNUMBER(K466),K466=INT(K466),K466&gt;=1,K466&lt;=31,MONTH(DATE(Übersicht!$B$4,J466,K466))=J466,DAY(DATE(Übersicht!$B$4,J466,K466))=K466,L466="",M466="",N466=""),DATE(Übersicht!$B$4,J466,K466),NA()),IF(I466="easterOffsetDays",IF(AND(ISNUMBER(L466),L466=INT(L466),L466&gt;=-366,L466&lt;=366,J466="",K466="",M466="",N466=""),$AD$23+L466,NA()),IF(I466="nthWeekdayOfMonth",IF(AND(ISNUMBER(J466),J466=INT(J466),J466&gt;=1,J466&lt;=12,ISNUMBER(M466),M466=INT(M466),M466&gt;=1,M466&lt;=7,ISNUMBER(N466),N466=INT(N466),N466&gt;=1,N466&lt;=5,MONTH(DATE(Übersicht!$B$4,J466,1)+MOD(M466-WEEKDAY(DATE(Übersicht!$B$4,J466,1),2),7)+7*(N466-1))=J466,K466="",L466=""),DATE(Übersicht!$B$4,J466,1)+MOD(M466-WEEKDAY(DATE(Übersicht!$B$4,J466,1),2),7)+7*(N466-1),NA()),IF(I466="nthWeekdayOffsetDays",IF(AND(ISNUMBER(J466),J466=INT(J466),J466&gt;=1,J466&lt;=12,ISNUMBER(M466),M466=INT(M466),M466&gt;=1,M466&lt;=7,ISNUMBER(N466),N466=INT(N466),N466&gt;=1,N466&lt;=5,MONTH(DATE(Übersicht!$B$4,J466,1)+MOD(M466-WEEKDAY(DATE(Übersicht!$B$4,J466,1),2),7)+7*(N466-1))=J466,K466="",ISNUMBER(L466),L466=INT(L466),L466&gt;=-366,L466&lt;=366),DATE(Übersicht!$B$4,J466,1)+MOD(M466-WEEKDAY(DATE(Übersicht!$B$4,J466,1),2),7)+7*(N466-1)+L466,NA()),NA())))),NA())</f>
        <v>46919</v>
      </c>
      <c r="X466" s="15">
        <f t="shared" si="7"/>
        <v>46919</v>
      </c>
      <c r="Y466" s="11" t="s">
        <v>1066</v>
      </c>
      <c r="Z466" s="11" t="s">
        <v>1067</v>
      </c>
      <c r="AA466" s="26" t="s">
        <v>768</v>
      </c>
    </row>
    <row r="467" spans="1:27" ht="44" customHeight="1">
      <c r="A467" s="10" t="s">
        <v>593</v>
      </c>
      <c r="B467" s="10" t="s">
        <v>581</v>
      </c>
      <c r="C467" s="10" t="s">
        <v>1065</v>
      </c>
      <c r="D467" s="24" t="s">
        <v>1068</v>
      </c>
      <c r="E467" s="24" t="s">
        <v>1069</v>
      </c>
      <c r="F467" s="25" t="s">
        <v>1070</v>
      </c>
      <c r="G467" s="25" t="s">
        <v>1071</v>
      </c>
      <c r="H467" s="10" t="s">
        <v>761</v>
      </c>
      <c r="I467" s="10" t="s">
        <v>762</v>
      </c>
      <c r="J467" s="28">
        <v>6</v>
      </c>
      <c r="K467" s="28">
        <v>23</v>
      </c>
      <c r="L467" s="24"/>
      <c r="M467" s="24"/>
      <c r="N467" s="24"/>
      <c r="O467" s="29">
        <v>46023</v>
      </c>
      <c r="P467" s="29"/>
      <c r="Q467" s="24">
        <v>100</v>
      </c>
      <c r="R467" s="24" t="s">
        <v>69</v>
      </c>
      <c r="S467" s="10"/>
      <c r="T467" s="10" t="s">
        <v>764</v>
      </c>
      <c r="U467" s="10"/>
      <c r="V467" s="10" t="s">
        <v>824</v>
      </c>
      <c r="W467" s="14">
        <f>IF(AND(ISNUMBER(Übersicht!$B$4),Übersicht!$B$4=INT(Übersicht!$B$4),Übersicht!$B$4&gt;=2026,Übersicht!$B$4&lt;=2028),IF(I467="fixedMonthDay",IF(AND(ISNUMBER(J467),J467=INT(J467),J467&gt;=1,J467&lt;=12,ISNUMBER(K467),K467=INT(K467),K467&gt;=1,K467&lt;=31,MONTH(DATE(Übersicht!$B$4,J467,K467))=J467,DAY(DATE(Übersicht!$B$4,J467,K467))=K467,L467="",M467="",N467=""),DATE(Übersicht!$B$4,J467,K467),NA()),IF(I467="easterOffsetDays",IF(AND(ISNUMBER(L467),L467=INT(L467),L467&gt;=-366,L467&lt;=366,J467="",K467="",M467="",N467=""),$AD$23+L467,NA()),IF(I467="nthWeekdayOfMonth",IF(AND(ISNUMBER(J467),J467=INT(J467),J467&gt;=1,J467&lt;=12,ISNUMBER(M467),M467=INT(M467),M467&gt;=1,M467&lt;=7,ISNUMBER(N467),N467=INT(N467),N467&gt;=1,N467&lt;=5,MONTH(DATE(Übersicht!$B$4,J467,1)+MOD(M467-WEEKDAY(DATE(Übersicht!$B$4,J467,1),2),7)+7*(N467-1))=J467,K467="",L467=""),DATE(Übersicht!$B$4,J467,1)+MOD(M467-WEEKDAY(DATE(Übersicht!$B$4,J467,1),2),7)+7*(N467-1),NA()),IF(I467="nthWeekdayOffsetDays",IF(AND(ISNUMBER(J467),J467=INT(J467),J467&gt;=1,J467&lt;=12,ISNUMBER(M467),M467=INT(M467),M467&gt;=1,M467&lt;=7,ISNUMBER(N467),N467=INT(N467),N467&gt;=1,N467&lt;=5,MONTH(DATE(Übersicht!$B$4,J467,1)+MOD(M467-WEEKDAY(DATE(Übersicht!$B$4,J467,1),2),7)+7*(N467-1))=J467,K467="",ISNUMBER(L467),L467=INT(L467),L467&gt;=-366,L467&lt;=366),DATE(Übersicht!$B$4,J467,1)+MOD(M467-WEEKDAY(DATE(Übersicht!$B$4,J467,1),2),7)+7*(N467-1)+L467,NA()),NA())))),NA())</f>
        <v>46927</v>
      </c>
      <c r="X467" s="14">
        <f t="shared" si="7"/>
        <v>46927</v>
      </c>
      <c r="Y467" s="10" t="s">
        <v>1066</v>
      </c>
      <c r="Z467" s="10" t="s">
        <v>1067</v>
      </c>
      <c r="AA467" s="24" t="s">
        <v>768</v>
      </c>
    </row>
    <row r="468" spans="1:27" ht="44" customHeight="1">
      <c r="A468" s="11" t="s">
        <v>594</v>
      </c>
      <c r="B468" s="11" t="s">
        <v>581</v>
      </c>
      <c r="C468" s="11" t="s">
        <v>1065</v>
      </c>
      <c r="D468" s="26" t="s">
        <v>759</v>
      </c>
      <c r="E468" s="26" t="s">
        <v>760</v>
      </c>
      <c r="F468" s="27" t="s">
        <v>874</v>
      </c>
      <c r="G468" s="27" t="s">
        <v>875</v>
      </c>
      <c r="H468" s="11" t="s">
        <v>761</v>
      </c>
      <c r="I468" s="11" t="s">
        <v>762</v>
      </c>
      <c r="J468" s="30">
        <v>8</v>
      </c>
      <c r="K468" s="30">
        <v>1</v>
      </c>
      <c r="L468" s="26"/>
      <c r="M468" s="26"/>
      <c r="N468" s="26"/>
      <c r="O468" s="31">
        <v>46023</v>
      </c>
      <c r="P468" s="31"/>
      <c r="Q468" s="26">
        <v>100</v>
      </c>
      <c r="R468" s="26" t="s">
        <v>69</v>
      </c>
      <c r="S468" s="11"/>
      <c r="T468" s="11" t="s">
        <v>764</v>
      </c>
      <c r="U468" s="11"/>
      <c r="V468" s="11" t="s">
        <v>824</v>
      </c>
      <c r="W468" s="15">
        <f>IF(AND(ISNUMBER(Übersicht!$B$4),Übersicht!$B$4=INT(Übersicht!$B$4),Übersicht!$B$4&gt;=2026,Übersicht!$B$4&lt;=2028),IF(I468="fixedMonthDay",IF(AND(ISNUMBER(J468),J468=INT(J468),J468&gt;=1,J468&lt;=12,ISNUMBER(K468),K468=INT(K468),K468&gt;=1,K468&lt;=31,MONTH(DATE(Übersicht!$B$4,J468,K468))=J468,DAY(DATE(Übersicht!$B$4,J468,K468))=K468,L468="",M468="",N468=""),DATE(Übersicht!$B$4,J468,K468),NA()),IF(I468="easterOffsetDays",IF(AND(ISNUMBER(L468),L468=INT(L468),L468&gt;=-366,L468&lt;=366,J468="",K468="",M468="",N468=""),$AD$23+L468,NA()),IF(I468="nthWeekdayOfMonth",IF(AND(ISNUMBER(J468),J468=INT(J468),J468&gt;=1,J468&lt;=12,ISNUMBER(M468),M468=INT(M468),M468&gt;=1,M468&lt;=7,ISNUMBER(N468),N468=INT(N468),N468&gt;=1,N468&lt;=5,MONTH(DATE(Übersicht!$B$4,J468,1)+MOD(M468-WEEKDAY(DATE(Übersicht!$B$4,J468,1),2),7)+7*(N468-1))=J468,K468="",L468=""),DATE(Übersicht!$B$4,J468,1)+MOD(M468-WEEKDAY(DATE(Übersicht!$B$4,J468,1),2),7)+7*(N468-1),NA()),IF(I468="nthWeekdayOffsetDays",IF(AND(ISNUMBER(J468),J468=INT(J468),J468&gt;=1,J468&lt;=12,ISNUMBER(M468),M468=INT(M468),M468&gt;=1,M468&lt;=7,ISNUMBER(N468),N468=INT(N468),N468&gt;=1,N468&lt;=5,MONTH(DATE(Übersicht!$B$4,J468,1)+MOD(M468-WEEKDAY(DATE(Übersicht!$B$4,J468,1),2),7)+7*(N468-1))=J468,K468="",ISNUMBER(L468),L468=INT(L468),L468&gt;=-366,L468&lt;=366),DATE(Übersicht!$B$4,J468,1)+MOD(M468-WEEKDAY(DATE(Übersicht!$B$4,J468,1),2),7)+7*(N468-1)+L468,NA()),NA())))),NA())</f>
        <v>46966</v>
      </c>
      <c r="X468" s="15">
        <f t="shared" si="7"/>
        <v>46966</v>
      </c>
      <c r="Y468" s="11" t="s">
        <v>766</v>
      </c>
      <c r="Z468" s="11" t="s">
        <v>1072</v>
      </c>
      <c r="AA468" s="26" t="s">
        <v>768</v>
      </c>
    </row>
    <row r="469" spans="1:27" ht="44" customHeight="1">
      <c r="A469" s="10" t="s">
        <v>595</v>
      </c>
      <c r="B469" s="10" t="s">
        <v>581</v>
      </c>
      <c r="C469" s="10" t="s">
        <v>1065</v>
      </c>
      <c r="D469" s="24" t="s">
        <v>834</v>
      </c>
      <c r="E469" s="24" t="s">
        <v>835</v>
      </c>
      <c r="F469" s="25" t="s">
        <v>876</v>
      </c>
      <c r="G469" s="25" t="s">
        <v>877</v>
      </c>
      <c r="H469" s="10" t="s">
        <v>761</v>
      </c>
      <c r="I469" s="10" t="s">
        <v>762</v>
      </c>
      <c r="J469" s="28">
        <v>8</v>
      </c>
      <c r="K469" s="28">
        <v>15</v>
      </c>
      <c r="L469" s="24"/>
      <c r="M469" s="24"/>
      <c r="N469" s="24"/>
      <c r="O469" s="29">
        <v>46023</v>
      </c>
      <c r="P469" s="29"/>
      <c r="Q469" s="24">
        <v>100</v>
      </c>
      <c r="R469" s="24" t="s">
        <v>69</v>
      </c>
      <c r="S469" s="10"/>
      <c r="T469" s="10" t="s">
        <v>764</v>
      </c>
      <c r="U469" s="10"/>
      <c r="V469" s="10" t="s">
        <v>824</v>
      </c>
      <c r="W469" s="14">
        <f>IF(AND(ISNUMBER(Übersicht!$B$4),Übersicht!$B$4=INT(Übersicht!$B$4),Übersicht!$B$4&gt;=2026,Übersicht!$B$4&lt;=2028),IF(I469="fixedMonthDay",IF(AND(ISNUMBER(J469),J469=INT(J469),J469&gt;=1,J469&lt;=12,ISNUMBER(K469),K469=INT(K469),K469&gt;=1,K469&lt;=31,MONTH(DATE(Übersicht!$B$4,J469,K469))=J469,DAY(DATE(Übersicht!$B$4,J469,K469))=K469,L469="",M469="",N469=""),DATE(Übersicht!$B$4,J469,K469),NA()),IF(I469="easterOffsetDays",IF(AND(ISNUMBER(L469),L469=INT(L469),L469&gt;=-366,L469&lt;=366,J469="",K469="",M469="",N469=""),$AD$23+L469,NA()),IF(I469="nthWeekdayOfMonth",IF(AND(ISNUMBER(J469),J469=INT(J469),J469&gt;=1,J469&lt;=12,ISNUMBER(M469),M469=INT(M469),M469&gt;=1,M469&lt;=7,ISNUMBER(N469),N469=INT(N469),N469&gt;=1,N469&lt;=5,MONTH(DATE(Übersicht!$B$4,J469,1)+MOD(M469-WEEKDAY(DATE(Übersicht!$B$4,J469,1),2),7)+7*(N469-1))=J469,K469="",L469=""),DATE(Übersicht!$B$4,J469,1)+MOD(M469-WEEKDAY(DATE(Übersicht!$B$4,J469,1),2),7)+7*(N469-1),NA()),IF(I469="nthWeekdayOffsetDays",IF(AND(ISNUMBER(J469),J469=INT(J469),J469&gt;=1,J469&lt;=12,ISNUMBER(M469),M469=INT(M469),M469&gt;=1,M469&lt;=7,ISNUMBER(N469),N469=INT(N469),N469&gt;=1,N469&lt;=5,MONTH(DATE(Übersicht!$B$4,J469,1)+MOD(M469-WEEKDAY(DATE(Übersicht!$B$4,J469,1),2),7)+7*(N469-1))=J469,K469="",ISNUMBER(L469),L469=INT(L469),L469&gt;=-366,L469&lt;=366),DATE(Übersicht!$B$4,J469,1)+MOD(M469-WEEKDAY(DATE(Übersicht!$B$4,J469,1),2),7)+7*(N469-1)+L469,NA()),NA())))),NA())</f>
        <v>46980</v>
      </c>
      <c r="X469" s="14">
        <f t="shared" si="7"/>
        <v>46980</v>
      </c>
      <c r="Y469" s="10" t="s">
        <v>1066</v>
      </c>
      <c r="Z469" s="10" t="s">
        <v>1067</v>
      </c>
      <c r="AA469" s="24" t="s">
        <v>768</v>
      </c>
    </row>
    <row r="470" spans="1:27" ht="44" customHeight="1">
      <c r="A470" s="11" t="s">
        <v>596</v>
      </c>
      <c r="B470" s="11" t="s">
        <v>581</v>
      </c>
      <c r="C470" s="11" t="s">
        <v>1065</v>
      </c>
      <c r="D470" s="26" t="s">
        <v>821</v>
      </c>
      <c r="E470" s="26" t="s">
        <v>822</v>
      </c>
      <c r="F470" s="27" t="s">
        <v>878</v>
      </c>
      <c r="G470" s="27" t="s">
        <v>879</v>
      </c>
      <c r="H470" s="11" t="s">
        <v>761</v>
      </c>
      <c r="I470" s="11" t="s">
        <v>762</v>
      </c>
      <c r="J470" s="30">
        <v>11</v>
      </c>
      <c r="K470" s="30">
        <v>1</v>
      </c>
      <c r="L470" s="26"/>
      <c r="M470" s="26"/>
      <c r="N470" s="26"/>
      <c r="O470" s="31">
        <v>46023</v>
      </c>
      <c r="P470" s="31"/>
      <c r="Q470" s="26">
        <v>100</v>
      </c>
      <c r="R470" s="26" t="s">
        <v>69</v>
      </c>
      <c r="S470" s="11"/>
      <c r="T470" s="11" t="s">
        <v>764</v>
      </c>
      <c r="U470" s="11"/>
      <c r="V470" s="11" t="s">
        <v>824</v>
      </c>
      <c r="W470" s="15">
        <f>IF(AND(ISNUMBER(Übersicht!$B$4),Übersicht!$B$4=INT(Übersicht!$B$4),Übersicht!$B$4&gt;=2026,Übersicht!$B$4&lt;=2028),IF(I470="fixedMonthDay",IF(AND(ISNUMBER(J470),J470=INT(J470),J470&gt;=1,J470&lt;=12,ISNUMBER(K470),K470=INT(K470),K470&gt;=1,K470&lt;=31,MONTH(DATE(Übersicht!$B$4,J470,K470))=J470,DAY(DATE(Übersicht!$B$4,J470,K470))=K470,L470="",M470="",N470=""),DATE(Übersicht!$B$4,J470,K470),NA()),IF(I470="easterOffsetDays",IF(AND(ISNUMBER(L470),L470=INT(L470),L470&gt;=-366,L470&lt;=366,J470="",K470="",M470="",N470=""),$AD$23+L470,NA()),IF(I470="nthWeekdayOfMonth",IF(AND(ISNUMBER(J470),J470=INT(J470),J470&gt;=1,J470&lt;=12,ISNUMBER(M470),M470=INT(M470),M470&gt;=1,M470&lt;=7,ISNUMBER(N470),N470=INT(N470),N470&gt;=1,N470&lt;=5,MONTH(DATE(Übersicht!$B$4,J470,1)+MOD(M470-WEEKDAY(DATE(Übersicht!$B$4,J470,1),2),7)+7*(N470-1))=J470,K470="",L470=""),DATE(Übersicht!$B$4,J470,1)+MOD(M470-WEEKDAY(DATE(Übersicht!$B$4,J470,1),2),7)+7*(N470-1),NA()),IF(I470="nthWeekdayOffsetDays",IF(AND(ISNUMBER(J470),J470=INT(J470),J470&gt;=1,J470&lt;=12,ISNUMBER(M470),M470=INT(M470),M470&gt;=1,M470&lt;=7,ISNUMBER(N470),N470=INT(N470),N470&gt;=1,N470&lt;=5,MONTH(DATE(Übersicht!$B$4,J470,1)+MOD(M470-WEEKDAY(DATE(Übersicht!$B$4,J470,1),2),7)+7*(N470-1))=J470,K470="",ISNUMBER(L470),L470=INT(L470),L470&gt;=-366,L470&lt;=366),DATE(Übersicht!$B$4,J470,1)+MOD(M470-WEEKDAY(DATE(Übersicht!$B$4,J470,1),2),7)+7*(N470-1)+L470,NA()),NA())))),NA())</f>
        <v>47058</v>
      </c>
      <c r="X470" s="15">
        <f t="shared" si="7"/>
        <v>47058</v>
      </c>
      <c r="Y470" s="11" t="s">
        <v>1066</v>
      </c>
      <c r="Z470" s="11" t="s">
        <v>1067</v>
      </c>
      <c r="AA470" s="26" t="s">
        <v>768</v>
      </c>
    </row>
    <row r="471" spans="1:27" ht="44" customHeight="1">
      <c r="A471" s="10" t="s">
        <v>597</v>
      </c>
      <c r="B471" s="10" t="s">
        <v>581</v>
      </c>
      <c r="C471" s="10" t="s">
        <v>1065</v>
      </c>
      <c r="D471" s="24" t="s">
        <v>803</v>
      </c>
      <c r="E471" s="24" t="s">
        <v>804</v>
      </c>
      <c r="F471" s="25" t="s">
        <v>882</v>
      </c>
      <c r="G471" s="25" t="s">
        <v>883</v>
      </c>
      <c r="H471" s="10" t="s">
        <v>761</v>
      </c>
      <c r="I471" s="10" t="s">
        <v>762</v>
      </c>
      <c r="J471" s="28">
        <v>12</v>
      </c>
      <c r="K471" s="28">
        <v>25</v>
      </c>
      <c r="L471" s="24"/>
      <c r="M471" s="24"/>
      <c r="N471" s="24"/>
      <c r="O471" s="29">
        <v>46023</v>
      </c>
      <c r="P471" s="29"/>
      <c r="Q471" s="24">
        <v>100</v>
      </c>
      <c r="R471" s="24" t="s">
        <v>69</v>
      </c>
      <c r="S471" s="10"/>
      <c r="T471" s="10" t="s">
        <v>764</v>
      </c>
      <c r="U471" s="10"/>
      <c r="V471" s="10" t="s">
        <v>824</v>
      </c>
      <c r="W471" s="14">
        <f>IF(AND(ISNUMBER(Übersicht!$B$4),Übersicht!$B$4=INT(Übersicht!$B$4),Übersicht!$B$4&gt;=2026,Übersicht!$B$4&lt;=2028),IF(I471="fixedMonthDay",IF(AND(ISNUMBER(J471),J471=INT(J471),J471&gt;=1,J471&lt;=12,ISNUMBER(K471),K471=INT(K471),K471&gt;=1,K471&lt;=31,MONTH(DATE(Übersicht!$B$4,J471,K471))=J471,DAY(DATE(Übersicht!$B$4,J471,K471))=K471,L471="",M471="",N471=""),DATE(Übersicht!$B$4,J471,K471),NA()),IF(I471="easterOffsetDays",IF(AND(ISNUMBER(L471),L471=INT(L471),L471&gt;=-366,L471&lt;=366,J471="",K471="",M471="",N471=""),$AD$23+L471,NA()),IF(I471="nthWeekdayOfMonth",IF(AND(ISNUMBER(J471),J471=INT(J471),J471&gt;=1,J471&lt;=12,ISNUMBER(M471),M471=INT(M471),M471&gt;=1,M471&lt;=7,ISNUMBER(N471),N471=INT(N471),N471&gt;=1,N471&lt;=5,MONTH(DATE(Übersicht!$B$4,J471,1)+MOD(M471-WEEKDAY(DATE(Übersicht!$B$4,J471,1),2),7)+7*(N471-1))=J471,K471="",L471=""),DATE(Übersicht!$B$4,J471,1)+MOD(M471-WEEKDAY(DATE(Übersicht!$B$4,J471,1),2),7)+7*(N471-1),NA()),IF(I471="nthWeekdayOffsetDays",IF(AND(ISNUMBER(J471),J471=INT(J471),J471&gt;=1,J471&lt;=12,ISNUMBER(M471),M471=INT(M471),M471&gt;=1,M471&lt;=7,ISNUMBER(N471),N471=INT(N471),N471&gt;=1,N471&lt;=5,MONTH(DATE(Übersicht!$B$4,J471,1)+MOD(M471-WEEKDAY(DATE(Übersicht!$B$4,J471,1),2),7)+7*(N471-1))=J471,K471="",ISNUMBER(L471),L471=INT(L471),L471&gt;=-366,L471&lt;=366),DATE(Übersicht!$B$4,J471,1)+MOD(M471-WEEKDAY(DATE(Übersicht!$B$4,J471,1),2),7)+7*(N471-1)+L471,NA()),NA())))),NA())</f>
        <v>47112</v>
      </c>
      <c r="X471" s="14">
        <f t="shared" si="7"/>
        <v>47112</v>
      </c>
      <c r="Y471" s="10" t="s">
        <v>1066</v>
      </c>
      <c r="Z471" s="10" t="s">
        <v>1067</v>
      </c>
      <c r="AA471" s="24" t="s">
        <v>768</v>
      </c>
    </row>
    <row r="472" spans="1:27" ht="44" customHeight="1">
      <c r="A472" s="11" t="s">
        <v>599</v>
      </c>
      <c r="B472" s="11" t="s">
        <v>581</v>
      </c>
      <c r="C472" s="11" t="s">
        <v>1073</v>
      </c>
      <c r="D472" s="26" t="s">
        <v>771</v>
      </c>
      <c r="E472" s="26" t="s">
        <v>772</v>
      </c>
      <c r="F472" s="27" t="s">
        <v>849</v>
      </c>
      <c r="G472" s="27" t="s">
        <v>850</v>
      </c>
      <c r="H472" s="11" t="s">
        <v>812</v>
      </c>
      <c r="I472" s="11" t="s">
        <v>762</v>
      </c>
      <c r="J472" s="30">
        <v>1</v>
      </c>
      <c r="K472" s="30">
        <v>1</v>
      </c>
      <c r="L472" s="26"/>
      <c r="M472" s="26"/>
      <c r="N472" s="26"/>
      <c r="O472" s="31">
        <v>46023</v>
      </c>
      <c r="P472" s="31"/>
      <c r="Q472" s="26">
        <v>100</v>
      </c>
      <c r="R472" s="26" t="s">
        <v>69</v>
      </c>
      <c r="S472" s="11"/>
      <c r="T472" s="11" t="s">
        <v>764</v>
      </c>
      <c r="U472" s="11"/>
      <c r="V472" s="11" t="s">
        <v>824</v>
      </c>
      <c r="W472" s="15">
        <f>IF(AND(ISNUMBER(Übersicht!$B$4),Übersicht!$B$4=INT(Übersicht!$B$4),Übersicht!$B$4&gt;=2026,Übersicht!$B$4&lt;=2028),IF(I472="fixedMonthDay",IF(AND(ISNUMBER(J472),J472=INT(J472),J472&gt;=1,J472&lt;=12,ISNUMBER(K472),K472=INT(K472),K472&gt;=1,K472&lt;=31,MONTH(DATE(Übersicht!$B$4,J472,K472))=J472,DAY(DATE(Übersicht!$B$4,J472,K472))=K472,L472="",M472="",N472=""),DATE(Übersicht!$B$4,J472,K472),NA()),IF(I472="easterOffsetDays",IF(AND(ISNUMBER(L472),L472=INT(L472),L472&gt;=-366,L472&lt;=366,J472="",K472="",M472="",N472=""),$AD$23+L472,NA()),IF(I472="nthWeekdayOfMonth",IF(AND(ISNUMBER(J472),J472=INT(J472),J472&gt;=1,J472&lt;=12,ISNUMBER(M472),M472=INT(M472),M472&gt;=1,M472&lt;=7,ISNUMBER(N472),N472=INT(N472),N472&gt;=1,N472&lt;=5,MONTH(DATE(Übersicht!$B$4,J472,1)+MOD(M472-WEEKDAY(DATE(Übersicht!$B$4,J472,1),2),7)+7*(N472-1))=J472,K472="",L472=""),DATE(Übersicht!$B$4,J472,1)+MOD(M472-WEEKDAY(DATE(Übersicht!$B$4,J472,1),2),7)+7*(N472-1),NA()),IF(I472="nthWeekdayOffsetDays",IF(AND(ISNUMBER(J472),J472=INT(J472),J472&gt;=1,J472&lt;=12,ISNUMBER(M472),M472=INT(M472),M472&gt;=1,M472&lt;=7,ISNUMBER(N472),N472=INT(N472),N472&gt;=1,N472&lt;=5,MONTH(DATE(Übersicht!$B$4,J472,1)+MOD(M472-WEEKDAY(DATE(Übersicht!$B$4,J472,1),2),7)+7*(N472-1))=J472,K472="",ISNUMBER(L472),L472=INT(L472),L472&gt;=-366,L472&lt;=366),DATE(Übersicht!$B$4,J472,1)+MOD(M472-WEEKDAY(DATE(Übersicht!$B$4,J472,1),2),7)+7*(N472-1)+L472,NA()),NA())))),NA())</f>
        <v>46753</v>
      </c>
      <c r="X472" s="15">
        <f t="shared" si="7"/>
        <v>46753</v>
      </c>
      <c r="Y472" s="11" t="s">
        <v>1066</v>
      </c>
      <c r="Z472" s="11" t="s">
        <v>1074</v>
      </c>
      <c r="AA472" s="26" t="s">
        <v>768</v>
      </c>
    </row>
    <row r="473" spans="1:27" ht="44" customHeight="1">
      <c r="A473" s="10" t="s">
        <v>600</v>
      </c>
      <c r="B473" s="10" t="s">
        <v>581</v>
      </c>
      <c r="C473" s="10" t="s">
        <v>1073</v>
      </c>
      <c r="D473" s="24" t="s">
        <v>779</v>
      </c>
      <c r="E473" s="24" t="s">
        <v>780</v>
      </c>
      <c r="F473" s="25" t="s">
        <v>889</v>
      </c>
      <c r="G473" s="25" t="s">
        <v>890</v>
      </c>
      <c r="H473" s="10" t="s">
        <v>812</v>
      </c>
      <c r="I473" s="10" t="s">
        <v>781</v>
      </c>
      <c r="J473" s="28"/>
      <c r="K473" s="28"/>
      <c r="L473" s="24">
        <v>-2</v>
      </c>
      <c r="M473" s="24"/>
      <c r="N473" s="24"/>
      <c r="O473" s="29">
        <v>46023</v>
      </c>
      <c r="P473" s="29"/>
      <c r="Q473" s="24">
        <v>100</v>
      </c>
      <c r="R473" s="24" t="s">
        <v>69</v>
      </c>
      <c r="S473" s="10"/>
      <c r="T473" s="10" t="s">
        <v>764</v>
      </c>
      <c r="U473" s="10"/>
      <c r="V473" s="10" t="s">
        <v>824</v>
      </c>
      <c r="W473" s="14">
        <f>IF(AND(ISNUMBER(Übersicht!$B$4),Übersicht!$B$4=INT(Übersicht!$B$4),Übersicht!$B$4&gt;=2026,Übersicht!$B$4&lt;=2028),IF(I473="fixedMonthDay",IF(AND(ISNUMBER(J473),J473=INT(J473),J473&gt;=1,J473&lt;=12,ISNUMBER(K473),K473=INT(K473),K473&gt;=1,K473&lt;=31,MONTH(DATE(Übersicht!$B$4,J473,K473))=J473,DAY(DATE(Übersicht!$B$4,J473,K473))=K473,L473="",M473="",N473=""),DATE(Übersicht!$B$4,J473,K473),NA()),IF(I473="easterOffsetDays",IF(AND(ISNUMBER(L473),L473=INT(L473),L473&gt;=-366,L473&lt;=366,J473="",K473="",M473="",N473=""),$AD$23+L473,NA()),IF(I473="nthWeekdayOfMonth",IF(AND(ISNUMBER(J473),J473=INT(J473),J473&gt;=1,J473&lt;=12,ISNUMBER(M473),M473=INT(M473),M473&gt;=1,M473&lt;=7,ISNUMBER(N473),N473=INT(N473),N473&gt;=1,N473&lt;=5,MONTH(DATE(Übersicht!$B$4,J473,1)+MOD(M473-WEEKDAY(DATE(Übersicht!$B$4,J473,1),2),7)+7*(N473-1))=J473,K473="",L473=""),DATE(Übersicht!$B$4,J473,1)+MOD(M473-WEEKDAY(DATE(Übersicht!$B$4,J473,1),2),7)+7*(N473-1),NA()),IF(I473="nthWeekdayOffsetDays",IF(AND(ISNUMBER(J473),J473=INT(J473),J473&gt;=1,J473&lt;=12,ISNUMBER(M473),M473=INT(M473),M473&gt;=1,M473&lt;=7,ISNUMBER(N473),N473=INT(N473),N473&gt;=1,N473&lt;=5,MONTH(DATE(Übersicht!$B$4,J473,1)+MOD(M473-WEEKDAY(DATE(Übersicht!$B$4,J473,1),2),7)+7*(N473-1))=J473,K473="",ISNUMBER(L473),L473=INT(L473),L473&gt;=-366,L473&lt;=366),DATE(Übersicht!$B$4,J473,1)+MOD(M473-WEEKDAY(DATE(Übersicht!$B$4,J473,1),2),7)+7*(N473-1)+L473,NA()),NA())))),NA())</f>
        <v>46857</v>
      </c>
      <c r="X473" s="14">
        <f t="shared" si="7"/>
        <v>46857</v>
      </c>
      <c r="Y473" s="10" t="s">
        <v>1066</v>
      </c>
      <c r="Z473" s="10" t="s">
        <v>1074</v>
      </c>
      <c r="AA473" s="24" t="s">
        <v>768</v>
      </c>
    </row>
    <row r="474" spans="1:27" ht="44" customHeight="1">
      <c r="A474" s="11" t="s">
        <v>601</v>
      </c>
      <c r="B474" s="11" t="s">
        <v>581</v>
      </c>
      <c r="C474" s="11" t="s">
        <v>1073</v>
      </c>
      <c r="D474" s="26" t="s">
        <v>787</v>
      </c>
      <c r="E474" s="26" t="s">
        <v>788</v>
      </c>
      <c r="F474" s="27" t="s">
        <v>860</v>
      </c>
      <c r="G474" s="27" t="s">
        <v>861</v>
      </c>
      <c r="H474" s="11" t="s">
        <v>812</v>
      </c>
      <c r="I474" s="11" t="s">
        <v>781</v>
      </c>
      <c r="J474" s="30"/>
      <c r="K474" s="30"/>
      <c r="L474" s="26">
        <v>1</v>
      </c>
      <c r="M474" s="26"/>
      <c r="N474" s="26"/>
      <c r="O474" s="31">
        <v>46023</v>
      </c>
      <c r="P474" s="31"/>
      <c r="Q474" s="26">
        <v>100</v>
      </c>
      <c r="R474" s="26" t="s">
        <v>69</v>
      </c>
      <c r="S474" s="11"/>
      <c r="T474" s="11" t="s">
        <v>764</v>
      </c>
      <c r="U474" s="11"/>
      <c r="V474" s="11" t="s">
        <v>824</v>
      </c>
      <c r="W474" s="15">
        <f>IF(AND(ISNUMBER(Übersicht!$B$4),Übersicht!$B$4=INT(Übersicht!$B$4),Übersicht!$B$4&gt;=2026,Übersicht!$B$4&lt;=2028),IF(I474="fixedMonthDay",IF(AND(ISNUMBER(J474),J474=INT(J474),J474&gt;=1,J474&lt;=12,ISNUMBER(K474),K474=INT(K474),K474&gt;=1,K474&lt;=31,MONTH(DATE(Übersicht!$B$4,J474,K474))=J474,DAY(DATE(Übersicht!$B$4,J474,K474))=K474,L474="",M474="",N474=""),DATE(Übersicht!$B$4,J474,K474),NA()),IF(I474="easterOffsetDays",IF(AND(ISNUMBER(L474),L474=INT(L474),L474&gt;=-366,L474&lt;=366,J474="",K474="",M474="",N474=""),$AD$23+L474,NA()),IF(I474="nthWeekdayOfMonth",IF(AND(ISNUMBER(J474),J474=INT(J474),J474&gt;=1,J474&lt;=12,ISNUMBER(M474),M474=INT(M474),M474&gt;=1,M474&lt;=7,ISNUMBER(N474),N474=INT(N474),N474&gt;=1,N474&lt;=5,MONTH(DATE(Übersicht!$B$4,J474,1)+MOD(M474-WEEKDAY(DATE(Übersicht!$B$4,J474,1),2),7)+7*(N474-1))=J474,K474="",L474=""),DATE(Übersicht!$B$4,J474,1)+MOD(M474-WEEKDAY(DATE(Übersicht!$B$4,J474,1),2),7)+7*(N474-1),NA()),IF(I474="nthWeekdayOffsetDays",IF(AND(ISNUMBER(J474),J474=INT(J474),J474&gt;=1,J474&lt;=12,ISNUMBER(M474),M474=INT(M474),M474&gt;=1,M474&lt;=7,ISNUMBER(N474),N474=INT(N474),N474&gt;=1,N474&lt;=5,MONTH(DATE(Übersicht!$B$4,J474,1)+MOD(M474-WEEKDAY(DATE(Übersicht!$B$4,J474,1),2),7)+7*(N474-1))=J474,K474="",ISNUMBER(L474),L474=INT(L474),L474&gt;=-366,L474&lt;=366),DATE(Übersicht!$B$4,J474,1)+MOD(M474-WEEKDAY(DATE(Übersicht!$B$4,J474,1),2),7)+7*(N474-1)+L474,NA()),NA())))),NA())</f>
        <v>46860</v>
      </c>
      <c r="X474" s="15">
        <f t="shared" si="7"/>
        <v>46860</v>
      </c>
      <c r="Y474" s="11" t="s">
        <v>1066</v>
      </c>
      <c r="Z474" s="11" t="s">
        <v>1074</v>
      </c>
      <c r="AA474" s="26" t="s">
        <v>768</v>
      </c>
    </row>
    <row r="475" spans="1:27" ht="44" customHeight="1">
      <c r="A475" s="10" t="s">
        <v>602</v>
      </c>
      <c r="B475" s="10" t="s">
        <v>581</v>
      </c>
      <c r="C475" s="10" t="s">
        <v>1073</v>
      </c>
      <c r="D475" s="24" t="s">
        <v>846</v>
      </c>
      <c r="E475" s="24" t="s">
        <v>847</v>
      </c>
      <c r="F475" s="25" t="s">
        <v>862</v>
      </c>
      <c r="G475" s="25" t="s">
        <v>863</v>
      </c>
      <c r="H475" s="10" t="s">
        <v>812</v>
      </c>
      <c r="I475" s="10" t="s">
        <v>762</v>
      </c>
      <c r="J475" s="28">
        <v>5</v>
      </c>
      <c r="K475" s="28">
        <v>1</v>
      </c>
      <c r="L475" s="24"/>
      <c r="M475" s="24"/>
      <c r="N475" s="24"/>
      <c r="O475" s="29">
        <v>46023</v>
      </c>
      <c r="P475" s="29"/>
      <c r="Q475" s="24">
        <v>100</v>
      </c>
      <c r="R475" s="24" t="s">
        <v>69</v>
      </c>
      <c r="S475" s="10"/>
      <c r="T475" s="10" t="s">
        <v>764</v>
      </c>
      <c r="U475" s="10"/>
      <c r="V475" s="10" t="s">
        <v>824</v>
      </c>
      <c r="W475" s="14">
        <f>IF(AND(ISNUMBER(Übersicht!$B$4),Übersicht!$B$4=INT(Übersicht!$B$4),Übersicht!$B$4&gt;=2026,Übersicht!$B$4&lt;=2028),IF(I475="fixedMonthDay",IF(AND(ISNUMBER(J475),J475=INT(J475),J475&gt;=1,J475&lt;=12,ISNUMBER(K475),K475=INT(K475),K475&gt;=1,K475&lt;=31,MONTH(DATE(Übersicht!$B$4,J475,K475))=J475,DAY(DATE(Übersicht!$B$4,J475,K475))=K475,L475="",M475="",N475=""),DATE(Übersicht!$B$4,J475,K475),NA()),IF(I475="easterOffsetDays",IF(AND(ISNUMBER(L475),L475=INT(L475),L475&gt;=-366,L475&lt;=366,J475="",K475="",M475="",N475=""),$AD$23+L475,NA()),IF(I475="nthWeekdayOfMonth",IF(AND(ISNUMBER(J475),J475=INT(J475),J475&gt;=1,J475&lt;=12,ISNUMBER(M475),M475=INT(M475),M475&gt;=1,M475&lt;=7,ISNUMBER(N475),N475=INT(N475),N475&gt;=1,N475&lt;=5,MONTH(DATE(Übersicht!$B$4,J475,1)+MOD(M475-WEEKDAY(DATE(Übersicht!$B$4,J475,1),2),7)+7*(N475-1))=J475,K475="",L475=""),DATE(Übersicht!$B$4,J475,1)+MOD(M475-WEEKDAY(DATE(Übersicht!$B$4,J475,1),2),7)+7*(N475-1),NA()),IF(I475="nthWeekdayOffsetDays",IF(AND(ISNUMBER(J475),J475=INT(J475),J475&gt;=1,J475&lt;=12,ISNUMBER(M475),M475=INT(M475),M475&gt;=1,M475&lt;=7,ISNUMBER(N475),N475=INT(N475),N475&gt;=1,N475&lt;=5,MONTH(DATE(Übersicht!$B$4,J475,1)+MOD(M475-WEEKDAY(DATE(Übersicht!$B$4,J475,1),2),7)+7*(N475-1))=J475,K475="",ISNUMBER(L475),L475=INT(L475),L475&gt;=-366,L475&lt;=366),DATE(Übersicht!$B$4,J475,1)+MOD(M475-WEEKDAY(DATE(Übersicht!$B$4,J475,1),2),7)+7*(N475-1)+L475,NA()),NA())))),NA())</f>
        <v>46874</v>
      </c>
      <c r="X475" s="14">
        <f t="shared" si="7"/>
        <v>46874</v>
      </c>
      <c r="Y475" s="10" t="s">
        <v>1066</v>
      </c>
      <c r="Z475" s="10" t="s">
        <v>1074</v>
      </c>
      <c r="AA475" s="24" t="s">
        <v>768</v>
      </c>
    </row>
    <row r="476" spans="1:27" ht="44" customHeight="1">
      <c r="A476" s="11" t="s">
        <v>603</v>
      </c>
      <c r="B476" s="11" t="s">
        <v>581</v>
      </c>
      <c r="C476" s="11" t="s">
        <v>1073</v>
      </c>
      <c r="D476" s="26" t="s">
        <v>790</v>
      </c>
      <c r="E476" s="26" t="s">
        <v>791</v>
      </c>
      <c r="F476" s="27" t="s">
        <v>864</v>
      </c>
      <c r="G476" s="27" t="s">
        <v>865</v>
      </c>
      <c r="H476" s="11" t="s">
        <v>812</v>
      </c>
      <c r="I476" s="11" t="s">
        <v>781</v>
      </c>
      <c r="J476" s="30"/>
      <c r="K476" s="30"/>
      <c r="L476" s="26">
        <v>39</v>
      </c>
      <c r="M476" s="26"/>
      <c r="N476" s="26"/>
      <c r="O476" s="31">
        <v>46023</v>
      </c>
      <c r="P476" s="31"/>
      <c r="Q476" s="26">
        <v>100</v>
      </c>
      <c r="R476" s="26" t="s">
        <v>69</v>
      </c>
      <c r="S476" s="11"/>
      <c r="T476" s="11" t="s">
        <v>764</v>
      </c>
      <c r="U476" s="11"/>
      <c r="V476" s="11" t="s">
        <v>824</v>
      </c>
      <c r="W476" s="15">
        <f>IF(AND(ISNUMBER(Übersicht!$B$4),Übersicht!$B$4=INT(Übersicht!$B$4),Übersicht!$B$4&gt;=2026,Übersicht!$B$4&lt;=2028),IF(I476="fixedMonthDay",IF(AND(ISNUMBER(J476),J476=INT(J476),J476&gt;=1,J476&lt;=12,ISNUMBER(K476),K476=INT(K476),K476&gt;=1,K476&lt;=31,MONTH(DATE(Übersicht!$B$4,J476,K476))=J476,DAY(DATE(Übersicht!$B$4,J476,K476))=K476,L476="",M476="",N476=""),DATE(Übersicht!$B$4,J476,K476),NA()),IF(I476="easterOffsetDays",IF(AND(ISNUMBER(L476),L476=INT(L476),L476&gt;=-366,L476&lt;=366,J476="",K476="",M476="",N476=""),$AD$23+L476,NA()),IF(I476="nthWeekdayOfMonth",IF(AND(ISNUMBER(J476),J476=INT(J476),J476&gt;=1,J476&lt;=12,ISNUMBER(M476),M476=INT(M476),M476&gt;=1,M476&lt;=7,ISNUMBER(N476),N476=INT(N476),N476&gt;=1,N476&lt;=5,MONTH(DATE(Übersicht!$B$4,J476,1)+MOD(M476-WEEKDAY(DATE(Übersicht!$B$4,J476,1),2),7)+7*(N476-1))=J476,K476="",L476=""),DATE(Übersicht!$B$4,J476,1)+MOD(M476-WEEKDAY(DATE(Übersicht!$B$4,J476,1),2),7)+7*(N476-1),NA()),IF(I476="nthWeekdayOffsetDays",IF(AND(ISNUMBER(J476),J476=INT(J476),J476&gt;=1,J476&lt;=12,ISNUMBER(M476),M476=INT(M476),M476&gt;=1,M476&lt;=7,ISNUMBER(N476),N476=INT(N476),N476&gt;=1,N476&lt;=5,MONTH(DATE(Übersicht!$B$4,J476,1)+MOD(M476-WEEKDAY(DATE(Übersicht!$B$4,J476,1),2),7)+7*(N476-1))=J476,K476="",ISNUMBER(L476),L476=INT(L476),L476&gt;=-366,L476&lt;=366),DATE(Übersicht!$B$4,J476,1)+MOD(M476-WEEKDAY(DATE(Übersicht!$B$4,J476,1),2),7)+7*(N476-1)+L476,NA()),NA())))),NA())</f>
        <v>46898</v>
      </c>
      <c r="X476" s="15">
        <f t="shared" si="7"/>
        <v>46898</v>
      </c>
      <c r="Y476" s="11" t="s">
        <v>1066</v>
      </c>
      <c r="Z476" s="11" t="s">
        <v>1074</v>
      </c>
      <c r="AA476" s="26" t="s">
        <v>768</v>
      </c>
    </row>
    <row r="477" spans="1:27" ht="44" customHeight="1">
      <c r="A477" s="10" t="s">
        <v>604</v>
      </c>
      <c r="B477" s="10" t="s">
        <v>581</v>
      </c>
      <c r="C477" s="10" t="s">
        <v>1073</v>
      </c>
      <c r="D477" s="24" t="s">
        <v>796</v>
      </c>
      <c r="E477" s="24" t="s">
        <v>797</v>
      </c>
      <c r="F477" s="25" t="s">
        <v>866</v>
      </c>
      <c r="G477" s="25" t="s">
        <v>867</v>
      </c>
      <c r="H477" s="10" t="s">
        <v>812</v>
      </c>
      <c r="I477" s="10" t="s">
        <v>781</v>
      </c>
      <c r="J477" s="28"/>
      <c r="K477" s="28"/>
      <c r="L477" s="24">
        <v>50</v>
      </c>
      <c r="M477" s="24"/>
      <c r="N477" s="24"/>
      <c r="O477" s="29">
        <v>46023</v>
      </c>
      <c r="P477" s="29"/>
      <c r="Q477" s="24">
        <v>100</v>
      </c>
      <c r="R477" s="24" t="s">
        <v>69</v>
      </c>
      <c r="S477" s="10"/>
      <c r="T477" s="10" t="s">
        <v>764</v>
      </c>
      <c r="U477" s="10"/>
      <c r="V477" s="10" t="s">
        <v>824</v>
      </c>
      <c r="W477" s="14">
        <f>IF(AND(ISNUMBER(Übersicht!$B$4),Übersicht!$B$4=INT(Übersicht!$B$4),Übersicht!$B$4&gt;=2026,Übersicht!$B$4&lt;=2028),IF(I477="fixedMonthDay",IF(AND(ISNUMBER(J477),J477=INT(J477),J477&gt;=1,J477&lt;=12,ISNUMBER(K477),K477=INT(K477),K477&gt;=1,K477&lt;=31,MONTH(DATE(Übersicht!$B$4,J477,K477))=J477,DAY(DATE(Übersicht!$B$4,J477,K477))=K477,L477="",M477="",N477=""),DATE(Übersicht!$B$4,J477,K477),NA()),IF(I477="easterOffsetDays",IF(AND(ISNUMBER(L477),L477=INT(L477),L477&gt;=-366,L477&lt;=366,J477="",K477="",M477="",N477=""),$AD$23+L477,NA()),IF(I477="nthWeekdayOfMonth",IF(AND(ISNUMBER(J477),J477=INT(J477),J477&gt;=1,J477&lt;=12,ISNUMBER(M477),M477=INT(M477),M477&gt;=1,M477&lt;=7,ISNUMBER(N477),N477=INT(N477),N477&gt;=1,N477&lt;=5,MONTH(DATE(Übersicht!$B$4,J477,1)+MOD(M477-WEEKDAY(DATE(Übersicht!$B$4,J477,1),2),7)+7*(N477-1))=J477,K477="",L477=""),DATE(Übersicht!$B$4,J477,1)+MOD(M477-WEEKDAY(DATE(Übersicht!$B$4,J477,1),2),7)+7*(N477-1),NA()),IF(I477="nthWeekdayOffsetDays",IF(AND(ISNUMBER(J477),J477=INT(J477),J477&gt;=1,J477&lt;=12,ISNUMBER(M477),M477=INT(M477),M477&gt;=1,M477&lt;=7,ISNUMBER(N477),N477=INT(N477),N477&gt;=1,N477&lt;=5,MONTH(DATE(Übersicht!$B$4,J477,1)+MOD(M477-WEEKDAY(DATE(Übersicht!$B$4,J477,1),2),7)+7*(N477-1))=J477,K477="",ISNUMBER(L477),L477=INT(L477),L477&gt;=-366,L477&lt;=366),DATE(Übersicht!$B$4,J477,1)+MOD(M477-WEEKDAY(DATE(Übersicht!$B$4,J477,1),2),7)+7*(N477-1)+L477,NA()),NA())))),NA())</f>
        <v>46909</v>
      </c>
      <c r="X477" s="14">
        <f t="shared" si="7"/>
        <v>46909</v>
      </c>
      <c r="Y477" s="10" t="s">
        <v>1066</v>
      </c>
      <c r="Z477" s="10" t="s">
        <v>1074</v>
      </c>
      <c r="AA477" s="24" t="s">
        <v>768</v>
      </c>
    </row>
    <row r="478" spans="1:27" ht="44" customHeight="1">
      <c r="A478" s="11" t="s">
        <v>605</v>
      </c>
      <c r="B478" s="11" t="s">
        <v>581</v>
      </c>
      <c r="C478" s="11" t="s">
        <v>1073</v>
      </c>
      <c r="D478" s="26" t="s">
        <v>810</v>
      </c>
      <c r="E478" s="26" t="s">
        <v>811</v>
      </c>
      <c r="F478" s="27" t="s">
        <v>868</v>
      </c>
      <c r="G478" s="27" t="s">
        <v>869</v>
      </c>
      <c r="H478" s="11" t="s">
        <v>812</v>
      </c>
      <c r="I478" s="11" t="s">
        <v>781</v>
      </c>
      <c r="J478" s="30"/>
      <c r="K478" s="30"/>
      <c r="L478" s="26">
        <v>60</v>
      </c>
      <c r="M478" s="26"/>
      <c r="N478" s="26"/>
      <c r="O478" s="31">
        <v>46023</v>
      </c>
      <c r="P478" s="31"/>
      <c r="Q478" s="26">
        <v>100</v>
      </c>
      <c r="R478" s="26" t="s">
        <v>69</v>
      </c>
      <c r="S478" s="11"/>
      <c r="T478" s="11" t="s">
        <v>764</v>
      </c>
      <c r="U478" s="11"/>
      <c r="V478" s="11" t="s">
        <v>824</v>
      </c>
      <c r="W478" s="15">
        <f>IF(AND(ISNUMBER(Übersicht!$B$4),Übersicht!$B$4=INT(Übersicht!$B$4),Übersicht!$B$4&gt;=2026,Übersicht!$B$4&lt;=2028),IF(I478="fixedMonthDay",IF(AND(ISNUMBER(J478),J478=INT(J478),J478&gt;=1,J478&lt;=12,ISNUMBER(K478),K478=INT(K478),K478&gt;=1,K478&lt;=31,MONTH(DATE(Übersicht!$B$4,J478,K478))=J478,DAY(DATE(Übersicht!$B$4,J478,K478))=K478,L478="",M478="",N478=""),DATE(Übersicht!$B$4,J478,K478),NA()),IF(I478="easterOffsetDays",IF(AND(ISNUMBER(L478),L478=INT(L478),L478&gt;=-366,L478&lt;=366,J478="",K478="",M478="",N478=""),$AD$23+L478,NA()),IF(I478="nthWeekdayOfMonth",IF(AND(ISNUMBER(J478),J478=INT(J478),J478&gt;=1,J478&lt;=12,ISNUMBER(M478),M478=INT(M478),M478&gt;=1,M478&lt;=7,ISNUMBER(N478),N478=INT(N478),N478&gt;=1,N478&lt;=5,MONTH(DATE(Übersicht!$B$4,J478,1)+MOD(M478-WEEKDAY(DATE(Übersicht!$B$4,J478,1),2),7)+7*(N478-1))=J478,K478="",L478=""),DATE(Übersicht!$B$4,J478,1)+MOD(M478-WEEKDAY(DATE(Übersicht!$B$4,J478,1),2),7)+7*(N478-1),NA()),IF(I478="nthWeekdayOffsetDays",IF(AND(ISNUMBER(J478),J478=INT(J478),J478&gt;=1,J478&lt;=12,ISNUMBER(M478),M478=INT(M478),M478&gt;=1,M478&lt;=7,ISNUMBER(N478),N478=INT(N478),N478&gt;=1,N478&lt;=5,MONTH(DATE(Übersicht!$B$4,J478,1)+MOD(M478-WEEKDAY(DATE(Übersicht!$B$4,J478,1),2),7)+7*(N478-1))=J478,K478="",ISNUMBER(L478),L478=INT(L478),L478&gt;=-366,L478&lt;=366),DATE(Übersicht!$B$4,J478,1)+MOD(M478-WEEKDAY(DATE(Übersicht!$B$4,J478,1),2),7)+7*(N478-1)+L478,NA()),NA())))),NA())</f>
        <v>46919</v>
      </c>
      <c r="X478" s="15">
        <f t="shared" si="7"/>
        <v>46919</v>
      </c>
      <c r="Y478" s="11" t="s">
        <v>1066</v>
      </c>
      <c r="Z478" s="11" t="s">
        <v>1074</v>
      </c>
      <c r="AA478" s="26" t="s">
        <v>768</v>
      </c>
    </row>
    <row r="479" spans="1:27" ht="44" customHeight="1">
      <c r="A479" s="10" t="s">
        <v>606</v>
      </c>
      <c r="B479" s="10" t="s">
        <v>581</v>
      </c>
      <c r="C479" s="10" t="s">
        <v>1073</v>
      </c>
      <c r="D479" s="24" t="s">
        <v>759</v>
      </c>
      <c r="E479" s="24" t="s">
        <v>760</v>
      </c>
      <c r="F479" s="25" t="s">
        <v>874</v>
      </c>
      <c r="G479" s="25" t="s">
        <v>875</v>
      </c>
      <c r="H479" s="10" t="s">
        <v>761</v>
      </c>
      <c r="I479" s="10" t="s">
        <v>762</v>
      </c>
      <c r="J479" s="28">
        <v>8</v>
      </c>
      <c r="K479" s="28">
        <v>1</v>
      </c>
      <c r="L479" s="24"/>
      <c r="M479" s="24"/>
      <c r="N479" s="24"/>
      <c r="O479" s="29">
        <v>46023</v>
      </c>
      <c r="P479" s="29"/>
      <c r="Q479" s="24">
        <v>100</v>
      </c>
      <c r="R479" s="24" t="s">
        <v>69</v>
      </c>
      <c r="S479" s="10"/>
      <c r="T479" s="10" t="s">
        <v>764</v>
      </c>
      <c r="U479" s="10"/>
      <c r="V479" s="10" t="s">
        <v>824</v>
      </c>
      <c r="W479" s="14">
        <f>IF(AND(ISNUMBER(Übersicht!$B$4),Übersicht!$B$4=INT(Übersicht!$B$4),Übersicht!$B$4&gt;=2026,Übersicht!$B$4&lt;=2028),IF(I479="fixedMonthDay",IF(AND(ISNUMBER(J479),J479=INT(J479),J479&gt;=1,J479&lt;=12,ISNUMBER(K479),K479=INT(K479),K479&gt;=1,K479&lt;=31,MONTH(DATE(Übersicht!$B$4,J479,K479))=J479,DAY(DATE(Übersicht!$B$4,J479,K479))=K479,L479="",M479="",N479=""),DATE(Übersicht!$B$4,J479,K479),NA()),IF(I479="easterOffsetDays",IF(AND(ISNUMBER(L479),L479=INT(L479),L479&gt;=-366,L479&lt;=366,J479="",K479="",M479="",N479=""),$AD$23+L479,NA()),IF(I479="nthWeekdayOfMonth",IF(AND(ISNUMBER(J479),J479=INT(J479),J479&gt;=1,J479&lt;=12,ISNUMBER(M479),M479=INT(M479),M479&gt;=1,M479&lt;=7,ISNUMBER(N479),N479=INT(N479),N479&gt;=1,N479&lt;=5,MONTH(DATE(Übersicht!$B$4,J479,1)+MOD(M479-WEEKDAY(DATE(Übersicht!$B$4,J479,1),2),7)+7*(N479-1))=J479,K479="",L479=""),DATE(Übersicht!$B$4,J479,1)+MOD(M479-WEEKDAY(DATE(Übersicht!$B$4,J479,1),2),7)+7*(N479-1),NA()),IF(I479="nthWeekdayOffsetDays",IF(AND(ISNUMBER(J479),J479=INT(J479),J479&gt;=1,J479&lt;=12,ISNUMBER(M479),M479=INT(M479),M479&gt;=1,M479&lt;=7,ISNUMBER(N479),N479=INT(N479),N479&gt;=1,N479&lt;=5,MONTH(DATE(Übersicht!$B$4,J479,1)+MOD(M479-WEEKDAY(DATE(Übersicht!$B$4,J479,1),2),7)+7*(N479-1))=J479,K479="",ISNUMBER(L479),L479=INT(L479),L479&gt;=-366,L479&lt;=366),DATE(Übersicht!$B$4,J479,1)+MOD(M479-WEEKDAY(DATE(Übersicht!$B$4,J479,1),2),7)+7*(N479-1)+L479,NA()),NA())))),NA())</f>
        <v>46966</v>
      </c>
      <c r="X479" s="14">
        <f t="shared" si="7"/>
        <v>46966</v>
      </c>
      <c r="Y479" s="10" t="s">
        <v>766</v>
      </c>
      <c r="Z479" s="10" t="s">
        <v>1075</v>
      </c>
      <c r="AA479" s="24" t="s">
        <v>768</v>
      </c>
    </row>
    <row r="480" spans="1:27" ht="44" customHeight="1">
      <c r="A480" s="11" t="s">
        <v>607</v>
      </c>
      <c r="B480" s="11" t="s">
        <v>581</v>
      </c>
      <c r="C480" s="11" t="s">
        <v>1073</v>
      </c>
      <c r="D480" s="26" t="s">
        <v>803</v>
      </c>
      <c r="E480" s="26" t="s">
        <v>804</v>
      </c>
      <c r="F480" s="27" t="s">
        <v>882</v>
      </c>
      <c r="G480" s="27" t="s">
        <v>883</v>
      </c>
      <c r="H480" s="11" t="s">
        <v>812</v>
      </c>
      <c r="I480" s="11" t="s">
        <v>762</v>
      </c>
      <c r="J480" s="30">
        <v>12</v>
      </c>
      <c r="K480" s="30">
        <v>25</v>
      </c>
      <c r="L480" s="26"/>
      <c r="M480" s="26"/>
      <c r="N480" s="26"/>
      <c r="O480" s="31">
        <v>46023</v>
      </c>
      <c r="P480" s="31"/>
      <c r="Q480" s="26">
        <v>100</v>
      </c>
      <c r="R480" s="26" t="s">
        <v>69</v>
      </c>
      <c r="S480" s="11"/>
      <c r="T480" s="11" t="s">
        <v>764</v>
      </c>
      <c r="U480" s="11"/>
      <c r="V480" s="11" t="s">
        <v>824</v>
      </c>
      <c r="W480" s="15">
        <f>IF(AND(ISNUMBER(Übersicht!$B$4),Übersicht!$B$4=INT(Übersicht!$B$4),Übersicht!$B$4&gt;=2026,Übersicht!$B$4&lt;=2028),IF(I480="fixedMonthDay",IF(AND(ISNUMBER(J480),J480=INT(J480),J480&gt;=1,J480&lt;=12,ISNUMBER(K480),K480=INT(K480),K480&gt;=1,K480&lt;=31,MONTH(DATE(Übersicht!$B$4,J480,K480))=J480,DAY(DATE(Übersicht!$B$4,J480,K480))=K480,L480="",M480="",N480=""),DATE(Übersicht!$B$4,J480,K480),NA()),IF(I480="easterOffsetDays",IF(AND(ISNUMBER(L480),L480=INT(L480),L480&gt;=-366,L480&lt;=366,J480="",K480="",M480="",N480=""),$AD$23+L480,NA()),IF(I480="nthWeekdayOfMonth",IF(AND(ISNUMBER(J480),J480=INT(J480),J480&gt;=1,J480&lt;=12,ISNUMBER(M480),M480=INT(M480),M480&gt;=1,M480&lt;=7,ISNUMBER(N480),N480=INT(N480),N480&gt;=1,N480&lt;=5,MONTH(DATE(Übersicht!$B$4,J480,1)+MOD(M480-WEEKDAY(DATE(Übersicht!$B$4,J480,1),2),7)+7*(N480-1))=J480,K480="",L480=""),DATE(Übersicht!$B$4,J480,1)+MOD(M480-WEEKDAY(DATE(Übersicht!$B$4,J480,1),2),7)+7*(N480-1),NA()),IF(I480="nthWeekdayOffsetDays",IF(AND(ISNUMBER(J480),J480=INT(J480),J480&gt;=1,J480&lt;=12,ISNUMBER(M480),M480=INT(M480),M480&gt;=1,M480&lt;=7,ISNUMBER(N480),N480=INT(N480),N480&gt;=1,N480&lt;=5,MONTH(DATE(Übersicht!$B$4,J480,1)+MOD(M480-WEEKDAY(DATE(Übersicht!$B$4,J480,1),2),7)+7*(N480-1))=J480,K480="",ISNUMBER(L480),L480=INT(L480),L480&gt;=-366,L480&lt;=366),DATE(Übersicht!$B$4,J480,1)+MOD(M480-WEEKDAY(DATE(Übersicht!$B$4,J480,1),2),7)+7*(N480-1)+L480,NA()),NA())))),NA())</f>
        <v>47112</v>
      </c>
      <c r="X480" s="15">
        <f t="shared" si="7"/>
        <v>47112</v>
      </c>
      <c r="Y480" s="11" t="s">
        <v>1066</v>
      </c>
      <c r="Z480" s="11" t="s">
        <v>1074</v>
      </c>
      <c r="AA480" s="26" t="s">
        <v>768</v>
      </c>
    </row>
  </sheetData>
  <sheetProtection sheet="1" objects="1" scenarios="1" sort="0" autoFilter="0"/>
  <conditionalFormatting sqref="F7:F480">
    <cfRule type="containsBlanks" dxfId="19" priority="3"/>
  </conditionalFormatting>
  <conditionalFormatting sqref="G7:G480">
    <cfRule type="containsBlanks" dxfId="18" priority="4"/>
  </conditionalFormatting>
  <conditionalFormatting sqref="R7:R480">
    <cfRule type="containsText" dxfId="17" priority="1" operator="containsText" text="open"/>
    <cfRule type="containsText" dxfId="16" priority="2" operator="containsText" text="blocked"/>
  </conditionalFormatting>
  <dataValidations count="7">
    <dataValidation type="list" sqref="R7:R480" xr:uid="{00000000-0002-0000-0300-000000000000}">
      <formula1>"approved,open,blocked"</formula1>
    </dataValidation>
    <dataValidation type="list" sqref="H7:H480" xr:uid="{00000000-0002-0000-0300-000001000000}">
      <formula1>"publicHoliday,labourLawHoliday,proceduralEquivalentDay"</formula1>
    </dataValidation>
    <dataValidation type="list" showErrorMessage="1" errorTitle="Ungültige Eingabe" error="Bitte einen unterstützten Regeltyp wählen." sqref="I7:I480" xr:uid="{00000000-0002-0000-0300-000002000000}">
      <formula1>"fixedMonthDay,easterOffsetDays,nthWeekdayOfMonth,nthWeekdayOffsetDays"</formula1>
    </dataValidation>
    <dataValidation type="whole" showErrorMessage="1" errorTitle="Ungültige Eingabe" error="Der Monat muss eine ganze Zahl von 1 bis 12 sein." sqref="J7:J480" xr:uid="{00000000-0002-0000-0300-000003000000}">
      <formula1>1</formula1>
      <formula2>12</formula2>
    </dataValidation>
    <dataValidation type="whole" showErrorMessage="1" errorTitle="Ungültige Eingabe" error="Der Tag muss eine ganze Zahl von 1 bis 31 sein." sqref="K7:K480" xr:uid="{00000000-0002-0000-0300-000004000000}">
      <formula1>1</formula1>
      <formula2>31</formula2>
    </dataValidation>
    <dataValidation type="whole" showErrorMessage="1" errorTitle="Ungültige Eingabe" error="Der Tagesabstand muss eine ganze Zahl von −366 bis 366 sein." sqref="L7:L480" xr:uid="{00000000-0002-0000-0300-000005000000}">
      <formula1>-366</formula1>
      <formula2>366</formula2>
    </dataValidation>
    <dataValidation type="list" showErrorMessage="1" errorTitle="Ungültige Eingabe" error="Bitte den Tagesumfang ausdrücklich wählen." sqref="AA7:AA480" xr:uid="{00000000-0002-0000-0300-000006000000}">
      <formula1>"Ganztägig,Ab 12.00 Uhr"</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55"/>
  <sheetViews>
    <sheetView showGridLines="0" workbookViewId="0">
      <pane xSplit="1" ySplit="6" topLeftCell="B7" activePane="bottomRight" state="frozen"/>
      <selection pane="topRight"/>
      <selection pane="bottomLeft"/>
      <selection pane="bottomRight" activeCell="B7" sqref="B7"/>
    </sheetView>
  </sheetViews>
  <sheetFormatPr baseColWidth="10" defaultColWidth="8.83203125" defaultRowHeight="14"/>
  <cols>
    <col min="1" max="1" width="31" customWidth="1"/>
    <col min="2" max="2" width="16" customWidth="1"/>
    <col min="3" max="3" width="38" customWidth="1"/>
    <col min="4" max="6" width="32" customWidth="1"/>
    <col min="7" max="7" width="22" customWidth="1"/>
    <col min="8" max="8" width="62" customWidth="1"/>
    <col min="9" max="9" width="40" customWidth="1"/>
    <col min="10" max="10" width="35" customWidth="1"/>
    <col min="11" max="13" width="16" customWidth="1"/>
  </cols>
  <sheetData>
    <row r="1" spans="1:13" ht="24" customHeight="1">
      <c r="A1" s="2"/>
      <c r="B1" s="2"/>
      <c r="C1" s="2"/>
      <c r="G1" s="2"/>
      <c r="H1" s="2"/>
      <c r="I1" s="2"/>
      <c r="J1" s="2"/>
      <c r="K1" s="2"/>
      <c r="L1" s="2"/>
      <c r="M1" s="2"/>
    </row>
    <row r="2" spans="1:13" ht="24" customHeight="1">
      <c r="A2" s="3" t="s">
        <v>1076</v>
      </c>
      <c r="B2" s="2"/>
      <c r="C2" s="2"/>
      <c r="G2" s="2"/>
      <c r="H2" s="2"/>
      <c r="I2" s="2"/>
      <c r="J2" s="2"/>
      <c r="K2" s="2"/>
      <c r="L2" s="2"/>
      <c r="M2" s="2"/>
    </row>
    <row r="3" spans="1:13" ht="24" customHeight="1">
      <c r="A3" s="4"/>
      <c r="B3" s="4"/>
      <c r="C3" s="4"/>
      <c r="G3" s="4"/>
      <c r="H3" s="4"/>
      <c r="I3" s="4"/>
      <c r="J3" s="4"/>
      <c r="K3" s="4"/>
      <c r="L3" s="4"/>
      <c r="M3" s="4"/>
    </row>
    <row r="4" spans="1:13" ht="24" customHeight="1">
      <c r="A4" s="8" t="s">
        <v>1077</v>
      </c>
      <c r="B4" s="2"/>
      <c r="C4" s="2"/>
      <c r="G4" s="2"/>
      <c r="H4" s="2"/>
      <c r="I4" s="2"/>
      <c r="J4" s="2"/>
      <c r="K4" s="2"/>
      <c r="L4" s="2"/>
      <c r="M4" s="2"/>
    </row>
    <row r="5" spans="1:13" ht="24" customHeight="1">
      <c r="A5" s="2"/>
      <c r="B5" s="2"/>
      <c r="C5" s="2"/>
      <c r="G5" s="2"/>
      <c r="H5" s="2"/>
      <c r="I5" s="2"/>
      <c r="J5" s="2"/>
      <c r="K5" s="2"/>
      <c r="L5" s="2"/>
      <c r="M5" s="2"/>
    </row>
    <row r="6" spans="1:13" ht="42" customHeight="1">
      <c r="A6" s="9" t="s">
        <v>740</v>
      </c>
      <c r="B6" s="9" t="s">
        <v>19</v>
      </c>
      <c r="C6" s="9" t="s">
        <v>1078</v>
      </c>
      <c r="D6" s="20" t="s">
        <v>39</v>
      </c>
      <c r="E6" s="20" t="s">
        <v>40</v>
      </c>
      <c r="F6" s="20" t="s">
        <v>41</v>
      </c>
      <c r="G6" s="9" t="s">
        <v>1079</v>
      </c>
      <c r="H6" s="9" t="s">
        <v>1080</v>
      </c>
      <c r="I6" s="9" t="s">
        <v>45</v>
      </c>
      <c r="J6" s="9" t="s">
        <v>46</v>
      </c>
      <c r="K6" s="9" t="s">
        <v>43</v>
      </c>
      <c r="L6" s="9" t="s">
        <v>1081</v>
      </c>
      <c r="M6" s="9" t="s">
        <v>1082</v>
      </c>
    </row>
    <row r="7" spans="1:13" ht="38" customHeight="1">
      <c r="A7" s="10" t="s">
        <v>758</v>
      </c>
      <c r="B7" s="10" t="s">
        <v>49</v>
      </c>
      <c r="C7" s="10" t="s">
        <v>50</v>
      </c>
      <c r="D7" s="25"/>
      <c r="E7" s="25"/>
      <c r="F7" s="25"/>
      <c r="G7" s="10" t="s">
        <v>1083</v>
      </c>
      <c r="H7" s="10" t="s">
        <v>50</v>
      </c>
      <c r="I7" s="10" t="s">
        <v>766</v>
      </c>
      <c r="J7" s="10" t="s">
        <v>767</v>
      </c>
      <c r="K7" s="10" t="s">
        <v>618</v>
      </c>
      <c r="L7" s="14">
        <v>34516</v>
      </c>
      <c r="M7" s="14"/>
    </row>
    <row r="8" spans="1:13" ht="38" customHeight="1">
      <c r="A8" s="11" t="s">
        <v>770</v>
      </c>
      <c r="B8" s="11" t="s">
        <v>53</v>
      </c>
      <c r="C8" s="11" t="s">
        <v>54</v>
      </c>
      <c r="D8" s="27"/>
      <c r="E8" s="27"/>
      <c r="F8" s="27"/>
      <c r="G8" s="11" t="s">
        <v>1084</v>
      </c>
      <c r="H8" s="11" t="s">
        <v>1085</v>
      </c>
      <c r="I8" s="11" t="s">
        <v>773</v>
      </c>
      <c r="J8" s="11" t="s">
        <v>1086</v>
      </c>
      <c r="K8" s="11" t="s">
        <v>618</v>
      </c>
      <c r="L8" s="15">
        <v>46023</v>
      </c>
      <c r="M8" s="15"/>
    </row>
    <row r="9" spans="1:13" ht="38" customHeight="1">
      <c r="A9" s="10" t="s">
        <v>809</v>
      </c>
      <c r="B9" s="10" t="s">
        <v>67</v>
      </c>
      <c r="C9" s="10" t="s">
        <v>68</v>
      </c>
      <c r="D9" s="25"/>
      <c r="E9" s="25"/>
      <c r="F9" s="25"/>
      <c r="G9" s="10" t="s">
        <v>1087</v>
      </c>
      <c r="H9" s="10" t="s">
        <v>1088</v>
      </c>
      <c r="I9" s="10" t="s">
        <v>814</v>
      </c>
      <c r="J9" s="10" t="s">
        <v>815</v>
      </c>
      <c r="K9" s="10" t="s">
        <v>69</v>
      </c>
      <c r="L9" s="14">
        <v>46023</v>
      </c>
      <c r="M9" s="14"/>
    </row>
    <row r="10" spans="1:13" ht="38" customHeight="1">
      <c r="A10" s="11" t="s">
        <v>817</v>
      </c>
      <c r="B10" s="11" t="s">
        <v>67</v>
      </c>
      <c r="C10" s="11" t="s">
        <v>72</v>
      </c>
      <c r="D10" s="27"/>
      <c r="E10" s="27"/>
      <c r="F10" s="27"/>
      <c r="G10" s="11" t="s">
        <v>1089</v>
      </c>
      <c r="H10" s="11" t="s">
        <v>1090</v>
      </c>
      <c r="I10" s="11" t="s">
        <v>814</v>
      </c>
      <c r="J10" s="11" t="s">
        <v>818</v>
      </c>
      <c r="K10" s="11" t="s">
        <v>69</v>
      </c>
      <c r="L10" s="15">
        <v>46023</v>
      </c>
      <c r="M10" s="15"/>
    </row>
    <row r="11" spans="1:13" ht="38" customHeight="1">
      <c r="A11" s="10" t="s">
        <v>820</v>
      </c>
      <c r="B11" s="10" t="s">
        <v>67</v>
      </c>
      <c r="C11" s="10" t="s">
        <v>74</v>
      </c>
      <c r="D11" s="25"/>
      <c r="E11" s="25"/>
      <c r="F11" s="25"/>
      <c r="G11" s="10" t="s">
        <v>1084</v>
      </c>
      <c r="H11" s="10" t="s">
        <v>1091</v>
      </c>
      <c r="I11" s="10" t="s">
        <v>825</v>
      </c>
      <c r="J11" s="10" t="s">
        <v>826</v>
      </c>
      <c r="K11" s="10" t="s">
        <v>69</v>
      </c>
      <c r="L11" s="14">
        <v>46023</v>
      </c>
      <c r="M11" s="14"/>
    </row>
    <row r="12" spans="1:13" ht="68" customHeight="1">
      <c r="A12" s="11" t="s">
        <v>828</v>
      </c>
      <c r="B12" s="11" t="s">
        <v>67</v>
      </c>
      <c r="C12" s="11" t="s">
        <v>76</v>
      </c>
      <c r="D12" s="27"/>
      <c r="E12" s="27"/>
      <c r="F12" s="27"/>
      <c r="G12" s="11" t="s">
        <v>1092</v>
      </c>
      <c r="H12" s="11" t="s">
        <v>1093</v>
      </c>
      <c r="I12" s="11" t="s">
        <v>814</v>
      </c>
      <c r="J12" s="11" t="s">
        <v>829</v>
      </c>
      <c r="K12" s="11" t="s">
        <v>69</v>
      </c>
      <c r="L12" s="15">
        <v>46023</v>
      </c>
      <c r="M12" s="15"/>
    </row>
    <row r="13" spans="1:13" ht="68" customHeight="1">
      <c r="A13" s="10" t="s">
        <v>832</v>
      </c>
      <c r="B13" s="10" t="s">
        <v>67</v>
      </c>
      <c r="C13" s="10" t="s">
        <v>99</v>
      </c>
      <c r="D13" s="25"/>
      <c r="E13" s="25"/>
      <c r="F13" s="25"/>
      <c r="G13" s="10" t="s">
        <v>1094</v>
      </c>
      <c r="H13" s="10" t="s">
        <v>1095</v>
      </c>
      <c r="I13" s="10" t="s">
        <v>814</v>
      </c>
      <c r="J13" s="10" t="s">
        <v>833</v>
      </c>
      <c r="K13" s="10" t="s">
        <v>69</v>
      </c>
      <c r="L13" s="14">
        <v>46023</v>
      </c>
      <c r="M13" s="14"/>
    </row>
    <row r="14" spans="1:13" ht="68" customHeight="1">
      <c r="A14" s="11" t="s">
        <v>836</v>
      </c>
      <c r="B14" s="11" t="s">
        <v>67</v>
      </c>
      <c r="C14" s="11" t="s">
        <v>108</v>
      </c>
      <c r="D14" s="27"/>
      <c r="E14" s="27"/>
      <c r="F14" s="27"/>
      <c r="G14" s="11" t="s">
        <v>1092</v>
      </c>
      <c r="H14" s="11" t="s">
        <v>1096</v>
      </c>
      <c r="I14" s="11" t="s">
        <v>814</v>
      </c>
      <c r="J14" s="11" t="s">
        <v>837</v>
      </c>
      <c r="K14" s="11" t="s">
        <v>69</v>
      </c>
      <c r="L14" s="15">
        <v>46023</v>
      </c>
      <c r="M14" s="15"/>
    </row>
    <row r="15" spans="1:13" ht="68" customHeight="1">
      <c r="A15" s="10" t="s">
        <v>840</v>
      </c>
      <c r="B15" s="10" t="s">
        <v>67</v>
      </c>
      <c r="C15" s="10" t="s">
        <v>1097</v>
      </c>
      <c r="D15" s="25"/>
      <c r="E15" s="25"/>
      <c r="F15" s="25"/>
      <c r="G15" s="10" t="s">
        <v>1092</v>
      </c>
      <c r="H15" s="10" t="s">
        <v>1098</v>
      </c>
      <c r="I15" s="10" t="s">
        <v>814</v>
      </c>
      <c r="J15" s="10" t="s">
        <v>841</v>
      </c>
      <c r="K15" s="10" t="s">
        <v>69</v>
      </c>
      <c r="L15" s="14">
        <v>46023</v>
      </c>
      <c r="M15" s="14"/>
    </row>
    <row r="16" spans="1:13" ht="68" customHeight="1">
      <c r="A16" s="11" t="s">
        <v>842</v>
      </c>
      <c r="B16" s="11" t="s">
        <v>67</v>
      </c>
      <c r="C16" s="11" t="s">
        <v>1099</v>
      </c>
      <c r="D16" s="27"/>
      <c r="E16" s="27"/>
      <c r="F16" s="27"/>
      <c r="G16" s="11" t="s">
        <v>1092</v>
      </c>
      <c r="H16" s="11" t="s">
        <v>1100</v>
      </c>
      <c r="I16" s="11" t="s">
        <v>814</v>
      </c>
      <c r="J16" s="11" t="s">
        <v>843</v>
      </c>
      <c r="K16" s="11" t="s">
        <v>69</v>
      </c>
      <c r="L16" s="15">
        <v>46023</v>
      </c>
      <c r="M16" s="15"/>
    </row>
    <row r="17" spans="1:13" ht="68" customHeight="1">
      <c r="A17" s="10" t="s">
        <v>844</v>
      </c>
      <c r="B17" s="10" t="s">
        <v>67</v>
      </c>
      <c r="C17" s="10" t="s">
        <v>135</v>
      </c>
      <c r="D17" s="25"/>
      <c r="E17" s="25"/>
      <c r="F17" s="25"/>
      <c r="G17" s="10" t="s">
        <v>1094</v>
      </c>
      <c r="H17" s="10" t="s">
        <v>1101</v>
      </c>
      <c r="I17" s="10" t="s">
        <v>814</v>
      </c>
      <c r="J17" s="10" t="s">
        <v>845</v>
      </c>
      <c r="K17" s="10" t="s">
        <v>69</v>
      </c>
      <c r="L17" s="14">
        <v>46023</v>
      </c>
      <c r="M17" s="14"/>
    </row>
    <row r="18" spans="1:13" ht="82" customHeight="1">
      <c r="A18" s="11" t="s">
        <v>848</v>
      </c>
      <c r="B18" s="11" t="s">
        <v>157</v>
      </c>
      <c r="C18" s="11" t="s">
        <v>158</v>
      </c>
      <c r="D18" s="27" t="s">
        <v>1102</v>
      </c>
      <c r="E18" s="27" t="s">
        <v>1103</v>
      </c>
      <c r="F18" s="27" t="s">
        <v>1104</v>
      </c>
      <c r="G18" s="11" t="s">
        <v>1084</v>
      </c>
      <c r="H18" s="11" t="s">
        <v>1105</v>
      </c>
      <c r="I18" s="11" t="s">
        <v>851</v>
      </c>
      <c r="J18" s="11" t="s">
        <v>767</v>
      </c>
      <c r="K18" s="11" t="s">
        <v>69</v>
      </c>
      <c r="L18" s="15">
        <v>46023</v>
      </c>
      <c r="M18" s="15"/>
    </row>
    <row r="19" spans="1:13" ht="82" customHeight="1">
      <c r="A19" s="10" t="s">
        <v>886</v>
      </c>
      <c r="B19" s="10" t="s">
        <v>176</v>
      </c>
      <c r="C19" s="10" t="s">
        <v>177</v>
      </c>
      <c r="D19" s="25" t="s">
        <v>1106</v>
      </c>
      <c r="E19" s="25" t="s">
        <v>1107</v>
      </c>
      <c r="F19" s="25" t="s">
        <v>1108</v>
      </c>
      <c r="G19" s="10" t="s">
        <v>1084</v>
      </c>
      <c r="H19" s="10" t="s">
        <v>1109</v>
      </c>
      <c r="I19" s="10" t="s">
        <v>888</v>
      </c>
      <c r="J19" s="10" t="s">
        <v>1050</v>
      </c>
      <c r="K19" s="10" t="s">
        <v>69</v>
      </c>
      <c r="L19" s="14">
        <v>46023</v>
      </c>
      <c r="M19" s="14"/>
    </row>
    <row r="20" spans="1:13" ht="88" customHeight="1">
      <c r="A20" s="11" t="s">
        <v>903</v>
      </c>
      <c r="B20" s="11" t="s">
        <v>190</v>
      </c>
      <c r="C20" s="11" t="s">
        <v>191</v>
      </c>
      <c r="D20" s="27" t="s">
        <v>1110</v>
      </c>
      <c r="E20" s="27"/>
      <c r="F20" s="27"/>
      <c r="G20" s="11" t="s">
        <v>1084</v>
      </c>
      <c r="H20" s="11" t="s">
        <v>1111</v>
      </c>
      <c r="I20" s="11" t="s">
        <v>904</v>
      </c>
      <c r="J20" s="11" t="s">
        <v>767</v>
      </c>
      <c r="K20" s="11" t="s">
        <v>69</v>
      </c>
      <c r="L20" s="15">
        <v>46023</v>
      </c>
      <c r="M20" s="15"/>
    </row>
    <row r="21" spans="1:13" ht="88" customHeight="1">
      <c r="A21" s="10" t="s">
        <v>905</v>
      </c>
      <c r="B21" s="10" t="s">
        <v>190</v>
      </c>
      <c r="C21" s="10" t="s">
        <v>202</v>
      </c>
      <c r="D21" s="25" t="s">
        <v>1112</v>
      </c>
      <c r="E21" s="25"/>
      <c r="F21" s="25"/>
      <c r="G21" s="10" t="s">
        <v>1084</v>
      </c>
      <c r="H21" s="10" t="s">
        <v>1113</v>
      </c>
      <c r="I21" s="10" t="s">
        <v>908</v>
      </c>
      <c r="J21" s="10" t="s">
        <v>1114</v>
      </c>
      <c r="K21" s="10" t="s">
        <v>69</v>
      </c>
      <c r="L21" s="14">
        <v>46023</v>
      </c>
      <c r="M21" s="14"/>
    </row>
    <row r="22" spans="1:13" ht="88" customHeight="1">
      <c r="A22" s="11" t="s">
        <v>936</v>
      </c>
      <c r="B22" s="11" t="s">
        <v>269</v>
      </c>
      <c r="C22" s="11" t="s">
        <v>270</v>
      </c>
      <c r="D22" s="27" t="s">
        <v>1115</v>
      </c>
      <c r="E22" s="27"/>
      <c r="F22" s="27"/>
      <c r="G22" s="11" t="s">
        <v>1084</v>
      </c>
      <c r="H22" s="11" t="s">
        <v>1116</v>
      </c>
      <c r="I22" s="11" t="s">
        <v>937</v>
      </c>
      <c r="J22" s="11" t="s">
        <v>1117</v>
      </c>
      <c r="K22" s="11" t="s">
        <v>69</v>
      </c>
      <c r="L22" s="15">
        <v>46023</v>
      </c>
      <c r="M22" s="15"/>
    </row>
    <row r="23" spans="1:13" ht="88" customHeight="1">
      <c r="A23" s="10" t="s">
        <v>912</v>
      </c>
      <c r="B23" s="10" t="s">
        <v>207</v>
      </c>
      <c r="C23" s="10" t="s">
        <v>208</v>
      </c>
      <c r="D23" s="25" t="s">
        <v>1118</v>
      </c>
      <c r="E23" s="25" t="s">
        <v>1119</v>
      </c>
      <c r="F23" s="25" t="s">
        <v>1120</v>
      </c>
      <c r="G23" s="10" t="s">
        <v>1092</v>
      </c>
      <c r="H23" s="10" t="s">
        <v>1121</v>
      </c>
      <c r="I23" s="10" t="s">
        <v>913</v>
      </c>
      <c r="J23" s="10" t="s">
        <v>1122</v>
      </c>
      <c r="K23" s="10" t="s">
        <v>69</v>
      </c>
      <c r="L23" s="14">
        <v>46023</v>
      </c>
      <c r="M23" s="14"/>
    </row>
    <row r="24" spans="1:13" ht="88" customHeight="1">
      <c r="A24" s="11" t="s">
        <v>917</v>
      </c>
      <c r="B24" s="11" t="s">
        <v>207</v>
      </c>
      <c r="C24" s="11" t="s">
        <v>218</v>
      </c>
      <c r="D24" s="27" t="s">
        <v>1123</v>
      </c>
      <c r="E24" s="27" t="s">
        <v>1124</v>
      </c>
      <c r="F24" s="27" t="s">
        <v>1125</v>
      </c>
      <c r="G24" s="11" t="s">
        <v>1092</v>
      </c>
      <c r="H24" s="11" t="s">
        <v>1126</v>
      </c>
      <c r="I24" s="11" t="s">
        <v>913</v>
      </c>
      <c r="J24" s="11" t="s">
        <v>1127</v>
      </c>
      <c r="K24" s="11" t="s">
        <v>69</v>
      </c>
      <c r="L24" s="15">
        <v>46023</v>
      </c>
      <c r="M24" s="15"/>
    </row>
    <row r="25" spans="1:13" ht="88" customHeight="1">
      <c r="A25" s="10" t="s">
        <v>923</v>
      </c>
      <c r="B25" s="10" t="s">
        <v>207</v>
      </c>
      <c r="C25" s="10" t="s">
        <v>228</v>
      </c>
      <c r="D25" s="25" t="s">
        <v>1128</v>
      </c>
      <c r="E25" s="25" t="s">
        <v>1129</v>
      </c>
      <c r="F25" s="25" t="s">
        <v>1130</v>
      </c>
      <c r="G25" s="10" t="s">
        <v>1084</v>
      </c>
      <c r="H25" s="10" t="s">
        <v>1131</v>
      </c>
      <c r="I25" s="10" t="s">
        <v>924</v>
      </c>
      <c r="J25" s="10" t="s">
        <v>1132</v>
      </c>
      <c r="K25" s="10" t="s">
        <v>69</v>
      </c>
      <c r="L25" s="14">
        <v>46023</v>
      </c>
      <c r="M25" s="14"/>
    </row>
    <row r="26" spans="1:13" ht="88" customHeight="1">
      <c r="A26" s="11" t="s">
        <v>926</v>
      </c>
      <c r="B26" s="11" t="s">
        <v>244</v>
      </c>
      <c r="C26" s="11" t="s">
        <v>245</v>
      </c>
      <c r="D26" s="27" t="s">
        <v>1133</v>
      </c>
      <c r="E26" s="27" t="s">
        <v>1134</v>
      </c>
      <c r="F26" s="27" t="s">
        <v>1135</v>
      </c>
      <c r="G26" s="11" t="s">
        <v>1092</v>
      </c>
      <c r="H26" s="11" t="s">
        <v>1136</v>
      </c>
      <c r="I26" s="11" t="s">
        <v>927</v>
      </c>
      <c r="J26" s="11" t="s">
        <v>1028</v>
      </c>
      <c r="K26" s="11" t="s">
        <v>69</v>
      </c>
      <c r="L26" s="15">
        <v>46023</v>
      </c>
      <c r="M26" s="15"/>
    </row>
    <row r="27" spans="1:13" ht="88" customHeight="1">
      <c r="A27" s="10" t="s">
        <v>935</v>
      </c>
      <c r="B27" s="10" t="s">
        <v>244</v>
      </c>
      <c r="C27" s="10" t="s">
        <v>259</v>
      </c>
      <c r="D27" s="25" t="s">
        <v>1137</v>
      </c>
      <c r="E27" s="25" t="s">
        <v>1138</v>
      </c>
      <c r="F27" s="25" t="s">
        <v>1139</v>
      </c>
      <c r="G27" s="10" t="s">
        <v>1094</v>
      </c>
      <c r="H27" s="10" t="s">
        <v>1140</v>
      </c>
      <c r="I27" s="10" t="s">
        <v>927</v>
      </c>
      <c r="J27" s="10" t="s">
        <v>1028</v>
      </c>
      <c r="K27" s="10" t="s">
        <v>69</v>
      </c>
      <c r="L27" s="14">
        <v>46023</v>
      </c>
      <c r="M27" s="14"/>
    </row>
    <row r="28" spans="1:13" ht="88" customHeight="1">
      <c r="A28" s="11" t="s">
        <v>952</v>
      </c>
      <c r="B28" s="11" t="s">
        <v>280</v>
      </c>
      <c r="C28" s="11" t="s">
        <v>281</v>
      </c>
      <c r="D28" s="27" t="s">
        <v>1141</v>
      </c>
      <c r="E28" s="27" t="s">
        <v>1142</v>
      </c>
      <c r="F28" s="27" t="s">
        <v>1143</v>
      </c>
      <c r="G28" s="11" t="s">
        <v>1084</v>
      </c>
      <c r="H28" s="11" t="s">
        <v>1144</v>
      </c>
      <c r="I28" s="11" t="s">
        <v>953</v>
      </c>
      <c r="J28" s="11" t="s">
        <v>954</v>
      </c>
      <c r="K28" s="11" t="s">
        <v>69</v>
      </c>
      <c r="L28" s="15">
        <v>46023</v>
      </c>
      <c r="M28" s="15"/>
    </row>
    <row r="29" spans="1:13" ht="88" customHeight="1">
      <c r="A29" s="10" t="s">
        <v>956</v>
      </c>
      <c r="B29" s="10" t="s">
        <v>280</v>
      </c>
      <c r="C29" s="10" t="s">
        <v>294</v>
      </c>
      <c r="D29" s="25" t="s">
        <v>1145</v>
      </c>
      <c r="E29" s="25" t="s">
        <v>1146</v>
      </c>
      <c r="F29" s="25" t="s">
        <v>1147</v>
      </c>
      <c r="G29" s="10" t="s">
        <v>1084</v>
      </c>
      <c r="H29" s="10" t="s">
        <v>1148</v>
      </c>
      <c r="I29" s="10" t="s">
        <v>957</v>
      </c>
      <c r="J29" s="10" t="s">
        <v>958</v>
      </c>
      <c r="K29" s="10" t="s">
        <v>69</v>
      </c>
      <c r="L29" s="14">
        <v>46023</v>
      </c>
      <c r="M29" s="14"/>
    </row>
    <row r="30" spans="1:13" ht="88" customHeight="1">
      <c r="A30" s="11" t="s">
        <v>959</v>
      </c>
      <c r="B30" s="11" t="s">
        <v>305</v>
      </c>
      <c r="C30" s="11" t="s">
        <v>306</v>
      </c>
      <c r="D30" s="27" t="s">
        <v>1149</v>
      </c>
      <c r="E30" s="27" t="s">
        <v>1150</v>
      </c>
      <c r="F30" s="27" t="s">
        <v>1151</v>
      </c>
      <c r="G30" s="11" t="s">
        <v>1084</v>
      </c>
      <c r="H30" s="11" t="s">
        <v>1152</v>
      </c>
      <c r="I30" s="11" t="s">
        <v>960</v>
      </c>
      <c r="J30" s="11" t="s">
        <v>961</v>
      </c>
      <c r="K30" s="11" t="s">
        <v>69</v>
      </c>
      <c r="L30" s="15">
        <v>46023</v>
      </c>
      <c r="M30" s="15"/>
    </row>
    <row r="31" spans="1:13" ht="88" customHeight="1">
      <c r="A31" s="10" t="s">
        <v>962</v>
      </c>
      <c r="B31" s="10" t="s">
        <v>305</v>
      </c>
      <c r="C31" s="10" t="s">
        <v>319</v>
      </c>
      <c r="D31" s="25" t="s">
        <v>1153</v>
      </c>
      <c r="E31" s="25" t="s">
        <v>1154</v>
      </c>
      <c r="F31" s="25" t="s">
        <v>1155</v>
      </c>
      <c r="G31" s="10" t="s">
        <v>1084</v>
      </c>
      <c r="H31" s="10" t="s">
        <v>1156</v>
      </c>
      <c r="I31" s="10" t="s">
        <v>963</v>
      </c>
      <c r="J31" s="10" t="s">
        <v>964</v>
      </c>
      <c r="K31" s="10" t="s">
        <v>69</v>
      </c>
      <c r="L31" s="14">
        <v>46023</v>
      </c>
      <c r="M31" s="14"/>
    </row>
    <row r="32" spans="1:13" ht="88" customHeight="1">
      <c r="A32" s="11" t="s">
        <v>965</v>
      </c>
      <c r="B32" s="11" t="s">
        <v>321</v>
      </c>
      <c r="C32" s="11" t="s">
        <v>322</v>
      </c>
      <c r="D32" s="27" t="s">
        <v>1157</v>
      </c>
      <c r="E32" s="27" t="s">
        <v>1158</v>
      </c>
      <c r="F32" s="27" t="s">
        <v>1159</v>
      </c>
      <c r="G32" s="11" t="s">
        <v>1084</v>
      </c>
      <c r="H32" s="11" t="s">
        <v>1160</v>
      </c>
      <c r="I32" s="11" t="s">
        <v>966</v>
      </c>
      <c r="J32" s="11" t="s">
        <v>967</v>
      </c>
      <c r="K32" s="11" t="s">
        <v>69</v>
      </c>
      <c r="L32" s="15">
        <v>46023</v>
      </c>
      <c r="M32" s="15"/>
    </row>
    <row r="33" spans="1:13" ht="88" customHeight="1">
      <c r="A33" s="10" t="s">
        <v>968</v>
      </c>
      <c r="B33" s="10" t="s">
        <v>336</v>
      </c>
      <c r="C33" s="10" t="s">
        <v>337</v>
      </c>
      <c r="D33" s="25" t="s">
        <v>1161</v>
      </c>
      <c r="E33" s="25" t="s">
        <v>1162</v>
      </c>
      <c r="F33" s="25" t="s">
        <v>1163</v>
      </c>
      <c r="G33" s="10" t="s">
        <v>1084</v>
      </c>
      <c r="H33" s="10" t="s">
        <v>1164</v>
      </c>
      <c r="I33" s="10" t="s">
        <v>969</v>
      </c>
      <c r="J33" s="10" t="s">
        <v>970</v>
      </c>
      <c r="K33" s="10" t="s">
        <v>69</v>
      </c>
      <c r="L33" s="14">
        <v>46023</v>
      </c>
      <c r="M33" s="14"/>
    </row>
    <row r="34" spans="1:13" ht="88" customHeight="1">
      <c r="A34" s="11" t="s">
        <v>971</v>
      </c>
      <c r="B34" s="11" t="s">
        <v>336</v>
      </c>
      <c r="C34" s="11" t="s">
        <v>350</v>
      </c>
      <c r="D34" s="27" t="s">
        <v>1165</v>
      </c>
      <c r="E34" s="27" t="s">
        <v>1166</v>
      </c>
      <c r="F34" s="27" t="s">
        <v>1167</v>
      </c>
      <c r="G34" s="11" t="s">
        <v>1084</v>
      </c>
      <c r="H34" s="11" t="s">
        <v>1168</v>
      </c>
      <c r="I34" s="11" t="s">
        <v>972</v>
      </c>
      <c r="J34" s="11" t="s">
        <v>973</v>
      </c>
      <c r="K34" s="11" t="s">
        <v>69</v>
      </c>
      <c r="L34" s="15">
        <v>46023</v>
      </c>
      <c r="M34" s="15"/>
    </row>
    <row r="35" spans="1:13" ht="88" customHeight="1">
      <c r="A35" s="10" t="s">
        <v>974</v>
      </c>
      <c r="B35" s="10" t="s">
        <v>352</v>
      </c>
      <c r="C35" s="10" t="s">
        <v>353</v>
      </c>
      <c r="D35" s="25" t="s">
        <v>1169</v>
      </c>
      <c r="E35" s="25" t="s">
        <v>1170</v>
      </c>
      <c r="F35" s="25" t="s">
        <v>1171</v>
      </c>
      <c r="G35" s="10" t="s">
        <v>1084</v>
      </c>
      <c r="H35" s="10" t="s">
        <v>1172</v>
      </c>
      <c r="I35" s="10" t="s">
        <v>975</v>
      </c>
      <c r="J35" s="10" t="s">
        <v>976</v>
      </c>
      <c r="K35" s="10" t="s">
        <v>69</v>
      </c>
      <c r="L35" s="14">
        <v>46023</v>
      </c>
      <c r="M35" s="14"/>
    </row>
    <row r="36" spans="1:13" ht="88" customHeight="1">
      <c r="A36" s="11" t="s">
        <v>977</v>
      </c>
      <c r="B36" s="11" t="s">
        <v>361</v>
      </c>
      <c r="C36" s="11" t="s">
        <v>362</v>
      </c>
      <c r="D36" s="27" t="s">
        <v>1173</v>
      </c>
      <c r="E36" s="27" t="s">
        <v>1174</v>
      </c>
      <c r="F36" s="27" t="s">
        <v>1175</v>
      </c>
      <c r="G36" s="11" t="s">
        <v>1084</v>
      </c>
      <c r="H36" s="11" t="s">
        <v>1176</v>
      </c>
      <c r="I36" s="11" t="s">
        <v>978</v>
      </c>
      <c r="J36" s="11" t="s">
        <v>979</v>
      </c>
      <c r="K36" s="11" t="s">
        <v>69</v>
      </c>
      <c r="L36" s="15">
        <v>46023</v>
      </c>
      <c r="M36" s="15"/>
    </row>
    <row r="37" spans="1:13" ht="88" customHeight="1">
      <c r="A37" s="10" t="s">
        <v>980</v>
      </c>
      <c r="B37" s="10" t="s">
        <v>361</v>
      </c>
      <c r="C37" s="10" t="s">
        <v>377</v>
      </c>
      <c r="D37" s="25" t="s">
        <v>1177</v>
      </c>
      <c r="E37" s="25" t="s">
        <v>1178</v>
      </c>
      <c r="F37" s="25" t="s">
        <v>1179</v>
      </c>
      <c r="G37" s="10" t="s">
        <v>1092</v>
      </c>
      <c r="H37" s="10" t="s">
        <v>1180</v>
      </c>
      <c r="I37" s="10" t="s">
        <v>978</v>
      </c>
      <c r="J37" s="10" t="s">
        <v>774</v>
      </c>
      <c r="K37" s="10" t="s">
        <v>69</v>
      </c>
      <c r="L37" s="14">
        <v>46023</v>
      </c>
      <c r="M37" s="14"/>
    </row>
    <row r="38" spans="1:13" ht="88" customHeight="1">
      <c r="A38" s="11" t="s">
        <v>985</v>
      </c>
      <c r="B38" s="11" t="s">
        <v>379</v>
      </c>
      <c r="C38" s="11" t="s">
        <v>380</v>
      </c>
      <c r="D38" s="27" t="s">
        <v>1181</v>
      </c>
      <c r="E38" s="27" t="s">
        <v>1182</v>
      </c>
      <c r="F38" s="27" t="s">
        <v>1183</v>
      </c>
      <c r="G38" s="11" t="s">
        <v>1084</v>
      </c>
      <c r="H38" s="11" t="s">
        <v>1184</v>
      </c>
      <c r="I38" s="11" t="s">
        <v>986</v>
      </c>
      <c r="J38" s="11" t="s">
        <v>1185</v>
      </c>
      <c r="K38" s="11" t="s">
        <v>69</v>
      </c>
      <c r="L38" s="15">
        <v>46023</v>
      </c>
      <c r="M38" s="15"/>
    </row>
    <row r="39" spans="1:13" ht="88" customHeight="1">
      <c r="A39" s="10" t="s">
        <v>990</v>
      </c>
      <c r="B39" s="10" t="s">
        <v>379</v>
      </c>
      <c r="C39" s="10" t="s">
        <v>394</v>
      </c>
      <c r="D39" s="25" t="s">
        <v>1186</v>
      </c>
      <c r="E39" s="25" t="s">
        <v>1187</v>
      </c>
      <c r="F39" s="25" t="s">
        <v>1188</v>
      </c>
      <c r="G39" s="10" t="s">
        <v>1084</v>
      </c>
      <c r="H39" s="10" t="s">
        <v>1189</v>
      </c>
      <c r="I39" s="10" t="s">
        <v>991</v>
      </c>
      <c r="J39" s="10" t="s">
        <v>992</v>
      </c>
      <c r="K39" s="10" t="s">
        <v>69</v>
      </c>
      <c r="L39" s="14">
        <v>46023</v>
      </c>
      <c r="M39" s="14"/>
    </row>
    <row r="40" spans="1:13" ht="88" customHeight="1">
      <c r="A40" s="11" t="s">
        <v>993</v>
      </c>
      <c r="B40" s="11" t="s">
        <v>379</v>
      </c>
      <c r="C40" s="11" t="s">
        <v>408</v>
      </c>
      <c r="D40" s="27" t="s">
        <v>1190</v>
      </c>
      <c r="E40" s="27" t="s">
        <v>1191</v>
      </c>
      <c r="F40" s="27" t="s">
        <v>1192</v>
      </c>
      <c r="G40" s="11" t="s">
        <v>1084</v>
      </c>
      <c r="H40" s="11" t="s">
        <v>1193</v>
      </c>
      <c r="I40" s="11" t="s">
        <v>994</v>
      </c>
      <c r="J40" s="11" t="s">
        <v>995</v>
      </c>
      <c r="K40" s="11" t="s">
        <v>69</v>
      </c>
      <c r="L40" s="15">
        <v>46023</v>
      </c>
      <c r="M40" s="15"/>
    </row>
    <row r="41" spans="1:13" ht="88" customHeight="1">
      <c r="A41" s="10" t="s">
        <v>996</v>
      </c>
      <c r="B41" s="10" t="s">
        <v>412</v>
      </c>
      <c r="C41" s="10" t="s">
        <v>413</v>
      </c>
      <c r="D41" s="25" t="s">
        <v>1194</v>
      </c>
      <c r="E41" s="25" t="s">
        <v>1195</v>
      </c>
      <c r="F41" s="25" t="s">
        <v>1196</v>
      </c>
      <c r="G41" s="10" t="s">
        <v>1084</v>
      </c>
      <c r="H41" s="10" t="s">
        <v>1197</v>
      </c>
      <c r="I41" s="10" t="s">
        <v>997</v>
      </c>
      <c r="J41" s="10" t="s">
        <v>998</v>
      </c>
      <c r="K41" s="10" t="s">
        <v>69</v>
      </c>
      <c r="L41" s="14">
        <v>46023</v>
      </c>
      <c r="M41" s="14"/>
    </row>
    <row r="42" spans="1:13" ht="88" customHeight="1">
      <c r="A42" s="11" t="s">
        <v>999</v>
      </c>
      <c r="B42" s="11" t="s">
        <v>428</v>
      </c>
      <c r="C42" s="11" t="s">
        <v>429</v>
      </c>
      <c r="D42" s="27" t="s">
        <v>1198</v>
      </c>
      <c r="E42" s="27" t="s">
        <v>1199</v>
      </c>
      <c r="F42" s="27" t="s">
        <v>1200</v>
      </c>
      <c r="G42" s="11" t="s">
        <v>1084</v>
      </c>
      <c r="H42" s="11" t="s">
        <v>1201</v>
      </c>
      <c r="I42" s="11" t="s">
        <v>1000</v>
      </c>
      <c r="J42" s="11" t="s">
        <v>1202</v>
      </c>
      <c r="K42" s="11" t="s">
        <v>69</v>
      </c>
      <c r="L42" s="15">
        <v>46023</v>
      </c>
      <c r="M42" s="15"/>
    </row>
    <row r="43" spans="1:13" ht="88" customHeight="1">
      <c r="A43" s="10" t="s">
        <v>1003</v>
      </c>
      <c r="B43" s="10" t="s">
        <v>447</v>
      </c>
      <c r="C43" s="10" t="s">
        <v>448</v>
      </c>
      <c r="D43" s="25" t="s">
        <v>1203</v>
      </c>
      <c r="E43" s="25" t="s">
        <v>1204</v>
      </c>
      <c r="F43" s="25" t="s">
        <v>1205</v>
      </c>
      <c r="G43" s="10" t="s">
        <v>1084</v>
      </c>
      <c r="H43" s="10" t="s">
        <v>1206</v>
      </c>
      <c r="I43" s="10" t="s">
        <v>1004</v>
      </c>
      <c r="J43" s="10" t="s">
        <v>1207</v>
      </c>
      <c r="K43" s="10" t="s">
        <v>69</v>
      </c>
      <c r="L43" s="14">
        <v>46023</v>
      </c>
      <c r="M43" s="14"/>
    </row>
    <row r="44" spans="1:13" ht="88" customHeight="1">
      <c r="A44" s="11" t="s">
        <v>1009</v>
      </c>
      <c r="B44" s="11" t="s">
        <v>462</v>
      </c>
      <c r="C44" s="11" t="s">
        <v>463</v>
      </c>
      <c r="D44" s="27" t="s">
        <v>1208</v>
      </c>
      <c r="E44" s="27" t="s">
        <v>1209</v>
      </c>
      <c r="F44" s="27" t="s">
        <v>1210</v>
      </c>
      <c r="G44" s="11" t="s">
        <v>1084</v>
      </c>
      <c r="H44" s="11" t="s">
        <v>1211</v>
      </c>
      <c r="I44" s="11" t="s">
        <v>1010</v>
      </c>
      <c r="J44" s="11" t="s">
        <v>1212</v>
      </c>
      <c r="K44" s="11" t="s">
        <v>69</v>
      </c>
      <c r="L44" s="15">
        <v>46023</v>
      </c>
      <c r="M44" s="15"/>
    </row>
    <row r="45" spans="1:13" ht="88" customHeight="1">
      <c r="A45" s="10" t="s">
        <v>1013</v>
      </c>
      <c r="B45" s="10" t="s">
        <v>477</v>
      </c>
      <c r="C45" s="10" t="s">
        <v>478</v>
      </c>
      <c r="D45" s="25" t="s">
        <v>1213</v>
      </c>
      <c r="E45" s="25" t="s">
        <v>1214</v>
      </c>
      <c r="F45" s="25" t="s">
        <v>1215</v>
      </c>
      <c r="G45" s="10" t="s">
        <v>1084</v>
      </c>
      <c r="H45" s="10" t="s">
        <v>1216</v>
      </c>
      <c r="I45" s="10" t="s">
        <v>1014</v>
      </c>
      <c r="J45" s="10" t="s">
        <v>1217</v>
      </c>
      <c r="K45" s="10" t="s">
        <v>69</v>
      </c>
      <c r="L45" s="14">
        <v>46023</v>
      </c>
      <c r="M45" s="14"/>
    </row>
    <row r="46" spans="1:13" ht="88" customHeight="1">
      <c r="A46" s="11" t="s">
        <v>1017</v>
      </c>
      <c r="B46" s="11" t="s">
        <v>477</v>
      </c>
      <c r="C46" s="11" t="s">
        <v>491</v>
      </c>
      <c r="D46" s="27" t="s">
        <v>1218</v>
      </c>
      <c r="E46" s="27" t="s">
        <v>1219</v>
      </c>
      <c r="F46" s="27" t="s">
        <v>1220</v>
      </c>
      <c r="G46" s="11" t="s">
        <v>1084</v>
      </c>
      <c r="H46" s="11" t="s">
        <v>1221</v>
      </c>
      <c r="I46" s="11" t="s">
        <v>1018</v>
      </c>
      <c r="J46" s="11" t="s">
        <v>1019</v>
      </c>
      <c r="K46" s="11" t="s">
        <v>69</v>
      </c>
      <c r="L46" s="15">
        <v>46023</v>
      </c>
      <c r="M46" s="15"/>
    </row>
    <row r="47" spans="1:13" ht="88" customHeight="1">
      <c r="A47" s="10" t="s">
        <v>1020</v>
      </c>
      <c r="B47" s="10" t="s">
        <v>508</v>
      </c>
      <c r="C47" s="10" t="s">
        <v>509</v>
      </c>
      <c r="D47" s="25" t="s">
        <v>1222</v>
      </c>
      <c r="E47" s="25" t="s">
        <v>1223</v>
      </c>
      <c r="F47" s="25" t="s">
        <v>1224</v>
      </c>
      <c r="G47" s="10" t="s">
        <v>1084</v>
      </c>
      <c r="H47" s="10" t="s">
        <v>1225</v>
      </c>
      <c r="I47" s="10" t="s">
        <v>1021</v>
      </c>
      <c r="J47" s="10" t="s">
        <v>1226</v>
      </c>
      <c r="K47" s="10" t="s">
        <v>69</v>
      </c>
      <c r="L47" s="14">
        <v>46023</v>
      </c>
      <c r="M47" s="14"/>
    </row>
    <row r="48" spans="1:13" ht="88" customHeight="1">
      <c r="A48" s="11" t="s">
        <v>1022</v>
      </c>
      <c r="B48" s="11" t="s">
        <v>522</v>
      </c>
      <c r="C48" s="11" t="s">
        <v>523</v>
      </c>
      <c r="D48" s="27" t="s">
        <v>1227</v>
      </c>
      <c r="E48" s="27" t="s">
        <v>1228</v>
      </c>
      <c r="F48" s="27" t="s">
        <v>1229</v>
      </c>
      <c r="G48" s="11" t="s">
        <v>1084</v>
      </c>
      <c r="H48" s="11" t="s">
        <v>1230</v>
      </c>
      <c r="I48" s="11" t="s">
        <v>1023</v>
      </c>
      <c r="J48" s="11" t="s">
        <v>1024</v>
      </c>
      <c r="K48" s="11" t="s">
        <v>69</v>
      </c>
      <c r="L48" s="15">
        <v>46023</v>
      </c>
      <c r="M48" s="15"/>
    </row>
    <row r="49" spans="1:13" ht="88" customHeight="1">
      <c r="A49" s="10" t="s">
        <v>1026</v>
      </c>
      <c r="B49" s="10" t="s">
        <v>536</v>
      </c>
      <c r="C49" s="10" t="s">
        <v>537</v>
      </c>
      <c r="D49" s="25" t="s">
        <v>1231</v>
      </c>
      <c r="E49" s="25" t="s">
        <v>1232</v>
      </c>
      <c r="F49" s="25" t="s">
        <v>1233</v>
      </c>
      <c r="G49" s="10" t="s">
        <v>1084</v>
      </c>
      <c r="H49" s="10" t="s">
        <v>1234</v>
      </c>
      <c r="I49" s="10" t="s">
        <v>1027</v>
      </c>
      <c r="J49" s="10" t="s">
        <v>1028</v>
      </c>
      <c r="K49" s="10" t="s">
        <v>69</v>
      </c>
      <c r="L49" s="14">
        <v>46023</v>
      </c>
      <c r="M49" s="14"/>
    </row>
    <row r="50" spans="1:13" ht="88" customHeight="1">
      <c r="A50" s="11" t="s">
        <v>1030</v>
      </c>
      <c r="B50" s="11" t="s">
        <v>550</v>
      </c>
      <c r="C50" s="11" t="s">
        <v>551</v>
      </c>
      <c r="D50" s="27" t="s">
        <v>1235</v>
      </c>
      <c r="E50" s="27" t="s">
        <v>1236</v>
      </c>
      <c r="F50" s="27" t="s">
        <v>1237</v>
      </c>
      <c r="G50" s="11" t="s">
        <v>1084</v>
      </c>
      <c r="H50" s="11" t="s">
        <v>1238</v>
      </c>
      <c r="I50" s="11" t="s">
        <v>1031</v>
      </c>
      <c r="J50" s="11" t="s">
        <v>1032</v>
      </c>
      <c r="K50" s="11" t="s">
        <v>69</v>
      </c>
      <c r="L50" s="15">
        <v>46023</v>
      </c>
      <c r="M50" s="15"/>
    </row>
    <row r="51" spans="1:13" ht="88" customHeight="1">
      <c r="A51" s="10" t="s">
        <v>1040</v>
      </c>
      <c r="B51" s="10" t="s">
        <v>561</v>
      </c>
      <c r="C51" s="10" t="s">
        <v>562</v>
      </c>
      <c r="D51" s="25" t="s">
        <v>1239</v>
      </c>
      <c r="E51" s="25" t="s">
        <v>1240</v>
      </c>
      <c r="F51" s="25" t="s">
        <v>1241</v>
      </c>
      <c r="G51" s="10" t="s">
        <v>1084</v>
      </c>
      <c r="H51" s="10" t="s">
        <v>1242</v>
      </c>
      <c r="I51" s="10" t="s">
        <v>1041</v>
      </c>
      <c r="J51" s="10" t="s">
        <v>1042</v>
      </c>
      <c r="K51" s="10" t="s">
        <v>69</v>
      </c>
      <c r="L51" s="14">
        <v>46023</v>
      </c>
      <c r="M51" s="14"/>
    </row>
    <row r="52" spans="1:13" ht="88" customHeight="1">
      <c r="A52" s="11" t="s">
        <v>1048</v>
      </c>
      <c r="B52" s="11" t="s">
        <v>561</v>
      </c>
      <c r="C52" s="11" t="s">
        <v>570</v>
      </c>
      <c r="D52" s="27" t="s">
        <v>1243</v>
      </c>
      <c r="E52" s="27" t="s">
        <v>1244</v>
      </c>
      <c r="F52" s="27" t="s">
        <v>1245</v>
      </c>
      <c r="G52" s="11" t="s">
        <v>1089</v>
      </c>
      <c r="H52" s="11" t="s">
        <v>1246</v>
      </c>
      <c r="I52" s="11" t="s">
        <v>1049</v>
      </c>
      <c r="J52" s="11" t="s">
        <v>1050</v>
      </c>
      <c r="K52" s="11" t="s">
        <v>69</v>
      </c>
      <c r="L52" s="15">
        <v>46023</v>
      </c>
      <c r="M52" s="15"/>
    </row>
    <row r="53" spans="1:13" ht="88" customHeight="1">
      <c r="A53" s="10" t="s">
        <v>1051</v>
      </c>
      <c r="B53" s="10" t="s">
        <v>561</v>
      </c>
      <c r="C53" s="10" t="s">
        <v>572</v>
      </c>
      <c r="D53" s="25" t="s">
        <v>1247</v>
      </c>
      <c r="E53" s="25" t="s">
        <v>1248</v>
      </c>
      <c r="F53" s="25" t="s">
        <v>1249</v>
      </c>
      <c r="G53" s="10" t="s">
        <v>1084</v>
      </c>
      <c r="H53" s="10" t="s">
        <v>1250</v>
      </c>
      <c r="I53" s="10" t="s">
        <v>1052</v>
      </c>
      <c r="J53" s="10" t="s">
        <v>1251</v>
      </c>
      <c r="K53" s="10" t="s">
        <v>69</v>
      </c>
      <c r="L53" s="14">
        <v>46023</v>
      </c>
      <c r="M53" s="14"/>
    </row>
    <row r="54" spans="1:13" ht="88" customHeight="1">
      <c r="A54" s="11" t="s">
        <v>1065</v>
      </c>
      <c r="B54" s="11" t="s">
        <v>581</v>
      </c>
      <c r="C54" s="11" t="s">
        <v>582</v>
      </c>
      <c r="D54" s="27" t="s">
        <v>1252</v>
      </c>
      <c r="E54" s="27" t="s">
        <v>1253</v>
      </c>
      <c r="F54" s="27" t="s">
        <v>1254</v>
      </c>
      <c r="G54" s="11" t="s">
        <v>1084</v>
      </c>
      <c r="H54" s="11" t="s">
        <v>1255</v>
      </c>
      <c r="I54" s="11" t="s">
        <v>1066</v>
      </c>
      <c r="J54" s="11" t="s">
        <v>1067</v>
      </c>
      <c r="K54" s="11" t="s">
        <v>69</v>
      </c>
      <c r="L54" s="15">
        <v>46023</v>
      </c>
      <c r="M54" s="15"/>
    </row>
    <row r="55" spans="1:13" ht="88" customHeight="1">
      <c r="A55" s="10" t="s">
        <v>1073</v>
      </c>
      <c r="B55" s="10" t="s">
        <v>581</v>
      </c>
      <c r="C55" s="10" t="s">
        <v>598</v>
      </c>
      <c r="D55" s="25" t="s">
        <v>1256</v>
      </c>
      <c r="E55" s="25" t="s">
        <v>1257</v>
      </c>
      <c r="F55" s="25" t="s">
        <v>1258</v>
      </c>
      <c r="G55" s="10" t="s">
        <v>1084</v>
      </c>
      <c r="H55" s="10" t="s">
        <v>1259</v>
      </c>
      <c r="I55" s="10" t="s">
        <v>1066</v>
      </c>
      <c r="J55" s="10" t="s">
        <v>1074</v>
      </c>
      <c r="K55" s="10" t="s">
        <v>69</v>
      </c>
      <c r="L55" s="14">
        <v>46023</v>
      </c>
      <c r="M55" s="14"/>
    </row>
  </sheetData>
  <sheetProtection sheet="1" objects="1" scenarios="1" sort="0" autoFilter="0"/>
  <conditionalFormatting sqref="D7:D55">
    <cfRule type="containsBlanks" dxfId="15" priority="3"/>
  </conditionalFormatting>
  <conditionalFormatting sqref="E7:E55">
    <cfRule type="containsBlanks" dxfId="14" priority="4"/>
  </conditionalFormatting>
  <conditionalFormatting sqref="F7:F55">
    <cfRule type="containsBlanks" dxfId="13" priority="5"/>
  </conditionalFormatting>
  <conditionalFormatting sqref="K7:K55">
    <cfRule type="containsText" dxfId="12" priority="1" operator="containsText" text="open"/>
    <cfRule type="containsText" dxfId="11" priority="2" operator="containsText" text="blocked"/>
  </conditionalFormatting>
  <dataValidations count="1">
    <dataValidation type="list" sqref="K7:K55" xr:uid="{00000000-0002-0000-0400-000000000000}">
      <formula1>"approved,open,blocked"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108"/>
  <sheetViews>
    <sheetView showGridLines="0" workbookViewId="0">
      <pane xSplit="1" ySplit="6" topLeftCell="B7" activePane="bottomRight" state="frozen"/>
      <selection pane="topRight"/>
      <selection pane="bottomLeft"/>
      <selection pane="bottomRight" activeCell="B7" sqref="B7"/>
    </sheetView>
  </sheetViews>
  <sheetFormatPr baseColWidth="10" defaultColWidth="8.83203125" defaultRowHeight="14"/>
  <cols>
    <col min="1" max="2" width="31" customWidth="1"/>
    <col min="3" max="4" width="33" customWidth="1"/>
    <col min="5" max="7" width="32" customWidth="1"/>
    <col min="8" max="8" width="18" customWidth="1"/>
    <col min="9" max="9" width="33" customWidth="1"/>
    <col min="10" max="10" width="15" customWidth="1"/>
    <col min="11" max="11" width="22" customWidth="1"/>
    <col min="12" max="12" width="23" customWidth="1"/>
    <col min="13" max="14" width="16" customWidth="1"/>
    <col min="15" max="15" width="42" customWidth="1"/>
    <col min="16" max="16" width="32" customWidth="1"/>
    <col min="17" max="17" width="16" customWidth="1"/>
    <col min="18" max="18" width="59" customWidth="1"/>
  </cols>
  <sheetData>
    <row r="1" spans="1:18" ht="24" customHeight="1">
      <c r="A1" s="32"/>
      <c r="B1" s="32"/>
      <c r="C1" s="32"/>
      <c r="D1" s="32"/>
      <c r="E1" s="32"/>
      <c r="F1" s="32"/>
      <c r="G1" s="32"/>
      <c r="H1" s="32"/>
      <c r="I1" s="32"/>
      <c r="J1" s="32"/>
      <c r="K1" s="32"/>
      <c r="L1" s="32"/>
      <c r="M1" s="32"/>
      <c r="N1" s="32"/>
      <c r="O1" s="32"/>
      <c r="P1" s="32"/>
      <c r="Q1" s="32"/>
      <c r="R1" s="32"/>
    </row>
    <row r="2" spans="1:18" ht="24" customHeight="1">
      <c r="A2" s="33" t="s">
        <v>1260</v>
      </c>
      <c r="B2" s="32"/>
      <c r="C2" s="32"/>
      <c r="D2" s="32"/>
      <c r="E2" s="32"/>
      <c r="F2" s="32"/>
      <c r="G2" s="32"/>
      <c r="H2" s="32"/>
      <c r="I2" s="32"/>
      <c r="J2" s="32"/>
      <c r="K2" s="32"/>
      <c r="L2" s="32"/>
      <c r="M2" s="32"/>
      <c r="N2" s="32"/>
      <c r="O2" s="32"/>
      <c r="P2" s="32"/>
      <c r="Q2" s="32"/>
      <c r="R2" s="32"/>
    </row>
    <row r="3" spans="1:18" ht="24" customHeight="1">
      <c r="A3" s="34"/>
      <c r="B3" s="34"/>
      <c r="C3" s="34"/>
      <c r="D3" s="34"/>
      <c r="E3" s="34"/>
      <c r="F3" s="34"/>
      <c r="G3" s="34"/>
      <c r="H3" s="34"/>
      <c r="I3" s="34"/>
      <c r="J3" s="34"/>
      <c r="K3" s="34"/>
      <c r="L3" s="34"/>
      <c r="M3" s="34"/>
      <c r="N3" s="34"/>
      <c r="O3" s="34"/>
      <c r="P3" s="34"/>
      <c r="Q3" s="34"/>
      <c r="R3" s="34"/>
    </row>
    <row r="4" spans="1:18" ht="24" customHeight="1">
      <c r="A4" s="35" t="s">
        <v>1261</v>
      </c>
      <c r="B4" s="32"/>
      <c r="C4" s="32"/>
      <c r="D4" s="32"/>
      <c r="E4" s="32"/>
      <c r="F4" s="32"/>
      <c r="G4" s="32"/>
      <c r="H4" s="32"/>
      <c r="I4" s="32"/>
      <c r="J4" s="32"/>
      <c r="K4" s="32"/>
      <c r="L4" s="32"/>
      <c r="M4" s="32"/>
      <c r="N4" s="32"/>
      <c r="O4" s="32"/>
      <c r="P4" s="32"/>
      <c r="Q4" s="32"/>
      <c r="R4" s="32"/>
    </row>
    <row r="5" spans="1:18" ht="24" customHeight="1">
      <c r="A5" s="32"/>
      <c r="B5" s="32"/>
      <c r="C5" s="32"/>
      <c r="D5" s="32"/>
      <c r="E5" s="32"/>
      <c r="F5" s="32"/>
      <c r="G5" s="32"/>
      <c r="H5" s="32"/>
      <c r="I5" s="32"/>
      <c r="J5" s="32"/>
      <c r="K5" s="32"/>
      <c r="L5" s="32"/>
      <c r="M5" s="32"/>
      <c r="N5" s="32"/>
      <c r="O5" s="32"/>
      <c r="P5" s="32"/>
      <c r="Q5" s="32"/>
      <c r="R5" s="32"/>
    </row>
    <row r="6" spans="1:18" ht="42" customHeight="1">
      <c r="A6" s="36" t="s">
        <v>1262</v>
      </c>
      <c r="B6" s="36" t="s">
        <v>740</v>
      </c>
      <c r="C6" s="36" t="s">
        <v>1263</v>
      </c>
      <c r="D6" s="36" t="s">
        <v>611</v>
      </c>
      <c r="E6" s="36" t="s">
        <v>39</v>
      </c>
      <c r="F6" s="36" t="s">
        <v>40</v>
      </c>
      <c r="G6" s="36" t="s">
        <v>41</v>
      </c>
      <c r="H6" s="36" t="s">
        <v>1079</v>
      </c>
      <c r="I6" s="36" t="s">
        <v>1264</v>
      </c>
      <c r="J6" s="36" t="s">
        <v>1265</v>
      </c>
      <c r="K6" s="36" t="s">
        <v>1266</v>
      </c>
      <c r="L6" s="36" t="s">
        <v>1267</v>
      </c>
      <c r="M6" s="36" t="s">
        <v>747</v>
      </c>
      <c r="N6" s="36" t="s">
        <v>748</v>
      </c>
      <c r="O6" s="36" t="s">
        <v>45</v>
      </c>
      <c r="P6" s="36" t="s">
        <v>46</v>
      </c>
      <c r="Q6" s="36" t="s">
        <v>43</v>
      </c>
      <c r="R6" s="36" t="s">
        <v>1268</v>
      </c>
    </row>
    <row r="7" spans="1:18" ht="58" customHeight="1">
      <c r="A7" s="37" t="s">
        <v>1269</v>
      </c>
      <c r="B7" s="37" t="s">
        <v>758</v>
      </c>
      <c r="C7" s="37" t="s">
        <v>1270</v>
      </c>
      <c r="D7" s="37" t="s">
        <v>615</v>
      </c>
      <c r="E7" s="37" t="s">
        <v>616</v>
      </c>
      <c r="F7" s="37"/>
      <c r="G7" s="37"/>
      <c r="H7" s="37" t="s">
        <v>615</v>
      </c>
      <c r="I7" s="37"/>
      <c r="J7" s="37" t="s">
        <v>1271</v>
      </c>
      <c r="K7" s="37"/>
      <c r="L7" s="37"/>
      <c r="M7" s="38">
        <v>34516</v>
      </c>
      <c r="N7" s="38"/>
      <c r="O7" s="37" t="s">
        <v>766</v>
      </c>
      <c r="P7" s="37" t="s">
        <v>767</v>
      </c>
      <c r="Q7" s="37" t="s">
        <v>69</v>
      </c>
      <c r="R7" s="37" t="s">
        <v>1272</v>
      </c>
    </row>
    <row r="8" spans="1:18" ht="58" customHeight="1">
      <c r="A8" s="39" t="s">
        <v>1273</v>
      </c>
      <c r="B8" s="39" t="s">
        <v>770</v>
      </c>
      <c r="C8" s="39" t="s">
        <v>1274</v>
      </c>
      <c r="D8" s="39" t="s">
        <v>626</v>
      </c>
      <c r="E8" s="39" t="s">
        <v>627</v>
      </c>
      <c r="F8" s="39"/>
      <c r="G8" s="39"/>
      <c r="H8" s="39" t="s">
        <v>1084</v>
      </c>
      <c r="I8" s="39" t="s">
        <v>1270</v>
      </c>
      <c r="J8" s="39" t="s">
        <v>1271</v>
      </c>
      <c r="K8" s="39"/>
      <c r="L8" s="39"/>
      <c r="M8" s="40">
        <v>46023</v>
      </c>
      <c r="N8" s="40"/>
      <c r="O8" s="39" t="s">
        <v>773</v>
      </c>
      <c r="P8" s="39" t="s">
        <v>1086</v>
      </c>
      <c r="Q8" s="39" t="s">
        <v>69</v>
      </c>
      <c r="R8" s="39" t="s">
        <v>1272</v>
      </c>
    </row>
    <row r="9" spans="1:18" ht="58" customHeight="1">
      <c r="A9" s="37" t="s">
        <v>1275</v>
      </c>
      <c r="B9" s="37" t="s">
        <v>809</v>
      </c>
      <c r="C9" s="37" t="s">
        <v>1276</v>
      </c>
      <c r="D9" s="37" t="s">
        <v>1277</v>
      </c>
      <c r="E9" s="37"/>
      <c r="F9" s="37"/>
      <c r="G9" s="37"/>
      <c r="H9" s="37" t="s">
        <v>1094</v>
      </c>
      <c r="I9" s="37" t="s">
        <v>1278</v>
      </c>
      <c r="J9" s="37" t="s">
        <v>1271</v>
      </c>
      <c r="K9" s="37"/>
      <c r="L9" s="37"/>
      <c r="M9" s="38">
        <v>46023</v>
      </c>
      <c r="N9" s="38"/>
      <c r="O9" s="37" t="s">
        <v>814</v>
      </c>
      <c r="P9" s="37" t="s">
        <v>815</v>
      </c>
      <c r="Q9" s="37" t="s">
        <v>69</v>
      </c>
      <c r="R9" s="37" t="s">
        <v>1272</v>
      </c>
    </row>
    <row r="10" spans="1:18" ht="58" customHeight="1">
      <c r="A10" s="39" t="s">
        <v>1279</v>
      </c>
      <c r="B10" s="39" t="s">
        <v>809</v>
      </c>
      <c r="C10" s="39" t="s">
        <v>1280</v>
      </c>
      <c r="D10" s="39" t="s">
        <v>72</v>
      </c>
      <c r="E10" s="39"/>
      <c r="F10" s="39"/>
      <c r="G10" s="39"/>
      <c r="H10" s="39" t="s">
        <v>1089</v>
      </c>
      <c r="I10" s="39" t="s">
        <v>1276</v>
      </c>
      <c r="J10" s="39" t="s">
        <v>1281</v>
      </c>
      <c r="K10" s="39"/>
      <c r="L10" s="39"/>
      <c r="M10" s="40">
        <v>46023</v>
      </c>
      <c r="N10" s="40"/>
      <c r="O10" s="39" t="s">
        <v>814</v>
      </c>
      <c r="P10" s="39" t="s">
        <v>815</v>
      </c>
      <c r="Q10" s="39" t="s">
        <v>69</v>
      </c>
      <c r="R10" s="39" t="s">
        <v>1272</v>
      </c>
    </row>
    <row r="11" spans="1:18" ht="58" customHeight="1">
      <c r="A11" s="37" t="s">
        <v>1282</v>
      </c>
      <c r="B11" s="37" t="s">
        <v>817</v>
      </c>
      <c r="C11" s="37" t="s">
        <v>1280</v>
      </c>
      <c r="D11" s="37" t="s">
        <v>72</v>
      </c>
      <c r="E11" s="37"/>
      <c r="F11" s="37"/>
      <c r="G11" s="37"/>
      <c r="H11" s="37" t="s">
        <v>1089</v>
      </c>
      <c r="I11" s="37" t="s">
        <v>1276</v>
      </c>
      <c r="J11" s="37" t="s">
        <v>1271</v>
      </c>
      <c r="K11" s="37"/>
      <c r="L11" s="37"/>
      <c r="M11" s="38">
        <v>46023</v>
      </c>
      <c r="N11" s="38"/>
      <c r="O11" s="37" t="s">
        <v>814</v>
      </c>
      <c r="P11" s="37" t="s">
        <v>818</v>
      </c>
      <c r="Q11" s="37" t="s">
        <v>69</v>
      </c>
      <c r="R11" s="37" t="s">
        <v>1272</v>
      </c>
    </row>
    <row r="12" spans="1:18" ht="58" customHeight="1">
      <c r="A12" s="39" t="s">
        <v>1283</v>
      </c>
      <c r="B12" s="39" t="s">
        <v>820</v>
      </c>
      <c r="C12" s="39" t="s">
        <v>1278</v>
      </c>
      <c r="D12" s="39" t="s">
        <v>707</v>
      </c>
      <c r="E12" s="39" t="s">
        <v>708</v>
      </c>
      <c r="F12" s="39"/>
      <c r="G12" s="39"/>
      <c r="H12" s="39" t="s">
        <v>1084</v>
      </c>
      <c r="I12" s="39" t="s">
        <v>1270</v>
      </c>
      <c r="J12" s="39" t="s">
        <v>1271</v>
      </c>
      <c r="K12" s="39"/>
      <c r="L12" s="39"/>
      <c r="M12" s="40">
        <v>46023</v>
      </c>
      <c r="N12" s="40"/>
      <c r="O12" s="39" t="s">
        <v>825</v>
      </c>
      <c r="P12" s="39" t="s">
        <v>826</v>
      </c>
      <c r="Q12" s="39" t="s">
        <v>69</v>
      </c>
      <c r="R12" s="39" t="s">
        <v>1272</v>
      </c>
    </row>
    <row r="13" spans="1:18" ht="58" customHeight="1">
      <c r="A13" s="37" t="s">
        <v>1284</v>
      </c>
      <c r="B13" s="37" t="s">
        <v>828</v>
      </c>
      <c r="C13" s="37" t="s">
        <v>1285</v>
      </c>
      <c r="D13" s="37" t="s">
        <v>1286</v>
      </c>
      <c r="E13" s="37"/>
      <c r="F13" s="37"/>
      <c r="G13" s="37"/>
      <c r="H13" s="37" t="s">
        <v>1094</v>
      </c>
      <c r="I13" s="37" t="s">
        <v>1278</v>
      </c>
      <c r="J13" s="37" t="s">
        <v>1271</v>
      </c>
      <c r="K13" s="37"/>
      <c r="L13" s="37"/>
      <c r="M13" s="38">
        <v>46023</v>
      </c>
      <c r="N13" s="38"/>
      <c r="O13" s="37" t="s">
        <v>814</v>
      </c>
      <c r="P13" s="37" t="s">
        <v>829</v>
      </c>
      <c r="Q13" s="37" t="s">
        <v>69</v>
      </c>
      <c r="R13" s="37" t="s">
        <v>1287</v>
      </c>
    </row>
    <row r="14" spans="1:18" ht="58" customHeight="1">
      <c r="A14" s="39" t="s">
        <v>1288</v>
      </c>
      <c r="B14" s="39" t="s">
        <v>828</v>
      </c>
      <c r="C14" s="39" t="s">
        <v>1289</v>
      </c>
      <c r="D14" s="39" t="s">
        <v>1290</v>
      </c>
      <c r="E14" s="39"/>
      <c r="F14" s="39"/>
      <c r="G14" s="39"/>
      <c r="H14" s="39" t="s">
        <v>1094</v>
      </c>
      <c r="I14" s="39" t="s">
        <v>1278</v>
      </c>
      <c r="J14" s="39" t="s">
        <v>1271</v>
      </c>
      <c r="K14" s="39"/>
      <c r="L14" s="39"/>
      <c r="M14" s="40">
        <v>46023</v>
      </c>
      <c r="N14" s="40"/>
      <c r="O14" s="39" t="s">
        <v>814</v>
      </c>
      <c r="P14" s="39" t="s">
        <v>829</v>
      </c>
      <c r="Q14" s="39" t="s">
        <v>69</v>
      </c>
      <c r="R14" s="39" t="s">
        <v>1287</v>
      </c>
    </row>
    <row r="15" spans="1:18" ht="58" customHeight="1">
      <c r="A15" s="37" t="s">
        <v>1291</v>
      </c>
      <c r="B15" s="37" t="s">
        <v>828</v>
      </c>
      <c r="C15" s="37" t="s">
        <v>1292</v>
      </c>
      <c r="D15" s="37" t="s">
        <v>1293</v>
      </c>
      <c r="E15" s="37"/>
      <c r="F15" s="37"/>
      <c r="G15" s="37"/>
      <c r="H15" s="37" t="s">
        <v>1094</v>
      </c>
      <c r="I15" s="37" t="s">
        <v>1278</v>
      </c>
      <c r="J15" s="37" t="s">
        <v>1271</v>
      </c>
      <c r="K15" s="37"/>
      <c r="L15" s="37"/>
      <c r="M15" s="38">
        <v>46023</v>
      </c>
      <c r="N15" s="38"/>
      <c r="O15" s="37" t="s">
        <v>814</v>
      </c>
      <c r="P15" s="37" t="s">
        <v>829</v>
      </c>
      <c r="Q15" s="37" t="s">
        <v>69</v>
      </c>
      <c r="R15" s="37" t="s">
        <v>1287</v>
      </c>
    </row>
    <row r="16" spans="1:18" ht="58" customHeight="1">
      <c r="A16" s="39" t="s">
        <v>1294</v>
      </c>
      <c r="B16" s="39" t="s">
        <v>828</v>
      </c>
      <c r="C16" s="39" t="s">
        <v>1295</v>
      </c>
      <c r="D16" s="39" t="s">
        <v>1296</v>
      </c>
      <c r="E16" s="39"/>
      <c r="F16" s="39"/>
      <c r="G16" s="39"/>
      <c r="H16" s="39" t="s">
        <v>1094</v>
      </c>
      <c r="I16" s="39" t="s">
        <v>1278</v>
      </c>
      <c r="J16" s="39" t="s">
        <v>1271</v>
      </c>
      <c r="K16" s="39"/>
      <c r="L16" s="39"/>
      <c r="M16" s="40">
        <v>46023</v>
      </c>
      <c r="N16" s="40"/>
      <c r="O16" s="39" t="s">
        <v>814</v>
      </c>
      <c r="P16" s="39" t="s">
        <v>829</v>
      </c>
      <c r="Q16" s="39" t="s">
        <v>69</v>
      </c>
      <c r="R16" s="39" t="s">
        <v>1287</v>
      </c>
    </row>
    <row r="17" spans="1:18" ht="58" customHeight="1">
      <c r="A17" s="37" t="s">
        <v>1297</v>
      </c>
      <c r="B17" s="37" t="s">
        <v>828</v>
      </c>
      <c r="C17" s="37" t="s">
        <v>1298</v>
      </c>
      <c r="D17" s="37" t="s">
        <v>1299</v>
      </c>
      <c r="E17" s="37"/>
      <c r="F17" s="37"/>
      <c r="G17" s="37"/>
      <c r="H17" s="37" t="s">
        <v>1094</v>
      </c>
      <c r="I17" s="37" t="s">
        <v>1278</v>
      </c>
      <c r="J17" s="37" t="s">
        <v>1271</v>
      </c>
      <c r="K17" s="37"/>
      <c r="L17" s="37"/>
      <c r="M17" s="38">
        <v>46023</v>
      </c>
      <c r="N17" s="38"/>
      <c r="O17" s="37" t="s">
        <v>814</v>
      </c>
      <c r="P17" s="37" t="s">
        <v>829</v>
      </c>
      <c r="Q17" s="37" t="s">
        <v>69</v>
      </c>
      <c r="R17" s="37" t="s">
        <v>1287</v>
      </c>
    </row>
    <row r="18" spans="1:18" ht="58" customHeight="1">
      <c r="A18" s="39" t="s">
        <v>1300</v>
      </c>
      <c r="B18" s="39" t="s">
        <v>832</v>
      </c>
      <c r="C18" s="39" t="s">
        <v>1301</v>
      </c>
      <c r="D18" s="39" t="s">
        <v>99</v>
      </c>
      <c r="E18" s="39"/>
      <c r="F18" s="39"/>
      <c r="G18" s="39"/>
      <c r="H18" s="39" t="s">
        <v>1094</v>
      </c>
      <c r="I18" s="39" t="s">
        <v>1278</v>
      </c>
      <c r="J18" s="39" t="s">
        <v>1271</v>
      </c>
      <c r="K18" s="39"/>
      <c r="L18" s="39"/>
      <c r="M18" s="40">
        <v>46023</v>
      </c>
      <c r="N18" s="40"/>
      <c r="O18" s="39" t="s">
        <v>814</v>
      </c>
      <c r="P18" s="39" t="s">
        <v>833</v>
      </c>
      <c r="Q18" s="39" t="s">
        <v>69</v>
      </c>
      <c r="R18" s="39" t="s">
        <v>1287</v>
      </c>
    </row>
    <row r="19" spans="1:18" ht="58" customHeight="1">
      <c r="A19" s="37" t="s">
        <v>1302</v>
      </c>
      <c r="B19" s="37" t="s">
        <v>836</v>
      </c>
      <c r="C19" s="37" t="s">
        <v>1303</v>
      </c>
      <c r="D19" s="37" t="s">
        <v>1304</v>
      </c>
      <c r="E19" s="37"/>
      <c r="F19" s="37"/>
      <c r="G19" s="37"/>
      <c r="H19" s="37" t="s">
        <v>1094</v>
      </c>
      <c r="I19" s="37" t="s">
        <v>1278</v>
      </c>
      <c r="J19" s="37" t="s">
        <v>1271</v>
      </c>
      <c r="K19" s="37"/>
      <c r="L19" s="37"/>
      <c r="M19" s="38">
        <v>46023</v>
      </c>
      <c r="N19" s="38"/>
      <c r="O19" s="37" t="s">
        <v>814</v>
      </c>
      <c r="P19" s="37" t="s">
        <v>837</v>
      </c>
      <c r="Q19" s="37" t="s">
        <v>69</v>
      </c>
      <c r="R19" s="37" t="s">
        <v>1287</v>
      </c>
    </row>
    <row r="20" spans="1:18" ht="58" customHeight="1">
      <c r="A20" s="39" t="s">
        <v>1305</v>
      </c>
      <c r="B20" s="39" t="s">
        <v>836</v>
      </c>
      <c r="C20" s="39" t="s">
        <v>1306</v>
      </c>
      <c r="D20" s="39" t="s">
        <v>1307</v>
      </c>
      <c r="E20" s="39"/>
      <c r="F20" s="39"/>
      <c r="G20" s="39"/>
      <c r="H20" s="39" t="s">
        <v>1094</v>
      </c>
      <c r="I20" s="39" t="s">
        <v>1278</v>
      </c>
      <c r="J20" s="39" t="s">
        <v>1271</v>
      </c>
      <c r="K20" s="39"/>
      <c r="L20" s="39"/>
      <c r="M20" s="40">
        <v>46023</v>
      </c>
      <c r="N20" s="40"/>
      <c r="O20" s="39" t="s">
        <v>814</v>
      </c>
      <c r="P20" s="39" t="s">
        <v>837</v>
      </c>
      <c r="Q20" s="39" t="s">
        <v>69</v>
      </c>
      <c r="R20" s="39" t="s">
        <v>1287</v>
      </c>
    </row>
    <row r="21" spans="1:18" ht="58" customHeight="1">
      <c r="A21" s="37" t="s">
        <v>1308</v>
      </c>
      <c r="B21" s="37" t="s">
        <v>840</v>
      </c>
      <c r="C21" s="37" t="s">
        <v>1309</v>
      </c>
      <c r="D21" s="37" t="s">
        <v>1310</v>
      </c>
      <c r="E21" s="37"/>
      <c r="F21" s="37"/>
      <c r="G21" s="37"/>
      <c r="H21" s="37" t="s">
        <v>1089</v>
      </c>
      <c r="I21" s="37" t="s">
        <v>1278</v>
      </c>
      <c r="J21" s="37" t="s">
        <v>1271</v>
      </c>
      <c r="K21" s="37"/>
      <c r="L21" s="37"/>
      <c r="M21" s="38">
        <v>46023</v>
      </c>
      <c r="N21" s="38"/>
      <c r="O21" s="37" t="s">
        <v>814</v>
      </c>
      <c r="P21" s="37" t="s">
        <v>841</v>
      </c>
      <c r="Q21" s="37" t="s">
        <v>69</v>
      </c>
      <c r="R21" s="37" t="s">
        <v>1287</v>
      </c>
    </row>
    <row r="22" spans="1:18" ht="58" customHeight="1">
      <c r="A22" s="39" t="s">
        <v>1311</v>
      </c>
      <c r="B22" s="39" t="s">
        <v>840</v>
      </c>
      <c r="C22" s="39" t="s">
        <v>1312</v>
      </c>
      <c r="D22" s="39" t="s">
        <v>1313</v>
      </c>
      <c r="E22" s="39"/>
      <c r="F22" s="39"/>
      <c r="G22" s="39"/>
      <c r="H22" s="39" t="s">
        <v>1089</v>
      </c>
      <c r="I22" s="39" t="s">
        <v>1278</v>
      </c>
      <c r="J22" s="39" t="s">
        <v>1271</v>
      </c>
      <c r="K22" s="39"/>
      <c r="L22" s="39"/>
      <c r="M22" s="40">
        <v>46023</v>
      </c>
      <c r="N22" s="40"/>
      <c r="O22" s="39" t="s">
        <v>814</v>
      </c>
      <c r="P22" s="39" t="s">
        <v>841</v>
      </c>
      <c r="Q22" s="39" t="s">
        <v>69</v>
      </c>
      <c r="R22" s="39" t="s">
        <v>1287</v>
      </c>
    </row>
    <row r="23" spans="1:18" ht="58" customHeight="1">
      <c r="A23" s="37" t="s">
        <v>1314</v>
      </c>
      <c r="B23" s="37" t="s">
        <v>840</v>
      </c>
      <c r="C23" s="37" t="s">
        <v>1315</v>
      </c>
      <c r="D23" s="37" t="s">
        <v>1316</v>
      </c>
      <c r="E23" s="37"/>
      <c r="F23" s="37"/>
      <c r="G23" s="37"/>
      <c r="H23" s="37" t="s">
        <v>1089</v>
      </c>
      <c r="I23" s="37" t="s">
        <v>1278</v>
      </c>
      <c r="J23" s="37" t="s">
        <v>1271</v>
      </c>
      <c r="K23" s="37"/>
      <c r="L23" s="37"/>
      <c r="M23" s="38">
        <v>46023</v>
      </c>
      <c r="N23" s="38"/>
      <c r="O23" s="37" t="s">
        <v>814</v>
      </c>
      <c r="P23" s="37" t="s">
        <v>841</v>
      </c>
      <c r="Q23" s="37" t="s">
        <v>69</v>
      </c>
      <c r="R23" s="37" t="s">
        <v>1287</v>
      </c>
    </row>
    <row r="24" spans="1:18" ht="58" customHeight="1">
      <c r="A24" s="39" t="s">
        <v>1317</v>
      </c>
      <c r="B24" s="39" t="s">
        <v>840</v>
      </c>
      <c r="C24" s="39" t="s">
        <v>1318</v>
      </c>
      <c r="D24" s="39" t="s">
        <v>1319</v>
      </c>
      <c r="E24" s="39"/>
      <c r="F24" s="39"/>
      <c r="G24" s="39"/>
      <c r="H24" s="39" t="s">
        <v>1089</v>
      </c>
      <c r="I24" s="39" t="s">
        <v>1278</v>
      </c>
      <c r="J24" s="39" t="s">
        <v>1271</v>
      </c>
      <c r="K24" s="39"/>
      <c r="L24" s="39"/>
      <c r="M24" s="40">
        <v>46023</v>
      </c>
      <c r="N24" s="40"/>
      <c r="O24" s="39" t="s">
        <v>814</v>
      </c>
      <c r="P24" s="39" t="s">
        <v>841</v>
      </c>
      <c r="Q24" s="39" t="s">
        <v>69</v>
      </c>
      <c r="R24" s="39" t="s">
        <v>1287</v>
      </c>
    </row>
    <row r="25" spans="1:18" ht="58" customHeight="1">
      <c r="A25" s="37" t="s">
        <v>1320</v>
      </c>
      <c r="B25" s="37" t="s">
        <v>840</v>
      </c>
      <c r="C25" s="37" t="s">
        <v>1321</v>
      </c>
      <c r="D25" s="37" t="s">
        <v>1322</v>
      </c>
      <c r="E25" s="37"/>
      <c r="F25" s="37"/>
      <c r="G25" s="37"/>
      <c r="H25" s="37" t="s">
        <v>1089</v>
      </c>
      <c r="I25" s="37" t="s">
        <v>1278</v>
      </c>
      <c r="J25" s="37" t="s">
        <v>1271</v>
      </c>
      <c r="K25" s="37"/>
      <c r="L25" s="37"/>
      <c r="M25" s="38">
        <v>46023</v>
      </c>
      <c r="N25" s="38"/>
      <c r="O25" s="37" t="s">
        <v>814</v>
      </c>
      <c r="P25" s="37" t="s">
        <v>841</v>
      </c>
      <c r="Q25" s="37" t="s">
        <v>69</v>
      </c>
      <c r="R25" s="37" t="s">
        <v>1287</v>
      </c>
    </row>
    <row r="26" spans="1:18" ht="58" customHeight="1">
      <c r="A26" s="39" t="s">
        <v>1323</v>
      </c>
      <c r="B26" s="39" t="s">
        <v>840</v>
      </c>
      <c r="C26" s="39" t="s">
        <v>1324</v>
      </c>
      <c r="D26" s="39" t="s">
        <v>1325</v>
      </c>
      <c r="E26" s="39"/>
      <c r="F26" s="39"/>
      <c r="G26" s="39"/>
      <c r="H26" s="39" t="s">
        <v>1089</v>
      </c>
      <c r="I26" s="39" t="s">
        <v>1278</v>
      </c>
      <c r="J26" s="39" t="s">
        <v>1271</v>
      </c>
      <c r="K26" s="39"/>
      <c r="L26" s="39"/>
      <c r="M26" s="40">
        <v>46023</v>
      </c>
      <c r="N26" s="40"/>
      <c r="O26" s="39" t="s">
        <v>814</v>
      </c>
      <c r="P26" s="39" t="s">
        <v>841</v>
      </c>
      <c r="Q26" s="39" t="s">
        <v>69</v>
      </c>
      <c r="R26" s="39" t="s">
        <v>1287</v>
      </c>
    </row>
    <row r="27" spans="1:18" ht="58" customHeight="1">
      <c r="A27" s="37" t="s">
        <v>1326</v>
      </c>
      <c r="B27" s="37" t="s">
        <v>842</v>
      </c>
      <c r="C27" s="37" t="s">
        <v>1327</v>
      </c>
      <c r="D27" s="37" t="s">
        <v>1328</v>
      </c>
      <c r="E27" s="37"/>
      <c r="F27" s="37"/>
      <c r="G27" s="37"/>
      <c r="H27" s="37" t="s">
        <v>1089</v>
      </c>
      <c r="I27" s="37" t="s">
        <v>1278</v>
      </c>
      <c r="J27" s="37" t="s">
        <v>1271</v>
      </c>
      <c r="K27" s="37"/>
      <c r="L27" s="37"/>
      <c r="M27" s="38">
        <v>46023</v>
      </c>
      <c r="N27" s="38"/>
      <c r="O27" s="37" t="s">
        <v>814</v>
      </c>
      <c r="P27" s="37" t="s">
        <v>843</v>
      </c>
      <c r="Q27" s="37" t="s">
        <v>69</v>
      </c>
      <c r="R27" s="37" t="s">
        <v>1287</v>
      </c>
    </row>
    <row r="28" spans="1:18" ht="58" customHeight="1">
      <c r="A28" s="39" t="s">
        <v>1329</v>
      </c>
      <c r="B28" s="39" t="s">
        <v>842</v>
      </c>
      <c r="C28" s="39" t="s">
        <v>1330</v>
      </c>
      <c r="D28" s="39" t="s">
        <v>1331</v>
      </c>
      <c r="E28" s="39"/>
      <c r="F28" s="39"/>
      <c r="G28" s="39"/>
      <c r="H28" s="39" t="s">
        <v>1089</v>
      </c>
      <c r="I28" s="39" t="s">
        <v>1278</v>
      </c>
      <c r="J28" s="39" t="s">
        <v>1271</v>
      </c>
      <c r="K28" s="39"/>
      <c r="L28" s="39"/>
      <c r="M28" s="40">
        <v>46023</v>
      </c>
      <c r="N28" s="40"/>
      <c r="O28" s="39" t="s">
        <v>814</v>
      </c>
      <c r="P28" s="39" t="s">
        <v>843</v>
      </c>
      <c r="Q28" s="39" t="s">
        <v>69</v>
      </c>
      <c r="R28" s="39" t="s">
        <v>1287</v>
      </c>
    </row>
    <row r="29" spans="1:18" ht="58" customHeight="1">
      <c r="A29" s="37" t="s">
        <v>1332</v>
      </c>
      <c r="B29" s="37" t="s">
        <v>842</v>
      </c>
      <c r="C29" s="37" t="s">
        <v>1333</v>
      </c>
      <c r="D29" s="37" t="s">
        <v>1334</v>
      </c>
      <c r="E29" s="37"/>
      <c r="F29" s="37"/>
      <c r="G29" s="37"/>
      <c r="H29" s="37" t="s">
        <v>1089</v>
      </c>
      <c r="I29" s="37" t="s">
        <v>1278</v>
      </c>
      <c r="J29" s="37" t="s">
        <v>1271</v>
      </c>
      <c r="K29" s="37"/>
      <c r="L29" s="37"/>
      <c r="M29" s="38">
        <v>46023</v>
      </c>
      <c r="N29" s="38"/>
      <c r="O29" s="37" t="s">
        <v>814</v>
      </c>
      <c r="P29" s="37" t="s">
        <v>843</v>
      </c>
      <c r="Q29" s="37" t="s">
        <v>69</v>
      </c>
      <c r="R29" s="37" t="s">
        <v>1287</v>
      </c>
    </row>
    <row r="30" spans="1:18" ht="58" customHeight="1">
      <c r="A30" s="39" t="s">
        <v>1335</v>
      </c>
      <c r="B30" s="39" t="s">
        <v>842</v>
      </c>
      <c r="C30" s="39" t="s">
        <v>1336</v>
      </c>
      <c r="D30" s="39" t="s">
        <v>1337</v>
      </c>
      <c r="E30" s="39"/>
      <c r="F30" s="39"/>
      <c r="G30" s="39"/>
      <c r="H30" s="39" t="s">
        <v>1089</v>
      </c>
      <c r="I30" s="39" t="s">
        <v>1278</v>
      </c>
      <c r="J30" s="39" t="s">
        <v>1271</v>
      </c>
      <c r="K30" s="39"/>
      <c r="L30" s="39"/>
      <c r="M30" s="40">
        <v>46023</v>
      </c>
      <c r="N30" s="40"/>
      <c r="O30" s="39" t="s">
        <v>814</v>
      </c>
      <c r="P30" s="39" t="s">
        <v>843</v>
      </c>
      <c r="Q30" s="39" t="s">
        <v>69</v>
      </c>
      <c r="R30" s="39" t="s">
        <v>1287</v>
      </c>
    </row>
    <row r="31" spans="1:18" ht="58" customHeight="1">
      <c r="A31" s="37" t="s">
        <v>1338</v>
      </c>
      <c r="B31" s="37" t="s">
        <v>842</v>
      </c>
      <c r="C31" s="37" t="s">
        <v>1339</v>
      </c>
      <c r="D31" s="37" t="s">
        <v>1340</v>
      </c>
      <c r="E31" s="37"/>
      <c r="F31" s="37"/>
      <c r="G31" s="37"/>
      <c r="H31" s="37" t="s">
        <v>1089</v>
      </c>
      <c r="I31" s="37" t="s">
        <v>1278</v>
      </c>
      <c r="J31" s="37" t="s">
        <v>1271</v>
      </c>
      <c r="K31" s="37"/>
      <c r="L31" s="37"/>
      <c r="M31" s="38">
        <v>46023</v>
      </c>
      <c r="N31" s="38"/>
      <c r="O31" s="37" t="s">
        <v>814</v>
      </c>
      <c r="P31" s="37" t="s">
        <v>843</v>
      </c>
      <c r="Q31" s="37" t="s">
        <v>69</v>
      </c>
      <c r="R31" s="37" t="s">
        <v>1287</v>
      </c>
    </row>
    <row r="32" spans="1:18" ht="58" customHeight="1">
      <c r="A32" s="39" t="s">
        <v>1341</v>
      </c>
      <c r="B32" s="39" t="s">
        <v>842</v>
      </c>
      <c r="C32" s="39" t="s">
        <v>1342</v>
      </c>
      <c r="D32" s="39" t="s">
        <v>1343</v>
      </c>
      <c r="E32" s="39"/>
      <c r="F32" s="39"/>
      <c r="G32" s="39"/>
      <c r="H32" s="39" t="s">
        <v>1089</v>
      </c>
      <c r="I32" s="39" t="s">
        <v>1278</v>
      </c>
      <c r="J32" s="39" t="s">
        <v>1271</v>
      </c>
      <c r="K32" s="39"/>
      <c r="L32" s="39"/>
      <c r="M32" s="40">
        <v>46023</v>
      </c>
      <c r="N32" s="40"/>
      <c r="O32" s="39" t="s">
        <v>814</v>
      </c>
      <c r="P32" s="39" t="s">
        <v>843</v>
      </c>
      <c r="Q32" s="39" t="s">
        <v>69</v>
      </c>
      <c r="R32" s="39" t="s">
        <v>1287</v>
      </c>
    </row>
    <row r="33" spans="1:18" ht="58" customHeight="1">
      <c r="A33" s="37" t="s">
        <v>1344</v>
      </c>
      <c r="B33" s="37" t="s">
        <v>842</v>
      </c>
      <c r="C33" s="37" t="s">
        <v>1345</v>
      </c>
      <c r="D33" s="37" t="s">
        <v>1346</v>
      </c>
      <c r="E33" s="37"/>
      <c r="F33" s="37"/>
      <c r="G33" s="37"/>
      <c r="H33" s="37" t="s">
        <v>1089</v>
      </c>
      <c r="I33" s="37" t="s">
        <v>1278</v>
      </c>
      <c r="J33" s="37" t="s">
        <v>1271</v>
      </c>
      <c r="K33" s="37"/>
      <c r="L33" s="37"/>
      <c r="M33" s="38">
        <v>46023</v>
      </c>
      <c r="N33" s="38"/>
      <c r="O33" s="37" t="s">
        <v>814</v>
      </c>
      <c r="P33" s="37" t="s">
        <v>843</v>
      </c>
      <c r="Q33" s="37" t="s">
        <v>69</v>
      </c>
      <c r="R33" s="37" t="s">
        <v>1287</v>
      </c>
    </row>
    <row r="34" spans="1:18" ht="58" customHeight="1">
      <c r="A34" s="39" t="s">
        <v>1347</v>
      </c>
      <c r="B34" s="39" t="s">
        <v>842</v>
      </c>
      <c r="C34" s="39" t="s">
        <v>1348</v>
      </c>
      <c r="D34" s="39" t="s">
        <v>1349</v>
      </c>
      <c r="E34" s="39"/>
      <c r="F34" s="39"/>
      <c r="G34" s="39"/>
      <c r="H34" s="39" t="s">
        <v>1089</v>
      </c>
      <c r="I34" s="39" t="s">
        <v>1278</v>
      </c>
      <c r="J34" s="39" t="s">
        <v>1271</v>
      </c>
      <c r="K34" s="39"/>
      <c r="L34" s="39"/>
      <c r="M34" s="40">
        <v>46023</v>
      </c>
      <c r="N34" s="40"/>
      <c r="O34" s="39" t="s">
        <v>814</v>
      </c>
      <c r="P34" s="39" t="s">
        <v>843</v>
      </c>
      <c r="Q34" s="39" t="s">
        <v>69</v>
      </c>
      <c r="R34" s="39" t="s">
        <v>1287</v>
      </c>
    </row>
    <row r="35" spans="1:18" ht="58" customHeight="1">
      <c r="A35" s="37" t="s">
        <v>1350</v>
      </c>
      <c r="B35" s="37" t="s">
        <v>844</v>
      </c>
      <c r="C35" s="37" t="s">
        <v>1351</v>
      </c>
      <c r="D35" s="37" t="s">
        <v>135</v>
      </c>
      <c r="E35" s="37"/>
      <c r="F35" s="37"/>
      <c r="G35" s="37"/>
      <c r="H35" s="37" t="s">
        <v>1094</v>
      </c>
      <c r="I35" s="37" t="s">
        <v>1278</v>
      </c>
      <c r="J35" s="37" t="s">
        <v>1271</v>
      </c>
      <c r="K35" s="37"/>
      <c r="L35" s="37"/>
      <c r="M35" s="38">
        <v>46023</v>
      </c>
      <c r="N35" s="38"/>
      <c r="O35" s="37" t="s">
        <v>814</v>
      </c>
      <c r="P35" s="37" t="s">
        <v>845</v>
      </c>
      <c r="Q35" s="37" t="s">
        <v>69</v>
      </c>
      <c r="R35" s="37" t="s">
        <v>1287</v>
      </c>
    </row>
    <row r="36" spans="1:18" ht="82" customHeight="1">
      <c r="A36" s="39" t="s">
        <v>1352</v>
      </c>
      <c r="B36" s="39" t="s">
        <v>848</v>
      </c>
      <c r="C36" s="39" t="s">
        <v>1353</v>
      </c>
      <c r="D36" s="39" t="s">
        <v>715</v>
      </c>
      <c r="E36" s="39" t="s">
        <v>715</v>
      </c>
      <c r="F36" s="39" t="s">
        <v>716</v>
      </c>
      <c r="G36" s="39" t="s">
        <v>715</v>
      </c>
      <c r="H36" s="39" t="s">
        <v>1084</v>
      </c>
      <c r="I36" s="39" t="s">
        <v>1270</v>
      </c>
      <c r="J36" s="39" t="s">
        <v>1271</v>
      </c>
      <c r="K36" s="39"/>
      <c r="L36" s="39"/>
      <c r="M36" s="40">
        <v>46023</v>
      </c>
      <c r="N36" s="40"/>
      <c r="O36" s="39" t="s">
        <v>851</v>
      </c>
      <c r="P36" s="39" t="s">
        <v>767</v>
      </c>
      <c r="Q36" s="39" t="s">
        <v>69</v>
      </c>
      <c r="R36" s="39" t="s">
        <v>1354</v>
      </c>
    </row>
    <row r="37" spans="1:18" ht="82" customHeight="1">
      <c r="A37" s="37" t="s">
        <v>1355</v>
      </c>
      <c r="B37" s="37" t="s">
        <v>886</v>
      </c>
      <c r="C37" s="37" t="s">
        <v>1356</v>
      </c>
      <c r="D37" s="37" t="s">
        <v>701</v>
      </c>
      <c r="E37" s="37" t="s">
        <v>702</v>
      </c>
      <c r="F37" s="37" t="s">
        <v>703</v>
      </c>
      <c r="G37" s="37" t="s">
        <v>704</v>
      </c>
      <c r="H37" s="37" t="s">
        <v>1084</v>
      </c>
      <c r="I37" s="37" t="s">
        <v>1270</v>
      </c>
      <c r="J37" s="37" t="s">
        <v>1271</v>
      </c>
      <c r="K37" s="37"/>
      <c r="L37" s="37"/>
      <c r="M37" s="38">
        <v>46023</v>
      </c>
      <c r="N37" s="38"/>
      <c r="O37" s="37" t="s">
        <v>888</v>
      </c>
      <c r="P37" s="37" t="s">
        <v>1050</v>
      </c>
      <c r="Q37" s="37" t="s">
        <v>69</v>
      </c>
      <c r="R37" s="37" t="s">
        <v>1357</v>
      </c>
    </row>
    <row r="38" spans="1:18" ht="88" customHeight="1">
      <c r="A38" s="39" t="s">
        <v>1358</v>
      </c>
      <c r="B38" s="39" t="s">
        <v>903</v>
      </c>
      <c r="C38" s="39" t="s">
        <v>1359</v>
      </c>
      <c r="D38" s="39" t="s">
        <v>722</v>
      </c>
      <c r="E38" s="39" t="s">
        <v>723</v>
      </c>
      <c r="F38" s="39" t="s">
        <v>724</v>
      </c>
      <c r="G38" s="39" t="s">
        <v>725</v>
      </c>
      <c r="H38" s="39" t="s">
        <v>1084</v>
      </c>
      <c r="I38" s="39" t="s">
        <v>1270</v>
      </c>
      <c r="J38" s="39" t="s">
        <v>1271</v>
      </c>
      <c r="K38" s="39"/>
      <c r="L38" s="39"/>
      <c r="M38" s="40">
        <v>46023</v>
      </c>
      <c r="N38" s="40"/>
      <c r="O38" s="39" t="s">
        <v>904</v>
      </c>
      <c r="P38" s="39" t="s">
        <v>767</v>
      </c>
      <c r="Q38" s="39" t="s">
        <v>69</v>
      </c>
      <c r="R38" s="39" t="s">
        <v>1360</v>
      </c>
    </row>
    <row r="39" spans="1:18" ht="88" customHeight="1">
      <c r="A39" s="37" t="s">
        <v>1361</v>
      </c>
      <c r="B39" s="37" t="s">
        <v>905</v>
      </c>
      <c r="C39" s="37" t="s">
        <v>1359</v>
      </c>
      <c r="D39" s="37" t="s">
        <v>722</v>
      </c>
      <c r="E39" s="37" t="s">
        <v>723</v>
      </c>
      <c r="F39" s="37" t="s">
        <v>724</v>
      </c>
      <c r="G39" s="37" t="s">
        <v>725</v>
      </c>
      <c r="H39" s="37" t="s">
        <v>1084</v>
      </c>
      <c r="I39" s="37" t="s">
        <v>1270</v>
      </c>
      <c r="J39" s="37" t="s">
        <v>1271</v>
      </c>
      <c r="K39" s="37"/>
      <c r="L39" s="37"/>
      <c r="M39" s="38">
        <v>46023</v>
      </c>
      <c r="N39" s="38"/>
      <c r="O39" s="37" t="s">
        <v>908</v>
      </c>
      <c r="P39" s="37" t="s">
        <v>1114</v>
      </c>
      <c r="Q39" s="37" t="s">
        <v>69</v>
      </c>
      <c r="R39" s="37" t="s">
        <v>1360</v>
      </c>
    </row>
    <row r="40" spans="1:18" ht="88" customHeight="1">
      <c r="A40" s="39" t="s">
        <v>1362</v>
      </c>
      <c r="B40" s="39" t="s">
        <v>936</v>
      </c>
      <c r="C40" s="39" t="s">
        <v>1363</v>
      </c>
      <c r="D40" s="39" t="s">
        <v>730</v>
      </c>
      <c r="E40" s="39" t="s">
        <v>731</v>
      </c>
      <c r="F40" s="39" t="s">
        <v>732</v>
      </c>
      <c r="G40" s="39" t="s">
        <v>733</v>
      </c>
      <c r="H40" s="39" t="s">
        <v>1084</v>
      </c>
      <c r="I40" s="39" t="s">
        <v>1270</v>
      </c>
      <c r="J40" s="39" t="s">
        <v>1271</v>
      </c>
      <c r="K40" s="39"/>
      <c r="L40" s="39"/>
      <c r="M40" s="40">
        <v>46023</v>
      </c>
      <c r="N40" s="40"/>
      <c r="O40" s="39" t="s">
        <v>937</v>
      </c>
      <c r="P40" s="39" t="s">
        <v>1117</v>
      </c>
      <c r="Q40" s="39" t="s">
        <v>69</v>
      </c>
      <c r="R40" s="39" t="s">
        <v>1360</v>
      </c>
    </row>
    <row r="41" spans="1:18" ht="88" customHeight="1">
      <c r="A41" s="37" t="s">
        <v>1364</v>
      </c>
      <c r="B41" s="37" t="s">
        <v>912</v>
      </c>
      <c r="C41" s="37" t="s">
        <v>1365</v>
      </c>
      <c r="D41" s="37" t="s">
        <v>660</v>
      </c>
      <c r="E41" s="37" t="s">
        <v>661</v>
      </c>
      <c r="F41" s="37" t="s">
        <v>662</v>
      </c>
      <c r="G41" s="37" t="s">
        <v>663</v>
      </c>
      <c r="H41" s="37" t="s">
        <v>1084</v>
      </c>
      <c r="I41" s="37" t="s">
        <v>1270</v>
      </c>
      <c r="J41" s="37" t="s">
        <v>1271</v>
      </c>
      <c r="K41" s="37"/>
      <c r="L41" s="37"/>
      <c r="M41" s="38">
        <v>46023</v>
      </c>
      <c r="N41" s="38"/>
      <c r="O41" s="37" t="s">
        <v>913</v>
      </c>
      <c r="P41" s="37" t="s">
        <v>1366</v>
      </c>
      <c r="Q41" s="37" t="s">
        <v>69</v>
      </c>
      <c r="R41" s="37" t="s">
        <v>1367</v>
      </c>
    </row>
    <row r="42" spans="1:18" ht="88" customHeight="1">
      <c r="A42" s="39" t="s">
        <v>1368</v>
      </c>
      <c r="B42" s="39" t="s">
        <v>923</v>
      </c>
      <c r="C42" s="39" t="s">
        <v>1365</v>
      </c>
      <c r="D42" s="39" t="s">
        <v>660</v>
      </c>
      <c r="E42" s="39" t="s">
        <v>661</v>
      </c>
      <c r="F42" s="39" t="s">
        <v>662</v>
      </c>
      <c r="G42" s="39" t="s">
        <v>663</v>
      </c>
      <c r="H42" s="39" t="s">
        <v>1084</v>
      </c>
      <c r="I42" s="39" t="s">
        <v>1270</v>
      </c>
      <c r="J42" s="39" t="s">
        <v>1271</v>
      </c>
      <c r="K42" s="39"/>
      <c r="L42" s="39"/>
      <c r="M42" s="40">
        <v>46023</v>
      </c>
      <c r="N42" s="40"/>
      <c r="O42" s="39" t="s">
        <v>924</v>
      </c>
      <c r="P42" s="39" t="s">
        <v>925</v>
      </c>
      <c r="Q42" s="39" t="s">
        <v>69</v>
      </c>
      <c r="R42" s="39" t="s">
        <v>1369</v>
      </c>
    </row>
    <row r="43" spans="1:18" ht="88" customHeight="1">
      <c r="A43" s="37" t="s">
        <v>1370</v>
      </c>
      <c r="B43" s="37" t="s">
        <v>912</v>
      </c>
      <c r="C43" s="37" t="s">
        <v>1371</v>
      </c>
      <c r="D43" s="37" t="s">
        <v>1372</v>
      </c>
      <c r="E43" s="37" t="s">
        <v>1372</v>
      </c>
      <c r="F43" s="37" t="s">
        <v>1372</v>
      </c>
      <c r="G43" s="37" t="s">
        <v>1372</v>
      </c>
      <c r="H43" s="37" t="s">
        <v>1089</v>
      </c>
      <c r="I43" s="37" t="s">
        <v>1365</v>
      </c>
      <c r="J43" s="37" t="s">
        <v>1271</v>
      </c>
      <c r="K43" s="37"/>
      <c r="L43" s="37"/>
      <c r="M43" s="38">
        <v>46023</v>
      </c>
      <c r="N43" s="38"/>
      <c r="O43" s="37" t="s">
        <v>1373</v>
      </c>
      <c r="P43" s="37" t="s">
        <v>1374</v>
      </c>
      <c r="Q43" s="37" t="s">
        <v>69</v>
      </c>
      <c r="R43" s="37" t="s">
        <v>1375</v>
      </c>
    </row>
    <row r="44" spans="1:18" ht="88" customHeight="1">
      <c r="A44" s="39" t="s">
        <v>1376</v>
      </c>
      <c r="B44" s="39" t="s">
        <v>912</v>
      </c>
      <c r="C44" s="39" t="s">
        <v>1377</v>
      </c>
      <c r="D44" s="39" t="s">
        <v>1378</v>
      </c>
      <c r="E44" s="39" t="s">
        <v>1378</v>
      </c>
      <c r="F44" s="39" t="s">
        <v>1378</v>
      </c>
      <c r="G44" s="39" t="s">
        <v>1378</v>
      </c>
      <c r="H44" s="39" t="s">
        <v>1089</v>
      </c>
      <c r="I44" s="39" t="s">
        <v>1365</v>
      </c>
      <c r="J44" s="39" t="s">
        <v>1281</v>
      </c>
      <c r="K44" s="39"/>
      <c r="L44" s="39"/>
      <c r="M44" s="40">
        <v>46023</v>
      </c>
      <c r="N44" s="40"/>
      <c r="O44" s="39" t="s">
        <v>1373</v>
      </c>
      <c r="P44" s="39" t="s">
        <v>1374</v>
      </c>
      <c r="Q44" s="39" t="s">
        <v>69</v>
      </c>
      <c r="R44" s="39" t="s">
        <v>1379</v>
      </c>
    </row>
    <row r="45" spans="1:18" ht="88" customHeight="1">
      <c r="A45" s="37" t="s">
        <v>1380</v>
      </c>
      <c r="B45" s="37" t="s">
        <v>917</v>
      </c>
      <c r="C45" s="37" t="s">
        <v>1377</v>
      </c>
      <c r="D45" s="37" t="s">
        <v>1378</v>
      </c>
      <c r="E45" s="37" t="s">
        <v>1378</v>
      </c>
      <c r="F45" s="37" t="s">
        <v>1378</v>
      </c>
      <c r="G45" s="37" t="s">
        <v>1378</v>
      </c>
      <c r="H45" s="37" t="s">
        <v>1089</v>
      </c>
      <c r="I45" s="37" t="s">
        <v>1365</v>
      </c>
      <c r="J45" s="37" t="s">
        <v>1271</v>
      </c>
      <c r="K45" s="37"/>
      <c r="L45" s="37"/>
      <c r="M45" s="38">
        <v>46023</v>
      </c>
      <c r="N45" s="38"/>
      <c r="O45" s="37" t="s">
        <v>1373</v>
      </c>
      <c r="P45" s="37" t="s">
        <v>1374</v>
      </c>
      <c r="Q45" s="37" t="s">
        <v>69</v>
      </c>
      <c r="R45" s="37" t="s">
        <v>1379</v>
      </c>
    </row>
    <row r="46" spans="1:18" ht="88" customHeight="1">
      <c r="A46" s="39" t="s">
        <v>1381</v>
      </c>
      <c r="B46" s="39" t="s">
        <v>912</v>
      </c>
      <c r="C46" s="39" t="s">
        <v>1382</v>
      </c>
      <c r="D46" s="39" t="s">
        <v>1383</v>
      </c>
      <c r="E46" s="39" t="s">
        <v>1383</v>
      </c>
      <c r="F46" s="39" t="s">
        <v>1383</v>
      </c>
      <c r="G46" s="39" t="s">
        <v>1383</v>
      </c>
      <c r="H46" s="39" t="s">
        <v>1089</v>
      </c>
      <c r="I46" s="39" t="s">
        <v>1365</v>
      </c>
      <c r="J46" s="39" t="s">
        <v>1281</v>
      </c>
      <c r="K46" s="39"/>
      <c r="L46" s="39"/>
      <c r="M46" s="40">
        <v>46023</v>
      </c>
      <c r="N46" s="40"/>
      <c r="O46" s="39" t="s">
        <v>1373</v>
      </c>
      <c r="P46" s="39" t="s">
        <v>1374</v>
      </c>
      <c r="Q46" s="39" t="s">
        <v>69</v>
      </c>
      <c r="R46" s="39" t="s">
        <v>1379</v>
      </c>
    </row>
    <row r="47" spans="1:18" ht="88" customHeight="1">
      <c r="A47" s="37" t="s">
        <v>1384</v>
      </c>
      <c r="B47" s="37" t="s">
        <v>917</v>
      </c>
      <c r="C47" s="37" t="s">
        <v>1382</v>
      </c>
      <c r="D47" s="37" t="s">
        <v>1383</v>
      </c>
      <c r="E47" s="37" t="s">
        <v>1383</v>
      </c>
      <c r="F47" s="37" t="s">
        <v>1383</v>
      </c>
      <c r="G47" s="37" t="s">
        <v>1383</v>
      </c>
      <c r="H47" s="37" t="s">
        <v>1089</v>
      </c>
      <c r="I47" s="37" t="s">
        <v>1365</v>
      </c>
      <c r="J47" s="37" t="s">
        <v>1271</v>
      </c>
      <c r="K47" s="37"/>
      <c r="L47" s="37"/>
      <c r="M47" s="38">
        <v>46023</v>
      </c>
      <c r="N47" s="38"/>
      <c r="O47" s="37" t="s">
        <v>1373</v>
      </c>
      <c r="P47" s="37" t="s">
        <v>1374</v>
      </c>
      <c r="Q47" s="37" t="s">
        <v>69</v>
      </c>
      <c r="R47" s="37" t="s">
        <v>1379</v>
      </c>
    </row>
    <row r="48" spans="1:18" ht="88" customHeight="1">
      <c r="A48" s="39" t="s">
        <v>1385</v>
      </c>
      <c r="B48" s="39" t="s">
        <v>912</v>
      </c>
      <c r="C48" s="39" t="s">
        <v>1386</v>
      </c>
      <c r="D48" s="39" t="s">
        <v>1387</v>
      </c>
      <c r="E48" s="39" t="s">
        <v>1387</v>
      </c>
      <c r="F48" s="39" t="s">
        <v>1387</v>
      </c>
      <c r="G48" s="39" t="s">
        <v>1387</v>
      </c>
      <c r="H48" s="39" t="s">
        <v>1089</v>
      </c>
      <c r="I48" s="39" t="s">
        <v>1365</v>
      </c>
      <c r="J48" s="39" t="s">
        <v>1281</v>
      </c>
      <c r="K48" s="39"/>
      <c r="L48" s="39"/>
      <c r="M48" s="40">
        <v>46023</v>
      </c>
      <c r="N48" s="40"/>
      <c r="O48" s="39" t="s">
        <v>1373</v>
      </c>
      <c r="P48" s="39" t="s">
        <v>1374</v>
      </c>
      <c r="Q48" s="39" t="s">
        <v>69</v>
      </c>
      <c r="R48" s="39" t="s">
        <v>1379</v>
      </c>
    </row>
    <row r="49" spans="1:18" ht="88" customHeight="1">
      <c r="A49" s="37" t="s">
        <v>1388</v>
      </c>
      <c r="B49" s="37" t="s">
        <v>917</v>
      </c>
      <c r="C49" s="37" t="s">
        <v>1386</v>
      </c>
      <c r="D49" s="37" t="s">
        <v>1387</v>
      </c>
      <c r="E49" s="37" t="s">
        <v>1387</v>
      </c>
      <c r="F49" s="37" t="s">
        <v>1387</v>
      </c>
      <c r="G49" s="37" t="s">
        <v>1387</v>
      </c>
      <c r="H49" s="37" t="s">
        <v>1089</v>
      </c>
      <c r="I49" s="37" t="s">
        <v>1365</v>
      </c>
      <c r="J49" s="37" t="s">
        <v>1271</v>
      </c>
      <c r="K49" s="37"/>
      <c r="L49" s="37"/>
      <c r="M49" s="38">
        <v>46023</v>
      </c>
      <c r="N49" s="38"/>
      <c r="O49" s="37" t="s">
        <v>1373</v>
      </c>
      <c r="P49" s="37" t="s">
        <v>1374</v>
      </c>
      <c r="Q49" s="37" t="s">
        <v>69</v>
      </c>
      <c r="R49" s="37" t="s">
        <v>1379</v>
      </c>
    </row>
    <row r="50" spans="1:18" ht="88" customHeight="1">
      <c r="A50" s="39" t="s">
        <v>1389</v>
      </c>
      <c r="B50" s="39" t="s">
        <v>912</v>
      </c>
      <c r="C50" s="39" t="s">
        <v>1390</v>
      </c>
      <c r="D50" s="39" t="s">
        <v>1391</v>
      </c>
      <c r="E50" s="39" t="s">
        <v>1391</v>
      </c>
      <c r="F50" s="39" t="s">
        <v>1391</v>
      </c>
      <c r="G50" s="39" t="s">
        <v>1391</v>
      </c>
      <c r="H50" s="39" t="s">
        <v>1089</v>
      </c>
      <c r="I50" s="39" t="s">
        <v>1365</v>
      </c>
      <c r="J50" s="39" t="s">
        <v>1281</v>
      </c>
      <c r="K50" s="39"/>
      <c r="L50" s="39"/>
      <c r="M50" s="40">
        <v>46023</v>
      </c>
      <c r="N50" s="40"/>
      <c r="O50" s="39" t="s">
        <v>1373</v>
      </c>
      <c r="P50" s="39" t="s">
        <v>1374</v>
      </c>
      <c r="Q50" s="39" t="s">
        <v>69</v>
      </c>
      <c r="R50" s="39" t="s">
        <v>1379</v>
      </c>
    </row>
    <row r="51" spans="1:18" ht="88" customHeight="1">
      <c r="A51" s="37" t="s">
        <v>1392</v>
      </c>
      <c r="B51" s="37" t="s">
        <v>917</v>
      </c>
      <c r="C51" s="37" t="s">
        <v>1390</v>
      </c>
      <c r="D51" s="37" t="s">
        <v>1391</v>
      </c>
      <c r="E51" s="37" t="s">
        <v>1391</v>
      </c>
      <c r="F51" s="37" t="s">
        <v>1391</v>
      </c>
      <c r="G51" s="37" t="s">
        <v>1391</v>
      </c>
      <c r="H51" s="37" t="s">
        <v>1089</v>
      </c>
      <c r="I51" s="37" t="s">
        <v>1365</v>
      </c>
      <c r="J51" s="37" t="s">
        <v>1271</v>
      </c>
      <c r="K51" s="37"/>
      <c r="L51" s="37"/>
      <c r="M51" s="38">
        <v>46023</v>
      </c>
      <c r="N51" s="38"/>
      <c r="O51" s="37" t="s">
        <v>1373</v>
      </c>
      <c r="P51" s="37" t="s">
        <v>1374</v>
      </c>
      <c r="Q51" s="37" t="s">
        <v>69</v>
      </c>
      <c r="R51" s="37" t="s">
        <v>1379</v>
      </c>
    </row>
    <row r="52" spans="1:18" ht="88" customHeight="1">
      <c r="A52" s="39" t="s">
        <v>1393</v>
      </c>
      <c r="B52" s="39" t="s">
        <v>912</v>
      </c>
      <c r="C52" s="39" t="s">
        <v>1394</v>
      </c>
      <c r="D52" s="39" t="s">
        <v>1395</v>
      </c>
      <c r="E52" s="39" t="s">
        <v>1395</v>
      </c>
      <c r="F52" s="39" t="s">
        <v>1395</v>
      </c>
      <c r="G52" s="39" t="s">
        <v>1395</v>
      </c>
      <c r="H52" s="39" t="s">
        <v>1089</v>
      </c>
      <c r="I52" s="39" t="s">
        <v>1365</v>
      </c>
      <c r="J52" s="39" t="s">
        <v>1281</v>
      </c>
      <c r="K52" s="39"/>
      <c r="L52" s="39"/>
      <c r="M52" s="40">
        <v>46023</v>
      </c>
      <c r="N52" s="40"/>
      <c r="O52" s="39" t="s">
        <v>1373</v>
      </c>
      <c r="P52" s="39" t="s">
        <v>1374</v>
      </c>
      <c r="Q52" s="39" t="s">
        <v>69</v>
      </c>
      <c r="R52" s="39" t="s">
        <v>1379</v>
      </c>
    </row>
    <row r="53" spans="1:18" ht="88" customHeight="1">
      <c r="A53" s="37" t="s">
        <v>1396</v>
      </c>
      <c r="B53" s="37" t="s">
        <v>917</v>
      </c>
      <c r="C53" s="37" t="s">
        <v>1394</v>
      </c>
      <c r="D53" s="37" t="s">
        <v>1395</v>
      </c>
      <c r="E53" s="37" t="s">
        <v>1395</v>
      </c>
      <c r="F53" s="37" t="s">
        <v>1395</v>
      </c>
      <c r="G53" s="37" t="s">
        <v>1395</v>
      </c>
      <c r="H53" s="37" t="s">
        <v>1089</v>
      </c>
      <c r="I53" s="37" t="s">
        <v>1365</v>
      </c>
      <c r="J53" s="37" t="s">
        <v>1271</v>
      </c>
      <c r="K53" s="37"/>
      <c r="L53" s="37"/>
      <c r="M53" s="38">
        <v>46023</v>
      </c>
      <c r="N53" s="38"/>
      <c r="O53" s="37" t="s">
        <v>1373</v>
      </c>
      <c r="P53" s="37" t="s">
        <v>1374</v>
      </c>
      <c r="Q53" s="37" t="s">
        <v>69</v>
      </c>
      <c r="R53" s="37" t="s">
        <v>1379</v>
      </c>
    </row>
    <row r="54" spans="1:18" ht="88" customHeight="1">
      <c r="A54" s="39" t="s">
        <v>1397</v>
      </c>
      <c r="B54" s="39" t="s">
        <v>912</v>
      </c>
      <c r="C54" s="39" t="s">
        <v>1398</v>
      </c>
      <c r="D54" s="39" t="s">
        <v>1399</v>
      </c>
      <c r="E54" s="39" t="s">
        <v>1399</v>
      </c>
      <c r="F54" s="39" t="s">
        <v>1399</v>
      </c>
      <c r="G54" s="39" t="s">
        <v>1399</v>
      </c>
      <c r="H54" s="39" t="s">
        <v>1089</v>
      </c>
      <c r="I54" s="39" t="s">
        <v>1365</v>
      </c>
      <c r="J54" s="39" t="s">
        <v>1281</v>
      </c>
      <c r="K54" s="39"/>
      <c r="L54" s="39"/>
      <c r="M54" s="40">
        <v>46023</v>
      </c>
      <c r="N54" s="40"/>
      <c r="O54" s="39" t="s">
        <v>1373</v>
      </c>
      <c r="P54" s="39" t="s">
        <v>1374</v>
      </c>
      <c r="Q54" s="39" t="s">
        <v>69</v>
      </c>
      <c r="R54" s="39" t="s">
        <v>1379</v>
      </c>
    </row>
    <row r="55" spans="1:18" ht="88" customHeight="1">
      <c r="A55" s="37" t="s">
        <v>1400</v>
      </c>
      <c r="B55" s="37" t="s">
        <v>917</v>
      </c>
      <c r="C55" s="37" t="s">
        <v>1398</v>
      </c>
      <c r="D55" s="37" t="s">
        <v>1399</v>
      </c>
      <c r="E55" s="37" t="s">
        <v>1399</v>
      </c>
      <c r="F55" s="37" t="s">
        <v>1399</v>
      </c>
      <c r="G55" s="37" t="s">
        <v>1399</v>
      </c>
      <c r="H55" s="37" t="s">
        <v>1089</v>
      </c>
      <c r="I55" s="37" t="s">
        <v>1365</v>
      </c>
      <c r="J55" s="37" t="s">
        <v>1271</v>
      </c>
      <c r="K55" s="37"/>
      <c r="L55" s="37"/>
      <c r="M55" s="38">
        <v>46023</v>
      </c>
      <c r="N55" s="38"/>
      <c r="O55" s="37" t="s">
        <v>1373</v>
      </c>
      <c r="P55" s="37" t="s">
        <v>1374</v>
      </c>
      <c r="Q55" s="37" t="s">
        <v>69</v>
      </c>
      <c r="R55" s="37" t="s">
        <v>1379</v>
      </c>
    </row>
    <row r="56" spans="1:18" ht="88" customHeight="1">
      <c r="A56" s="39" t="s">
        <v>1401</v>
      </c>
      <c r="B56" s="39" t="s">
        <v>912</v>
      </c>
      <c r="C56" s="39" t="s">
        <v>1402</v>
      </c>
      <c r="D56" s="39" t="s">
        <v>1403</v>
      </c>
      <c r="E56" s="39" t="s">
        <v>1403</v>
      </c>
      <c r="F56" s="39" t="s">
        <v>1403</v>
      </c>
      <c r="G56" s="39" t="s">
        <v>1403</v>
      </c>
      <c r="H56" s="39" t="s">
        <v>1089</v>
      </c>
      <c r="I56" s="39" t="s">
        <v>1365</v>
      </c>
      <c r="J56" s="39" t="s">
        <v>1281</v>
      </c>
      <c r="K56" s="39"/>
      <c r="L56" s="39"/>
      <c r="M56" s="40">
        <v>46023</v>
      </c>
      <c r="N56" s="40"/>
      <c r="O56" s="39" t="s">
        <v>1373</v>
      </c>
      <c r="P56" s="39" t="s">
        <v>1374</v>
      </c>
      <c r="Q56" s="39" t="s">
        <v>69</v>
      </c>
      <c r="R56" s="39" t="s">
        <v>1379</v>
      </c>
    </row>
    <row r="57" spans="1:18" ht="88" customHeight="1">
      <c r="A57" s="37" t="s">
        <v>1404</v>
      </c>
      <c r="B57" s="37" t="s">
        <v>917</v>
      </c>
      <c r="C57" s="37" t="s">
        <v>1402</v>
      </c>
      <c r="D57" s="37" t="s">
        <v>1403</v>
      </c>
      <c r="E57" s="37" t="s">
        <v>1403</v>
      </c>
      <c r="F57" s="37" t="s">
        <v>1403</v>
      </c>
      <c r="G57" s="37" t="s">
        <v>1403</v>
      </c>
      <c r="H57" s="37" t="s">
        <v>1089</v>
      </c>
      <c r="I57" s="37" t="s">
        <v>1365</v>
      </c>
      <c r="J57" s="37" t="s">
        <v>1271</v>
      </c>
      <c r="K57" s="37"/>
      <c r="L57" s="37"/>
      <c r="M57" s="38">
        <v>46023</v>
      </c>
      <c r="N57" s="38"/>
      <c r="O57" s="37" t="s">
        <v>1373</v>
      </c>
      <c r="P57" s="37" t="s">
        <v>1374</v>
      </c>
      <c r="Q57" s="37" t="s">
        <v>69</v>
      </c>
      <c r="R57" s="37" t="s">
        <v>1379</v>
      </c>
    </row>
    <row r="58" spans="1:18" ht="88" customHeight="1">
      <c r="A58" s="39" t="s">
        <v>1405</v>
      </c>
      <c r="B58" s="39" t="s">
        <v>912</v>
      </c>
      <c r="C58" s="39" t="s">
        <v>1406</v>
      </c>
      <c r="D58" s="39" t="s">
        <v>1407</v>
      </c>
      <c r="E58" s="39" t="s">
        <v>1407</v>
      </c>
      <c r="F58" s="39" t="s">
        <v>1407</v>
      </c>
      <c r="G58" s="39" t="s">
        <v>1407</v>
      </c>
      <c r="H58" s="39" t="s">
        <v>1089</v>
      </c>
      <c r="I58" s="39" t="s">
        <v>1365</v>
      </c>
      <c r="J58" s="39" t="s">
        <v>1281</v>
      </c>
      <c r="K58" s="39"/>
      <c r="L58" s="39"/>
      <c r="M58" s="40">
        <v>46023</v>
      </c>
      <c r="N58" s="40"/>
      <c r="O58" s="39" t="s">
        <v>1373</v>
      </c>
      <c r="P58" s="39" t="s">
        <v>1374</v>
      </c>
      <c r="Q58" s="39" t="s">
        <v>69</v>
      </c>
      <c r="R58" s="39" t="s">
        <v>1379</v>
      </c>
    </row>
    <row r="59" spans="1:18" ht="88" customHeight="1">
      <c r="A59" s="37" t="s">
        <v>1408</v>
      </c>
      <c r="B59" s="37" t="s">
        <v>917</v>
      </c>
      <c r="C59" s="37" t="s">
        <v>1406</v>
      </c>
      <c r="D59" s="37" t="s">
        <v>1407</v>
      </c>
      <c r="E59" s="37" t="s">
        <v>1407</v>
      </c>
      <c r="F59" s="37" t="s">
        <v>1407</v>
      </c>
      <c r="G59" s="37" t="s">
        <v>1407</v>
      </c>
      <c r="H59" s="37" t="s">
        <v>1089</v>
      </c>
      <c r="I59" s="37" t="s">
        <v>1365</v>
      </c>
      <c r="J59" s="37" t="s">
        <v>1271</v>
      </c>
      <c r="K59" s="37"/>
      <c r="L59" s="37"/>
      <c r="M59" s="38">
        <v>46023</v>
      </c>
      <c r="N59" s="38"/>
      <c r="O59" s="37" t="s">
        <v>1373</v>
      </c>
      <c r="P59" s="37" t="s">
        <v>1374</v>
      </c>
      <c r="Q59" s="37" t="s">
        <v>69</v>
      </c>
      <c r="R59" s="37" t="s">
        <v>1379</v>
      </c>
    </row>
    <row r="60" spans="1:18" ht="88" customHeight="1">
      <c r="A60" s="39" t="s">
        <v>1409</v>
      </c>
      <c r="B60" s="39" t="s">
        <v>912</v>
      </c>
      <c r="C60" s="39" t="s">
        <v>1410</v>
      </c>
      <c r="D60" s="39" t="s">
        <v>1411</v>
      </c>
      <c r="E60" s="39" t="s">
        <v>1411</v>
      </c>
      <c r="F60" s="39" t="s">
        <v>1411</v>
      </c>
      <c r="G60" s="39" t="s">
        <v>1411</v>
      </c>
      <c r="H60" s="39" t="s">
        <v>1089</v>
      </c>
      <c r="I60" s="39" t="s">
        <v>1365</v>
      </c>
      <c r="J60" s="39" t="s">
        <v>1281</v>
      </c>
      <c r="K60" s="39"/>
      <c r="L60" s="39"/>
      <c r="M60" s="40">
        <v>46023</v>
      </c>
      <c r="N60" s="40"/>
      <c r="O60" s="39" t="s">
        <v>1373</v>
      </c>
      <c r="P60" s="39" t="s">
        <v>1374</v>
      </c>
      <c r="Q60" s="39" t="s">
        <v>69</v>
      </c>
      <c r="R60" s="39" t="s">
        <v>1379</v>
      </c>
    </row>
    <row r="61" spans="1:18" ht="88" customHeight="1">
      <c r="A61" s="37" t="s">
        <v>1412</v>
      </c>
      <c r="B61" s="37" t="s">
        <v>917</v>
      </c>
      <c r="C61" s="37" t="s">
        <v>1410</v>
      </c>
      <c r="D61" s="37" t="s">
        <v>1411</v>
      </c>
      <c r="E61" s="37" t="s">
        <v>1411</v>
      </c>
      <c r="F61" s="37" t="s">
        <v>1411</v>
      </c>
      <c r="G61" s="37" t="s">
        <v>1411</v>
      </c>
      <c r="H61" s="37" t="s">
        <v>1089</v>
      </c>
      <c r="I61" s="37" t="s">
        <v>1365</v>
      </c>
      <c r="J61" s="37" t="s">
        <v>1271</v>
      </c>
      <c r="K61" s="37"/>
      <c r="L61" s="37"/>
      <c r="M61" s="38">
        <v>46023</v>
      </c>
      <c r="N61" s="38"/>
      <c r="O61" s="37" t="s">
        <v>1373</v>
      </c>
      <c r="P61" s="37" t="s">
        <v>1374</v>
      </c>
      <c r="Q61" s="37" t="s">
        <v>69</v>
      </c>
      <c r="R61" s="37" t="s">
        <v>1379</v>
      </c>
    </row>
    <row r="62" spans="1:18" ht="88" customHeight="1">
      <c r="A62" s="39" t="s">
        <v>1413</v>
      </c>
      <c r="B62" s="39" t="s">
        <v>912</v>
      </c>
      <c r="C62" s="39" t="s">
        <v>1414</v>
      </c>
      <c r="D62" s="39" t="s">
        <v>1415</v>
      </c>
      <c r="E62" s="39" t="s">
        <v>1415</v>
      </c>
      <c r="F62" s="39" t="s">
        <v>1415</v>
      </c>
      <c r="G62" s="39" t="s">
        <v>1415</v>
      </c>
      <c r="H62" s="39" t="s">
        <v>1089</v>
      </c>
      <c r="I62" s="39" t="s">
        <v>1365</v>
      </c>
      <c r="J62" s="39" t="s">
        <v>1281</v>
      </c>
      <c r="K62" s="39"/>
      <c r="L62" s="39"/>
      <c r="M62" s="40">
        <v>46023</v>
      </c>
      <c r="N62" s="40"/>
      <c r="O62" s="39" t="s">
        <v>1373</v>
      </c>
      <c r="P62" s="39" t="s">
        <v>1374</v>
      </c>
      <c r="Q62" s="39" t="s">
        <v>69</v>
      </c>
      <c r="R62" s="39" t="s">
        <v>1379</v>
      </c>
    </row>
    <row r="63" spans="1:18" ht="88" customHeight="1">
      <c r="A63" s="37" t="s">
        <v>1416</v>
      </c>
      <c r="B63" s="37" t="s">
        <v>917</v>
      </c>
      <c r="C63" s="37" t="s">
        <v>1414</v>
      </c>
      <c r="D63" s="37" t="s">
        <v>1415</v>
      </c>
      <c r="E63" s="37" t="s">
        <v>1415</v>
      </c>
      <c r="F63" s="37" t="s">
        <v>1415</v>
      </c>
      <c r="G63" s="37" t="s">
        <v>1415</v>
      </c>
      <c r="H63" s="37" t="s">
        <v>1089</v>
      </c>
      <c r="I63" s="37" t="s">
        <v>1365</v>
      </c>
      <c r="J63" s="37" t="s">
        <v>1271</v>
      </c>
      <c r="K63" s="37"/>
      <c r="L63" s="37"/>
      <c r="M63" s="38">
        <v>46023</v>
      </c>
      <c r="N63" s="38"/>
      <c r="O63" s="37" t="s">
        <v>1373</v>
      </c>
      <c r="P63" s="37" t="s">
        <v>1374</v>
      </c>
      <c r="Q63" s="37" t="s">
        <v>69</v>
      </c>
      <c r="R63" s="37" t="s">
        <v>1379</v>
      </c>
    </row>
    <row r="64" spans="1:18" ht="88" customHeight="1">
      <c r="A64" s="39" t="s">
        <v>1417</v>
      </c>
      <c r="B64" s="39" t="s">
        <v>912</v>
      </c>
      <c r="C64" s="39" t="s">
        <v>1418</v>
      </c>
      <c r="D64" s="39" t="s">
        <v>1419</v>
      </c>
      <c r="E64" s="39" t="s">
        <v>1419</v>
      </c>
      <c r="F64" s="39" t="s">
        <v>1419</v>
      </c>
      <c r="G64" s="39" t="s">
        <v>1419</v>
      </c>
      <c r="H64" s="39" t="s">
        <v>1420</v>
      </c>
      <c r="I64" s="39" t="s">
        <v>1371</v>
      </c>
      <c r="J64" s="39" t="s">
        <v>1281</v>
      </c>
      <c r="K64" s="39"/>
      <c r="L64" s="39"/>
      <c r="M64" s="40">
        <v>46023</v>
      </c>
      <c r="N64" s="40"/>
      <c r="O64" s="39" t="s">
        <v>1373</v>
      </c>
      <c r="P64" s="39" t="s">
        <v>1374</v>
      </c>
      <c r="Q64" s="39" t="s">
        <v>69</v>
      </c>
      <c r="R64" s="39" t="s">
        <v>1379</v>
      </c>
    </row>
    <row r="65" spans="1:18" ht="88" customHeight="1">
      <c r="A65" s="37" t="s">
        <v>1421</v>
      </c>
      <c r="B65" s="37" t="s">
        <v>917</v>
      </c>
      <c r="C65" s="37" t="s">
        <v>1418</v>
      </c>
      <c r="D65" s="37" t="s">
        <v>1419</v>
      </c>
      <c r="E65" s="37" t="s">
        <v>1419</v>
      </c>
      <c r="F65" s="37" t="s">
        <v>1419</v>
      </c>
      <c r="G65" s="37" t="s">
        <v>1419</v>
      </c>
      <c r="H65" s="37" t="s">
        <v>1420</v>
      </c>
      <c r="I65" s="37" t="s">
        <v>1371</v>
      </c>
      <c r="J65" s="37" t="s">
        <v>1271</v>
      </c>
      <c r="K65" s="37"/>
      <c r="L65" s="37"/>
      <c r="M65" s="38">
        <v>46023</v>
      </c>
      <c r="N65" s="38"/>
      <c r="O65" s="37" t="s">
        <v>1373</v>
      </c>
      <c r="P65" s="37" t="s">
        <v>1374</v>
      </c>
      <c r="Q65" s="37" t="s">
        <v>69</v>
      </c>
      <c r="R65" s="37" t="s">
        <v>1379</v>
      </c>
    </row>
    <row r="66" spans="1:18" ht="88" customHeight="1">
      <c r="A66" s="39" t="s">
        <v>1422</v>
      </c>
      <c r="B66" s="39" t="s">
        <v>912</v>
      </c>
      <c r="C66" s="39" t="s">
        <v>1423</v>
      </c>
      <c r="D66" s="39" t="s">
        <v>1424</v>
      </c>
      <c r="E66" s="39" t="s">
        <v>1424</v>
      </c>
      <c r="F66" s="39" t="s">
        <v>1424</v>
      </c>
      <c r="G66" s="39" t="s">
        <v>1424</v>
      </c>
      <c r="H66" s="39" t="s">
        <v>1420</v>
      </c>
      <c r="I66" s="39" t="s">
        <v>1371</v>
      </c>
      <c r="J66" s="39" t="s">
        <v>1281</v>
      </c>
      <c r="K66" s="39"/>
      <c r="L66" s="39"/>
      <c r="M66" s="40">
        <v>46023</v>
      </c>
      <c r="N66" s="40"/>
      <c r="O66" s="39" t="s">
        <v>1373</v>
      </c>
      <c r="P66" s="39" t="s">
        <v>1374</v>
      </c>
      <c r="Q66" s="39" t="s">
        <v>69</v>
      </c>
      <c r="R66" s="39" t="s">
        <v>1379</v>
      </c>
    </row>
    <row r="67" spans="1:18" ht="88" customHeight="1">
      <c r="A67" s="37" t="s">
        <v>1425</v>
      </c>
      <c r="B67" s="37" t="s">
        <v>917</v>
      </c>
      <c r="C67" s="37" t="s">
        <v>1423</v>
      </c>
      <c r="D67" s="37" t="s">
        <v>1424</v>
      </c>
      <c r="E67" s="37" t="s">
        <v>1424</v>
      </c>
      <c r="F67" s="37" t="s">
        <v>1424</v>
      </c>
      <c r="G67" s="37" t="s">
        <v>1424</v>
      </c>
      <c r="H67" s="37" t="s">
        <v>1420</v>
      </c>
      <c r="I67" s="37" t="s">
        <v>1371</v>
      </c>
      <c r="J67" s="37" t="s">
        <v>1271</v>
      </c>
      <c r="K67" s="37"/>
      <c r="L67" s="37"/>
      <c r="M67" s="38">
        <v>46023</v>
      </c>
      <c r="N67" s="38"/>
      <c r="O67" s="37" t="s">
        <v>1373</v>
      </c>
      <c r="P67" s="37" t="s">
        <v>1374</v>
      </c>
      <c r="Q67" s="37" t="s">
        <v>69</v>
      </c>
      <c r="R67" s="37" t="s">
        <v>1379</v>
      </c>
    </row>
    <row r="68" spans="1:18" ht="88" customHeight="1">
      <c r="A68" s="39" t="s">
        <v>1426</v>
      </c>
      <c r="B68" s="39" t="s">
        <v>926</v>
      </c>
      <c r="C68" s="39" t="s">
        <v>1427</v>
      </c>
      <c r="D68" s="39" t="s">
        <v>666</v>
      </c>
      <c r="E68" s="39" t="s">
        <v>667</v>
      </c>
      <c r="F68" s="39" t="s">
        <v>668</v>
      </c>
      <c r="G68" s="39" t="s">
        <v>669</v>
      </c>
      <c r="H68" s="39" t="s">
        <v>1084</v>
      </c>
      <c r="I68" s="39" t="s">
        <v>1270</v>
      </c>
      <c r="J68" s="39" t="s">
        <v>1271</v>
      </c>
      <c r="K68" s="39"/>
      <c r="L68" s="39"/>
      <c r="M68" s="40">
        <v>46023</v>
      </c>
      <c r="N68" s="40"/>
      <c r="O68" s="39" t="s">
        <v>927</v>
      </c>
      <c r="P68" s="39" t="s">
        <v>1028</v>
      </c>
      <c r="Q68" s="39" t="s">
        <v>69</v>
      </c>
      <c r="R68" s="39" t="s">
        <v>1428</v>
      </c>
    </row>
    <row r="69" spans="1:18" ht="88" customHeight="1">
      <c r="A69" s="37" t="s">
        <v>1429</v>
      </c>
      <c r="B69" s="37" t="s">
        <v>926</v>
      </c>
      <c r="C69" s="37" t="s">
        <v>1430</v>
      </c>
      <c r="D69" s="37" t="s">
        <v>1431</v>
      </c>
      <c r="E69" s="37" t="s">
        <v>1432</v>
      </c>
      <c r="F69" s="37" t="s">
        <v>1433</v>
      </c>
      <c r="G69" s="37" t="s">
        <v>1434</v>
      </c>
      <c r="H69" s="37" t="s">
        <v>1094</v>
      </c>
      <c r="I69" s="37" t="s">
        <v>1427</v>
      </c>
      <c r="J69" s="37" t="s">
        <v>1281</v>
      </c>
      <c r="K69" s="37"/>
      <c r="L69" s="37"/>
      <c r="M69" s="38">
        <v>46023</v>
      </c>
      <c r="N69" s="38"/>
      <c r="O69" s="37" t="s">
        <v>927</v>
      </c>
      <c r="P69" s="37" t="s">
        <v>928</v>
      </c>
      <c r="Q69" s="37" t="s">
        <v>69</v>
      </c>
      <c r="R69" s="37" t="s">
        <v>1435</v>
      </c>
    </row>
    <row r="70" spans="1:18" ht="88" customHeight="1">
      <c r="A70" s="39" t="s">
        <v>1436</v>
      </c>
      <c r="B70" s="39" t="s">
        <v>935</v>
      </c>
      <c r="C70" s="39" t="s">
        <v>1430</v>
      </c>
      <c r="D70" s="39" t="s">
        <v>1431</v>
      </c>
      <c r="E70" s="39" t="s">
        <v>1432</v>
      </c>
      <c r="F70" s="39" t="s">
        <v>1433</v>
      </c>
      <c r="G70" s="39" t="s">
        <v>1434</v>
      </c>
      <c r="H70" s="39" t="s">
        <v>1094</v>
      </c>
      <c r="I70" s="39" t="s">
        <v>1427</v>
      </c>
      <c r="J70" s="39" t="s">
        <v>1271</v>
      </c>
      <c r="K70" s="39"/>
      <c r="L70" s="39"/>
      <c r="M70" s="40">
        <v>46023</v>
      </c>
      <c r="N70" s="40"/>
      <c r="O70" s="39" t="s">
        <v>927</v>
      </c>
      <c r="P70" s="39" t="s">
        <v>1028</v>
      </c>
      <c r="Q70" s="39" t="s">
        <v>69</v>
      </c>
      <c r="R70" s="39" t="s">
        <v>1437</v>
      </c>
    </row>
    <row r="71" spans="1:18" ht="88" customHeight="1">
      <c r="A71" s="37" t="s">
        <v>1438</v>
      </c>
      <c r="B71" s="37" t="s">
        <v>952</v>
      </c>
      <c r="C71" s="37" t="s">
        <v>1439</v>
      </c>
      <c r="D71" s="37" t="s">
        <v>620</v>
      </c>
      <c r="E71" s="37" t="s">
        <v>621</v>
      </c>
      <c r="F71" s="37" t="s">
        <v>622</v>
      </c>
      <c r="G71" s="37" t="s">
        <v>623</v>
      </c>
      <c r="H71" s="37" t="s">
        <v>1084</v>
      </c>
      <c r="I71" s="37" t="s">
        <v>1270</v>
      </c>
      <c r="J71" s="37" t="s">
        <v>1271</v>
      </c>
      <c r="K71" s="37"/>
      <c r="L71" s="37"/>
      <c r="M71" s="38">
        <v>46023</v>
      </c>
      <c r="N71" s="38"/>
      <c r="O71" s="37" t="s">
        <v>953</v>
      </c>
      <c r="P71" s="37" t="s">
        <v>954</v>
      </c>
      <c r="Q71" s="37" t="s">
        <v>69</v>
      </c>
      <c r="R71" s="37" t="s">
        <v>1440</v>
      </c>
    </row>
    <row r="72" spans="1:18" ht="88" customHeight="1">
      <c r="A72" s="39" t="s">
        <v>1441</v>
      </c>
      <c r="B72" s="39" t="s">
        <v>956</v>
      </c>
      <c r="C72" s="39" t="s">
        <v>1439</v>
      </c>
      <c r="D72" s="39" t="s">
        <v>620</v>
      </c>
      <c r="E72" s="39" t="s">
        <v>621</v>
      </c>
      <c r="F72" s="39" t="s">
        <v>622</v>
      </c>
      <c r="G72" s="39" t="s">
        <v>623</v>
      </c>
      <c r="H72" s="39" t="s">
        <v>1084</v>
      </c>
      <c r="I72" s="39" t="s">
        <v>1270</v>
      </c>
      <c r="J72" s="39" t="s">
        <v>1271</v>
      </c>
      <c r="K72" s="39"/>
      <c r="L72" s="39"/>
      <c r="M72" s="40">
        <v>46023</v>
      </c>
      <c r="N72" s="40"/>
      <c r="O72" s="39" t="s">
        <v>957</v>
      </c>
      <c r="P72" s="39" t="s">
        <v>958</v>
      </c>
      <c r="Q72" s="39" t="s">
        <v>69</v>
      </c>
      <c r="R72" s="39" t="s">
        <v>1440</v>
      </c>
    </row>
    <row r="73" spans="1:18" ht="88" customHeight="1">
      <c r="A73" s="37" t="s">
        <v>1442</v>
      </c>
      <c r="B73" s="37" t="s">
        <v>959</v>
      </c>
      <c r="C73" s="37" t="s">
        <v>1443</v>
      </c>
      <c r="D73" s="37" t="s">
        <v>681</v>
      </c>
      <c r="E73" s="37" t="s">
        <v>682</v>
      </c>
      <c r="F73" s="37" t="s">
        <v>683</v>
      </c>
      <c r="G73" s="37" t="s">
        <v>684</v>
      </c>
      <c r="H73" s="37" t="s">
        <v>1084</v>
      </c>
      <c r="I73" s="37" t="s">
        <v>1270</v>
      </c>
      <c r="J73" s="37" t="s">
        <v>1271</v>
      </c>
      <c r="K73" s="37"/>
      <c r="L73" s="37"/>
      <c r="M73" s="38">
        <v>46023</v>
      </c>
      <c r="N73" s="38"/>
      <c r="O73" s="37" t="s">
        <v>960</v>
      </c>
      <c r="P73" s="37" t="s">
        <v>961</v>
      </c>
      <c r="Q73" s="37" t="s">
        <v>69</v>
      </c>
      <c r="R73" s="37" t="s">
        <v>1440</v>
      </c>
    </row>
    <row r="74" spans="1:18" ht="88" customHeight="1">
      <c r="A74" s="39" t="s">
        <v>1444</v>
      </c>
      <c r="B74" s="39" t="s">
        <v>962</v>
      </c>
      <c r="C74" s="39" t="s">
        <v>1443</v>
      </c>
      <c r="D74" s="39" t="s">
        <v>681</v>
      </c>
      <c r="E74" s="39" t="s">
        <v>682</v>
      </c>
      <c r="F74" s="39" t="s">
        <v>683</v>
      </c>
      <c r="G74" s="39" t="s">
        <v>684</v>
      </c>
      <c r="H74" s="39" t="s">
        <v>1084</v>
      </c>
      <c r="I74" s="39" t="s">
        <v>1270</v>
      </c>
      <c r="J74" s="39" t="s">
        <v>1271</v>
      </c>
      <c r="K74" s="39"/>
      <c r="L74" s="39"/>
      <c r="M74" s="40">
        <v>46023</v>
      </c>
      <c r="N74" s="40"/>
      <c r="O74" s="39" t="s">
        <v>963</v>
      </c>
      <c r="P74" s="39" t="s">
        <v>964</v>
      </c>
      <c r="Q74" s="39" t="s">
        <v>69</v>
      </c>
      <c r="R74" s="39" t="s">
        <v>1440</v>
      </c>
    </row>
    <row r="75" spans="1:18" ht="88" customHeight="1">
      <c r="A75" s="37" t="s">
        <v>1445</v>
      </c>
      <c r="B75" s="37" t="s">
        <v>965</v>
      </c>
      <c r="C75" s="37" t="s">
        <v>1446</v>
      </c>
      <c r="D75" s="37" t="s">
        <v>711</v>
      </c>
      <c r="E75" s="37" t="s">
        <v>712</v>
      </c>
      <c r="F75" s="37" t="s">
        <v>713</v>
      </c>
      <c r="G75" s="37" t="s">
        <v>713</v>
      </c>
      <c r="H75" s="37" t="s">
        <v>1084</v>
      </c>
      <c r="I75" s="37" t="s">
        <v>1270</v>
      </c>
      <c r="J75" s="37" t="s">
        <v>1271</v>
      </c>
      <c r="K75" s="37"/>
      <c r="L75" s="37"/>
      <c r="M75" s="38">
        <v>46023</v>
      </c>
      <c r="N75" s="38"/>
      <c r="O75" s="37" t="s">
        <v>966</v>
      </c>
      <c r="P75" s="37" t="s">
        <v>967</v>
      </c>
      <c r="Q75" s="37" t="s">
        <v>69</v>
      </c>
      <c r="R75" s="37" t="s">
        <v>1440</v>
      </c>
    </row>
    <row r="76" spans="1:18" ht="88" customHeight="1">
      <c r="A76" s="39" t="s">
        <v>1447</v>
      </c>
      <c r="B76" s="39" t="s">
        <v>968</v>
      </c>
      <c r="C76" s="39" t="s">
        <v>1448</v>
      </c>
      <c r="D76" s="39" t="s">
        <v>696</v>
      </c>
      <c r="E76" s="39" t="s">
        <v>697</v>
      </c>
      <c r="F76" s="39" t="s">
        <v>698</v>
      </c>
      <c r="G76" s="39" t="s">
        <v>699</v>
      </c>
      <c r="H76" s="39" t="s">
        <v>1084</v>
      </c>
      <c r="I76" s="39" t="s">
        <v>1270</v>
      </c>
      <c r="J76" s="39" t="s">
        <v>1271</v>
      </c>
      <c r="K76" s="39"/>
      <c r="L76" s="39"/>
      <c r="M76" s="40">
        <v>46023</v>
      </c>
      <c r="N76" s="40"/>
      <c r="O76" s="39" t="s">
        <v>969</v>
      </c>
      <c r="P76" s="39" t="s">
        <v>970</v>
      </c>
      <c r="Q76" s="39" t="s">
        <v>69</v>
      </c>
      <c r="R76" s="39" t="s">
        <v>1440</v>
      </c>
    </row>
    <row r="77" spans="1:18" ht="88" customHeight="1">
      <c r="A77" s="37" t="s">
        <v>1449</v>
      </c>
      <c r="B77" s="37" t="s">
        <v>971</v>
      </c>
      <c r="C77" s="37" t="s">
        <v>1448</v>
      </c>
      <c r="D77" s="37" t="s">
        <v>696</v>
      </c>
      <c r="E77" s="37" t="s">
        <v>697</v>
      </c>
      <c r="F77" s="37" t="s">
        <v>698</v>
      </c>
      <c r="G77" s="37" t="s">
        <v>699</v>
      </c>
      <c r="H77" s="37" t="s">
        <v>1084</v>
      </c>
      <c r="I77" s="37" t="s">
        <v>1270</v>
      </c>
      <c r="J77" s="37" t="s">
        <v>1271</v>
      </c>
      <c r="K77" s="37"/>
      <c r="L77" s="37"/>
      <c r="M77" s="38">
        <v>46023</v>
      </c>
      <c r="N77" s="38"/>
      <c r="O77" s="37" t="s">
        <v>972</v>
      </c>
      <c r="P77" s="37" t="s">
        <v>973</v>
      </c>
      <c r="Q77" s="37" t="s">
        <v>69</v>
      </c>
      <c r="R77" s="37" t="s">
        <v>1440</v>
      </c>
    </row>
    <row r="78" spans="1:18" ht="88" customHeight="1">
      <c r="A78" s="39" t="s">
        <v>1450</v>
      </c>
      <c r="B78" s="39" t="s">
        <v>974</v>
      </c>
      <c r="C78" s="39" t="s">
        <v>1451</v>
      </c>
      <c r="D78" s="39" t="s">
        <v>686</v>
      </c>
      <c r="E78" s="39" t="s">
        <v>687</v>
      </c>
      <c r="F78" s="39" t="s">
        <v>688</v>
      </c>
      <c r="G78" s="39" t="s">
        <v>689</v>
      </c>
      <c r="H78" s="39" t="s">
        <v>1084</v>
      </c>
      <c r="I78" s="39" t="s">
        <v>1270</v>
      </c>
      <c r="J78" s="39" t="s">
        <v>1271</v>
      </c>
      <c r="K78" s="39"/>
      <c r="L78" s="39"/>
      <c r="M78" s="40">
        <v>46023</v>
      </c>
      <c r="N78" s="40"/>
      <c r="O78" s="39" t="s">
        <v>975</v>
      </c>
      <c r="P78" s="39" t="s">
        <v>976</v>
      </c>
      <c r="Q78" s="39" t="s">
        <v>69</v>
      </c>
      <c r="R78" s="39" t="s">
        <v>1440</v>
      </c>
    </row>
    <row r="79" spans="1:18" ht="88" customHeight="1">
      <c r="A79" s="37" t="s">
        <v>1452</v>
      </c>
      <c r="B79" s="37" t="s">
        <v>977</v>
      </c>
      <c r="C79" s="37" t="s">
        <v>1453</v>
      </c>
      <c r="D79" s="37" t="s">
        <v>691</v>
      </c>
      <c r="E79" s="37" t="s">
        <v>692</v>
      </c>
      <c r="F79" s="37" t="s">
        <v>693</v>
      </c>
      <c r="G79" s="37" t="s">
        <v>694</v>
      </c>
      <c r="H79" s="37" t="s">
        <v>1084</v>
      </c>
      <c r="I79" s="37" t="s">
        <v>1270</v>
      </c>
      <c r="J79" s="37" t="s">
        <v>1271</v>
      </c>
      <c r="K79" s="37"/>
      <c r="L79" s="37"/>
      <c r="M79" s="38">
        <v>46023</v>
      </c>
      <c r="N79" s="38"/>
      <c r="O79" s="37" t="s">
        <v>978</v>
      </c>
      <c r="P79" s="37" t="s">
        <v>979</v>
      </c>
      <c r="Q79" s="37" t="s">
        <v>69</v>
      </c>
      <c r="R79" s="37" t="s">
        <v>1440</v>
      </c>
    </row>
    <row r="80" spans="1:18" ht="88" customHeight="1">
      <c r="A80" s="39" t="s">
        <v>1454</v>
      </c>
      <c r="B80" s="39" t="s">
        <v>980</v>
      </c>
      <c r="C80" s="39" t="s">
        <v>1455</v>
      </c>
      <c r="D80" s="39" t="s">
        <v>1456</v>
      </c>
      <c r="E80" s="39" t="s">
        <v>1456</v>
      </c>
      <c r="F80" s="39" t="s">
        <v>1456</v>
      </c>
      <c r="G80" s="39" t="s">
        <v>1456</v>
      </c>
      <c r="H80" s="39" t="s">
        <v>1094</v>
      </c>
      <c r="I80" s="39" t="s">
        <v>1453</v>
      </c>
      <c r="J80" s="39" t="s">
        <v>1271</v>
      </c>
      <c r="K80" s="39"/>
      <c r="L80" s="39"/>
      <c r="M80" s="40">
        <v>46023</v>
      </c>
      <c r="N80" s="40"/>
      <c r="O80" s="39" t="s">
        <v>1457</v>
      </c>
      <c r="P80" s="39" t="s">
        <v>1458</v>
      </c>
      <c r="Q80" s="39" t="s">
        <v>69</v>
      </c>
      <c r="R80" s="39" t="s">
        <v>1459</v>
      </c>
    </row>
    <row r="81" spans="1:18" ht="88" customHeight="1">
      <c r="A81" s="37" t="s">
        <v>1460</v>
      </c>
      <c r="B81" s="37" t="s">
        <v>980</v>
      </c>
      <c r="C81" s="37" t="s">
        <v>1461</v>
      </c>
      <c r="D81" s="37" t="s">
        <v>1462</v>
      </c>
      <c r="E81" s="37" t="s">
        <v>1462</v>
      </c>
      <c r="F81" s="37" t="s">
        <v>1462</v>
      </c>
      <c r="G81" s="37" t="s">
        <v>1462</v>
      </c>
      <c r="H81" s="37" t="s">
        <v>1094</v>
      </c>
      <c r="I81" s="37" t="s">
        <v>1453</v>
      </c>
      <c r="J81" s="37" t="s">
        <v>1271</v>
      </c>
      <c r="K81" s="37"/>
      <c r="L81" s="37"/>
      <c r="M81" s="38">
        <v>46023</v>
      </c>
      <c r="N81" s="38"/>
      <c r="O81" s="37" t="s">
        <v>1457</v>
      </c>
      <c r="P81" s="37" t="s">
        <v>1458</v>
      </c>
      <c r="Q81" s="37" t="s">
        <v>69</v>
      </c>
      <c r="R81" s="37" t="s">
        <v>1459</v>
      </c>
    </row>
    <row r="82" spans="1:18" ht="88" customHeight="1">
      <c r="A82" s="39" t="s">
        <v>1463</v>
      </c>
      <c r="B82" s="39" t="s">
        <v>980</v>
      </c>
      <c r="C82" s="39" t="s">
        <v>1464</v>
      </c>
      <c r="D82" s="39" t="s">
        <v>1465</v>
      </c>
      <c r="E82" s="39" t="s">
        <v>1465</v>
      </c>
      <c r="F82" s="39" t="s">
        <v>1465</v>
      </c>
      <c r="G82" s="39" t="s">
        <v>1465</v>
      </c>
      <c r="H82" s="39" t="s">
        <v>1094</v>
      </c>
      <c r="I82" s="39" t="s">
        <v>1453</v>
      </c>
      <c r="J82" s="39" t="s">
        <v>1271</v>
      </c>
      <c r="K82" s="39"/>
      <c r="L82" s="39"/>
      <c r="M82" s="40">
        <v>46023</v>
      </c>
      <c r="N82" s="40"/>
      <c r="O82" s="39" t="s">
        <v>1457</v>
      </c>
      <c r="P82" s="39" t="s">
        <v>1458</v>
      </c>
      <c r="Q82" s="39" t="s">
        <v>69</v>
      </c>
      <c r="R82" s="39" t="s">
        <v>1459</v>
      </c>
    </row>
    <row r="83" spans="1:18" ht="88" customHeight="1">
      <c r="A83" s="37" t="s">
        <v>1466</v>
      </c>
      <c r="B83" s="37" t="s">
        <v>980</v>
      </c>
      <c r="C83" s="37" t="s">
        <v>1467</v>
      </c>
      <c r="D83" s="37" t="s">
        <v>1468</v>
      </c>
      <c r="E83" s="37" t="s">
        <v>1468</v>
      </c>
      <c r="F83" s="37" t="s">
        <v>1468</v>
      </c>
      <c r="G83" s="37" t="s">
        <v>1468</v>
      </c>
      <c r="H83" s="37" t="s">
        <v>1094</v>
      </c>
      <c r="I83" s="37" t="s">
        <v>1453</v>
      </c>
      <c r="J83" s="37" t="s">
        <v>1271</v>
      </c>
      <c r="K83" s="37"/>
      <c r="L83" s="37"/>
      <c r="M83" s="38">
        <v>46023</v>
      </c>
      <c r="N83" s="38"/>
      <c r="O83" s="37" t="s">
        <v>1457</v>
      </c>
      <c r="P83" s="37" t="s">
        <v>1458</v>
      </c>
      <c r="Q83" s="37" t="s">
        <v>69</v>
      </c>
      <c r="R83" s="37" t="s">
        <v>1459</v>
      </c>
    </row>
    <row r="84" spans="1:18" ht="88" customHeight="1">
      <c r="A84" s="39" t="s">
        <v>1469</v>
      </c>
      <c r="B84" s="39" t="s">
        <v>985</v>
      </c>
      <c r="C84" s="39" t="s">
        <v>1470</v>
      </c>
      <c r="D84" s="39" t="s">
        <v>629</v>
      </c>
      <c r="E84" s="39" t="s">
        <v>630</v>
      </c>
      <c r="F84" s="39" t="s">
        <v>631</v>
      </c>
      <c r="G84" s="39" t="s">
        <v>631</v>
      </c>
      <c r="H84" s="39" t="s">
        <v>1084</v>
      </c>
      <c r="I84" s="39" t="s">
        <v>1270</v>
      </c>
      <c r="J84" s="39" t="s">
        <v>1271</v>
      </c>
      <c r="K84" s="39"/>
      <c r="L84" s="39"/>
      <c r="M84" s="40">
        <v>46023</v>
      </c>
      <c r="N84" s="40"/>
      <c r="O84" s="39" t="s">
        <v>986</v>
      </c>
      <c r="P84" s="39" t="s">
        <v>1185</v>
      </c>
      <c r="Q84" s="39" t="s">
        <v>69</v>
      </c>
      <c r="R84" s="39" t="s">
        <v>1471</v>
      </c>
    </row>
    <row r="85" spans="1:18" ht="88" customHeight="1">
      <c r="A85" s="37" t="s">
        <v>1472</v>
      </c>
      <c r="B85" s="37" t="s">
        <v>990</v>
      </c>
      <c r="C85" s="37" t="s">
        <v>1470</v>
      </c>
      <c r="D85" s="37" t="s">
        <v>629</v>
      </c>
      <c r="E85" s="37" t="s">
        <v>630</v>
      </c>
      <c r="F85" s="37" t="s">
        <v>631</v>
      </c>
      <c r="G85" s="37" t="s">
        <v>631</v>
      </c>
      <c r="H85" s="37" t="s">
        <v>1084</v>
      </c>
      <c r="I85" s="37" t="s">
        <v>1270</v>
      </c>
      <c r="J85" s="37" t="s">
        <v>1271</v>
      </c>
      <c r="K85" s="37"/>
      <c r="L85" s="37"/>
      <c r="M85" s="38">
        <v>46023</v>
      </c>
      <c r="N85" s="38"/>
      <c r="O85" s="37" t="s">
        <v>991</v>
      </c>
      <c r="P85" s="37" t="s">
        <v>992</v>
      </c>
      <c r="Q85" s="37" t="s">
        <v>69</v>
      </c>
      <c r="R85" s="37" t="s">
        <v>1471</v>
      </c>
    </row>
    <row r="86" spans="1:18" ht="88" customHeight="1">
      <c r="A86" s="39" t="s">
        <v>1473</v>
      </c>
      <c r="B86" s="39" t="s">
        <v>993</v>
      </c>
      <c r="C86" s="39" t="s">
        <v>1470</v>
      </c>
      <c r="D86" s="39" t="s">
        <v>629</v>
      </c>
      <c r="E86" s="39" t="s">
        <v>630</v>
      </c>
      <c r="F86" s="39" t="s">
        <v>631</v>
      </c>
      <c r="G86" s="39" t="s">
        <v>631</v>
      </c>
      <c r="H86" s="39" t="s">
        <v>1084</v>
      </c>
      <c r="I86" s="39" t="s">
        <v>1270</v>
      </c>
      <c r="J86" s="39" t="s">
        <v>1271</v>
      </c>
      <c r="K86" s="39"/>
      <c r="L86" s="39"/>
      <c r="M86" s="40">
        <v>46023</v>
      </c>
      <c r="N86" s="40"/>
      <c r="O86" s="39" t="s">
        <v>994</v>
      </c>
      <c r="P86" s="39" t="s">
        <v>995</v>
      </c>
      <c r="Q86" s="39" t="s">
        <v>69</v>
      </c>
      <c r="R86" s="39" t="s">
        <v>1471</v>
      </c>
    </row>
    <row r="87" spans="1:18" ht="88" customHeight="1">
      <c r="A87" s="37" t="s">
        <v>1474</v>
      </c>
      <c r="B87" s="37" t="s">
        <v>996</v>
      </c>
      <c r="C87" s="37" t="s">
        <v>1475</v>
      </c>
      <c r="D87" s="37" t="s">
        <v>633</v>
      </c>
      <c r="E87" s="37" t="s">
        <v>633</v>
      </c>
      <c r="F87" s="37" t="s">
        <v>633</v>
      </c>
      <c r="G87" s="37" t="s">
        <v>633</v>
      </c>
      <c r="H87" s="37" t="s">
        <v>1084</v>
      </c>
      <c r="I87" s="37" t="s">
        <v>1270</v>
      </c>
      <c r="J87" s="37" t="s">
        <v>1271</v>
      </c>
      <c r="K87" s="37"/>
      <c r="L87" s="37"/>
      <c r="M87" s="38">
        <v>46023</v>
      </c>
      <c r="N87" s="38"/>
      <c r="O87" s="37" t="s">
        <v>997</v>
      </c>
      <c r="P87" s="37" t="s">
        <v>998</v>
      </c>
      <c r="Q87" s="37" t="s">
        <v>69</v>
      </c>
      <c r="R87" s="37" t="s">
        <v>1471</v>
      </c>
    </row>
    <row r="88" spans="1:18" ht="88" customHeight="1">
      <c r="A88" s="39" t="s">
        <v>1476</v>
      </c>
      <c r="B88" s="39" t="s">
        <v>999</v>
      </c>
      <c r="C88" s="39" t="s">
        <v>1477</v>
      </c>
      <c r="D88" s="39" t="s">
        <v>635</v>
      </c>
      <c r="E88" s="39" t="s">
        <v>636</v>
      </c>
      <c r="F88" s="39" t="s">
        <v>637</v>
      </c>
      <c r="G88" s="39" t="s">
        <v>638</v>
      </c>
      <c r="H88" s="39" t="s">
        <v>1084</v>
      </c>
      <c r="I88" s="39" t="s">
        <v>1270</v>
      </c>
      <c r="J88" s="39" t="s">
        <v>1271</v>
      </c>
      <c r="K88" s="39"/>
      <c r="L88" s="39"/>
      <c r="M88" s="40">
        <v>46023</v>
      </c>
      <c r="N88" s="40"/>
      <c r="O88" s="39" t="s">
        <v>1000</v>
      </c>
      <c r="P88" s="39" t="s">
        <v>1202</v>
      </c>
      <c r="Q88" s="39" t="s">
        <v>69</v>
      </c>
      <c r="R88" s="39" t="s">
        <v>1471</v>
      </c>
    </row>
    <row r="89" spans="1:18" ht="88" customHeight="1">
      <c r="A89" s="37" t="s">
        <v>1478</v>
      </c>
      <c r="B89" s="37" t="s">
        <v>1003</v>
      </c>
      <c r="C89" s="37" t="s">
        <v>1479</v>
      </c>
      <c r="D89" s="37" t="s">
        <v>640</v>
      </c>
      <c r="E89" s="37" t="s">
        <v>641</v>
      </c>
      <c r="F89" s="37" t="s">
        <v>642</v>
      </c>
      <c r="G89" s="37" t="s">
        <v>643</v>
      </c>
      <c r="H89" s="37" t="s">
        <v>1084</v>
      </c>
      <c r="I89" s="37" t="s">
        <v>1270</v>
      </c>
      <c r="J89" s="37" t="s">
        <v>1271</v>
      </c>
      <c r="K89" s="37"/>
      <c r="L89" s="37"/>
      <c r="M89" s="38">
        <v>46023</v>
      </c>
      <c r="N89" s="38"/>
      <c r="O89" s="37" t="s">
        <v>1004</v>
      </c>
      <c r="P89" s="37" t="s">
        <v>1207</v>
      </c>
      <c r="Q89" s="37" t="s">
        <v>69</v>
      </c>
      <c r="R89" s="37" t="s">
        <v>1471</v>
      </c>
    </row>
    <row r="90" spans="1:18" ht="88" customHeight="1">
      <c r="A90" s="39" t="s">
        <v>1480</v>
      </c>
      <c r="B90" s="39" t="s">
        <v>1009</v>
      </c>
      <c r="C90" s="39" t="s">
        <v>1481</v>
      </c>
      <c r="D90" s="39" t="s">
        <v>645</v>
      </c>
      <c r="E90" s="39" t="s">
        <v>646</v>
      </c>
      <c r="F90" s="39" t="s">
        <v>647</v>
      </c>
      <c r="G90" s="39" t="s">
        <v>648</v>
      </c>
      <c r="H90" s="39" t="s">
        <v>1084</v>
      </c>
      <c r="I90" s="39" t="s">
        <v>1270</v>
      </c>
      <c r="J90" s="39" t="s">
        <v>1271</v>
      </c>
      <c r="K90" s="39"/>
      <c r="L90" s="39"/>
      <c r="M90" s="40">
        <v>46023</v>
      </c>
      <c r="N90" s="40"/>
      <c r="O90" s="39" t="s">
        <v>1010</v>
      </c>
      <c r="P90" s="39" t="s">
        <v>1212</v>
      </c>
      <c r="Q90" s="39" t="s">
        <v>69</v>
      </c>
      <c r="R90" s="39" t="s">
        <v>1471</v>
      </c>
    </row>
    <row r="91" spans="1:18" ht="88" customHeight="1">
      <c r="A91" s="37" t="s">
        <v>1482</v>
      </c>
      <c r="B91" s="37" t="s">
        <v>1013</v>
      </c>
      <c r="C91" s="37" t="s">
        <v>1483</v>
      </c>
      <c r="D91" s="37" t="s">
        <v>656</v>
      </c>
      <c r="E91" s="37" t="s">
        <v>657</v>
      </c>
      <c r="F91" s="37" t="s">
        <v>658</v>
      </c>
      <c r="G91" s="37" t="s">
        <v>656</v>
      </c>
      <c r="H91" s="37" t="s">
        <v>1084</v>
      </c>
      <c r="I91" s="37" t="s">
        <v>1270</v>
      </c>
      <c r="J91" s="37" t="s">
        <v>1271</v>
      </c>
      <c r="K91" s="37"/>
      <c r="L91" s="37"/>
      <c r="M91" s="38">
        <v>46023</v>
      </c>
      <c r="N91" s="38"/>
      <c r="O91" s="37" t="s">
        <v>1014</v>
      </c>
      <c r="P91" s="37" t="s">
        <v>1217</v>
      </c>
      <c r="Q91" s="37" t="s">
        <v>69</v>
      </c>
      <c r="R91" s="37" t="s">
        <v>1471</v>
      </c>
    </row>
    <row r="92" spans="1:18" ht="88" customHeight="1">
      <c r="A92" s="39" t="s">
        <v>1484</v>
      </c>
      <c r="B92" s="39" t="s">
        <v>1017</v>
      </c>
      <c r="C92" s="39" t="s">
        <v>1483</v>
      </c>
      <c r="D92" s="39" t="s">
        <v>656</v>
      </c>
      <c r="E92" s="39" t="s">
        <v>657</v>
      </c>
      <c r="F92" s="39" t="s">
        <v>658</v>
      </c>
      <c r="G92" s="39" t="s">
        <v>656</v>
      </c>
      <c r="H92" s="39" t="s">
        <v>1084</v>
      </c>
      <c r="I92" s="39" t="s">
        <v>1270</v>
      </c>
      <c r="J92" s="39" t="s">
        <v>1271</v>
      </c>
      <c r="K92" s="39"/>
      <c r="L92" s="39"/>
      <c r="M92" s="40">
        <v>46023</v>
      </c>
      <c r="N92" s="40"/>
      <c r="O92" s="39" t="s">
        <v>1018</v>
      </c>
      <c r="P92" s="39" t="s">
        <v>1019</v>
      </c>
      <c r="Q92" s="39" t="s">
        <v>69</v>
      </c>
      <c r="R92" s="39" t="s">
        <v>1471</v>
      </c>
    </row>
    <row r="93" spans="1:18" ht="88" customHeight="1">
      <c r="A93" s="37" t="s">
        <v>1485</v>
      </c>
      <c r="B93" s="37" t="s">
        <v>1020</v>
      </c>
      <c r="C93" s="37" t="s">
        <v>1486</v>
      </c>
      <c r="D93" s="37" t="s">
        <v>650</v>
      </c>
      <c r="E93" s="37" t="s">
        <v>651</v>
      </c>
      <c r="F93" s="37" t="s">
        <v>652</v>
      </c>
      <c r="G93" s="37" t="s">
        <v>653</v>
      </c>
      <c r="H93" s="37" t="s">
        <v>1084</v>
      </c>
      <c r="I93" s="37" t="s">
        <v>1270</v>
      </c>
      <c r="J93" s="37" t="s">
        <v>1271</v>
      </c>
      <c r="K93" s="37"/>
      <c r="L93" s="37"/>
      <c r="M93" s="38">
        <v>46023</v>
      </c>
      <c r="N93" s="38"/>
      <c r="O93" s="37" t="s">
        <v>1021</v>
      </c>
      <c r="P93" s="37" t="s">
        <v>1226</v>
      </c>
      <c r="Q93" s="37" t="s">
        <v>69</v>
      </c>
      <c r="R93" s="37" t="s">
        <v>1471</v>
      </c>
    </row>
    <row r="94" spans="1:18" ht="88" customHeight="1">
      <c r="A94" s="39" t="s">
        <v>1487</v>
      </c>
      <c r="B94" s="39" t="s">
        <v>1022</v>
      </c>
      <c r="C94" s="39" t="s">
        <v>1488</v>
      </c>
      <c r="D94" s="39" t="s">
        <v>671</v>
      </c>
      <c r="E94" s="39" t="s">
        <v>672</v>
      </c>
      <c r="F94" s="39" t="s">
        <v>673</v>
      </c>
      <c r="G94" s="39" t="s">
        <v>674</v>
      </c>
      <c r="H94" s="39" t="s">
        <v>1084</v>
      </c>
      <c r="I94" s="39" t="s">
        <v>1270</v>
      </c>
      <c r="J94" s="39" t="s">
        <v>1271</v>
      </c>
      <c r="K94" s="39"/>
      <c r="L94" s="39"/>
      <c r="M94" s="40">
        <v>46023</v>
      </c>
      <c r="N94" s="40"/>
      <c r="O94" s="39" t="s">
        <v>1023</v>
      </c>
      <c r="P94" s="39" t="s">
        <v>1024</v>
      </c>
      <c r="Q94" s="39" t="s">
        <v>69</v>
      </c>
      <c r="R94" s="39" t="s">
        <v>1489</v>
      </c>
    </row>
    <row r="95" spans="1:18" ht="88" customHeight="1">
      <c r="A95" s="37" t="s">
        <v>1490</v>
      </c>
      <c r="B95" s="37" t="s">
        <v>1026</v>
      </c>
      <c r="C95" s="37" t="s">
        <v>1491</v>
      </c>
      <c r="D95" s="37" t="s">
        <v>676</v>
      </c>
      <c r="E95" s="37" t="s">
        <v>677</v>
      </c>
      <c r="F95" s="37" t="s">
        <v>678</v>
      </c>
      <c r="G95" s="37" t="s">
        <v>679</v>
      </c>
      <c r="H95" s="37" t="s">
        <v>1084</v>
      </c>
      <c r="I95" s="37" t="s">
        <v>1270</v>
      </c>
      <c r="J95" s="37" t="s">
        <v>1271</v>
      </c>
      <c r="K95" s="37"/>
      <c r="L95" s="37"/>
      <c r="M95" s="38">
        <v>46023</v>
      </c>
      <c r="N95" s="38"/>
      <c r="O95" s="37" t="s">
        <v>1027</v>
      </c>
      <c r="P95" s="37" t="s">
        <v>1028</v>
      </c>
      <c r="Q95" s="37" t="s">
        <v>69</v>
      </c>
      <c r="R95" s="37" t="s">
        <v>1489</v>
      </c>
    </row>
    <row r="96" spans="1:18" ht="88" customHeight="1">
      <c r="A96" s="39" t="s">
        <v>1492</v>
      </c>
      <c r="B96" s="39" t="s">
        <v>1030</v>
      </c>
      <c r="C96" s="39" t="s">
        <v>1493</v>
      </c>
      <c r="D96" s="39" t="s">
        <v>718</v>
      </c>
      <c r="E96" s="39" t="s">
        <v>719</v>
      </c>
      <c r="F96" s="39" t="s">
        <v>719</v>
      </c>
      <c r="G96" s="39" t="s">
        <v>720</v>
      </c>
      <c r="H96" s="39" t="s">
        <v>1084</v>
      </c>
      <c r="I96" s="39" t="s">
        <v>1270</v>
      </c>
      <c r="J96" s="39" t="s">
        <v>1271</v>
      </c>
      <c r="K96" s="39"/>
      <c r="L96" s="39"/>
      <c r="M96" s="40">
        <v>46023</v>
      </c>
      <c r="N96" s="40"/>
      <c r="O96" s="39" t="s">
        <v>1031</v>
      </c>
      <c r="P96" s="39" t="s">
        <v>1032</v>
      </c>
      <c r="Q96" s="39" t="s">
        <v>69</v>
      </c>
      <c r="R96" s="39" t="s">
        <v>1489</v>
      </c>
    </row>
    <row r="97" spans="1:18" ht="88" customHeight="1">
      <c r="A97" s="37" t="s">
        <v>1494</v>
      </c>
      <c r="B97" s="37" t="s">
        <v>1040</v>
      </c>
      <c r="C97" s="37" t="s">
        <v>1495</v>
      </c>
      <c r="D97" s="37" t="s">
        <v>727</v>
      </c>
      <c r="E97" s="37" t="s">
        <v>728</v>
      </c>
      <c r="F97" s="37" t="s">
        <v>728</v>
      </c>
      <c r="G97" s="37" t="s">
        <v>728</v>
      </c>
      <c r="H97" s="37" t="s">
        <v>1084</v>
      </c>
      <c r="I97" s="37" t="s">
        <v>1270</v>
      </c>
      <c r="J97" s="37" t="s">
        <v>1271</v>
      </c>
      <c r="K97" s="37"/>
      <c r="L97" s="37"/>
      <c r="M97" s="38">
        <v>46023</v>
      </c>
      <c r="N97" s="38"/>
      <c r="O97" s="37" t="s">
        <v>1041</v>
      </c>
      <c r="P97" s="37" t="s">
        <v>1042</v>
      </c>
      <c r="Q97" s="37" t="s">
        <v>69</v>
      </c>
      <c r="R97" s="37" t="s">
        <v>1489</v>
      </c>
    </row>
    <row r="98" spans="1:18" ht="88" customHeight="1">
      <c r="A98" s="39" t="s">
        <v>1496</v>
      </c>
      <c r="B98" s="39" t="s">
        <v>1048</v>
      </c>
      <c r="C98" s="39" t="s">
        <v>1497</v>
      </c>
      <c r="D98" s="39" t="s">
        <v>1498</v>
      </c>
      <c r="E98" s="39" t="s">
        <v>1498</v>
      </c>
      <c r="F98" s="39" t="s">
        <v>1498</v>
      </c>
      <c r="G98" s="39" t="s">
        <v>1498</v>
      </c>
      <c r="H98" s="39" t="s">
        <v>1089</v>
      </c>
      <c r="I98" s="39" t="s">
        <v>1495</v>
      </c>
      <c r="J98" s="39" t="s">
        <v>1271</v>
      </c>
      <c r="K98" s="39"/>
      <c r="L98" s="39"/>
      <c r="M98" s="40">
        <v>46023</v>
      </c>
      <c r="N98" s="40"/>
      <c r="O98" s="39" t="s">
        <v>1049</v>
      </c>
      <c r="P98" s="39" t="s">
        <v>1050</v>
      </c>
      <c r="Q98" s="39" t="s">
        <v>69</v>
      </c>
      <c r="R98" s="39" t="s">
        <v>1499</v>
      </c>
    </row>
    <row r="99" spans="1:18" ht="88" customHeight="1">
      <c r="A99" s="37" t="s">
        <v>1500</v>
      </c>
      <c r="B99" s="37" t="s">
        <v>1051</v>
      </c>
      <c r="C99" s="37" t="s">
        <v>1495</v>
      </c>
      <c r="D99" s="37" t="s">
        <v>727</v>
      </c>
      <c r="E99" s="37" t="s">
        <v>728</v>
      </c>
      <c r="F99" s="37" t="s">
        <v>728</v>
      </c>
      <c r="G99" s="37" t="s">
        <v>728</v>
      </c>
      <c r="H99" s="37" t="s">
        <v>1084</v>
      </c>
      <c r="I99" s="37" t="s">
        <v>1270</v>
      </c>
      <c r="J99" s="37" t="s">
        <v>1271</v>
      </c>
      <c r="K99" s="37"/>
      <c r="L99" s="37"/>
      <c r="M99" s="38">
        <v>46023</v>
      </c>
      <c r="N99" s="38"/>
      <c r="O99" s="37" t="s">
        <v>1052</v>
      </c>
      <c r="P99" s="37" t="s">
        <v>1251</v>
      </c>
      <c r="Q99" s="37" t="s">
        <v>69</v>
      </c>
      <c r="R99" s="37" t="s">
        <v>1489</v>
      </c>
    </row>
    <row r="100" spans="1:18" ht="88" customHeight="1">
      <c r="A100" s="39" t="s">
        <v>1501</v>
      </c>
      <c r="B100" s="39" t="s">
        <v>1065</v>
      </c>
      <c r="C100" s="39" t="s">
        <v>1502</v>
      </c>
      <c r="D100" s="39" t="s">
        <v>735</v>
      </c>
      <c r="E100" s="39" t="s">
        <v>735</v>
      </c>
      <c r="F100" s="39" t="s">
        <v>736</v>
      </c>
      <c r="G100" s="39" t="s">
        <v>736</v>
      </c>
      <c r="H100" s="39" t="s">
        <v>1084</v>
      </c>
      <c r="I100" s="39" t="s">
        <v>1270</v>
      </c>
      <c r="J100" s="39" t="s">
        <v>1271</v>
      </c>
      <c r="K100" s="39"/>
      <c r="L100" s="39"/>
      <c r="M100" s="40">
        <v>46023</v>
      </c>
      <c r="N100" s="40"/>
      <c r="O100" s="39" t="s">
        <v>1066</v>
      </c>
      <c r="P100" s="39" t="s">
        <v>1067</v>
      </c>
      <c r="Q100" s="39" t="s">
        <v>69</v>
      </c>
      <c r="R100" s="39" t="s">
        <v>1489</v>
      </c>
    </row>
    <row r="101" spans="1:18" ht="88" customHeight="1">
      <c r="A101" s="37" t="s">
        <v>1503</v>
      </c>
      <c r="B101" s="37" t="s">
        <v>1073</v>
      </c>
      <c r="C101" s="37" t="s">
        <v>1502</v>
      </c>
      <c r="D101" s="37" t="s">
        <v>735</v>
      </c>
      <c r="E101" s="37" t="s">
        <v>735</v>
      </c>
      <c r="F101" s="37" t="s">
        <v>736</v>
      </c>
      <c r="G101" s="37" t="s">
        <v>736</v>
      </c>
      <c r="H101" s="37" t="s">
        <v>1084</v>
      </c>
      <c r="I101" s="37" t="s">
        <v>1270</v>
      </c>
      <c r="J101" s="37" t="s">
        <v>1271</v>
      </c>
      <c r="K101" s="37"/>
      <c r="L101" s="37"/>
      <c r="M101" s="38">
        <v>46023</v>
      </c>
      <c r="N101" s="38"/>
      <c r="O101" s="37" t="s">
        <v>1066</v>
      </c>
      <c r="P101" s="37" t="s">
        <v>1074</v>
      </c>
      <c r="Q101" s="37" t="s">
        <v>69</v>
      </c>
      <c r="R101" s="37" t="s">
        <v>1489</v>
      </c>
    </row>
    <row r="104" spans="1:18">
      <c r="A104" s="32" t="s">
        <v>1504</v>
      </c>
    </row>
    <row r="105" spans="1:18">
      <c r="A105" s="32" t="s">
        <v>1505</v>
      </c>
    </row>
    <row r="106" spans="1:18">
      <c r="A106" s="32" t="s">
        <v>1506</v>
      </c>
    </row>
    <row r="107" spans="1:18">
      <c r="A107" s="32" t="s">
        <v>1507</v>
      </c>
    </row>
    <row r="108" spans="1:18">
      <c r="A108" s="32" t="s">
        <v>1508</v>
      </c>
    </row>
  </sheetData>
  <sheetProtection sheet="1" objects="1" scenarios="1" sort="0" autoFilter="0"/>
  <conditionalFormatting sqref="E7:E101">
    <cfRule type="containsBlanks" dxfId="10" priority="1"/>
  </conditionalFormatting>
  <conditionalFormatting sqref="F7:F101">
    <cfRule type="containsBlanks" dxfId="9" priority="2"/>
  </conditionalFormatting>
  <conditionalFormatting sqref="G7:G101">
    <cfRule type="containsBlanks" dxfId="8" priority="3"/>
  </conditionalFormatting>
  <conditionalFormatting sqref="K7:K101">
    <cfRule type="containsBlanks" dxfId="7" priority="4"/>
  </conditionalFormatting>
  <conditionalFormatting sqref="L7:L101">
    <cfRule type="containsBlanks" dxfId="6" priority="5"/>
  </conditionalFormatting>
  <conditionalFormatting sqref="Q7:Q101">
    <cfRule type="containsText" dxfId="5" priority="6" operator="containsText" text="open"/>
    <cfRule type="containsText" dxfId="4" priority="7" operator="containsText" text="blocked"/>
  </conditionalFormatting>
  <dataValidations count="3">
    <dataValidation type="list" sqref="H7:H101" xr:uid="{00000000-0002-0000-0500-000000000000}">
      <formula1>"Bund,Kanton,Bezirk,Gemeinde,Ortsteil,Gebietsgruppe"</formula1>
    </dataValidation>
    <dataValidation type="list" sqref="J7:J101" xr:uid="{00000000-0002-0000-0500-000001000000}">
      <formula1>"include,exclude"</formula1>
    </dataValidation>
    <dataValidation type="list" sqref="Q7:Q101" xr:uid="{00000000-0002-0000-0500-000002000000}">
      <formula1>"open,blocked"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0"/>
  <sheetViews>
    <sheetView showGridLines="0" workbookViewId="0">
      <pane xSplit="1" ySplit="6" topLeftCell="B7" activePane="bottomRight" state="frozen"/>
      <selection pane="topRight"/>
      <selection pane="bottomLeft"/>
      <selection pane="bottomRight" activeCell="B7" sqref="B7"/>
    </sheetView>
  </sheetViews>
  <sheetFormatPr baseColWidth="10" defaultColWidth="8.83203125" defaultRowHeight="14"/>
  <cols>
    <col min="1" max="1" width="42" customWidth="1"/>
    <col min="2" max="2" width="16" customWidth="1"/>
    <col min="3" max="3" width="66" customWidth="1"/>
    <col min="4" max="4" width="39" customWidth="1"/>
    <col min="5" max="5" width="28" customWidth="1"/>
    <col min="6" max="7" width="17" customWidth="1"/>
    <col min="8" max="8" width="59" customWidth="1"/>
    <col min="9" max="9" width="16" customWidth="1"/>
    <col min="10" max="10" width="41" customWidth="1"/>
    <col min="11" max="11" width="90" customWidth="1"/>
  </cols>
  <sheetData>
    <row r="1" spans="1:11" ht="24" customHeight="1">
      <c r="A1" s="2"/>
      <c r="B1" s="2"/>
      <c r="C1" s="2"/>
      <c r="D1" s="2"/>
      <c r="E1" s="2"/>
      <c r="F1" s="2"/>
      <c r="G1" s="2"/>
      <c r="H1" s="2"/>
      <c r="I1" s="2"/>
      <c r="J1" s="2"/>
      <c r="K1" s="2"/>
    </row>
    <row r="2" spans="1:11" ht="24" customHeight="1">
      <c r="A2" s="3" t="s">
        <v>1509</v>
      </c>
      <c r="B2" s="2"/>
      <c r="C2" s="2"/>
      <c r="D2" s="2"/>
      <c r="E2" s="2"/>
      <c r="F2" s="2"/>
      <c r="G2" s="2"/>
      <c r="H2" s="2"/>
      <c r="I2" s="2"/>
      <c r="J2" s="2"/>
      <c r="K2" s="2"/>
    </row>
    <row r="3" spans="1:11" ht="24" customHeight="1">
      <c r="A3" s="4"/>
      <c r="B3" s="4"/>
      <c r="C3" s="4"/>
      <c r="D3" s="4"/>
      <c r="E3" s="4"/>
      <c r="F3" s="4"/>
      <c r="G3" s="4"/>
      <c r="H3" s="4"/>
      <c r="I3" s="4"/>
      <c r="J3" s="4"/>
      <c r="K3" s="4"/>
    </row>
    <row r="4" spans="1:11" ht="24" customHeight="1">
      <c r="A4" s="8" t="s">
        <v>1510</v>
      </c>
      <c r="B4" s="2"/>
      <c r="C4" s="2"/>
      <c r="D4" s="2"/>
      <c r="E4" s="2"/>
      <c r="F4" s="2"/>
      <c r="G4" s="2"/>
      <c r="H4" s="2"/>
      <c r="I4" s="2"/>
      <c r="J4" s="2"/>
      <c r="K4" s="2"/>
    </row>
    <row r="5" spans="1:11" ht="24" customHeight="1">
      <c r="A5" s="2"/>
      <c r="B5" s="2"/>
      <c r="C5" s="2"/>
      <c r="D5" s="2"/>
      <c r="E5" s="2"/>
      <c r="F5" s="2"/>
      <c r="G5" s="2"/>
      <c r="H5" s="2"/>
      <c r="I5" s="2"/>
      <c r="J5" s="2"/>
      <c r="K5" s="2"/>
    </row>
    <row r="6" spans="1:11" ht="42" customHeight="1">
      <c r="A6" s="9" t="s">
        <v>45</v>
      </c>
      <c r="B6" s="9" t="s">
        <v>19</v>
      </c>
      <c r="C6" s="9" t="s">
        <v>1511</v>
      </c>
      <c r="D6" s="9" t="s">
        <v>46</v>
      </c>
      <c r="E6" s="9" t="s">
        <v>1512</v>
      </c>
      <c r="F6" s="9" t="s">
        <v>1513</v>
      </c>
      <c r="G6" s="9" t="s">
        <v>1514</v>
      </c>
      <c r="H6" s="9" t="s">
        <v>1268</v>
      </c>
      <c r="I6" s="9" t="s">
        <v>43</v>
      </c>
      <c r="J6" s="9" t="s">
        <v>1515</v>
      </c>
      <c r="K6" s="9" t="s">
        <v>1516</v>
      </c>
    </row>
    <row r="7" spans="1:11" ht="38" customHeight="1">
      <c r="A7" s="10" t="s">
        <v>766</v>
      </c>
      <c r="B7" s="10" t="s">
        <v>49</v>
      </c>
      <c r="C7" s="10" t="s">
        <v>1517</v>
      </c>
      <c r="D7" s="10" t="s">
        <v>1518</v>
      </c>
      <c r="E7" s="18" t="s">
        <v>1519</v>
      </c>
      <c r="F7" s="14">
        <v>34516</v>
      </c>
      <c r="G7" s="14">
        <v>46278</v>
      </c>
      <c r="H7" s="10" t="s">
        <v>1520</v>
      </c>
      <c r="I7" s="10" t="s">
        <v>618</v>
      </c>
      <c r="J7" s="10" t="s">
        <v>763</v>
      </c>
      <c r="K7" s="10" t="s">
        <v>619</v>
      </c>
    </row>
    <row r="8" spans="1:11" ht="38" customHeight="1">
      <c r="A8" s="11" t="s">
        <v>773</v>
      </c>
      <c r="B8" s="11" t="s">
        <v>53</v>
      </c>
      <c r="C8" s="11" t="s">
        <v>1521</v>
      </c>
      <c r="D8" s="11" t="s">
        <v>1522</v>
      </c>
      <c r="E8" s="19" t="s">
        <v>1519</v>
      </c>
      <c r="F8" s="15">
        <v>44287</v>
      </c>
      <c r="G8" s="15">
        <v>46278</v>
      </c>
      <c r="H8" s="11" t="s">
        <v>1520</v>
      </c>
      <c r="I8" s="11" t="s">
        <v>618</v>
      </c>
      <c r="J8" s="11" t="s">
        <v>763</v>
      </c>
      <c r="K8" s="11" t="s">
        <v>628</v>
      </c>
    </row>
    <row r="9" spans="1:11" ht="38" customHeight="1">
      <c r="A9" s="10" t="s">
        <v>814</v>
      </c>
      <c r="B9" s="24" t="s">
        <v>67</v>
      </c>
      <c r="C9" s="24" t="s">
        <v>1523</v>
      </c>
      <c r="D9" s="24" t="s">
        <v>1524</v>
      </c>
      <c r="E9" s="18" t="s">
        <v>1519</v>
      </c>
      <c r="F9" s="29">
        <v>45901</v>
      </c>
      <c r="G9" s="29">
        <v>46278</v>
      </c>
      <c r="H9" s="24" t="s">
        <v>1525</v>
      </c>
      <c r="I9" s="24" t="s">
        <v>69</v>
      </c>
      <c r="J9" s="24"/>
      <c r="K9" s="10" t="s">
        <v>710</v>
      </c>
    </row>
    <row r="10" spans="1:11" ht="38" customHeight="1">
      <c r="A10" s="11" t="s">
        <v>825</v>
      </c>
      <c r="B10" s="26" t="s">
        <v>67</v>
      </c>
      <c r="C10" s="26" t="s">
        <v>1526</v>
      </c>
      <c r="D10" s="26" t="s">
        <v>1527</v>
      </c>
      <c r="E10" s="19" t="s">
        <v>1519</v>
      </c>
      <c r="F10" s="31">
        <v>44562</v>
      </c>
      <c r="G10" s="31">
        <v>46278</v>
      </c>
      <c r="H10" s="26" t="s">
        <v>1528</v>
      </c>
      <c r="I10" s="26" t="s">
        <v>69</v>
      </c>
      <c r="J10" s="26"/>
      <c r="K10" s="11" t="s">
        <v>1529</v>
      </c>
    </row>
    <row r="11" spans="1:11" ht="38" customHeight="1">
      <c r="A11" s="10" t="s">
        <v>1530</v>
      </c>
      <c r="B11" s="24" t="s">
        <v>49</v>
      </c>
      <c r="C11" s="24" t="s">
        <v>1531</v>
      </c>
      <c r="D11" s="24" t="s">
        <v>1532</v>
      </c>
      <c r="E11" s="18" t="s">
        <v>1519</v>
      </c>
      <c r="F11" s="29">
        <v>41260</v>
      </c>
      <c r="G11" s="29">
        <v>46278</v>
      </c>
      <c r="H11" s="24" t="s">
        <v>1533</v>
      </c>
      <c r="I11" s="24" t="s">
        <v>69</v>
      </c>
      <c r="J11" s="24"/>
      <c r="K11" s="10" t="s">
        <v>1534</v>
      </c>
    </row>
    <row r="12" spans="1:11" ht="68" customHeight="1">
      <c r="A12" s="11" t="s">
        <v>1535</v>
      </c>
      <c r="B12" s="26" t="s">
        <v>67</v>
      </c>
      <c r="C12" s="26" t="s">
        <v>1536</v>
      </c>
      <c r="D12" s="26" t="s">
        <v>1537</v>
      </c>
      <c r="E12" s="19" t="s">
        <v>1519</v>
      </c>
      <c r="F12" s="31"/>
      <c r="G12" s="31">
        <v>46278</v>
      </c>
      <c r="H12" s="26" t="s">
        <v>1538</v>
      </c>
      <c r="I12" s="26" t="s">
        <v>69</v>
      </c>
      <c r="J12" s="26"/>
      <c r="K12" s="11" t="s">
        <v>1539</v>
      </c>
    </row>
    <row r="13" spans="1:11" ht="82" customHeight="1">
      <c r="A13" s="10" t="s">
        <v>851</v>
      </c>
      <c r="B13" s="24" t="s">
        <v>157</v>
      </c>
      <c r="C13" s="24" t="s">
        <v>1540</v>
      </c>
      <c r="D13" s="24" t="s">
        <v>1541</v>
      </c>
      <c r="E13" s="18" t="s">
        <v>1519</v>
      </c>
      <c r="F13" s="29"/>
      <c r="G13" s="29">
        <v>46278</v>
      </c>
      <c r="H13" s="24" t="s">
        <v>1542</v>
      </c>
      <c r="I13" s="24" t="s">
        <v>69</v>
      </c>
      <c r="J13" s="24"/>
      <c r="K13" s="10" t="s">
        <v>717</v>
      </c>
    </row>
    <row r="14" spans="1:11" ht="82" customHeight="1">
      <c r="A14" s="11" t="s">
        <v>1543</v>
      </c>
      <c r="B14" s="26" t="s">
        <v>157</v>
      </c>
      <c r="C14" s="26" t="s">
        <v>1544</v>
      </c>
      <c r="D14" s="26" t="s">
        <v>1545</v>
      </c>
      <c r="E14" s="19" t="s">
        <v>1519</v>
      </c>
      <c r="F14" s="31"/>
      <c r="G14" s="31">
        <v>46278</v>
      </c>
      <c r="H14" s="26" t="s">
        <v>1546</v>
      </c>
      <c r="I14" s="26" t="s">
        <v>69</v>
      </c>
      <c r="J14" s="26"/>
      <c r="K14" s="11" t="s">
        <v>1547</v>
      </c>
    </row>
    <row r="15" spans="1:11" ht="82" customHeight="1">
      <c r="A15" s="10" t="s">
        <v>1548</v>
      </c>
      <c r="B15" s="24" t="s">
        <v>157</v>
      </c>
      <c r="C15" s="24" t="s">
        <v>1549</v>
      </c>
      <c r="D15" s="24" t="s">
        <v>1550</v>
      </c>
      <c r="E15" s="18" t="s">
        <v>1519</v>
      </c>
      <c r="F15" s="29">
        <v>45809</v>
      </c>
      <c r="G15" s="29">
        <v>46278</v>
      </c>
      <c r="H15" s="24" t="s">
        <v>1551</v>
      </c>
      <c r="I15" s="24" t="s">
        <v>69</v>
      </c>
      <c r="J15" s="24"/>
      <c r="K15" s="10" t="s">
        <v>1552</v>
      </c>
    </row>
    <row r="16" spans="1:11" ht="82" customHeight="1">
      <c r="A16" s="11" t="s">
        <v>888</v>
      </c>
      <c r="B16" s="26" t="s">
        <v>176</v>
      </c>
      <c r="C16" s="26" t="s">
        <v>1553</v>
      </c>
      <c r="D16" s="26" t="s">
        <v>1554</v>
      </c>
      <c r="E16" s="19" t="s">
        <v>1519</v>
      </c>
      <c r="F16" s="31">
        <v>42370</v>
      </c>
      <c r="G16" s="31">
        <v>46278</v>
      </c>
      <c r="H16" s="26" t="s">
        <v>1555</v>
      </c>
      <c r="I16" s="26" t="s">
        <v>69</v>
      </c>
      <c r="J16" s="26"/>
      <c r="K16" s="11" t="s">
        <v>706</v>
      </c>
    </row>
    <row r="17" spans="1:11" ht="82" customHeight="1">
      <c r="A17" s="10" t="s">
        <v>1556</v>
      </c>
      <c r="B17" s="24" t="s">
        <v>176</v>
      </c>
      <c r="C17" s="24" t="s">
        <v>1557</v>
      </c>
      <c r="D17" s="24" t="s">
        <v>1558</v>
      </c>
      <c r="E17" s="18" t="s">
        <v>1519</v>
      </c>
      <c r="F17" s="29">
        <v>45658</v>
      </c>
      <c r="G17" s="29">
        <v>46278</v>
      </c>
      <c r="H17" s="24" t="s">
        <v>1559</v>
      </c>
      <c r="I17" s="24" t="s">
        <v>69</v>
      </c>
      <c r="J17" s="24"/>
      <c r="K17" s="10" t="s">
        <v>1560</v>
      </c>
    </row>
    <row r="18" spans="1:11" ht="82" customHeight="1">
      <c r="A18" s="11" t="s">
        <v>1561</v>
      </c>
      <c r="B18" s="26" t="s">
        <v>176</v>
      </c>
      <c r="C18" s="26" t="s">
        <v>1562</v>
      </c>
      <c r="D18" s="26" t="s">
        <v>1563</v>
      </c>
      <c r="E18" s="19" t="s">
        <v>1519</v>
      </c>
      <c r="F18" s="31">
        <v>42370</v>
      </c>
      <c r="G18" s="31">
        <v>46278</v>
      </c>
      <c r="H18" s="26" t="s">
        <v>1564</v>
      </c>
      <c r="I18" s="26" t="s">
        <v>69</v>
      </c>
      <c r="J18" s="26"/>
      <c r="K18" s="11" t="s">
        <v>1565</v>
      </c>
    </row>
    <row r="19" spans="1:11" ht="82" customHeight="1">
      <c r="A19" s="10" t="s">
        <v>1566</v>
      </c>
      <c r="B19" s="24" t="s">
        <v>176</v>
      </c>
      <c r="C19" s="24" t="s">
        <v>1567</v>
      </c>
      <c r="D19" s="24" t="s">
        <v>1568</v>
      </c>
      <c r="E19" s="18" t="s">
        <v>1519</v>
      </c>
      <c r="F19" s="29">
        <v>42370</v>
      </c>
      <c r="G19" s="29">
        <v>46278</v>
      </c>
      <c r="H19" s="24" t="s">
        <v>1569</v>
      </c>
      <c r="I19" s="24" t="s">
        <v>69</v>
      </c>
      <c r="J19" s="24"/>
      <c r="K19" s="10" t="s">
        <v>1570</v>
      </c>
    </row>
    <row r="20" spans="1:11" ht="82" customHeight="1">
      <c r="A20" s="11" t="s">
        <v>1571</v>
      </c>
      <c r="B20" s="26" t="s">
        <v>176</v>
      </c>
      <c r="C20" s="26" t="s">
        <v>1572</v>
      </c>
      <c r="D20" s="26" t="s">
        <v>1573</v>
      </c>
      <c r="E20" s="19" t="s">
        <v>1519</v>
      </c>
      <c r="F20" s="31">
        <v>45658</v>
      </c>
      <c r="G20" s="31">
        <v>46278</v>
      </c>
      <c r="H20" s="26" t="s">
        <v>1574</v>
      </c>
      <c r="I20" s="26" t="s">
        <v>69</v>
      </c>
      <c r="J20" s="26"/>
      <c r="K20" s="11" t="s">
        <v>1575</v>
      </c>
    </row>
    <row r="21" spans="1:11" ht="82" customHeight="1">
      <c r="A21" s="10" t="s">
        <v>1576</v>
      </c>
      <c r="B21" s="24" t="s">
        <v>157</v>
      </c>
      <c r="C21" s="24" t="s">
        <v>1577</v>
      </c>
      <c r="D21" s="24" t="s">
        <v>1578</v>
      </c>
      <c r="E21" s="18" t="s">
        <v>1519</v>
      </c>
      <c r="F21" s="29"/>
      <c r="G21" s="29">
        <v>46278</v>
      </c>
      <c r="H21" s="24" t="s">
        <v>1579</v>
      </c>
      <c r="I21" s="24" t="s">
        <v>69</v>
      </c>
      <c r="J21" s="24"/>
      <c r="K21" s="10" t="s">
        <v>1580</v>
      </c>
    </row>
    <row r="22" spans="1:11" ht="82" customHeight="1">
      <c r="A22" s="11" t="s">
        <v>1581</v>
      </c>
      <c r="B22" s="26" t="s">
        <v>49</v>
      </c>
      <c r="C22" s="26" t="s">
        <v>1582</v>
      </c>
      <c r="D22" s="26" t="s">
        <v>1583</v>
      </c>
      <c r="E22" s="19" t="s">
        <v>1519</v>
      </c>
      <c r="F22" s="31"/>
      <c r="G22" s="31">
        <v>46278</v>
      </c>
      <c r="H22" s="26" t="s">
        <v>1584</v>
      </c>
      <c r="I22" s="26" t="s">
        <v>69</v>
      </c>
      <c r="J22" s="26"/>
      <c r="K22" s="11" t="s">
        <v>1585</v>
      </c>
    </row>
    <row r="23" spans="1:11" ht="82" customHeight="1">
      <c r="A23" s="10" t="s">
        <v>1586</v>
      </c>
      <c r="B23" s="24" t="s">
        <v>157</v>
      </c>
      <c r="C23" s="24" t="s">
        <v>1587</v>
      </c>
      <c r="D23" s="24" t="s">
        <v>1588</v>
      </c>
      <c r="E23" s="18" t="s">
        <v>1519</v>
      </c>
      <c r="F23" s="29"/>
      <c r="G23" s="29">
        <v>46278</v>
      </c>
      <c r="H23" s="24" t="s">
        <v>1589</v>
      </c>
      <c r="I23" s="24" t="s">
        <v>69</v>
      </c>
      <c r="J23" s="24"/>
      <c r="K23" s="10" t="s">
        <v>1590</v>
      </c>
    </row>
    <row r="24" spans="1:11" ht="88" customHeight="1">
      <c r="A24" s="11" t="s">
        <v>1591</v>
      </c>
      <c r="B24" s="26" t="s">
        <v>190</v>
      </c>
      <c r="C24" s="26" t="s">
        <v>1592</v>
      </c>
      <c r="D24" s="26" t="s">
        <v>1593</v>
      </c>
      <c r="E24" s="19" t="s">
        <v>1519</v>
      </c>
      <c r="F24" s="31">
        <v>41334</v>
      </c>
      <c r="G24" s="31">
        <v>46278</v>
      </c>
      <c r="H24" s="26" t="s">
        <v>1594</v>
      </c>
      <c r="I24" s="26" t="s">
        <v>69</v>
      </c>
      <c r="J24" s="26"/>
      <c r="K24" s="11" t="s">
        <v>726</v>
      </c>
    </row>
    <row r="25" spans="1:11" ht="88" customHeight="1">
      <c r="A25" s="10" t="s">
        <v>904</v>
      </c>
      <c r="B25" s="24" t="s">
        <v>190</v>
      </c>
      <c r="C25" s="24" t="s">
        <v>1595</v>
      </c>
      <c r="D25" s="24" t="s">
        <v>1596</v>
      </c>
      <c r="E25" s="18" t="s">
        <v>1519</v>
      </c>
      <c r="F25" s="29">
        <v>24443</v>
      </c>
      <c r="G25" s="29">
        <v>46278</v>
      </c>
      <c r="H25" s="24" t="s">
        <v>1597</v>
      </c>
      <c r="I25" s="24" t="s">
        <v>69</v>
      </c>
      <c r="J25" s="24"/>
      <c r="K25" s="10" t="s">
        <v>1598</v>
      </c>
    </row>
    <row r="26" spans="1:11" ht="88" customHeight="1">
      <c r="A26" s="11" t="s">
        <v>1599</v>
      </c>
      <c r="B26" s="26" t="s">
        <v>190</v>
      </c>
      <c r="C26" s="26" t="s">
        <v>1600</v>
      </c>
      <c r="D26" s="26" t="s">
        <v>1601</v>
      </c>
      <c r="E26" s="19" t="s">
        <v>1519</v>
      </c>
      <c r="F26" s="31">
        <v>42644</v>
      </c>
      <c r="G26" s="31">
        <v>46278</v>
      </c>
      <c r="H26" s="26" t="s">
        <v>1602</v>
      </c>
      <c r="I26" s="26" t="s">
        <v>69</v>
      </c>
      <c r="J26" s="26"/>
      <c r="K26" s="11" t="s">
        <v>1603</v>
      </c>
    </row>
    <row r="27" spans="1:11" ht="88" customHeight="1">
      <c r="A27" s="10" t="s">
        <v>908</v>
      </c>
      <c r="B27" s="24" t="s">
        <v>190</v>
      </c>
      <c r="C27" s="24" t="s">
        <v>1604</v>
      </c>
      <c r="D27" s="24" t="s">
        <v>1605</v>
      </c>
      <c r="E27" s="18" t="s">
        <v>1519</v>
      </c>
      <c r="F27" s="29">
        <v>45292</v>
      </c>
      <c r="G27" s="29">
        <v>46278</v>
      </c>
      <c r="H27" s="24" t="s">
        <v>1606</v>
      </c>
      <c r="I27" s="24" t="s">
        <v>69</v>
      </c>
      <c r="J27" s="24"/>
      <c r="K27" s="10" t="s">
        <v>1607</v>
      </c>
    </row>
    <row r="28" spans="1:11" ht="88" customHeight="1">
      <c r="A28" s="11" t="s">
        <v>1608</v>
      </c>
      <c r="B28" s="26" t="s">
        <v>190</v>
      </c>
      <c r="C28" s="26" t="s">
        <v>1609</v>
      </c>
      <c r="D28" s="26" t="s">
        <v>1610</v>
      </c>
      <c r="E28" s="19" t="s">
        <v>1519</v>
      </c>
      <c r="F28" s="31">
        <v>46143</v>
      </c>
      <c r="G28" s="31">
        <v>46278</v>
      </c>
      <c r="H28" s="26" t="s">
        <v>1611</v>
      </c>
      <c r="I28" s="26" t="s">
        <v>69</v>
      </c>
      <c r="J28" s="26"/>
      <c r="K28" s="11" t="s">
        <v>1612</v>
      </c>
    </row>
    <row r="29" spans="1:11" ht="88" customHeight="1">
      <c r="A29" s="10" t="s">
        <v>937</v>
      </c>
      <c r="B29" s="24" t="s">
        <v>269</v>
      </c>
      <c r="C29" s="24" t="s">
        <v>1613</v>
      </c>
      <c r="D29" s="24" t="s">
        <v>1614</v>
      </c>
      <c r="E29" s="18" t="s">
        <v>1519</v>
      </c>
      <c r="F29" s="29">
        <v>33239</v>
      </c>
      <c r="G29" s="29">
        <v>46278</v>
      </c>
      <c r="H29" s="24" t="s">
        <v>1615</v>
      </c>
      <c r="I29" s="24" t="s">
        <v>69</v>
      </c>
      <c r="J29" s="24"/>
      <c r="K29" s="10" t="s">
        <v>734</v>
      </c>
    </row>
    <row r="30" spans="1:11" ht="88" customHeight="1">
      <c r="A30" s="11" t="s">
        <v>1616</v>
      </c>
      <c r="B30" s="26" t="s">
        <v>269</v>
      </c>
      <c r="C30" s="26" t="s">
        <v>1617</v>
      </c>
      <c r="D30" s="26" t="s">
        <v>1618</v>
      </c>
      <c r="E30" s="19" t="s">
        <v>1519</v>
      </c>
      <c r="F30" s="31">
        <v>46141</v>
      </c>
      <c r="G30" s="31">
        <v>46278</v>
      </c>
      <c r="H30" s="26" t="s">
        <v>1619</v>
      </c>
      <c r="I30" s="26" t="s">
        <v>69</v>
      </c>
      <c r="J30" s="26"/>
      <c r="K30" s="11" t="s">
        <v>1620</v>
      </c>
    </row>
    <row r="31" spans="1:11" ht="88" customHeight="1">
      <c r="A31" s="10" t="s">
        <v>1621</v>
      </c>
      <c r="B31" s="24" t="s">
        <v>49</v>
      </c>
      <c r="C31" s="24" t="s">
        <v>1622</v>
      </c>
      <c r="D31" s="24" t="s">
        <v>1623</v>
      </c>
      <c r="E31" s="18" t="s">
        <v>1519</v>
      </c>
      <c r="F31" s="29">
        <v>45175</v>
      </c>
      <c r="G31" s="29">
        <v>46278</v>
      </c>
      <c r="H31" s="24" t="s">
        <v>1624</v>
      </c>
      <c r="I31" s="24" t="s">
        <v>69</v>
      </c>
      <c r="J31" s="24"/>
      <c r="K31" s="10" t="s">
        <v>1625</v>
      </c>
    </row>
    <row r="32" spans="1:11" ht="88" customHeight="1">
      <c r="A32" s="11" t="s">
        <v>1626</v>
      </c>
      <c r="B32" s="26" t="s">
        <v>49</v>
      </c>
      <c r="C32" s="26" t="s">
        <v>1627</v>
      </c>
      <c r="D32" s="26" t="s">
        <v>1628</v>
      </c>
      <c r="E32" s="19" t="s">
        <v>1519</v>
      </c>
      <c r="F32" s="31">
        <v>45299</v>
      </c>
      <c r="G32" s="31">
        <v>46278</v>
      </c>
      <c r="H32" s="26" t="s">
        <v>1629</v>
      </c>
      <c r="I32" s="26" t="s">
        <v>69</v>
      </c>
      <c r="J32" s="26"/>
      <c r="K32" s="11" t="s">
        <v>1630</v>
      </c>
    </row>
    <row r="33" spans="1:11" ht="88" customHeight="1">
      <c r="A33" s="10" t="s">
        <v>1631</v>
      </c>
      <c r="B33" s="24" t="s">
        <v>176</v>
      </c>
      <c r="C33" s="24" t="s">
        <v>1632</v>
      </c>
      <c r="D33" s="24" t="s">
        <v>1633</v>
      </c>
      <c r="E33" s="18" t="s">
        <v>1519</v>
      </c>
      <c r="F33" s="29"/>
      <c r="G33" s="29">
        <v>46278</v>
      </c>
      <c r="H33" s="24" t="s">
        <v>1634</v>
      </c>
      <c r="I33" s="24" t="s">
        <v>69</v>
      </c>
      <c r="J33" s="24"/>
      <c r="K33" s="10" t="s">
        <v>1635</v>
      </c>
    </row>
    <row r="34" spans="1:11" ht="88" customHeight="1">
      <c r="A34" s="11" t="s">
        <v>913</v>
      </c>
      <c r="B34" s="26" t="s">
        <v>207</v>
      </c>
      <c r="C34" s="26" t="s">
        <v>1636</v>
      </c>
      <c r="D34" s="26" t="s">
        <v>1637</v>
      </c>
      <c r="E34" s="19" t="s">
        <v>1519</v>
      </c>
      <c r="F34" s="31">
        <v>43831</v>
      </c>
      <c r="G34" s="31">
        <v>46278</v>
      </c>
      <c r="H34" s="26" t="s">
        <v>1638</v>
      </c>
      <c r="I34" s="26" t="s">
        <v>69</v>
      </c>
      <c r="J34" s="26"/>
      <c r="K34" s="11" t="s">
        <v>665</v>
      </c>
    </row>
    <row r="35" spans="1:11" ht="88" customHeight="1">
      <c r="A35" s="10" t="s">
        <v>1639</v>
      </c>
      <c r="B35" s="24" t="s">
        <v>207</v>
      </c>
      <c r="C35" s="24" t="s">
        <v>1640</v>
      </c>
      <c r="D35" s="24" t="s">
        <v>1641</v>
      </c>
      <c r="E35" s="18" t="s">
        <v>1519</v>
      </c>
      <c r="F35" s="29">
        <v>43831</v>
      </c>
      <c r="G35" s="29">
        <v>46278</v>
      </c>
      <c r="H35" s="24" t="s">
        <v>1642</v>
      </c>
      <c r="I35" s="24" t="s">
        <v>69</v>
      </c>
      <c r="J35" s="24"/>
      <c r="K35" s="10" t="s">
        <v>1643</v>
      </c>
    </row>
    <row r="36" spans="1:11" ht="88" customHeight="1">
      <c r="A36" s="11" t="s">
        <v>924</v>
      </c>
      <c r="B36" s="26" t="s">
        <v>207</v>
      </c>
      <c r="C36" s="26" t="s">
        <v>1644</v>
      </c>
      <c r="D36" s="26" t="s">
        <v>1645</v>
      </c>
      <c r="E36" s="19" t="s">
        <v>1519</v>
      </c>
      <c r="F36" s="31">
        <v>45292</v>
      </c>
      <c r="G36" s="31">
        <v>46278</v>
      </c>
      <c r="H36" s="26" t="s">
        <v>1646</v>
      </c>
      <c r="I36" s="26" t="s">
        <v>69</v>
      </c>
      <c r="J36" s="26"/>
      <c r="K36" s="11" t="s">
        <v>1647</v>
      </c>
    </row>
    <row r="37" spans="1:11" ht="88" customHeight="1">
      <c r="A37" s="10" t="s">
        <v>1648</v>
      </c>
      <c r="B37" s="24" t="s">
        <v>207</v>
      </c>
      <c r="C37" s="24" t="s">
        <v>1649</v>
      </c>
      <c r="D37" s="24" t="s">
        <v>1650</v>
      </c>
      <c r="E37" s="18" t="s">
        <v>1519</v>
      </c>
      <c r="F37" s="29">
        <v>45292</v>
      </c>
      <c r="G37" s="29">
        <v>46278</v>
      </c>
      <c r="H37" s="24" t="s">
        <v>1651</v>
      </c>
      <c r="I37" s="24" t="s">
        <v>69</v>
      </c>
      <c r="J37" s="24"/>
      <c r="K37" s="10" t="s">
        <v>1652</v>
      </c>
    </row>
    <row r="38" spans="1:11" ht="88" customHeight="1">
      <c r="A38" s="11" t="s">
        <v>1373</v>
      </c>
      <c r="B38" s="26" t="s">
        <v>207</v>
      </c>
      <c r="C38" s="26" t="s">
        <v>1653</v>
      </c>
      <c r="D38" s="26" t="s">
        <v>1374</v>
      </c>
      <c r="E38" s="19" t="s">
        <v>1519</v>
      </c>
      <c r="F38" s="31"/>
      <c r="G38" s="31">
        <v>46278</v>
      </c>
      <c r="H38" s="26" t="s">
        <v>1654</v>
      </c>
      <c r="I38" s="26" t="s">
        <v>69</v>
      </c>
      <c r="J38" s="26"/>
      <c r="K38" s="11" t="s">
        <v>1655</v>
      </c>
    </row>
    <row r="39" spans="1:11" ht="88" customHeight="1">
      <c r="A39" s="10" t="s">
        <v>927</v>
      </c>
      <c r="B39" s="24" t="s">
        <v>244</v>
      </c>
      <c r="C39" s="24" t="s">
        <v>1656</v>
      </c>
      <c r="D39" s="24" t="s">
        <v>1657</v>
      </c>
      <c r="E39" s="18" t="s">
        <v>1519</v>
      </c>
      <c r="F39" s="29">
        <v>41883</v>
      </c>
      <c r="G39" s="29">
        <v>46278</v>
      </c>
      <c r="H39" s="24" t="s">
        <v>1658</v>
      </c>
      <c r="I39" s="24" t="s">
        <v>69</v>
      </c>
      <c r="J39" s="24"/>
      <c r="K39" s="10" t="s">
        <v>670</v>
      </c>
    </row>
    <row r="40" spans="1:11" ht="88" customHeight="1">
      <c r="A40" s="11" t="s">
        <v>1659</v>
      </c>
      <c r="B40" s="26" t="s">
        <v>244</v>
      </c>
      <c r="C40" s="26" t="s">
        <v>1660</v>
      </c>
      <c r="D40" s="26" t="s">
        <v>1661</v>
      </c>
      <c r="E40" s="19" t="s">
        <v>1519</v>
      </c>
      <c r="F40" s="31"/>
      <c r="G40" s="31">
        <v>46278</v>
      </c>
      <c r="H40" s="26" t="s">
        <v>1662</v>
      </c>
      <c r="I40" s="26" t="s">
        <v>69</v>
      </c>
      <c r="J40" s="26"/>
      <c r="K40" s="11" t="s">
        <v>1663</v>
      </c>
    </row>
    <row r="41" spans="1:11" ht="88" customHeight="1">
      <c r="A41" s="10" t="s">
        <v>1664</v>
      </c>
      <c r="B41" s="24" t="s">
        <v>49</v>
      </c>
      <c r="C41" s="24" t="s">
        <v>1665</v>
      </c>
      <c r="D41" s="24" t="s">
        <v>1666</v>
      </c>
      <c r="E41" s="18" t="s">
        <v>1519</v>
      </c>
      <c r="F41" s="29">
        <v>40544</v>
      </c>
      <c r="G41" s="29">
        <v>46278</v>
      </c>
      <c r="H41" s="24" t="s">
        <v>1667</v>
      </c>
      <c r="I41" s="24" t="s">
        <v>69</v>
      </c>
      <c r="J41" s="24"/>
      <c r="K41" s="10" t="s">
        <v>1668</v>
      </c>
    </row>
    <row r="42" spans="1:11" ht="88" customHeight="1">
      <c r="A42" s="11" t="s">
        <v>1669</v>
      </c>
      <c r="B42" s="26" t="s">
        <v>49</v>
      </c>
      <c r="C42" s="26" t="s">
        <v>1670</v>
      </c>
      <c r="D42" s="26" t="s">
        <v>1671</v>
      </c>
      <c r="E42" s="19" t="s">
        <v>1519</v>
      </c>
      <c r="F42" s="31"/>
      <c r="G42" s="31">
        <v>46278</v>
      </c>
      <c r="H42" s="26" t="s">
        <v>1672</v>
      </c>
      <c r="I42" s="26" t="s">
        <v>69</v>
      </c>
      <c r="J42" s="26"/>
      <c r="K42" s="11" t="s">
        <v>1673</v>
      </c>
    </row>
    <row r="43" spans="1:11" ht="88" customHeight="1">
      <c r="A43" s="10" t="s">
        <v>1674</v>
      </c>
      <c r="B43" s="24" t="s">
        <v>49</v>
      </c>
      <c r="C43" s="24" t="s">
        <v>1675</v>
      </c>
      <c r="D43" s="24" t="s">
        <v>1676</v>
      </c>
      <c r="E43" s="18" t="s">
        <v>1519</v>
      </c>
      <c r="F43" s="29"/>
      <c r="G43" s="29">
        <v>46278</v>
      </c>
      <c r="H43" s="24" t="s">
        <v>1677</v>
      </c>
      <c r="I43" s="24" t="s">
        <v>69</v>
      </c>
      <c r="J43" s="24"/>
      <c r="K43" s="10" t="s">
        <v>1678</v>
      </c>
    </row>
    <row r="44" spans="1:11" ht="88" customHeight="1">
      <c r="A44" s="11" t="s">
        <v>953</v>
      </c>
      <c r="B44" s="26" t="s">
        <v>280</v>
      </c>
      <c r="C44" s="26" t="s">
        <v>1679</v>
      </c>
      <c r="D44" s="26" t="s">
        <v>1680</v>
      </c>
      <c r="E44" s="19" t="s">
        <v>1519</v>
      </c>
      <c r="F44" s="31">
        <v>38169</v>
      </c>
      <c r="G44" s="31">
        <v>46278</v>
      </c>
      <c r="H44" s="26" t="s">
        <v>1681</v>
      </c>
      <c r="I44" s="26" t="s">
        <v>69</v>
      </c>
      <c r="J44" s="26"/>
      <c r="K44" s="11" t="s">
        <v>625</v>
      </c>
    </row>
    <row r="45" spans="1:11" ht="88" customHeight="1">
      <c r="A45" s="10" t="s">
        <v>957</v>
      </c>
      <c r="B45" s="24" t="s">
        <v>280</v>
      </c>
      <c r="C45" s="24" t="s">
        <v>1682</v>
      </c>
      <c r="D45" s="24" t="s">
        <v>1683</v>
      </c>
      <c r="E45" s="18" t="s">
        <v>1519</v>
      </c>
      <c r="F45" s="29">
        <v>46023</v>
      </c>
      <c r="G45" s="29">
        <v>46278</v>
      </c>
      <c r="H45" s="24" t="s">
        <v>1684</v>
      </c>
      <c r="I45" s="24" t="s">
        <v>69</v>
      </c>
      <c r="J45" s="24"/>
      <c r="K45" s="10" t="s">
        <v>1685</v>
      </c>
    </row>
    <row r="46" spans="1:11" ht="88" customHeight="1">
      <c r="A46" s="11" t="s">
        <v>1686</v>
      </c>
      <c r="B46" s="26" t="s">
        <v>280</v>
      </c>
      <c r="C46" s="26" t="s">
        <v>1687</v>
      </c>
      <c r="D46" s="26" t="s">
        <v>1688</v>
      </c>
      <c r="E46" s="19" t="s">
        <v>1519</v>
      </c>
      <c r="F46" s="31"/>
      <c r="G46" s="31">
        <v>46278</v>
      </c>
      <c r="H46" s="26" t="s">
        <v>1689</v>
      </c>
      <c r="I46" s="26" t="s">
        <v>69</v>
      </c>
      <c r="J46" s="26"/>
      <c r="K46" s="11" t="s">
        <v>1690</v>
      </c>
    </row>
    <row r="47" spans="1:11" ht="88" customHeight="1">
      <c r="A47" s="10" t="s">
        <v>960</v>
      </c>
      <c r="B47" s="24" t="s">
        <v>305</v>
      </c>
      <c r="C47" s="24" t="s">
        <v>1691</v>
      </c>
      <c r="D47" s="24" t="s">
        <v>1692</v>
      </c>
      <c r="E47" s="18" t="s">
        <v>1519</v>
      </c>
      <c r="F47" s="29">
        <v>39083</v>
      </c>
      <c r="G47" s="29">
        <v>46278</v>
      </c>
      <c r="H47" s="24" t="s">
        <v>1693</v>
      </c>
      <c r="I47" s="24" t="s">
        <v>69</v>
      </c>
      <c r="J47" s="24"/>
      <c r="K47" s="10" t="s">
        <v>685</v>
      </c>
    </row>
    <row r="48" spans="1:11" ht="88" customHeight="1">
      <c r="A48" s="11" t="s">
        <v>963</v>
      </c>
      <c r="B48" s="26" t="s">
        <v>305</v>
      </c>
      <c r="C48" s="26" t="s">
        <v>1694</v>
      </c>
      <c r="D48" s="26" t="s">
        <v>1695</v>
      </c>
      <c r="E48" s="19" t="s">
        <v>1519</v>
      </c>
      <c r="F48" s="31">
        <v>43336</v>
      </c>
      <c r="G48" s="31">
        <v>46278</v>
      </c>
      <c r="H48" s="26" t="s">
        <v>1696</v>
      </c>
      <c r="I48" s="26" t="s">
        <v>69</v>
      </c>
      <c r="J48" s="26"/>
      <c r="K48" s="11" t="s">
        <v>1697</v>
      </c>
    </row>
    <row r="49" spans="1:11" ht="88" customHeight="1">
      <c r="A49" s="10" t="s">
        <v>966</v>
      </c>
      <c r="B49" s="24" t="s">
        <v>321</v>
      </c>
      <c r="C49" s="24" t="s">
        <v>1698</v>
      </c>
      <c r="D49" s="24" t="s">
        <v>1699</v>
      </c>
      <c r="E49" s="18" t="s">
        <v>1519</v>
      </c>
      <c r="F49" s="29">
        <v>46023</v>
      </c>
      <c r="G49" s="29">
        <v>46278</v>
      </c>
      <c r="H49" s="24" t="s">
        <v>1700</v>
      </c>
      <c r="I49" s="24" t="s">
        <v>69</v>
      </c>
      <c r="J49" s="24"/>
      <c r="K49" s="10" t="s">
        <v>714</v>
      </c>
    </row>
    <row r="50" spans="1:11" ht="88" customHeight="1">
      <c r="A50" s="11" t="s">
        <v>969</v>
      </c>
      <c r="B50" s="26" t="s">
        <v>336</v>
      </c>
      <c r="C50" s="26" t="s">
        <v>1701</v>
      </c>
      <c r="D50" s="26" t="s">
        <v>1702</v>
      </c>
      <c r="E50" s="19" t="s">
        <v>1519</v>
      </c>
      <c r="F50" s="31">
        <v>39469</v>
      </c>
      <c r="G50" s="31">
        <v>46278</v>
      </c>
      <c r="H50" s="26" t="s">
        <v>1703</v>
      </c>
      <c r="I50" s="26" t="s">
        <v>69</v>
      </c>
      <c r="J50" s="26"/>
      <c r="K50" s="11" t="s">
        <v>700</v>
      </c>
    </row>
    <row r="51" spans="1:11" ht="88" customHeight="1">
      <c r="A51" s="10" t="s">
        <v>972</v>
      </c>
      <c r="B51" s="24" t="s">
        <v>336</v>
      </c>
      <c r="C51" s="24" t="s">
        <v>1704</v>
      </c>
      <c r="D51" s="24" t="s">
        <v>1705</v>
      </c>
      <c r="E51" s="18" t="s">
        <v>1519</v>
      </c>
      <c r="F51" s="29">
        <v>40997</v>
      </c>
      <c r="G51" s="29">
        <v>46278</v>
      </c>
      <c r="H51" s="24" t="s">
        <v>1706</v>
      </c>
      <c r="I51" s="24" t="s">
        <v>69</v>
      </c>
      <c r="J51" s="24"/>
      <c r="K51" s="10" t="s">
        <v>1707</v>
      </c>
    </row>
    <row r="52" spans="1:11" ht="88" customHeight="1">
      <c r="A52" s="11" t="s">
        <v>975</v>
      </c>
      <c r="B52" s="26" t="s">
        <v>352</v>
      </c>
      <c r="C52" s="26" t="s">
        <v>1708</v>
      </c>
      <c r="D52" s="26" t="s">
        <v>1709</v>
      </c>
      <c r="E52" s="19" t="s">
        <v>1519</v>
      </c>
      <c r="F52" s="31">
        <v>42370</v>
      </c>
      <c r="G52" s="31">
        <v>46278</v>
      </c>
      <c r="H52" s="26" t="s">
        <v>1710</v>
      </c>
      <c r="I52" s="26" t="s">
        <v>69</v>
      </c>
      <c r="J52" s="26"/>
      <c r="K52" s="11" t="s">
        <v>690</v>
      </c>
    </row>
    <row r="53" spans="1:11" ht="88" customHeight="1">
      <c r="A53" s="10" t="s">
        <v>978</v>
      </c>
      <c r="B53" s="24" t="s">
        <v>361</v>
      </c>
      <c r="C53" s="24" t="s">
        <v>1553</v>
      </c>
      <c r="D53" s="24" t="s">
        <v>1711</v>
      </c>
      <c r="E53" s="18" t="s">
        <v>1519</v>
      </c>
      <c r="F53" s="29">
        <v>40544</v>
      </c>
      <c r="G53" s="29">
        <v>46278</v>
      </c>
      <c r="H53" s="24" t="s">
        <v>1712</v>
      </c>
      <c r="I53" s="24" t="s">
        <v>69</v>
      </c>
      <c r="J53" s="24"/>
      <c r="K53" s="10" t="s">
        <v>695</v>
      </c>
    </row>
    <row r="54" spans="1:11" ht="88" customHeight="1">
      <c r="A54" s="11" t="s">
        <v>1713</v>
      </c>
      <c r="B54" s="26" t="s">
        <v>361</v>
      </c>
      <c r="C54" s="26" t="s">
        <v>1714</v>
      </c>
      <c r="D54" s="26" t="s">
        <v>1715</v>
      </c>
      <c r="E54" s="19" t="s">
        <v>1519</v>
      </c>
      <c r="F54" s="31"/>
      <c r="G54" s="31">
        <v>46278</v>
      </c>
      <c r="H54" s="26" t="s">
        <v>1716</v>
      </c>
      <c r="I54" s="26" t="s">
        <v>69</v>
      </c>
      <c r="J54" s="26"/>
      <c r="K54" s="11" t="s">
        <v>1717</v>
      </c>
    </row>
    <row r="55" spans="1:11" ht="88" customHeight="1">
      <c r="A55" s="10" t="s">
        <v>1718</v>
      </c>
      <c r="B55" s="24" t="s">
        <v>361</v>
      </c>
      <c r="C55" s="24" t="s">
        <v>1719</v>
      </c>
      <c r="D55" s="24" t="s">
        <v>1720</v>
      </c>
      <c r="E55" s="18" t="s">
        <v>1519</v>
      </c>
      <c r="F55" s="29"/>
      <c r="G55" s="29">
        <v>46278</v>
      </c>
      <c r="H55" s="24" t="s">
        <v>1721</v>
      </c>
      <c r="I55" s="24" t="s">
        <v>69</v>
      </c>
      <c r="J55" s="24"/>
      <c r="K55" s="10" t="s">
        <v>1722</v>
      </c>
    </row>
    <row r="56" spans="1:11" ht="88" customHeight="1">
      <c r="A56" s="11" t="s">
        <v>1457</v>
      </c>
      <c r="B56" s="26" t="s">
        <v>361</v>
      </c>
      <c r="C56" s="26" t="s">
        <v>1723</v>
      </c>
      <c r="D56" s="26" t="s">
        <v>1724</v>
      </c>
      <c r="E56" s="19" t="s">
        <v>1519</v>
      </c>
      <c r="F56" s="31"/>
      <c r="G56" s="31">
        <v>46278</v>
      </c>
      <c r="H56" s="26" t="s">
        <v>1725</v>
      </c>
      <c r="I56" s="26" t="s">
        <v>69</v>
      </c>
      <c r="J56" s="26"/>
      <c r="K56" s="11" t="s">
        <v>1726</v>
      </c>
    </row>
    <row r="57" spans="1:11" ht="88" customHeight="1">
      <c r="A57" s="10" t="s">
        <v>1727</v>
      </c>
      <c r="B57" s="24" t="s">
        <v>361</v>
      </c>
      <c r="C57" s="24" t="s">
        <v>1728</v>
      </c>
      <c r="D57" s="24" t="s">
        <v>1729</v>
      </c>
      <c r="E57" s="18" t="s">
        <v>1519</v>
      </c>
      <c r="F57" s="29">
        <v>42276</v>
      </c>
      <c r="G57" s="29">
        <v>46278</v>
      </c>
      <c r="H57" s="24" t="s">
        <v>1730</v>
      </c>
      <c r="I57" s="24" t="s">
        <v>69</v>
      </c>
      <c r="J57" s="24"/>
      <c r="K57" s="10" t="s">
        <v>1731</v>
      </c>
    </row>
    <row r="58" spans="1:11" ht="88" customHeight="1">
      <c r="A58" s="11" t="s">
        <v>986</v>
      </c>
      <c r="B58" s="26" t="s">
        <v>379</v>
      </c>
      <c r="C58" s="26" t="s">
        <v>1732</v>
      </c>
      <c r="D58" s="26" t="s">
        <v>1733</v>
      </c>
      <c r="E58" s="19" t="s">
        <v>1519</v>
      </c>
      <c r="F58" s="31">
        <v>43952</v>
      </c>
      <c r="G58" s="31">
        <v>46278</v>
      </c>
      <c r="H58" s="26" t="s">
        <v>1734</v>
      </c>
      <c r="I58" s="26" t="s">
        <v>69</v>
      </c>
      <c r="J58" s="26"/>
      <c r="K58" s="11" t="s">
        <v>632</v>
      </c>
    </row>
    <row r="59" spans="1:11" ht="88" customHeight="1">
      <c r="A59" s="10" t="s">
        <v>994</v>
      </c>
      <c r="B59" s="24" t="s">
        <v>379</v>
      </c>
      <c r="C59" s="24" t="s">
        <v>1557</v>
      </c>
      <c r="D59" s="24" t="s">
        <v>1735</v>
      </c>
      <c r="E59" s="18" t="s">
        <v>1519</v>
      </c>
      <c r="F59" s="29">
        <v>44440</v>
      </c>
      <c r="G59" s="29">
        <v>46278</v>
      </c>
      <c r="H59" s="24" t="s">
        <v>1736</v>
      </c>
      <c r="I59" s="24" t="s">
        <v>69</v>
      </c>
      <c r="J59" s="24"/>
      <c r="K59" s="10" t="s">
        <v>1737</v>
      </c>
    </row>
    <row r="60" spans="1:11" ht="88" customHeight="1">
      <c r="A60" s="11" t="s">
        <v>991</v>
      </c>
      <c r="B60" s="26" t="s">
        <v>379</v>
      </c>
      <c r="C60" s="26" t="s">
        <v>1738</v>
      </c>
      <c r="D60" s="26" t="s">
        <v>1739</v>
      </c>
      <c r="E60" s="19" t="s">
        <v>1519</v>
      </c>
      <c r="F60" s="31">
        <v>46023</v>
      </c>
      <c r="G60" s="31">
        <v>46278</v>
      </c>
      <c r="H60" s="26" t="s">
        <v>1740</v>
      </c>
      <c r="I60" s="26" t="s">
        <v>69</v>
      </c>
      <c r="J60" s="26"/>
      <c r="K60" s="11" t="s">
        <v>1741</v>
      </c>
    </row>
    <row r="61" spans="1:11" ht="88" customHeight="1">
      <c r="A61" s="10" t="s">
        <v>997</v>
      </c>
      <c r="B61" s="24" t="s">
        <v>412</v>
      </c>
      <c r="C61" s="24" t="s">
        <v>1742</v>
      </c>
      <c r="D61" s="24" t="s">
        <v>1743</v>
      </c>
      <c r="E61" s="18" t="s">
        <v>1519</v>
      </c>
      <c r="F61" s="29">
        <v>37622</v>
      </c>
      <c r="G61" s="29">
        <v>46278</v>
      </c>
      <c r="H61" s="24" t="s">
        <v>1744</v>
      </c>
      <c r="I61" s="24" t="s">
        <v>69</v>
      </c>
      <c r="J61" s="24"/>
      <c r="K61" s="10" t="s">
        <v>634</v>
      </c>
    </row>
    <row r="62" spans="1:11" ht="88" customHeight="1">
      <c r="A62" s="11" t="s">
        <v>1745</v>
      </c>
      <c r="B62" s="26" t="s">
        <v>412</v>
      </c>
      <c r="C62" s="26" t="s">
        <v>1746</v>
      </c>
      <c r="D62" s="26" t="s">
        <v>1747</v>
      </c>
      <c r="E62" s="19" t="s">
        <v>1519</v>
      </c>
      <c r="F62" s="31">
        <v>37288</v>
      </c>
      <c r="G62" s="31">
        <v>46278</v>
      </c>
      <c r="H62" s="26" t="s">
        <v>1748</v>
      </c>
      <c r="I62" s="26" t="s">
        <v>69</v>
      </c>
      <c r="J62" s="26"/>
      <c r="K62" s="11" t="s">
        <v>1749</v>
      </c>
    </row>
    <row r="63" spans="1:11" ht="88" customHeight="1">
      <c r="A63" s="10" t="s">
        <v>1750</v>
      </c>
      <c r="B63" s="24" t="s">
        <v>412</v>
      </c>
      <c r="C63" s="24" t="s">
        <v>1751</v>
      </c>
      <c r="D63" s="24" t="s">
        <v>1752</v>
      </c>
      <c r="E63" s="18" t="s">
        <v>1519</v>
      </c>
      <c r="F63" s="29"/>
      <c r="G63" s="29">
        <v>46278</v>
      </c>
      <c r="H63" s="24" t="s">
        <v>1753</v>
      </c>
      <c r="I63" s="24" t="s">
        <v>69</v>
      </c>
      <c r="J63" s="24"/>
      <c r="K63" s="10" t="s">
        <v>1754</v>
      </c>
    </row>
    <row r="64" spans="1:11" ht="88" customHeight="1">
      <c r="A64" s="11" t="s">
        <v>1000</v>
      </c>
      <c r="B64" s="26" t="s">
        <v>428</v>
      </c>
      <c r="C64" s="26" t="s">
        <v>1755</v>
      </c>
      <c r="D64" s="26" t="s">
        <v>1756</v>
      </c>
      <c r="E64" s="19" t="s">
        <v>1519</v>
      </c>
      <c r="F64" s="31">
        <v>43282</v>
      </c>
      <c r="G64" s="31">
        <v>46278</v>
      </c>
      <c r="H64" s="26" t="s">
        <v>1757</v>
      </c>
      <c r="I64" s="26" t="s">
        <v>69</v>
      </c>
      <c r="J64" s="26"/>
      <c r="K64" s="11" t="s">
        <v>639</v>
      </c>
    </row>
    <row r="65" spans="1:11" ht="88" customHeight="1">
      <c r="A65" s="10" t="s">
        <v>1758</v>
      </c>
      <c r="B65" s="24" t="s">
        <v>428</v>
      </c>
      <c r="C65" s="24" t="s">
        <v>1759</v>
      </c>
      <c r="D65" s="24" t="s">
        <v>1760</v>
      </c>
      <c r="E65" s="18" t="s">
        <v>1519</v>
      </c>
      <c r="F65" s="29"/>
      <c r="G65" s="29">
        <v>46278</v>
      </c>
      <c r="H65" s="24" t="s">
        <v>1761</v>
      </c>
      <c r="I65" s="24" t="s">
        <v>69</v>
      </c>
      <c r="J65" s="24"/>
      <c r="K65" s="10" t="s">
        <v>1762</v>
      </c>
    </row>
    <row r="66" spans="1:11" ht="88" customHeight="1">
      <c r="A66" s="11" t="s">
        <v>1004</v>
      </c>
      <c r="B66" s="26" t="s">
        <v>447</v>
      </c>
      <c r="C66" s="26" t="s">
        <v>1553</v>
      </c>
      <c r="D66" s="26" t="s">
        <v>1763</v>
      </c>
      <c r="E66" s="19" t="s">
        <v>1519</v>
      </c>
      <c r="F66" s="31">
        <v>40026</v>
      </c>
      <c r="G66" s="31">
        <v>46278</v>
      </c>
      <c r="H66" s="26" t="s">
        <v>1764</v>
      </c>
      <c r="I66" s="26" t="s">
        <v>69</v>
      </c>
      <c r="J66" s="26"/>
      <c r="K66" s="11" t="s">
        <v>644</v>
      </c>
    </row>
    <row r="67" spans="1:11" ht="88" customHeight="1">
      <c r="A67" s="10" t="s">
        <v>1010</v>
      </c>
      <c r="B67" s="24" t="s">
        <v>462</v>
      </c>
      <c r="C67" s="24" t="s">
        <v>1765</v>
      </c>
      <c r="D67" s="24" t="s">
        <v>1766</v>
      </c>
      <c r="E67" s="18" t="s">
        <v>1519</v>
      </c>
      <c r="F67" s="29">
        <v>42370</v>
      </c>
      <c r="G67" s="29">
        <v>46278</v>
      </c>
      <c r="H67" s="24" t="s">
        <v>1767</v>
      </c>
      <c r="I67" s="24" t="s">
        <v>69</v>
      </c>
      <c r="J67" s="24"/>
      <c r="K67" s="10" t="s">
        <v>649</v>
      </c>
    </row>
    <row r="68" spans="1:11" ht="88" customHeight="1">
      <c r="A68" s="11" t="s">
        <v>1014</v>
      </c>
      <c r="B68" s="26" t="s">
        <v>477</v>
      </c>
      <c r="C68" s="26" t="s">
        <v>1768</v>
      </c>
      <c r="D68" s="26" t="s">
        <v>1769</v>
      </c>
      <c r="E68" s="19" t="s">
        <v>1519</v>
      </c>
      <c r="F68" s="31">
        <v>45891</v>
      </c>
      <c r="G68" s="31">
        <v>46278</v>
      </c>
      <c r="H68" s="26" t="s">
        <v>1770</v>
      </c>
      <c r="I68" s="26" t="s">
        <v>69</v>
      </c>
      <c r="J68" s="26"/>
      <c r="K68" s="11" t="s">
        <v>659</v>
      </c>
    </row>
    <row r="69" spans="1:11" ht="88" customHeight="1">
      <c r="A69" s="10" t="s">
        <v>1018</v>
      </c>
      <c r="B69" s="24" t="s">
        <v>477</v>
      </c>
      <c r="C69" s="24" t="s">
        <v>1771</v>
      </c>
      <c r="D69" s="24" t="s">
        <v>1772</v>
      </c>
      <c r="E69" s="18" t="s">
        <v>1519</v>
      </c>
      <c r="F69" s="29">
        <v>45947</v>
      </c>
      <c r="G69" s="29">
        <v>46278</v>
      </c>
      <c r="H69" s="24" t="s">
        <v>1773</v>
      </c>
      <c r="I69" s="24" t="s">
        <v>69</v>
      </c>
      <c r="J69" s="24"/>
      <c r="K69" s="10" t="s">
        <v>1774</v>
      </c>
    </row>
    <row r="70" spans="1:11" ht="88" customHeight="1">
      <c r="A70" s="11" t="s">
        <v>1775</v>
      </c>
      <c r="B70" s="26" t="s">
        <v>477</v>
      </c>
      <c r="C70" s="26" t="s">
        <v>1776</v>
      </c>
      <c r="D70" s="26" t="s">
        <v>1777</v>
      </c>
      <c r="E70" s="19" t="s">
        <v>1519</v>
      </c>
      <c r="F70" s="31"/>
      <c r="G70" s="31">
        <v>46278</v>
      </c>
      <c r="H70" s="26" t="s">
        <v>1778</v>
      </c>
      <c r="I70" s="26" t="s">
        <v>69</v>
      </c>
      <c r="J70" s="26"/>
      <c r="K70" s="11" t="s">
        <v>1779</v>
      </c>
    </row>
    <row r="71" spans="1:11" ht="88" customHeight="1">
      <c r="A71" s="10" t="s">
        <v>1021</v>
      </c>
      <c r="B71" s="24" t="s">
        <v>508</v>
      </c>
      <c r="C71" s="24" t="s">
        <v>1553</v>
      </c>
      <c r="D71" s="24" t="s">
        <v>1780</v>
      </c>
      <c r="E71" s="18" t="s">
        <v>1519</v>
      </c>
      <c r="F71" s="29">
        <v>43647</v>
      </c>
      <c r="G71" s="29">
        <v>46278</v>
      </c>
      <c r="H71" s="24" t="s">
        <v>1781</v>
      </c>
      <c r="I71" s="24" t="s">
        <v>69</v>
      </c>
      <c r="J71" s="24"/>
      <c r="K71" s="10" t="s">
        <v>655</v>
      </c>
    </row>
    <row r="72" spans="1:11" ht="88" customHeight="1">
      <c r="A72" s="11" t="s">
        <v>1782</v>
      </c>
      <c r="B72" s="26" t="s">
        <v>508</v>
      </c>
      <c r="C72" s="26" t="s">
        <v>1783</v>
      </c>
      <c r="D72" s="26" t="s">
        <v>1784</v>
      </c>
      <c r="E72" s="19" t="s">
        <v>1519</v>
      </c>
      <c r="F72" s="31">
        <v>-23596</v>
      </c>
      <c r="G72" s="31">
        <v>46278</v>
      </c>
      <c r="H72" s="26" t="s">
        <v>1785</v>
      </c>
      <c r="I72" s="26" t="s">
        <v>69</v>
      </c>
      <c r="J72" s="26"/>
      <c r="K72" s="11" t="s">
        <v>1786</v>
      </c>
    </row>
    <row r="73" spans="1:11" ht="88" customHeight="1">
      <c r="A73" s="10" t="s">
        <v>1787</v>
      </c>
      <c r="B73" s="24" t="s">
        <v>508</v>
      </c>
      <c r="C73" s="24" t="s">
        <v>1788</v>
      </c>
      <c r="D73" s="24" t="s">
        <v>1789</v>
      </c>
      <c r="E73" s="18" t="s">
        <v>1519</v>
      </c>
      <c r="F73" s="29"/>
      <c r="G73" s="29">
        <v>46278</v>
      </c>
      <c r="H73" s="24" t="s">
        <v>1790</v>
      </c>
      <c r="I73" s="24" t="s">
        <v>69</v>
      </c>
      <c r="J73" s="24"/>
      <c r="K73" s="10" t="s">
        <v>1791</v>
      </c>
    </row>
    <row r="74" spans="1:11" ht="88" customHeight="1">
      <c r="A74" s="11" t="s">
        <v>1023</v>
      </c>
      <c r="B74" s="26" t="s">
        <v>522</v>
      </c>
      <c r="C74" s="26" t="s">
        <v>1792</v>
      </c>
      <c r="D74" s="26" t="s">
        <v>1793</v>
      </c>
      <c r="E74" s="19" t="s">
        <v>1519</v>
      </c>
      <c r="F74" s="31">
        <v>44013</v>
      </c>
      <c r="G74" s="31">
        <v>46278</v>
      </c>
      <c r="H74" s="26" t="s">
        <v>1794</v>
      </c>
      <c r="I74" s="26" t="s">
        <v>69</v>
      </c>
      <c r="J74" s="26"/>
      <c r="K74" s="11" t="s">
        <v>675</v>
      </c>
    </row>
    <row r="75" spans="1:11" ht="88" customHeight="1">
      <c r="A75" s="10" t="s">
        <v>1795</v>
      </c>
      <c r="B75" s="24" t="s">
        <v>522</v>
      </c>
      <c r="C75" s="24" t="s">
        <v>1796</v>
      </c>
      <c r="D75" s="24" t="s">
        <v>1797</v>
      </c>
      <c r="E75" s="18" t="s">
        <v>1519</v>
      </c>
      <c r="F75" s="29"/>
      <c r="G75" s="29">
        <v>46278</v>
      </c>
      <c r="H75" s="24" t="s">
        <v>1798</v>
      </c>
      <c r="I75" s="24" t="s">
        <v>69</v>
      </c>
      <c r="J75" s="24"/>
      <c r="K75" s="10" t="s">
        <v>1799</v>
      </c>
    </row>
    <row r="76" spans="1:11" ht="88" customHeight="1">
      <c r="A76" s="11" t="s">
        <v>1027</v>
      </c>
      <c r="B76" s="26" t="s">
        <v>536</v>
      </c>
      <c r="C76" s="26" t="s">
        <v>1800</v>
      </c>
      <c r="D76" s="26" t="s">
        <v>1801</v>
      </c>
      <c r="E76" s="19" t="s">
        <v>1519</v>
      </c>
      <c r="F76" s="31">
        <v>43800</v>
      </c>
      <c r="G76" s="31">
        <v>46278</v>
      </c>
      <c r="H76" s="26" t="s">
        <v>1802</v>
      </c>
      <c r="I76" s="26" t="s">
        <v>69</v>
      </c>
      <c r="J76" s="26"/>
      <c r="K76" s="11" t="s">
        <v>680</v>
      </c>
    </row>
    <row r="77" spans="1:11" ht="88" customHeight="1">
      <c r="A77" s="10" t="s">
        <v>1803</v>
      </c>
      <c r="B77" s="24" t="s">
        <v>536</v>
      </c>
      <c r="C77" s="24" t="s">
        <v>1804</v>
      </c>
      <c r="D77" s="24" t="s">
        <v>1805</v>
      </c>
      <c r="E77" s="18" t="s">
        <v>1519</v>
      </c>
      <c r="F77" s="29"/>
      <c r="G77" s="29">
        <v>46278</v>
      </c>
      <c r="H77" s="24" t="s">
        <v>1806</v>
      </c>
      <c r="I77" s="24" t="s">
        <v>69</v>
      </c>
      <c r="J77" s="24"/>
      <c r="K77" s="10" t="s">
        <v>1807</v>
      </c>
    </row>
    <row r="78" spans="1:11" ht="88" customHeight="1">
      <c r="A78" s="11" t="s">
        <v>1031</v>
      </c>
      <c r="B78" s="26" t="s">
        <v>550</v>
      </c>
      <c r="C78" s="26" t="s">
        <v>1808</v>
      </c>
      <c r="D78" s="26" t="s">
        <v>1809</v>
      </c>
      <c r="E78" s="19" t="s">
        <v>1519</v>
      </c>
      <c r="F78" s="31">
        <v>41000</v>
      </c>
      <c r="G78" s="31">
        <v>46278</v>
      </c>
      <c r="H78" s="26" t="s">
        <v>1810</v>
      </c>
      <c r="I78" s="26" t="s">
        <v>69</v>
      </c>
      <c r="J78" s="26"/>
      <c r="K78" s="11" t="s">
        <v>721</v>
      </c>
    </row>
    <row r="79" spans="1:11" ht="88" customHeight="1">
      <c r="A79" s="10" t="s">
        <v>1811</v>
      </c>
      <c r="B79" s="24" t="s">
        <v>550</v>
      </c>
      <c r="C79" s="24" t="s">
        <v>1812</v>
      </c>
      <c r="D79" s="24" t="s">
        <v>1813</v>
      </c>
      <c r="E79" s="18" t="s">
        <v>1519</v>
      </c>
      <c r="F79" s="29"/>
      <c r="G79" s="29">
        <v>46278</v>
      </c>
      <c r="H79" s="24" t="s">
        <v>1814</v>
      </c>
      <c r="I79" s="24" t="s">
        <v>69</v>
      </c>
      <c r="J79" s="24"/>
      <c r="K79" s="10" t="s">
        <v>1815</v>
      </c>
    </row>
    <row r="80" spans="1:11" ht="88" customHeight="1">
      <c r="A80" s="11" t="s">
        <v>1816</v>
      </c>
      <c r="B80" s="26" t="s">
        <v>550</v>
      </c>
      <c r="C80" s="26" t="s">
        <v>1817</v>
      </c>
      <c r="D80" s="26" t="s">
        <v>1818</v>
      </c>
      <c r="E80" s="19" t="s">
        <v>1519</v>
      </c>
      <c r="F80" s="31"/>
      <c r="G80" s="31">
        <v>46278</v>
      </c>
      <c r="H80" s="26" t="s">
        <v>1819</v>
      </c>
      <c r="I80" s="26" t="s">
        <v>69</v>
      </c>
      <c r="J80" s="26"/>
      <c r="K80" s="11" t="s">
        <v>1820</v>
      </c>
    </row>
    <row r="81" spans="1:11" ht="88" customHeight="1">
      <c r="A81" s="10" t="s">
        <v>1821</v>
      </c>
      <c r="B81" s="24" t="s">
        <v>550</v>
      </c>
      <c r="C81" s="24" t="s">
        <v>1822</v>
      </c>
      <c r="D81" s="24" t="s">
        <v>1818</v>
      </c>
      <c r="E81" s="18" t="s">
        <v>1519</v>
      </c>
      <c r="F81" s="29"/>
      <c r="G81" s="29">
        <v>46278</v>
      </c>
      <c r="H81" s="24" t="s">
        <v>1819</v>
      </c>
      <c r="I81" s="24" t="s">
        <v>69</v>
      </c>
      <c r="J81" s="24"/>
      <c r="K81" s="10" t="s">
        <v>1823</v>
      </c>
    </row>
    <row r="82" spans="1:11" ht="88" customHeight="1">
      <c r="A82" s="11" t="s">
        <v>1824</v>
      </c>
      <c r="B82" s="26" t="s">
        <v>550</v>
      </c>
      <c r="C82" s="26" t="s">
        <v>1825</v>
      </c>
      <c r="D82" s="26" t="s">
        <v>1818</v>
      </c>
      <c r="E82" s="19" t="s">
        <v>1519</v>
      </c>
      <c r="F82" s="31"/>
      <c r="G82" s="31">
        <v>46278</v>
      </c>
      <c r="H82" s="26" t="s">
        <v>1819</v>
      </c>
      <c r="I82" s="26" t="s">
        <v>69</v>
      </c>
      <c r="J82" s="26"/>
      <c r="K82" s="11" t="s">
        <v>1826</v>
      </c>
    </row>
    <row r="83" spans="1:11" ht="88" customHeight="1">
      <c r="A83" s="10" t="s">
        <v>1041</v>
      </c>
      <c r="B83" s="24" t="s">
        <v>561</v>
      </c>
      <c r="C83" s="24" t="s">
        <v>1827</v>
      </c>
      <c r="D83" s="24" t="s">
        <v>1828</v>
      </c>
      <c r="E83" s="18" t="s">
        <v>1519</v>
      </c>
      <c r="F83" s="29">
        <v>40179</v>
      </c>
      <c r="G83" s="29">
        <v>46278</v>
      </c>
      <c r="H83" s="24" t="s">
        <v>1829</v>
      </c>
      <c r="I83" s="24" t="s">
        <v>69</v>
      </c>
      <c r="J83" s="24"/>
      <c r="K83" s="10" t="s">
        <v>729</v>
      </c>
    </row>
    <row r="84" spans="1:11" ht="88" customHeight="1">
      <c r="A84" s="11" t="s">
        <v>1049</v>
      </c>
      <c r="B84" s="26" t="s">
        <v>561</v>
      </c>
      <c r="C84" s="26" t="s">
        <v>1830</v>
      </c>
      <c r="D84" s="26" t="s">
        <v>1831</v>
      </c>
      <c r="E84" s="19" t="s">
        <v>1519</v>
      </c>
      <c r="F84" s="31">
        <v>45804</v>
      </c>
      <c r="G84" s="31">
        <v>46278</v>
      </c>
      <c r="H84" s="26" t="s">
        <v>1832</v>
      </c>
      <c r="I84" s="26" t="s">
        <v>69</v>
      </c>
      <c r="J84" s="26"/>
      <c r="K84" s="11" t="s">
        <v>1833</v>
      </c>
    </row>
    <row r="85" spans="1:11" ht="88" customHeight="1">
      <c r="A85" s="10" t="s">
        <v>1052</v>
      </c>
      <c r="B85" s="24" t="s">
        <v>561</v>
      </c>
      <c r="C85" s="24" t="s">
        <v>1834</v>
      </c>
      <c r="D85" s="24" t="s">
        <v>1835</v>
      </c>
      <c r="E85" s="18" t="s">
        <v>1519</v>
      </c>
      <c r="F85" s="29">
        <v>46023</v>
      </c>
      <c r="G85" s="29">
        <v>46278</v>
      </c>
      <c r="H85" s="24" t="s">
        <v>1836</v>
      </c>
      <c r="I85" s="24" t="s">
        <v>69</v>
      </c>
      <c r="J85" s="24"/>
      <c r="K85" s="10" t="s">
        <v>1837</v>
      </c>
    </row>
    <row r="86" spans="1:11" ht="88" customHeight="1">
      <c r="A86" s="11" t="s">
        <v>1838</v>
      </c>
      <c r="B86" s="26" t="s">
        <v>561</v>
      </c>
      <c r="C86" s="26" t="s">
        <v>1839</v>
      </c>
      <c r="D86" s="26" t="s">
        <v>1840</v>
      </c>
      <c r="E86" s="19" t="s">
        <v>1519</v>
      </c>
      <c r="F86" s="31">
        <v>44927</v>
      </c>
      <c r="G86" s="31">
        <v>46278</v>
      </c>
      <c r="H86" s="26" t="s">
        <v>1841</v>
      </c>
      <c r="I86" s="26" t="s">
        <v>69</v>
      </c>
      <c r="J86" s="26"/>
      <c r="K86" s="11" t="s">
        <v>1842</v>
      </c>
    </row>
    <row r="87" spans="1:11" ht="88" customHeight="1">
      <c r="A87" s="10" t="s">
        <v>1843</v>
      </c>
      <c r="B87" s="24" t="s">
        <v>561</v>
      </c>
      <c r="C87" s="24" t="s">
        <v>1844</v>
      </c>
      <c r="D87" s="24" t="s">
        <v>1845</v>
      </c>
      <c r="E87" s="18" t="s">
        <v>1519</v>
      </c>
      <c r="F87" s="29">
        <v>46023</v>
      </c>
      <c r="G87" s="29">
        <v>46278</v>
      </c>
      <c r="H87" s="24" t="s">
        <v>1846</v>
      </c>
      <c r="I87" s="24" t="s">
        <v>69</v>
      </c>
      <c r="J87" s="24"/>
      <c r="K87" s="10" t="s">
        <v>1847</v>
      </c>
    </row>
    <row r="88" spans="1:11" ht="88" customHeight="1">
      <c r="A88" s="11" t="s">
        <v>1848</v>
      </c>
      <c r="B88" s="26" t="s">
        <v>561</v>
      </c>
      <c r="C88" s="26" t="s">
        <v>1849</v>
      </c>
      <c r="D88" s="26" t="s">
        <v>1850</v>
      </c>
      <c r="E88" s="19" t="s">
        <v>1519</v>
      </c>
      <c r="F88" s="31"/>
      <c r="G88" s="31">
        <v>46278</v>
      </c>
      <c r="H88" s="26" t="s">
        <v>1851</v>
      </c>
      <c r="I88" s="26" t="s">
        <v>69</v>
      </c>
      <c r="J88" s="26"/>
      <c r="K88" s="11" t="s">
        <v>1852</v>
      </c>
    </row>
    <row r="89" spans="1:11" ht="88" customHeight="1">
      <c r="A89" s="10" t="s">
        <v>1066</v>
      </c>
      <c r="B89" s="24" t="s">
        <v>581</v>
      </c>
      <c r="C89" s="24" t="s">
        <v>1853</v>
      </c>
      <c r="D89" s="24" t="s">
        <v>1854</v>
      </c>
      <c r="E89" s="18" t="s">
        <v>1519</v>
      </c>
      <c r="F89" s="29">
        <v>44927</v>
      </c>
      <c r="G89" s="29">
        <v>46278</v>
      </c>
      <c r="H89" s="24" t="s">
        <v>1855</v>
      </c>
      <c r="I89" s="24" t="s">
        <v>69</v>
      </c>
      <c r="J89" s="24"/>
      <c r="K89" s="10" t="s">
        <v>737</v>
      </c>
    </row>
    <row r="90" spans="1:11" ht="88" customHeight="1">
      <c r="A90" s="11" t="s">
        <v>1856</v>
      </c>
      <c r="B90" s="26" t="s">
        <v>581</v>
      </c>
      <c r="C90" s="26" t="s">
        <v>1857</v>
      </c>
      <c r="D90" s="26" t="s">
        <v>1858</v>
      </c>
      <c r="E90" s="19" t="s">
        <v>1519</v>
      </c>
      <c r="F90" s="31"/>
      <c r="G90" s="31">
        <v>46278</v>
      </c>
      <c r="H90" s="26" t="s">
        <v>1859</v>
      </c>
      <c r="I90" s="26" t="s">
        <v>69</v>
      </c>
      <c r="J90" s="26"/>
      <c r="K90" s="11" t="s">
        <v>1860</v>
      </c>
    </row>
  </sheetData>
  <sheetProtection sheet="1" objects="1" scenarios="1" sort="0" autoFilter="0"/>
  <conditionalFormatting sqref="I7:I90">
    <cfRule type="containsText" dxfId="3" priority="1" operator="containsText" text="open"/>
    <cfRule type="containsText" dxfId="2" priority="2" operator="containsText" text="blocked"/>
  </conditionalFormatting>
  <dataValidations count="1">
    <dataValidation type="list" sqref="I7:I90" xr:uid="{00000000-0002-0000-0600-000000000000}">
      <formula1>"approved,open,blocked"</formula1>
    </dataValidation>
  </dataValidations>
  <hyperlinks>
    <hyperlink ref="E7" r:id="rId1" xr:uid="{00000000-0004-0000-0600-000000000000}"/>
    <hyperlink ref="E8" r:id="rId2" xr:uid="{00000000-0004-0000-0600-000001000000}"/>
    <hyperlink ref="E9" r:id="rId3" xr:uid="{00000000-0004-0000-0600-000002000000}"/>
    <hyperlink ref="E10" r:id="rId4" xr:uid="{00000000-0004-0000-0600-000003000000}"/>
    <hyperlink ref="E11" r:id="rId5" xr:uid="{00000000-0004-0000-0600-000004000000}"/>
    <hyperlink ref="E12" r:id="rId6" xr:uid="{00000000-0004-0000-0600-000005000000}"/>
    <hyperlink ref="E13" r:id="rId7" xr:uid="{00000000-0004-0000-0600-000006000000}"/>
    <hyperlink ref="E14" r:id="rId8" xr:uid="{00000000-0004-0000-0600-000007000000}"/>
    <hyperlink ref="E15" r:id="rId9" xr:uid="{00000000-0004-0000-0600-000008000000}"/>
    <hyperlink ref="E16" r:id="rId10" xr:uid="{00000000-0004-0000-0600-000009000000}"/>
    <hyperlink ref="E17" r:id="rId11" xr:uid="{00000000-0004-0000-0600-00000A000000}"/>
    <hyperlink ref="E18" r:id="rId12" xr:uid="{00000000-0004-0000-0600-00000B000000}"/>
    <hyperlink ref="E19" r:id="rId13" xr:uid="{00000000-0004-0000-0600-00000C000000}"/>
    <hyperlink ref="E20" r:id="rId14" xr:uid="{00000000-0004-0000-0600-00000D000000}"/>
    <hyperlink ref="E21" r:id="rId15" xr:uid="{00000000-0004-0000-0600-00000E000000}"/>
    <hyperlink ref="E22" r:id="rId16" xr:uid="{00000000-0004-0000-0600-00000F000000}"/>
    <hyperlink ref="E23" r:id="rId17" xr:uid="{00000000-0004-0000-0600-000010000000}"/>
    <hyperlink ref="E24" r:id="rId18" xr:uid="{00000000-0004-0000-0600-000011000000}"/>
    <hyperlink ref="E25" r:id="rId19" xr:uid="{00000000-0004-0000-0600-000012000000}"/>
    <hyperlink ref="E26" r:id="rId20" xr:uid="{00000000-0004-0000-0600-000013000000}"/>
    <hyperlink ref="E27" r:id="rId21" xr:uid="{00000000-0004-0000-0600-000014000000}"/>
    <hyperlink ref="E28" r:id="rId22" xr:uid="{00000000-0004-0000-0600-000015000000}"/>
    <hyperlink ref="E29" r:id="rId23" xr:uid="{00000000-0004-0000-0600-000016000000}"/>
    <hyperlink ref="E30" r:id="rId24" xr:uid="{00000000-0004-0000-0600-000017000000}"/>
    <hyperlink ref="E31" r:id="rId25" xr:uid="{00000000-0004-0000-0600-000018000000}"/>
    <hyperlink ref="E32" r:id="rId26" xr:uid="{00000000-0004-0000-0600-000019000000}"/>
    <hyperlink ref="E33" r:id="rId27" xr:uid="{00000000-0004-0000-0600-00001A000000}"/>
    <hyperlink ref="E34" r:id="rId28" xr:uid="{00000000-0004-0000-0600-00001B000000}"/>
    <hyperlink ref="E35" r:id="rId29" xr:uid="{00000000-0004-0000-0600-00001C000000}"/>
    <hyperlink ref="E36" r:id="rId30" xr:uid="{00000000-0004-0000-0600-00001D000000}"/>
    <hyperlink ref="E37" r:id="rId31" xr:uid="{00000000-0004-0000-0600-00001E000000}"/>
    <hyperlink ref="E38" r:id="rId32" xr:uid="{00000000-0004-0000-0600-00001F000000}"/>
    <hyperlink ref="E39" r:id="rId33" xr:uid="{00000000-0004-0000-0600-000020000000}"/>
    <hyperlink ref="E40" r:id="rId34" xr:uid="{00000000-0004-0000-0600-000021000000}"/>
    <hyperlink ref="E41" r:id="rId35" xr:uid="{00000000-0004-0000-0600-000022000000}"/>
    <hyperlink ref="E42" r:id="rId36" xr:uid="{00000000-0004-0000-0600-000023000000}"/>
    <hyperlink ref="E43" r:id="rId37" xr:uid="{00000000-0004-0000-0600-000024000000}"/>
    <hyperlink ref="E44" r:id="rId38" xr:uid="{00000000-0004-0000-0600-000025000000}"/>
    <hyperlink ref="E45" r:id="rId39" xr:uid="{00000000-0004-0000-0600-000026000000}"/>
    <hyperlink ref="E46" r:id="rId40" xr:uid="{00000000-0004-0000-0600-000027000000}"/>
    <hyperlink ref="E47" r:id="rId41" xr:uid="{00000000-0004-0000-0600-000028000000}"/>
    <hyperlink ref="E48" r:id="rId42" xr:uid="{00000000-0004-0000-0600-000029000000}"/>
    <hyperlink ref="E49" r:id="rId43" xr:uid="{00000000-0004-0000-0600-00002A000000}"/>
    <hyperlink ref="E50" r:id="rId44" xr:uid="{00000000-0004-0000-0600-00002B000000}"/>
    <hyperlink ref="E51" r:id="rId45" xr:uid="{00000000-0004-0000-0600-00002C000000}"/>
    <hyperlink ref="E52" r:id="rId46" xr:uid="{00000000-0004-0000-0600-00002D000000}"/>
    <hyperlink ref="E53" r:id="rId47" xr:uid="{00000000-0004-0000-0600-00002E000000}"/>
    <hyperlink ref="E54" r:id="rId48" xr:uid="{00000000-0004-0000-0600-00002F000000}"/>
    <hyperlink ref="E55" r:id="rId49" xr:uid="{00000000-0004-0000-0600-000030000000}"/>
    <hyperlink ref="E56" r:id="rId50" xr:uid="{00000000-0004-0000-0600-000031000000}"/>
    <hyperlink ref="E57" r:id="rId51" xr:uid="{00000000-0004-0000-0600-000032000000}"/>
    <hyperlink ref="E58" r:id="rId52" xr:uid="{00000000-0004-0000-0600-000033000000}"/>
    <hyperlink ref="E59" r:id="rId53" xr:uid="{00000000-0004-0000-0600-000034000000}"/>
    <hyperlink ref="E60" r:id="rId54" xr:uid="{00000000-0004-0000-0600-000035000000}"/>
    <hyperlink ref="E61" r:id="rId55" xr:uid="{00000000-0004-0000-0600-000036000000}"/>
    <hyperlink ref="E62" r:id="rId56" xr:uid="{00000000-0004-0000-0600-000037000000}"/>
    <hyperlink ref="E63" r:id="rId57" xr:uid="{00000000-0004-0000-0600-000038000000}"/>
    <hyperlink ref="E64" r:id="rId58" xr:uid="{00000000-0004-0000-0600-000039000000}"/>
    <hyperlink ref="E65" r:id="rId59" xr:uid="{00000000-0004-0000-0600-00003A000000}"/>
    <hyperlink ref="E66" r:id="rId60" xr:uid="{00000000-0004-0000-0600-00003B000000}"/>
    <hyperlink ref="E67" r:id="rId61" xr:uid="{00000000-0004-0000-0600-00003C000000}"/>
    <hyperlink ref="E68" r:id="rId62" xr:uid="{00000000-0004-0000-0600-00003D000000}"/>
    <hyperlink ref="E69" r:id="rId63" xr:uid="{00000000-0004-0000-0600-00003E000000}"/>
    <hyperlink ref="E70" r:id="rId64" xr:uid="{00000000-0004-0000-0600-00003F000000}"/>
    <hyperlink ref="E71" r:id="rId65" xr:uid="{00000000-0004-0000-0600-000040000000}"/>
    <hyperlink ref="E72" r:id="rId66" xr:uid="{00000000-0004-0000-0600-000041000000}"/>
    <hyperlink ref="E73" r:id="rId67" xr:uid="{00000000-0004-0000-0600-000042000000}"/>
    <hyperlink ref="E74" r:id="rId68" xr:uid="{00000000-0004-0000-0600-000043000000}"/>
    <hyperlink ref="E75" r:id="rId69" xr:uid="{00000000-0004-0000-0600-000044000000}"/>
    <hyperlink ref="E76" r:id="rId70" xr:uid="{00000000-0004-0000-0600-000045000000}"/>
    <hyperlink ref="E77" r:id="rId71" xr:uid="{00000000-0004-0000-0600-000046000000}"/>
    <hyperlink ref="E78" r:id="rId72" xr:uid="{00000000-0004-0000-0600-000047000000}"/>
    <hyperlink ref="E79" r:id="rId73" xr:uid="{00000000-0004-0000-0600-000048000000}"/>
    <hyperlink ref="E80" r:id="rId74" xr:uid="{00000000-0004-0000-0600-000049000000}"/>
    <hyperlink ref="E81" r:id="rId75" xr:uid="{00000000-0004-0000-0600-00004A000000}"/>
    <hyperlink ref="E82" r:id="rId76" xr:uid="{00000000-0004-0000-0600-00004B000000}"/>
    <hyperlink ref="E83" r:id="rId77" xr:uid="{00000000-0004-0000-0600-00004C000000}"/>
    <hyperlink ref="E84" r:id="rId78" xr:uid="{00000000-0004-0000-0600-00004D000000}"/>
    <hyperlink ref="E85" r:id="rId79" xr:uid="{00000000-0004-0000-0600-00004E000000}"/>
    <hyperlink ref="E86" r:id="rId80" xr:uid="{00000000-0004-0000-0600-00004F000000}"/>
    <hyperlink ref="E87" r:id="rId81" xr:uid="{00000000-0004-0000-0600-000050000000}"/>
    <hyperlink ref="E88" r:id="rId82" xr:uid="{00000000-0004-0000-0600-000051000000}"/>
    <hyperlink ref="E89" r:id="rId83" xr:uid="{00000000-0004-0000-0600-000052000000}"/>
    <hyperlink ref="E90" r:id="rId84" xr:uid="{00000000-0004-0000-0600-000053000000}"/>
  </hyperlinks>
  <pageMargins left="0.7" right="0.7" top="0.75" bottom="0.75" header="0.3" footer="0.3"/>
  <tableParts count="1">
    <tablePart r:id="rId8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98"/>
  <sheetViews>
    <sheetView showGridLines="0" workbookViewId="0">
      <pane xSplit="1" ySplit="6" topLeftCell="B7" activePane="bottomRight" state="frozen"/>
      <selection pane="topRight"/>
      <selection pane="bottomLeft"/>
      <selection pane="bottomRight" activeCell="B7" sqref="B7"/>
    </sheetView>
  </sheetViews>
  <sheetFormatPr baseColWidth="10" defaultColWidth="8.83203125" defaultRowHeight="14"/>
  <cols>
    <col min="1" max="1" width="28" customWidth="1"/>
    <col min="2" max="2" width="31" customWidth="1"/>
    <col min="3" max="3" width="29" customWidth="1"/>
    <col min="4" max="4" width="42" customWidth="1"/>
    <col min="5" max="5" width="65" customWidth="1"/>
    <col min="6" max="6" width="49" customWidth="1"/>
    <col min="7" max="7" width="16" customWidth="1"/>
    <col min="8" max="8" width="41" customWidth="1"/>
  </cols>
  <sheetData>
    <row r="1" spans="1:8" ht="24" customHeight="1">
      <c r="A1" s="2"/>
      <c r="B1" s="2"/>
      <c r="C1" s="2"/>
      <c r="D1" s="2"/>
      <c r="E1" s="2"/>
      <c r="F1" s="2"/>
      <c r="G1" s="2"/>
      <c r="H1" s="2"/>
    </row>
    <row r="2" spans="1:8" ht="24" customHeight="1">
      <c r="A2" s="3" t="s">
        <v>1861</v>
      </c>
      <c r="B2" s="2"/>
      <c r="C2" s="2"/>
      <c r="D2" s="2"/>
      <c r="E2" s="2"/>
      <c r="F2" s="2"/>
      <c r="G2" s="2"/>
      <c r="H2" s="2"/>
    </row>
    <row r="3" spans="1:8" ht="24" customHeight="1">
      <c r="A3" s="4"/>
      <c r="B3" s="4"/>
      <c r="C3" s="4"/>
      <c r="D3" s="4"/>
      <c r="E3" s="4"/>
      <c r="F3" s="4"/>
      <c r="G3" s="4"/>
      <c r="H3" s="4"/>
    </row>
    <row r="4" spans="1:8" ht="24" customHeight="1">
      <c r="A4" s="8" t="s">
        <v>1862</v>
      </c>
      <c r="B4" s="2"/>
      <c r="C4" s="2"/>
      <c r="D4" s="2"/>
      <c r="E4" s="2"/>
      <c r="F4" s="2"/>
      <c r="G4" s="2"/>
      <c r="H4" s="2"/>
    </row>
    <row r="5" spans="1:8" ht="24" customHeight="1">
      <c r="A5" s="2"/>
      <c r="B5" s="2"/>
      <c r="C5" s="2"/>
      <c r="D5" s="2"/>
      <c r="E5" s="2"/>
      <c r="F5" s="2"/>
      <c r="G5" s="2"/>
      <c r="H5" s="2"/>
    </row>
    <row r="6" spans="1:8" ht="42" customHeight="1">
      <c r="A6" s="9" t="s">
        <v>1262</v>
      </c>
      <c r="B6" s="9" t="s">
        <v>740</v>
      </c>
      <c r="C6" s="9" t="s">
        <v>42</v>
      </c>
      <c r="D6" s="9" t="s">
        <v>1863</v>
      </c>
      <c r="E6" s="9" t="s">
        <v>1864</v>
      </c>
      <c r="F6" s="9" t="s">
        <v>1865</v>
      </c>
      <c r="G6" s="9" t="s">
        <v>43</v>
      </c>
      <c r="H6" s="9" t="s">
        <v>750</v>
      </c>
    </row>
    <row r="7" spans="1:8" ht="38" customHeight="1">
      <c r="A7" s="10" t="s">
        <v>1866</v>
      </c>
      <c r="B7" s="10" t="s">
        <v>770</v>
      </c>
      <c r="C7" s="10" t="s">
        <v>761</v>
      </c>
      <c r="D7" s="10" t="s">
        <v>1867</v>
      </c>
      <c r="E7" s="10" t="s">
        <v>1868</v>
      </c>
      <c r="F7" s="10" t="s">
        <v>1869</v>
      </c>
      <c r="G7" s="10" t="s">
        <v>618</v>
      </c>
      <c r="H7" s="10" t="s">
        <v>763</v>
      </c>
    </row>
    <row r="8" spans="1:8" ht="38" customHeight="1">
      <c r="A8" s="11" t="s">
        <v>1870</v>
      </c>
      <c r="B8" s="11" t="s">
        <v>758</v>
      </c>
      <c r="C8" s="11" t="s">
        <v>761</v>
      </c>
      <c r="D8" s="11" t="s">
        <v>1867</v>
      </c>
      <c r="E8" s="11" t="s">
        <v>1871</v>
      </c>
      <c r="F8" s="11" t="s">
        <v>1872</v>
      </c>
      <c r="G8" s="11" t="s">
        <v>618</v>
      </c>
      <c r="H8" s="11" t="s">
        <v>763</v>
      </c>
    </row>
    <row r="9" spans="1:8" ht="38" customHeight="1">
      <c r="A9" s="10" t="s">
        <v>1873</v>
      </c>
      <c r="B9" s="10" t="s">
        <v>809</v>
      </c>
      <c r="C9" s="10" t="s">
        <v>812</v>
      </c>
      <c r="D9" s="10" t="s">
        <v>1874</v>
      </c>
      <c r="E9" s="10" t="s">
        <v>1875</v>
      </c>
      <c r="F9" s="10" t="s">
        <v>1876</v>
      </c>
      <c r="G9" s="10" t="s">
        <v>1877</v>
      </c>
      <c r="H9" s="10"/>
    </row>
    <row r="10" spans="1:8" ht="38" customHeight="1">
      <c r="A10" s="11" t="s">
        <v>1878</v>
      </c>
      <c r="B10" s="11" t="s">
        <v>820</v>
      </c>
      <c r="C10" s="11" t="s">
        <v>823</v>
      </c>
      <c r="D10" s="11" t="s">
        <v>1879</v>
      </c>
      <c r="E10" s="11" t="s">
        <v>1880</v>
      </c>
      <c r="F10" s="11" t="s">
        <v>1881</v>
      </c>
      <c r="G10" s="11" t="s">
        <v>69</v>
      </c>
      <c r="H10" s="11"/>
    </row>
    <row r="11" spans="1:8" ht="68" customHeight="1">
      <c r="A11" s="10" t="s">
        <v>1882</v>
      </c>
      <c r="B11" s="10" t="s">
        <v>828</v>
      </c>
      <c r="C11" s="10" t="s">
        <v>812</v>
      </c>
      <c r="D11" s="10" t="s">
        <v>1874</v>
      </c>
      <c r="E11" s="10" t="s">
        <v>1875</v>
      </c>
      <c r="F11" s="10" t="s">
        <v>1883</v>
      </c>
      <c r="G11" s="10" t="s">
        <v>1877</v>
      </c>
      <c r="H11" s="10"/>
    </row>
    <row r="12" spans="1:8" ht="68" customHeight="1">
      <c r="A12" s="11" t="s">
        <v>1884</v>
      </c>
      <c r="B12" s="11" t="s">
        <v>817</v>
      </c>
      <c r="C12" s="11" t="s">
        <v>812</v>
      </c>
      <c r="D12" s="11" t="s">
        <v>1874</v>
      </c>
      <c r="E12" s="11" t="s">
        <v>1875</v>
      </c>
      <c r="F12" s="11" t="s">
        <v>1885</v>
      </c>
      <c r="G12" s="11" t="s">
        <v>1877</v>
      </c>
      <c r="H12" s="11"/>
    </row>
    <row r="13" spans="1:8" ht="68" customHeight="1">
      <c r="A13" s="10" t="s">
        <v>1886</v>
      </c>
      <c r="B13" s="10" t="s">
        <v>832</v>
      </c>
      <c r="C13" s="10" t="s">
        <v>812</v>
      </c>
      <c r="D13" s="10" t="s">
        <v>1874</v>
      </c>
      <c r="E13" s="10" t="s">
        <v>1875</v>
      </c>
      <c r="F13" s="10" t="s">
        <v>1887</v>
      </c>
      <c r="G13" s="10" t="s">
        <v>1877</v>
      </c>
      <c r="H13" s="10"/>
    </row>
    <row r="14" spans="1:8" ht="68" customHeight="1">
      <c r="A14" s="11" t="s">
        <v>1888</v>
      </c>
      <c r="B14" s="11" t="s">
        <v>836</v>
      </c>
      <c r="C14" s="11" t="s">
        <v>812</v>
      </c>
      <c r="D14" s="11" t="s">
        <v>1874</v>
      </c>
      <c r="E14" s="11" t="s">
        <v>1875</v>
      </c>
      <c r="F14" s="11" t="s">
        <v>1889</v>
      </c>
      <c r="G14" s="11" t="s">
        <v>1877</v>
      </c>
      <c r="H14" s="11"/>
    </row>
    <row r="15" spans="1:8" ht="68" customHeight="1">
      <c r="A15" s="10" t="s">
        <v>1890</v>
      </c>
      <c r="B15" s="10" t="s">
        <v>840</v>
      </c>
      <c r="C15" s="10" t="s">
        <v>812</v>
      </c>
      <c r="D15" s="10" t="s">
        <v>1874</v>
      </c>
      <c r="E15" s="10" t="s">
        <v>1875</v>
      </c>
      <c r="F15" s="10" t="s">
        <v>1891</v>
      </c>
      <c r="G15" s="10" t="s">
        <v>1877</v>
      </c>
      <c r="H15" s="10"/>
    </row>
    <row r="16" spans="1:8" ht="68" customHeight="1">
      <c r="A16" s="11" t="s">
        <v>1892</v>
      </c>
      <c r="B16" s="11" t="s">
        <v>842</v>
      </c>
      <c r="C16" s="11" t="s">
        <v>812</v>
      </c>
      <c r="D16" s="11" t="s">
        <v>1874</v>
      </c>
      <c r="E16" s="11" t="s">
        <v>1875</v>
      </c>
      <c r="F16" s="11" t="s">
        <v>1893</v>
      </c>
      <c r="G16" s="11" t="s">
        <v>1877</v>
      </c>
      <c r="H16" s="11"/>
    </row>
    <row r="17" spans="1:8" ht="68" customHeight="1">
      <c r="A17" s="10" t="s">
        <v>1894</v>
      </c>
      <c r="B17" s="10" t="s">
        <v>844</v>
      </c>
      <c r="C17" s="10" t="s">
        <v>812</v>
      </c>
      <c r="D17" s="10" t="s">
        <v>1874</v>
      </c>
      <c r="E17" s="10" t="s">
        <v>1875</v>
      </c>
      <c r="F17" s="10" t="s">
        <v>1895</v>
      </c>
      <c r="G17" s="10" t="s">
        <v>1877</v>
      </c>
      <c r="H17" s="10"/>
    </row>
    <row r="18" spans="1:8" ht="110" customHeight="1">
      <c r="A18" s="11" t="s">
        <v>1896</v>
      </c>
      <c r="B18" s="11" t="s">
        <v>848</v>
      </c>
      <c r="C18" s="11" t="s">
        <v>761</v>
      </c>
      <c r="D18" s="11" t="s">
        <v>1897</v>
      </c>
      <c r="E18" s="11" t="s">
        <v>1898</v>
      </c>
      <c r="F18" s="11" t="s">
        <v>1899</v>
      </c>
      <c r="G18" s="11" t="s">
        <v>69</v>
      </c>
      <c r="H18" s="11"/>
    </row>
    <row r="19" spans="1:8" ht="110" customHeight="1">
      <c r="A19" s="10" t="s">
        <v>1900</v>
      </c>
      <c r="B19" s="10" t="s">
        <v>848</v>
      </c>
      <c r="C19" s="10" t="s">
        <v>812</v>
      </c>
      <c r="D19" s="10" t="s">
        <v>1901</v>
      </c>
      <c r="E19" s="10" t="s">
        <v>1902</v>
      </c>
      <c r="F19" s="10" t="s">
        <v>1903</v>
      </c>
      <c r="G19" s="10" t="s">
        <v>1877</v>
      </c>
      <c r="H19" s="10"/>
    </row>
    <row r="20" spans="1:8" ht="110" customHeight="1">
      <c r="A20" s="11" t="s">
        <v>1904</v>
      </c>
      <c r="B20" s="11" t="s">
        <v>848</v>
      </c>
      <c r="C20" s="11" t="s">
        <v>761</v>
      </c>
      <c r="D20" s="11" t="s">
        <v>1905</v>
      </c>
      <c r="E20" s="11" t="s">
        <v>1906</v>
      </c>
      <c r="F20" s="11" t="s">
        <v>1907</v>
      </c>
      <c r="G20" s="11" t="s">
        <v>1877</v>
      </c>
      <c r="H20" s="11"/>
    </row>
    <row r="21" spans="1:8" ht="110" customHeight="1">
      <c r="A21" s="10" t="s">
        <v>1908</v>
      </c>
      <c r="B21" s="10" t="s">
        <v>848</v>
      </c>
      <c r="C21" s="10" t="s">
        <v>761</v>
      </c>
      <c r="D21" s="10" t="s">
        <v>1909</v>
      </c>
      <c r="E21" s="10" t="s">
        <v>1910</v>
      </c>
      <c r="F21" s="10" t="s">
        <v>1911</v>
      </c>
      <c r="G21" s="10" t="s">
        <v>1877</v>
      </c>
      <c r="H21" s="10"/>
    </row>
    <row r="22" spans="1:8" ht="110" customHeight="1">
      <c r="A22" s="11" t="s">
        <v>1912</v>
      </c>
      <c r="B22" s="11" t="s">
        <v>886</v>
      </c>
      <c r="C22" s="11" t="s">
        <v>761</v>
      </c>
      <c r="D22" s="11" t="s">
        <v>1913</v>
      </c>
      <c r="E22" s="11" t="s">
        <v>1559</v>
      </c>
      <c r="F22" s="11" t="s">
        <v>1914</v>
      </c>
      <c r="G22" s="11" t="s">
        <v>69</v>
      </c>
      <c r="H22" s="11"/>
    </row>
    <row r="23" spans="1:8" ht="110" customHeight="1">
      <c r="A23" s="10" t="s">
        <v>1915</v>
      </c>
      <c r="B23" s="10" t="s">
        <v>886</v>
      </c>
      <c r="C23" s="10" t="s">
        <v>761</v>
      </c>
      <c r="D23" s="10" t="s">
        <v>1916</v>
      </c>
      <c r="E23" s="10" t="s">
        <v>1917</v>
      </c>
      <c r="F23" s="10" t="s">
        <v>1918</v>
      </c>
      <c r="G23" s="10" t="s">
        <v>1877</v>
      </c>
      <c r="H23" s="10"/>
    </row>
    <row r="24" spans="1:8" ht="110" customHeight="1">
      <c r="A24" s="11" t="s">
        <v>1919</v>
      </c>
      <c r="B24" s="11" t="s">
        <v>886</v>
      </c>
      <c r="C24" s="11" t="s">
        <v>761</v>
      </c>
      <c r="D24" s="11" t="s">
        <v>1920</v>
      </c>
      <c r="E24" s="11" t="s">
        <v>1921</v>
      </c>
      <c r="F24" s="11" t="s">
        <v>1922</v>
      </c>
      <c r="G24" s="11" t="s">
        <v>1877</v>
      </c>
      <c r="H24" s="11"/>
    </row>
    <row r="25" spans="1:8" ht="118" customHeight="1">
      <c r="A25" s="10" t="s">
        <v>1923</v>
      </c>
      <c r="B25" s="10" t="s">
        <v>903</v>
      </c>
      <c r="C25" s="10" t="s">
        <v>761</v>
      </c>
      <c r="D25" s="10" t="s">
        <v>1924</v>
      </c>
      <c r="E25" s="10" t="s">
        <v>1925</v>
      </c>
      <c r="F25" s="10" t="s">
        <v>1926</v>
      </c>
      <c r="G25" s="10" t="s">
        <v>69</v>
      </c>
      <c r="H25" s="10"/>
    </row>
    <row r="26" spans="1:8" ht="118" customHeight="1">
      <c r="A26" s="11" t="s">
        <v>1927</v>
      </c>
      <c r="B26" s="11" t="s">
        <v>903</v>
      </c>
      <c r="C26" s="11" t="s">
        <v>812</v>
      </c>
      <c r="D26" s="11" t="s">
        <v>1928</v>
      </c>
      <c r="E26" s="11" t="s">
        <v>1929</v>
      </c>
      <c r="F26" s="11" t="s">
        <v>1930</v>
      </c>
      <c r="G26" s="11" t="s">
        <v>1877</v>
      </c>
      <c r="H26" s="11"/>
    </row>
    <row r="27" spans="1:8" ht="118" customHeight="1">
      <c r="A27" s="10" t="s">
        <v>1931</v>
      </c>
      <c r="B27" s="10" t="s">
        <v>903</v>
      </c>
      <c r="C27" s="10" t="s">
        <v>761</v>
      </c>
      <c r="D27" s="10" t="s">
        <v>1932</v>
      </c>
      <c r="E27" s="10" t="s">
        <v>1933</v>
      </c>
      <c r="F27" s="10" t="s">
        <v>1934</v>
      </c>
      <c r="G27" s="10" t="s">
        <v>69</v>
      </c>
      <c r="H27" s="10"/>
    </row>
    <row r="28" spans="1:8" ht="118" customHeight="1">
      <c r="A28" s="11" t="s">
        <v>1935</v>
      </c>
      <c r="B28" s="11" t="s">
        <v>905</v>
      </c>
      <c r="C28" s="11" t="s">
        <v>823</v>
      </c>
      <c r="D28" s="11" t="s">
        <v>1936</v>
      </c>
      <c r="E28" s="11" t="s">
        <v>1937</v>
      </c>
      <c r="F28" s="11" t="s">
        <v>1938</v>
      </c>
      <c r="G28" s="11" t="s">
        <v>69</v>
      </c>
      <c r="H28" s="11"/>
    </row>
    <row r="29" spans="1:8" ht="118" customHeight="1">
      <c r="A29" s="10" t="s">
        <v>1939</v>
      </c>
      <c r="B29" s="10" t="s">
        <v>903</v>
      </c>
      <c r="C29" s="10" t="s">
        <v>761</v>
      </c>
      <c r="D29" s="10" t="s">
        <v>1940</v>
      </c>
      <c r="E29" s="10" t="s">
        <v>1941</v>
      </c>
      <c r="F29" s="10" t="s">
        <v>1942</v>
      </c>
      <c r="G29" s="10" t="s">
        <v>1877</v>
      </c>
      <c r="H29" s="10"/>
    </row>
    <row r="30" spans="1:8" ht="118" customHeight="1">
      <c r="A30" s="11" t="s">
        <v>1943</v>
      </c>
      <c r="B30" s="11" t="s">
        <v>936</v>
      </c>
      <c r="C30" s="11" t="s">
        <v>761</v>
      </c>
      <c r="D30" s="11" t="s">
        <v>1944</v>
      </c>
      <c r="E30" s="11" t="s">
        <v>1945</v>
      </c>
      <c r="F30" s="11" t="s">
        <v>1946</v>
      </c>
      <c r="G30" s="11" t="s">
        <v>69</v>
      </c>
      <c r="H30" s="11"/>
    </row>
    <row r="31" spans="1:8" ht="118" customHeight="1">
      <c r="A31" s="10" t="s">
        <v>1947</v>
      </c>
      <c r="B31" s="10" t="s">
        <v>936</v>
      </c>
      <c r="C31" s="10" t="s">
        <v>761</v>
      </c>
      <c r="D31" s="10" t="s">
        <v>1948</v>
      </c>
      <c r="E31" s="10" t="s">
        <v>1949</v>
      </c>
      <c r="F31" s="10" t="s">
        <v>1950</v>
      </c>
      <c r="G31" s="10" t="s">
        <v>1877</v>
      </c>
      <c r="H31" s="10"/>
    </row>
    <row r="32" spans="1:8" ht="118" customHeight="1">
      <c r="A32" s="11" t="s">
        <v>1951</v>
      </c>
      <c r="B32" s="11" t="s">
        <v>936</v>
      </c>
      <c r="C32" s="11" t="s">
        <v>761</v>
      </c>
      <c r="D32" s="11" t="s">
        <v>1952</v>
      </c>
      <c r="E32" s="11" t="s">
        <v>1953</v>
      </c>
      <c r="F32" s="11" t="s">
        <v>1954</v>
      </c>
      <c r="G32" s="11" t="s">
        <v>1877</v>
      </c>
      <c r="H32" s="11"/>
    </row>
    <row r="33" spans="1:8" ht="118" customHeight="1">
      <c r="A33" s="10" t="s">
        <v>1955</v>
      </c>
      <c r="B33" s="10" t="s">
        <v>912</v>
      </c>
      <c r="C33" s="10" t="s">
        <v>812</v>
      </c>
      <c r="D33" s="10" t="s">
        <v>1956</v>
      </c>
      <c r="E33" s="10" t="s">
        <v>1957</v>
      </c>
      <c r="F33" s="10" t="s">
        <v>1958</v>
      </c>
      <c r="G33" s="10" t="s">
        <v>1877</v>
      </c>
      <c r="H33" s="10"/>
    </row>
    <row r="34" spans="1:8" ht="118" customHeight="1">
      <c r="A34" s="11" t="s">
        <v>1959</v>
      </c>
      <c r="B34" s="11" t="s">
        <v>917</v>
      </c>
      <c r="C34" s="11" t="s">
        <v>812</v>
      </c>
      <c r="D34" s="11" t="s">
        <v>1956</v>
      </c>
      <c r="E34" s="11" t="s">
        <v>1957</v>
      </c>
      <c r="F34" s="11" t="s">
        <v>1958</v>
      </c>
      <c r="G34" s="11" t="s">
        <v>1877</v>
      </c>
      <c r="H34" s="11"/>
    </row>
    <row r="35" spans="1:8" ht="118" customHeight="1">
      <c r="A35" s="10" t="s">
        <v>1960</v>
      </c>
      <c r="B35" s="10" t="s">
        <v>923</v>
      </c>
      <c r="C35" s="10" t="s">
        <v>823</v>
      </c>
      <c r="D35" s="10" t="s">
        <v>1961</v>
      </c>
      <c r="E35" s="10" t="s">
        <v>1962</v>
      </c>
      <c r="F35" s="10" t="s">
        <v>1963</v>
      </c>
      <c r="G35" s="10" t="s">
        <v>69</v>
      </c>
      <c r="H35" s="10"/>
    </row>
    <row r="36" spans="1:8" ht="118" customHeight="1">
      <c r="A36" s="11" t="s">
        <v>1964</v>
      </c>
      <c r="B36" s="11" t="s">
        <v>923</v>
      </c>
      <c r="C36" s="11" t="s">
        <v>823</v>
      </c>
      <c r="D36" s="11" t="s">
        <v>1965</v>
      </c>
      <c r="E36" s="11" t="s">
        <v>1966</v>
      </c>
      <c r="F36" s="11" t="s">
        <v>1967</v>
      </c>
      <c r="G36" s="11" t="s">
        <v>1877</v>
      </c>
      <c r="H36" s="11"/>
    </row>
    <row r="37" spans="1:8" ht="118" customHeight="1">
      <c r="A37" s="10" t="s">
        <v>1968</v>
      </c>
      <c r="B37" s="10" t="s">
        <v>923</v>
      </c>
      <c r="C37" s="10" t="s">
        <v>823</v>
      </c>
      <c r="D37" s="10" t="s">
        <v>1969</v>
      </c>
      <c r="E37" s="10" t="s">
        <v>1970</v>
      </c>
      <c r="F37" s="10" t="s">
        <v>1971</v>
      </c>
      <c r="G37" s="10" t="s">
        <v>1877</v>
      </c>
      <c r="H37" s="10"/>
    </row>
    <row r="38" spans="1:8" ht="118" customHeight="1">
      <c r="A38" s="11" t="s">
        <v>1972</v>
      </c>
      <c r="B38" s="11" t="s">
        <v>926</v>
      </c>
      <c r="C38" s="11" t="s">
        <v>761</v>
      </c>
      <c r="D38" s="11" t="s">
        <v>1973</v>
      </c>
      <c r="E38" s="11" t="s">
        <v>1974</v>
      </c>
      <c r="F38" s="11" t="s">
        <v>1975</v>
      </c>
      <c r="G38" s="11" t="s">
        <v>1877</v>
      </c>
      <c r="H38" s="11"/>
    </row>
    <row r="39" spans="1:8" ht="118" customHeight="1">
      <c r="A39" s="10" t="s">
        <v>1976</v>
      </c>
      <c r="B39" s="10" t="s">
        <v>926</v>
      </c>
      <c r="C39" s="10" t="s">
        <v>761</v>
      </c>
      <c r="D39" s="10" t="s">
        <v>1977</v>
      </c>
      <c r="E39" s="10" t="s">
        <v>1978</v>
      </c>
      <c r="F39" s="10" t="s">
        <v>1979</v>
      </c>
      <c r="G39" s="10" t="s">
        <v>69</v>
      </c>
      <c r="H39" s="10"/>
    </row>
    <row r="40" spans="1:8" ht="118" customHeight="1">
      <c r="A40" s="11" t="s">
        <v>1980</v>
      </c>
      <c r="B40" s="11" t="s">
        <v>926</v>
      </c>
      <c r="C40" s="11" t="s">
        <v>761</v>
      </c>
      <c r="D40" s="11" t="s">
        <v>1981</v>
      </c>
      <c r="E40" s="11" t="s">
        <v>1982</v>
      </c>
      <c r="F40" s="11" t="s">
        <v>1983</v>
      </c>
      <c r="G40" s="11" t="s">
        <v>1877</v>
      </c>
      <c r="H40" s="11"/>
    </row>
    <row r="41" spans="1:8" ht="118" customHeight="1">
      <c r="A41" s="10" t="s">
        <v>1984</v>
      </c>
      <c r="B41" s="10" t="s">
        <v>935</v>
      </c>
      <c r="C41" s="10" t="s">
        <v>761</v>
      </c>
      <c r="D41" s="10" t="s">
        <v>1973</v>
      </c>
      <c r="E41" s="10" t="s">
        <v>1974</v>
      </c>
      <c r="F41" s="10" t="s">
        <v>1975</v>
      </c>
      <c r="G41" s="10" t="s">
        <v>1877</v>
      </c>
      <c r="H41" s="10"/>
    </row>
    <row r="42" spans="1:8" ht="118" customHeight="1">
      <c r="A42" s="11" t="s">
        <v>1985</v>
      </c>
      <c r="B42" s="11" t="s">
        <v>935</v>
      </c>
      <c r="C42" s="11" t="s">
        <v>761</v>
      </c>
      <c r="D42" s="11" t="s">
        <v>1977</v>
      </c>
      <c r="E42" s="11" t="s">
        <v>1978</v>
      </c>
      <c r="F42" s="11" t="s">
        <v>1979</v>
      </c>
      <c r="G42" s="11" t="s">
        <v>69</v>
      </c>
      <c r="H42" s="11"/>
    </row>
    <row r="43" spans="1:8" ht="118" customHeight="1">
      <c r="A43" s="10" t="s">
        <v>1986</v>
      </c>
      <c r="B43" s="10" t="s">
        <v>935</v>
      </c>
      <c r="C43" s="10" t="s">
        <v>761</v>
      </c>
      <c r="D43" s="10" t="s">
        <v>1981</v>
      </c>
      <c r="E43" s="10" t="s">
        <v>1982</v>
      </c>
      <c r="F43" s="10" t="s">
        <v>1983</v>
      </c>
      <c r="G43" s="10" t="s">
        <v>1877</v>
      </c>
      <c r="H43" s="10"/>
    </row>
    <row r="44" spans="1:8" ht="118" customHeight="1">
      <c r="A44" s="11" t="s">
        <v>1987</v>
      </c>
      <c r="B44" s="11" t="s">
        <v>952</v>
      </c>
      <c r="C44" s="11" t="s">
        <v>761</v>
      </c>
      <c r="D44" s="11" t="s">
        <v>1988</v>
      </c>
      <c r="E44" s="11" t="s">
        <v>1989</v>
      </c>
      <c r="F44" s="11" t="s">
        <v>954</v>
      </c>
      <c r="G44" s="11" t="s">
        <v>1877</v>
      </c>
      <c r="H44" s="11"/>
    </row>
    <row r="45" spans="1:8" ht="118" customHeight="1">
      <c r="A45" s="10" t="s">
        <v>1990</v>
      </c>
      <c r="B45" s="10" t="s">
        <v>956</v>
      </c>
      <c r="C45" s="10" t="s">
        <v>823</v>
      </c>
      <c r="D45" s="10" t="s">
        <v>1991</v>
      </c>
      <c r="E45" s="10" t="s">
        <v>1992</v>
      </c>
      <c r="F45" s="10" t="s">
        <v>958</v>
      </c>
      <c r="G45" s="10" t="s">
        <v>1877</v>
      </c>
      <c r="H45" s="10"/>
    </row>
    <row r="46" spans="1:8" ht="118" customHeight="1">
      <c r="A46" s="11" t="s">
        <v>1993</v>
      </c>
      <c r="B46" s="11" t="s">
        <v>959</v>
      </c>
      <c r="C46" s="11" t="s">
        <v>761</v>
      </c>
      <c r="D46" s="11" t="s">
        <v>1988</v>
      </c>
      <c r="E46" s="11" t="s">
        <v>1994</v>
      </c>
      <c r="F46" s="11" t="s">
        <v>961</v>
      </c>
      <c r="G46" s="11" t="s">
        <v>1877</v>
      </c>
      <c r="H46" s="11"/>
    </row>
    <row r="47" spans="1:8" ht="118" customHeight="1">
      <c r="A47" s="10" t="s">
        <v>1995</v>
      </c>
      <c r="B47" s="10" t="s">
        <v>962</v>
      </c>
      <c r="C47" s="10" t="s">
        <v>823</v>
      </c>
      <c r="D47" s="10" t="s">
        <v>1991</v>
      </c>
      <c r="E47" s="10" t="s">
        <v>1996</v>
      </c>
      <c r="F47" s="10" t="s">
        <v>964</v>
      </c>
      <c r="G47" s="10" t="s">
        <v>1877</v>
      </c>
      <c r="H47" s="10"/>
    </row>
    <row r="48" spans="1:8" ht="118" customHeight="1">
      <c r="A48" s="11" t="s">
        <v>1997</v>
      </c>
      <c r="B48" s="11" t="s">
        <v>965</v>
      </c>
      <c r="C48" s="11" t="s">
        <v>761</v>
      </c>
      <c r="D48" s="11" t="s">
        <v>1988</v>
      </c>
      <c r="E48" s="11" t="s">
        <v>1998</v>
      </c>
      <c r="F48" s="11" t="s">
        <v>967</v>
      </c>
      <c r="G48" s="11" t="s">
        <v>1877</v>
      </c>
      <c r="H48" s="11"/>
    </row>
    <row r="49" spans="1:8" ht="118" customHeight="1">
      <c r="A49" s="10" t="s">
        <v>1999</v>
      </c>
      <c r="B49" s="10" t="s">
        <v>968</v>
      </c>
      <c r="C49" s="10" t="s">
        <v>761</v>
      </c>
      <c r="D49" s="10" t="s">
        <v>1988</v>
      </c>
      <c r="E49" s="10" t="s">
        <v>2000</v>
      </c>
      <c r="F49" s="10" t="s">
        <v>970</v>
      </c>
      <c r="G49" s="10" t="s">
        <v>1877</v>
      </c>
      <c r="H49" s="10"/>
    </row>
    <row r="50" spans="1:8" ht="118" customHeight="1">
      <c r="A50" s="11" t="s">
        <v>2001</v>
      </c>
      <c r="B50" s="11" t="s">
        <v>971</v>
      </c>
      <c r="C50" s="11" t="s">
        <v>823</v>
      </c>
      <c r="D50" s="11" t="s">
        <v>1991</v>
      </c>
      <c r="E50" s="11" t="s">
        <v>2002</v>
      </c>
      <c r="F50" s="11" t="s">
        <v>973</v>
      </c>
      <c r="G50" s="11" t="s">
        <v>1877</v>
      </c>
      <c r="H50" s="11"/>
    </row>
    <row r="51" spans="1:8" ht="118" customHeight="1">
      <c r="A51" s="10" t="s">
        <v>2003</v>
      </c>
      <c r="B51" s="10" t="s">
        <v>974</v>
      </c>
      <c r="C51" s="10" t="s">
        <v>812</v>
      </c>
      <c r="D51" s="10" t="s">
        <v>1988</v>
      </c>
      <c r="E51" s="10" t="s">
        <v>2004</v>
      </c>
      <c r="F51" s="10" t="s">
        <v>976</v>
      </c>
      <c r="G51" s="10" t="s">
        <v>1877</v>
      </c>
      <c r="H51" s="10"/>
    </row>
    <row r="52" spans="1:8" ht="118" customHeight="1">
      <c r="A52" s="11" t="s">
        <v>2005</v>
      </c>
      <c r="B52" s="11" t="s">
        <v>977</v>
      </c>
      <c r="C52" s="11" t="s">
        <v>761</v>
      </c>
      <c r="D52" s="11" t="s">
        <v>1988</v>
      </c>
      <c r="E52" s="11" t="s">
        <v>2006</v>
      </c>
      <c r="F52" s="11" t="s">
        <v>979</v>
      </c>
      <c r="G52" s="11" t="s">
        <v>1877</v>
      </c>
      <c r="H52" s="11"/>
    </row>
    <row r="53" spans="1:8" ht="118" customHeight="1">
      <c r="A53" s="10" t="s">
        <v>2007</v>
      </c>
      <c r="B53" s="10" t="s">
        <v>980</v>
      </c>
      <c r="C53" s="10" t="s">
        <v>761</v>
      </c>
      <c r="D53" s="10" t="s">
        <v>1988</v>
      </c>
      <c r="E53" s="10" t="s">
        <v>2008</v>
      </c>
      <c r="F53" s="10" t="s">
        <v>774</v>
      </c>
      <c r="G53" s="10" t="s">
        <v>1877</v>
      </c>
      <c r="H53" s="10"/>
    </row>
    <row r="54" spans="1:8" ht="118" customHeight="1">
      <c r="A54" s="11" t="s">
        <v>2009</v>
      </c>
      <c r="B54" s="11" t="s">
        <v>974</v>
      </c>
      <c r="C54" s="11" t="s">
        <v>812</v>
      </c>
      <c r="D54" s="11" t="s">
        <v>2010</v>
      </c>
      <c r="E54" s="11" t="s">
        <v>2011</v>
      </c>
      <c r="F54" s="11" t="s">
        <v>976</v>
      </c>
      <c r="G54" s="11" t="s">
        <v>1877</v>
      </c>
      <c r="H54" s="11"/>
    </row>
    <row r="55" spans="1:8" ht="118" customHeight="1">
      <c r="A55" s="10" t="s">
        <v>2012</v>
      </c>
      <c r="B55" s="10" t="s">
        <v>977</v>
      </c>
      <c r="C55" s="10" t="s">
        <v>761</v>
      </c>
      <c r="D55" s="10" t="s">
        <v>2010</v>
      </c>
      <c r="E55" s="10" t="s">
        <v>2013</v>
      </c>
      <c r="F55" s="10" t="s">
        <v>2014</v>
      </c>
      <c r="G55" s="10" t="s">
        <v>1877</v>
      </c>
      <c r="H55" s="10"/>
    </row>
    <row r="56" spans="1:8" ht="118" customHeight="1">
      <c r="A56" s="11" t="s">
        <v>2015</v>
      </c>
      <c r="B56" s="11" t="s">
        <v>985</v>
      </c>
      <c r="C56" s="11" t="s">
        <v>761</v>
      </c>
      <c r="D56" s="11" t="s">
        <v>2016</v>
      </c>
      <c r="E56" s="11" t="s">
        <v>2017</v>
      </c>
      <c r="F56" s="11" t="s">
        <v>1185</v>
      </c>
      <c r="G56" s="11" t="s">
        <v>1877</v>
      </c>
      <c r="H56" s="11"/>
    </row>
    <row r="57" spans="1:8" ht="118" customHeight="1">
      <c r="A57" s="10" t="s">
        <v>2018</v>
      </c>
      <c r="B57" s="10" t="s">
        <v>985</v>
      </c>
      <c r="C57" s="10" t="s">
        <v>761</v>
      </c>
      <c r="D57" s="10" t="s">
        <v>2019</v>
      </c>
      <c r="E57" s="10" t="s">
        <v>2020</v>
      </c>
      <c r="F57" s="10" t="s">
        <v>2021</v>
      </c>
      <c r="G57" s="10" t="s">
        <v>1877</v>
      </c>
      <c r="H57" s="10"/>
    </row>
    <row r="58" spans="1:8" ht="118" customHeight="1">
      <c r="A58" s="11" t="s">
        <v>2022</v>
      </c>
      <c r="B58" s="11" t="s">
        <v>985</v>
      </c>
      <c r="C58" s="11" t="s">
        <v>812</v>
      </c>
      <c r="D58" s="11" t="s">
        <v>2023</v>
      </c>
      <c r="E58" s="11" t="s">
        <v>2024</v>
      </c>
      <c r="F58" s="11" t="s">
        <v>2025</v>
      </c>
      <c r="G58" s="11" t="s">
        <v>1877</v>
      </c>
      <c r="H58" s="11"/>
    </row>
    <row r="59" spans="1:8" ht="118" customHeight="1">
      <c r="A59" s="10" t="s">
        <v>2026</v>
      </c>
      <c r="B59" s="10" t="s">
        <v>996</v>
      </c>
      <c r="C59" s="10" t="s">
        <v>761</v>
      </c>
      <c r="D59" s="10" t="s">
        <v>2016</v>
      </c>
      <c r="E59" s="10" t="s">
        <v>2027</v>
      </c>
      <c r="F59" s="10" t="s">
        <v>998</v>
      </c>
      <c r="G59" s="10" t="s">
        <v>1877</v>
      </c>
      <c r="H59" s="10"/>
    </row>
    <row r="60" spans="1:8" ht="118" customHeight="1">
      <c r="A60" s="11" t="s">
        <v>2028</v>
      </c>
      <c r="B60" s="11" t="s">
        <v>996</v>
      </c>
      <c r="C60" s="11" t="s">
        <v>761</v>
      </c>
      <c r="D60" s="11" t="s">
        <v>2019</v>
      </c>
      <c r="E60" s="11" t="s">
        <v>2020</v>
      </c>
      <c r="F60" s="11" t="s">
        <v>2021</v>
      </c>
      <c r="G60" s="11" t="s">
        <v>1877</v>
      </c>
      <c r="H60" s="11"/>
    </row>
    <row r="61" spans="1:8" ht="118" customHeight="1">
      <c r="A61" s="10" t="s">
        <v>2029</v>
      </c>
      <c r="B61" s="10" t="s">
        <v>996</v>
      </c>
      <c r="C61" s="10" t="s">
        <v>812</v>
      </c>
      <c r="D61" s="10" t="s">
        <v>2023</v>
      </c>
      <c r="E61" s="10" t="s">
        <v>2030</v>
      </c>
      <c r="F61" s="10" t="s">
        <v>2031</v>
      </c>
      <c r="G61" s="10" t="s">
        <v>1877</v>
      </c>
      <c r="H61" s="10"/>
    </row>
    <row r="62" spans="1:8" ht="118" customHeight="1">
      <c r="A62" s="11" t="s">
        <v>2032</v>
      </c>
      <c r="B62" s="11" t="s">
        <v>999</v>
      </c>
      <c r="C62" s="11" t="s">
        <v>761</v>
      </c>
      <c r="D62" s="11" t="s">
        <v>2016</v>
      </c>
      <c r="E62" s="11" t="s">
        <v>2033</v>
      </c>
      <c r="F62" s="11" t="s">
        <v>1202</v>
      </c>
      <c r="G62" s="11" t="s">
        <v>1877</v>
      </c>
      <c r="H62" s="11"/>
    </row>
    <row r="63" spans="1:8" ht="118" customHeight="1">
      <c r="A63" s="10" t="s">
        <v>2034</v>
      </c>
      <c r="B63" s="10" t="s">
        <v>999</v>
      </c>
      <c r="C63" s="10" t="s">
        <v>761</v>
      </c>
      <c r="D63" s="10" t="s">
        <v>2019</v>
      </c>
      <c r="E63" s="10" t="s">
        <v>2020</v>
      </c>
      <c r="F63" s="10" t="s">
        <v>2021</v>
      </c>
      <c r="G63" s="10" t="s">
        <v>1877</v>
      </c>
      <c r="H63" s="10"/>
    </row>
    <row r="64" spans="1:8" ht="118" customHeight="1">
      <c r="A64" s="11" t="s">
        <v>2035</v>
      </c>
      <c r="B64" s="11" t="s">
        <v>999</v>
      </c>
      <c r="C64" s="11" t="s">
        <v>812</v>
      </c>
      <c r="D64" s="11" t="s">
        <v>2023</v>
      </c>
      <c r="E64" s="11" t="s">
        <v>2036</v>
      </c>
      <c r="F64" s="11" t="s">
        <v>2037</v>
      </c>
      <c r="G64" s="11" t="s">
        <v>1877</v>
      </c>
      <c r="H64" s="11"/>
    </row>
    <row r="65" spans="1:8" ht="118" customHeight="1">
      <c r="A65" s="10" t="s">
        <v>2038</v>
      </c>
      <c r="B65" s="10" t="s">
        <v>1003</v>
      </c>
      <c r="C65" s="10" t="s">
        <v>761</v>
      </c>
      <c r="D65" s="10" t="s">
        <v>2016</v>
      </c>
      <c r="E65" s="10" t="s">
        <v>2039</v>
      </c>
      <c r="F65" s="10" t="s">
        <v>1207</v>
      </c>
      <c r="G65" s="10" t="s">
        <v>1877</v>
      </c>
      <c r="H65" s="10"/>
    </row>
    <row r="66" spans="1:8" ht="118" customHeight="1">
      <c r="A66" s="11" t="s">
        <v>2040</v>
      </c>
      <c r="B66" s="11" t="s">
        <v>1003</v>
      </c>
      <c r="C66" s="11" t="s">
        <v>761</v>
      </c>
      <c r="D66" s="11" t="s">
        <v>2019</v>
      </c>
      <c r="E66" s="11" t="s">
        <v>2020</v>
      </c>
      <c r="F66" s="11" t="s">
        <v>2021</v>
      </c>
      <c r="G66" s="11" t="s">
        <v>1877</v>
      </c>
      <c r="H66" s="11"/>
    </row>
    <row r="67" spans="1:8" ht="118" customHeight="1">
      <c r="A67" s="10" t="s">
        <v>2041</v>
      </c>
      <c r="B67" s="10" t="s">
        <v>1003</v>
      </c>
      <c r="C67" s="10" t="s">
        <v>812</v>
      </c>
      <c r="D67" s="10" t="s">
        <v>2023</v>
      </c>
      <c r="E67" s="10" t="s">
        <v>2030</v>
      </c>
      <c r="F67" s="10" t="s">
        <v>2042</v>
      </c>
      <c r="G67" s="10" t="s">
        <v>1877</v>
      </c>
      <c r="H67" s="10"/>
    </row>
    <row r="68" spans="1:8" ht="118" customHeight="1">
      <c r="A68" s="11" t="s">
        <v>2043</v>
      </c>
      <c r="B68" s="11" t="s">
        <v>1009</v>
      </c>
      <c r="C68" s="11" t="s">
        <v>761</v>
      </c>
      <c r="D68" s="11" t="s">
        <v>2016</v>
      </c>
      <c r="E68" s="11" t="s">
        <v>2044</v>
      </c>
      <c r="F68" s="11" t="s">
        <v>1212</v>
      </c>
      <c r="G68" s="11" t="s">
        <v>1877</v>
      </c>
      <c r="H68" s="11"/>
    </row>
    <row r="69" spans="1:8" ht="118" customHeight="1">
      <c r="A69" s="10" t="s">
        <v>2045</v>
      </c>
      <c r="B69" s="10" t="s">
        <v>1009</v>
      </c>
      <c r="C69" s="10" t="s">
        <v>761</v>
      </c>
      <c r="D69" s="10" t="s">
        <v>2019</v>
      </c>
      <c r="E69" s="10" t="s">
        <v>2020</v>
      </c>
      <c r="F69" s="10" t="s">
        <v>2021</v>
      </c>
      <c r="G69" s="10" t="s">
        <v>1877</v>
      </c>
      <c r="H69" s="10"/>
    </row>
    <row r="70" spans="1:8" ht="118" customHeight="1">
      <c r="A70" s="11" t="s">
        <v>2046</v>
      </c>
      <c r="B70" s="11" t="s">
        <v>1009</v>
      </c>
      <c r="C70" s="11" t="s">
        <v>812</v>
      </c>
      <c r="D70" s="11" t="s">
        <v>2023</v>
      </c>
      <c r="E70" s="11" t="s">
        <v>2030</v>
      </c>
      <c r="F70" s="11" t="s">
        <v>2047</v>
      </c>
      <c r="G70" s="11" t="s">
        <v>1877</v>
      </c>
      <c r="H70" s="11"/>
    </row>
    <row r="71" spans="1:8" ht="118" customHeight="1">
      <c r="A71" s="10" t="s">
        <v>2048</v>
      </c>
      <c r="B71" s="10" t="s">
        <v>1013</v>
      </c>
      <c r="C71" s="10" t="s">
        <v>761</v>
      </c>
      <c r="D71" s="10" t="s">
        <v>2016</v>
      </c>
      <c r="E71" s="10" t="s">
        <v>2049</v>
      </c>
      <c r="F71" s="10" t="s">
        <v>1217</v>
      </c>
      <c r="G71" s="10" t="s">
        <v>1877</v>
      </c>
      <c r="H71" s="10"/>
    </row>
    <row r="72" spans="1:8" ht="118" customHeight="1">
      <c r="A72" s="11" t="s">
        <v>2050</v>
      </c>
      <c r="B72" s="11" t="s">
        <v>1013</v>
      </c>
      <c r="C72" s="11" t="s">
        <v>761</v>
      </c>
      <c r="D72" s="11" t="s">
        <v>2019</v>
      </c>
      <c r="E72" s="11" t="s">
        <v>2020</v>
      </c>
      <c r="F72" s="11" t="s">
        <v>2021</v>
      </c>
      <c r="G72" s="11" t="s">
        <v>1877</v>
      </c>
      <c r="H72" s="11"/>
    </row>
    <row r="73" spans="1:8" ht="118" customHeight="1">
      <c r="A73" s="10" t="s">
        <v>2051</v>
      </c>
      <c r="B73" s="10" t="s">
        <v>1013</v>
      </c>
      <c r="C73" s="10" t="s">
        <v>812</v>
      </c>
      <c r="D73" s="10" t="s">
        <v>2023</v>
      </c>
      <c r="E73" s="10" t="s">
        <v>2030</v>
      </c>
      <c r="F73" s="10" t="s">
        <v>2052</v>
      </c>
      <c r="G73" s="10" t="s">
        <v>1877</v>
      </c>
      <c r="H73" s="10"/>
    </row>
    <row r="74" spans="1:8" ht="118" customHeight="1">
      <c r="A74" s="11" t="s">
        <v>2053</v>
      </c>
      <c r="B74" s="11" t="s">
        <v>1020</v>
      </c>
      <c r="C74" s="11" t="s">
        <v>761</v>
      </c>
      <c r="D74" s="11" t="s">
        <v>2016</v>
      </c>
      <c r="E74" s="11" t="s">
        <v>2054</v>
      </c>
      <c r="F74" s="11" t="s">
        <v>1226</v>
      </c>
      <c r="G74" s="11" t="s">
        <v>1877</v>
      </c>
      <c r="H74" s="11"/>
    </row>
    <row r="75" spans="1:8" ht="118" customHeight="1">
      <c r="A75" s="10" t="s">
        <v>2055</v>
      </c>
      <c r="B75" s="10" t="s">
        <v>1020</v>
      </c>
      <c r="C75" s="10" t="s">
        <v>761</v>
      </c>
      <c r="D75" s="10" t="s">
        <v>2019</v>
      </c>
      <c r="E75" s="10" t="s">
        <v>2020</v>
      </c>
      <c r="F75" s="10" t="s">
        <v>2021</v>
      </c>
      <c r="G75" s="10" t="s">
        <v>1877</v>
      </c>
      <c r="H75" s="10"/>
    </row>
    <row r="76" spans="1:8" ht="118" customHeight="1">
      <c r="A76" s="11" t="s">
        <v>2056</v>
      </c>
      <c r="B76" s="11" t="s">
        <v>1020</v>
      </c>
      <c r="C76" s="11" t="s">
        <v>812</v>
      </c>
      <c r="D76" s="11" t="s">
        <v>2023</v>
      </c>
      <c r="E76" s="11" t="s">
        <v>2057</v>
      </c>
      <c r="F76" s="11" t="s">
        <v>2058</v>
      </c>
      <c r="G76" s="11" t="s">
        <v>1877</v>
      </c>
      <c r="H76" s="11"/>
    </row>
    <row r="77" spans="1:8" ht="118" customHeight="1">
      <c r="A77" s="10" t="s">
        <v>2059</v>
      </c>
      <c r="B77" s="10" t="s">
        <v>985</v>
      </c>
      <c r="C77" s="10" t="s">
        <v>761</v>
      </c>
      <c r="D77" s="10" t="s">
        <v>2060</v>
      </c>
      <c r="E77" s="10" t="s">
        <v>2061</v>
      </c>
      <c r="F77" s="10" t="s">
        <v>2062</v>
      </c>
      <c r="G77" s="10" t="s">
        <v>1877</v>
      </c>
      <c r="H77" s="10"/>
    </row>
    <row r="78" spans="1:8" ht="118" customHeight="1">
      <c r="A78" s="11" t="s">
        <v>2063</v>
      </c>
      <c r="B78" s="11" t="s">
        <v>996</v>
      </c>
      <c r="C78" s="11" t="s">
        <v>761</v>
      </c>
      <c r="D78" s="11" t="s">
        <v>2060</v>
      </c>
      <c r="E78" s="11" t="s">
        <v>2061</v>
      </c>
      <c r="F78" s="11" t="s">
        <v>2064</v>
      </c>
      <c r="G78" s="11" t="s">
        <v>1877</v>
      </c>
      <c r="H78" s="11"/>
    </row>
    <row r="79" spans="1:8" ht="118" customHeight="1">
      <c r="A79" s="10" t="s">
        <v>2065</v>
      </c>
      <c r="B79" s="10" t="s">
        <v>999</v>
      </c>
      <c r="C79" s="10" t="s">
        <v>761</v>
      </c>
      <c r="D79" s="10" t="s">
        <v>2060</v>
      </c>
      <c r="E79" s="10" t="s">
        <v>2061</v>
      </c>
      <c r="F79" s="10" t="s">
        <v>2066</v>
      </c>
      <c r="G79" s="10" t="s">
        <v>1877</v>
      </c>
      <c r="H79" s="10"/>
    </row>
    <row r="80" spans="1:8" ht="118" customHeight="1">
      <c r="A80" s="11" t="s">
        <v>2067</v>
      </c>
      <c r="B80" s="11" t="s">
        <v>1003</v>
      </c>
      <c r="C80" s="11" t="s">
        <v>761</v>
      </c>
      <c r="D80" s="11" t="s">
        <v>2060</v>
      </c>
      <c r="E80" s="11" t="s">
        <v>2061</v>
      </c>
      <c r="F80" s="11" t="s">
        <v>2068</v>
      </c>
      <c r="G80" s="11" t="s">
        <v>1877</v>
      </c>
      <c r="H80" s="11"/>
    </row>
    <row r="81" spans="1:8" ht="118" customHeight="1">
      <c r="A81" s="10" t="s">
        <v>2069</v>
      </c>
      <c r="B81" s="10" t="s">
        <v>1009</v>
      </c>
      <c r="C81" s="10" t="s">
        <v>761</v>
      </c>
      <c r="D81" s="10" t="s">
        <v>2060</v>
      </c>
      <c r="E81" s="10" t="s">
        <v>2061</v>
      </c>
      <c r="F81" s="10" t="s">
        <v>2070</v>
      </c>
      <c r="G81" s="10" t="s">
        <v>1877</v>
      </c>
      <c r="H81" s="10"/>
    </row>
    <row r="82" spans="1:8" ht="118" customHeight="1">
      <c r="A82" s="11" t="s">
        <v>2071</v>
      </c>
      <c r="B82" s="11" t="s">
        <v>990</v>
      </c>
      <c r="C82" s="11" t="s">
        <v>823</v>
      </c>
      <c r="D82" s="11" t="s">
        <v>2072</v>
      </c>
      <c r="E82" s="11" t="s">
        <v>2073</v>
      </c>
      <c r="F82" s="11" t="s">
        <v>992</v>
      </c>
      <c r="G82" s="11" t="s">
        <v>69</v>
      </c>
      <c r="H82" s="11"/>
    </row>
    <row r="83" spans="1:8" ht="118" customHeight="1">
      <c r="A83" s="10" t="s">
        <v>2074</v>
      </c>
      <c r="B83" s="10" t="s">
        <v>993</v>
      </c>
      <c r="C83" s="10" t="s">
        <v>823</v>
      </c>
      <c r="D83" s="10" t="s">
        <v>2075</v>
      </c>
      <c r="E83" s="10" t="s">
        <v>2076</v>
      </c>
      <c r="F83" s="10" t="s">
        <v>995</v>
      </c>
      <c r="G83" s="10" t="s">
        <v>69</v>
      </c>
      <c r="H83" s="10"/>
    </row>
    <row r="84" spans="1:8" ht="118" customHeight="1">
      <c r="A84" s="11" t="s">
        <v>2077</v>
      </c>
      <c r="B84" s="11" t="s">
        <v>1017</v>
      </c>
      <c r="C84" s="11" t="s">
        <v>823</v>
      </c>
      <c r="D84" s="11" t="s">
        <v>2078</v>
      </c>
      <c r="E84" s="11" t="s">
        <v>2079</v>
      </c>
      <c r="F84" s="11" t="s">
        <v>1019</v>
      </c>
      <c r="G84" s="11" t="s">
        <v>69</v>
      </c>
      <c r="H84" s="11"/>
    </row>
    <row r="85" spans="1:8" ht="118" customHeight="1">
      <c r="A85" s="10" t="s">
        <v>2080</v>
      </c>
      <c r="B85" s="10" t="s">
        <v>1020</v>
      </c>
      <c r="C85" s="10" t="s">
        <v>761</v>
      </c>
      <c r="D85" s="10" t="s">
        <v>2081</v>
      </c>
      <c r="E85" s="10" t="s">
        <v>2082</v>
      </c>
      <c r="F85" s="10" t="s">
        <v>2083</v>
      </c>
      <c r="G85" s="10" t="s">
        <v>1877</v>
      </c>
      <c r="H85" s="10"/>
    </row>
    <row r="86" spans="1:8" ht="118" customHeight="1">
      <c r="A86" s="11" t="s">
        <v>2084</v>
      </c>
      <c r="B86" s="11" t="s">
        <v>1022</v>
      </c>
      <c r="C86" s="11" t="s">
        <v>761</v>
      </c>
      <c r="D86" s="11" t="s">
        <v>2085</v>
      </c>
      <c r="E86" s="11" t="s">
        <v>2086</v>
      </c>
      <c r="F86" s="11" t="s">
        <v>1024</v>
      </c>
      <c r="G86" s="11" t="s">
        <v>69</v>
      </c>
      <c r="H86" s="11"/>
    </row>
    <row r="87" spans="1:8" ht="118" customHeight="1">
      <c r="A87" s="10" t="s">
        <v>2087</v>
      </c>
      <c r="B87" s="10" t="s">
        <v>1026</v>
      </c>
      <c r="C87" s="10" t="s">
        <v>761</v>
      </c>
      <c r="D87" s="10" t="s">
        <v>2085</v>
      </c>
      <c r="E87" s="10" t="s">
        <v>2086</v>
      </c>
      <c r="F87" s="10" t="s">
        <v>1028</v>
      </c>
      <c r="G87" s="10" t="s">
        <v>69</v>
      </c>
      <c r="H87" s="10"/>
    </row>
    <row r="88" spans="1:8" ht="118" customHeight="1">
      <c r="A88" s="11" t="s">
        <v>2088</v>
      </c>
      <c r="B88" s="11" t="s">
        <v>1030</v>
      </c>
      <c r="C88" s="11" t="s">
        <v>812</v>
      </c>
      <c r="D88" s="11" t="s">
        <v>2089</v>
      </c>
      <c r="E88" s="11" t="s">
        <v>2086</v>
      </c>
      <c r="F88" s="11" t="s">
        <v>1032</v>
      </c>
      <c r="G88" s="11" t="s">
        <v>69</v>
      </c>
      <c r="H88" s="11"/>
    </row>
    <row r="89" spans="1:8" ht="118" customHeight="1">
      <c r="A89" s="10" t="s">
        <v>2090</v>
      </c>
      <c r="B89" s="10" t="s">
        <v>1040</v>
      </c>
      <c r="C89" s="10" t="s">
        <v>761</v>
      </c>
      <c r="D89" s="10" t="s">
        <v>2085</v>
      </c>
      <c r="E89" s="10" t="s">
        <v>2086</v>
      </c>
      <c r="F89" s="10" t="s">
        <v>1042</v>
      </c>
      <c r="G89" s="10" t="s">
        <v>69</v>
      </c>
      <c r="H89" s="10"/>
    </row>
    <row r="90" spans="1:8" ht="118" customHeight="1">
      <c r="A90" s="11" t="s">
        <v>2091</v>
      </c>
      <c r="B90" s="11" t="s">
        <v>1048</v>
      </c>
      <c r="C90" s="11" t="s">
        <v>761</v>
      </c>
      <c r="D90" s="11" t="s">
        <v>2085</v>
      </c>
      <c r="E90" s="11" t="s">
        <v>2086</v>
      </c>
      <c r="F90" s="11" t="s">
        <v>1050</v>
      </c>
      <c r="G90" s="11" t="s">
        <v>69</v>
      </c>
      <c r="H90" s="11"/>
    </row>
    <row r="91" spans="1:8" ht="118" customHeight="1">
      <c r="A91" s="10" t="s">
        <v>2092</v>
      </c>
      <c r="B91" s="10" t="s">
        <v>1051</v>
      </c>
      <c r="C91" s="10" t="s">
        <v>823</v>
      </c>
      <c r="D91" s="10" t="s">
        <v>2093</v>
      </c>
      <c r="E91" s="10" t="s">
        <v>2094</v>
      </c>
      <c r="F91" s="10" t="s">
        <v>1053</v>
      </c>
      <c r="G91" s="10" t="s">
        <v>69</v>
      </c>
      <c r="H91" s="10"/>
    </row>
    <row r="92" spans="1:8" ht="118" customHeight="1">
      <c r="A92" s="11" t="s">
        <v>2095</v>
      </c>
      <c r="B92" s="11" t="s">
        <v>1065</v>
      </c>
      <c r="C92" s="11" t="s">
        <v>761</v>
      </c>
      <c r="D92" s="11" t="s">
        <v>2085</v>
      </c>
      <c r="E92" s="11" t="s">
        <v>2086</v>
      </c>
      <c r="F92" s="11" t="s">
        <v>1067</v>
      </c>
      <c r="G92" s="11" t="s">
        <v>69</v>
      </c>
      <c r="H92" s="11"/>
    </row>
    <row r="93" spans="1:8" ht="118" customHeight="1">
      <c r="A93" s="10" t="s">
        <v>2096</v>
      </c>
      <c r="B93" s="10" t="s">
        <v>1073</v>
      </c>
      <c r="C93" s="10" t="s">
        <v>812</v>
      </c>
      <c r="D93" s="10" t="s">
        <v>2089</v>
      </c>
      <c r="E93" s="10" t="s">
        <v>2086</v>
      </c>
      <c r="F93" s="10" t="s">
        <v>1074</v>
      </c>
      <c r="G93" s="10" t="s">
        <v>69</v>
      </c>
      <c r="H93" s="10"/>
    </row>
    <row r="94" spans="1:8" ht="118" customHeight="1">
      <c r="A94" s="11" t="s">
        <v>2097</v>
      </c>
      <c r="B94" s="11" t="s">
        <v>1026</v>
      </c>
      <c r="C94" s="11" t="s">
        <v>761</v>
      </c>
      <c r="D94" s="11" t="s">
        <v>2098</v>
      </c>
      <c r="E94" s="11" t="s">
        <v>2099</v>
      </c>
      <c r="F94" s="11" t="s">
        <v>2100</v>
      </c>
      <c r="G94" s="11" t="s">
        <v>1877</v>
      </c>
      <c r="H94" s="11"/>
    </row>
    <row r="95" spans="1:8" ht="118" customHeight="1">
      <c r="A95" s="10" t="s">
        <v>2101</v>
      </c>
      <c r="B95" s="10" t="s">
        <v>1040</v>
      </c>
      <c r="C95" s="10" t="s">
        <v>761</v>
      </c>
      <c r="D95" s="10" t="s">
        <v>2102</v>
      </c>
      <c r="E95" s="10" t="s">
        <v>2103</v>
      </c>
      <c r="F95" s="10" t="s">
        <v>2104</v>
      </c>
      <c r="G95" s="10" t="s">
        <v>1877</v>
      </c>
      <c r="H95" s="10"/>
    </row>
    <row r="96" spans="1:8" ht="118" customHeight="1">
      <c r="A96" s="11" t="s">
        <v>2105</v>
      </c>
      <c r="B96" s="11" t="s">
        <v>1051</v>
      </c>
      <c r="C96" s="11" t="s">
        <v>823</v>
      </c>
      <c r="D96" s="11" t="s">
        <v>2106</v>
      </c>
      <c r="E96" s="11" t="s">
        <v>2107</v>
      </c>
      <c r="F96" s="11" t="s">
        <v>2108</v>
      </c>
      <c r="G96" s="11" t="s">
        <v>1877</v>
      </c>
      <c r="H96" s="11"/>
    </row>
    <row r="97" spans="1:8" ht="118" customHeight="1">
      <c r="A97" s="10" t="s">
        <v>2109</v>
      </c>
      <c r="B97" s="10" t="s">
        <v>1030</v>
      </c>
      <c r="C97" s="10" t="s">
        <v>812</v>
      </c>
      <c r="D97" s="10" t="s">
        <v>2110</v>
      </c>
      <c r="E97" s="10" t="s">
        <v>2111</v>
      </c>
      <c r="F97" s="10" t="s">
        <v>2112</v>
      </c>
      <c r="G97" s="10" t="s">
        <v>1877</v>
      </c>
      <c r="H97" s="10"/>
    </row>
    <row r="98" spans="1:8" ht="118" customHeight="1">
      <c r="A98" s="11" t="s">
        <v>2113</v>
      </c>
      <c r="B98" s="11" t="s">
        <v>1065</v>
      </c>
      <c r="C98" s="11" t="s">
        <v>761</v>
      </c>
      <c r="D98" s="11" t="s">
        <v>2114</v>
      </c>
      <c r="E98" s="11" t="s">
        <v>2115</v>
      </c>
      <c r="F98" s="11" t="s">
        <v>2116</v>
      </c>
      <c r="G98" s="11" t="s">
        <v>69</v>
      </c>
      <c r="H98" s="11"/>
    </row>
  </sheetData>
  <sheetProtection sheet="1" objects="1" scenarios="1" sort="0" autoFilter="0"/>
  <conditionalFormatting sqref="G7:G98">
    <cfRule type="containsText" dxfId="1" priority="1" operator="containsText" text="open"/>
    <cfRule type="containsText" dxfId="0" priority="2" operator="containsText" text="blocked"/>
  </conditionalFormatting>
  <dataValidations count="1">
    <dataValidation type="list" sqref="G7:G98" xr:uid="{00000000-0002-0000-0700-000000000000}">
      <formula1>"approved,open,blocked"</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91"/>
  <sheetViews>
    <sheetView showGridLines="0" workbookViewId="0">
      <pane xSplit="1" ySplit="6" topLeftCell="B7" activePane="bottomRight" state="frozen"/>
      <selection pane="topRight"/>
      <selection pane="bottomLeft"/>
      <selection pane="bottomRight" activeCell="B7" sqref="B7"/>
    </sheetView>
  </sheetViews>
  <sheetFormatPr baseColWidth="10" defaultColWidth="8.83203125" defaultRowHeight="14"/>
  <cols>
    <col min="1" max="1" width="30" customWidth="1"/>
    <col min="2" max="2" width="42" customWidth="1"/>
    <col min="3" max="4" width="17" customWidth="1"/>
    <col min="5" max="5" width="18" customWidth="1"/>
    <col min="6" max="6" width="41" customWidth="1"/>
    <col min="7" max="7" width="65" customWidth="1"/>
    <col min="8" max="8" width="18" customWidth="1"/>
    <col min="9" max="9" width="25" customWidth="1"/>
    <col min="10" max="10" width="20" customWidth="1"/>
    <col min="11" max="11" width="47" customWidth="1"/>
  </cols>
  <sheetData>
    <row r="1" spans="1:11" ht="24" customHeight="1">
      <c r="A1" s="2"/>
      <c r="B1" s="2"/>
      <c r="C1" s="2"/>
      <c r="D1" s="2"/>
      <c r="E1" s="2"/>
      <c r="F1" s="2"/>
      <c r="G1" s="2"/>
      <c r="H1" s="2"/>
      <c r="I1" s="2"/>
      <c r="J1" s="2"/>
      <c r="K1" s="2"/>
    </row>
    <row r="2" spans="1:11" ht="24" customHeight="1">
      <c r="A2" s="3" t="s">
        <v>2117</v>
      </c>
      <c r="B2" s="2"/>
      <c r="C2" s="2"/>
      <c r="D2" s="2"/>
      <c r="E2" s="2"/>
      <c r="F2" s="2"/>
      <c r="G2" s="2"/>
      <c r="H2" s="2"/>
      <c r="I2" s="2"/>
      <c r="J2" s="2"/>
      <c r="K2" s="2"/>
    </row>
    <row r="3" spans="1:11" ht="24" customHeight="1">
      <c r="A3" s="4"/>
      <c r="B3" s="4"/>
      <c r="C3" s="4"/>
      <c r="D3" s="4"/>
      <c r="E3" s="4"/>
      <c r="F3" s="4"/>
      <c r="G3" s="4"/>
      <c r="H3" s="4"/>
      <c r="I3" s="4"/>
      <c r="J3" s="4"/>
      <c r="K3" s="4"/>
    </row>
    <row r="4" spans="1:11" ht="24" customHeight="1">
      <c r="A4" s="8" t="s">
        <v>2118</v>
      </c>
      <c r="B4" s="2"/>
      <c r="C4" s="2"/>
      <c r="D4" s="2"/>
      <c r="E4" s="2"/>
      <c r="F4" s="2"/>
      <c r="G4" s="2"/>
      <c r="H4" s="2"/>
      <c r="I4" s="2"/>
      <c r="J4" s="2"/>
      <c r="K4" s="2"/>
    </row>
    <row r="5" spans="1:11" ht="24" customHeight="1">
      <c r="A5" s="2"/>
      <c r="B5" s="2"/>
      <c r="C5" s="2"/>
      <c r="D5" s="2"/>
      <c r="E5" s="2"/>
      <c r="F5" s="2"/>
      <c r="G5" s="2"/>
      <c r="H5" s="2"/>
      <c r="I5" s="2"/>
      <c r="J5" s="2"/>
      <c r="K5" s="2"/>
    </row>
    <row r="6" spans="1:11" ht="42" customHeight="1">
      <c r="A6" s="9" t="s">
        <v>2119</v>
      </c>
      <c r="B6" s="9" t="s">
        <v>45</v>
      </c>
      <c r="C6" s="9" t="s">
        <v>2120</v>
      </c>
      <c r="D6" s="9" t="s">
        <v>35</v>
      </c>
      <c r="E6" s="9" t="s">
        <v>2121</v>
      </c>
      <c r="F6" s="9" t="s">
        <v>2122</v>
      </c>
      <c r="G6" s="9" t="s">
        <v>2123</v>
      </c>
      <c r="H6" s="9" t="s">
        <v>2124</v>
      </c>
      <c r="I6" s="9" t="s">
        <v>2125</v>
      </c>
      <c r="J6" s="9" t="s">
        <v>2126</v>
      </c>
      <c r="K6" s="9" t="s">
        <v>2127</v>
      </c>
    </row>
    <row r="7" spans="1:11" ht="38" customHeight="1">
      <c r="A7" s="10" t="s">
        <v>2128</v>
      </c>
      <c r="B7" s="24" t="s">
        <v>766</v>
      </c>
      <c r="C7" s="24" t="s">
        <v>2129</v>
      </c>
      <c r="D7" s="29">
        <v>46278</v>
      </c>
      <c r="E7" s="24" t="s">
        <v>2130</v>
      </c>
      <c r="F7" s="24" t="s">
        <v>763</v>
      </c>
      <c r="G7" s="24" t="s">
        <v>2131</v>
      </c>
      <c r="H7" s="24" t="s">
        <v>2132</v>
      </c>
      <c r="I7" s="24" t="s">
        <v>2133</v>
      </c>
      <c r="J7" s="24" t="s">
        <v>2134</v>
      </c>
      <c r="K7" s="24" t="s">
        <v>2135</v>
      </c>
    </row>
    <row r="8" spans="1:11" ht="38" customHeight="1">
      <c r="A8" s="11" t="s">
        <v>2136</v>
      </c>
      <c r="B8" s="26" t="s">
        <v>773</v>
      </c>
      <c r="C8" s="26" t="s">
        <v>2129</v>
      </c>
      <c r="D8" s="31">
        <v>46278</v>
      </c>
      <c r="E8" s="26" t="s">
        <v>2130</v>
      </c>
      <c r="F8" s="26" t="s">
        <v>763</v>
      </c>
      <c r="G8" s="26" t="s">
        <v>2137</v>
      </c>
      <c r="H8" s="26" t="s">
        <v>2132</v>
      </c>
      <c r="I8" s="26" t="s">
        <v>2133</v>
      </c>
      <c r="J8" s="26" t="s">
        <v>2134</v>
      </c>
      <c r="K8" s="26" t="s">
        <v>2135</v>
      </c>
    </row>
    <row r="9" spans="1:11" ht="38" customHeight="1">
      <c r="A9" s="10" t="s">
        <v>2138</v>
      </c>
      <c r="B9" s="24" t="s">
        <v>814</v>
      </c>
      <c r="C9" s="24" t="s">
        <v>2129</v>
      </c>
      <c r="D9" s="29">
        <v>46278</v>
      </c>
      <c r="E9" s="24" t="s">
        <v>2139</v>
      </c>
      <c r="F9" s="24"/>
      <c r="G9" s="24" t="s">
        <v>2140</v>
      </c>
      <c r="H9" s="24" t="s">
        <v>2132</v>
      </c>
      <c r="I9" s="24" t="s">
        <v>2133</v>
      </c>
      <c r="J9" s="24" t="s">
        <v>2134</v>
      </c>
      <c r="K9" s="24" t="s">
        <v>2141</v>
      </c>
    </row>
    <row r="10" spans="1:11" ht="38" customHeight="1">
      <c r="A10" s="11" t="s">
        <v>2142</v>
      </c>
      <c r="B10" s="26" t="s">
        <v>825</v>
      </c>
      <c r="C10" s="26" t="s">
        <v>2129</v>
      </c>
      <c r="D10" s="31">
        <v>46278</v>
      </c>
      <c r="E10" s="26" t="s">
        <v>2139</v>
      </c>
      <c r="F10" s="26"/>
      <c r="G10" s="26" t="s">
        <v>2143</v>
      </c>
      <c r="H10" s="26" t="s">
        <v>2132</v>
      </c>
      <c r="I10" s="26" t="s">
        <v>2133</v>
      </c>
      <c r="J10" s="26" t="s">
        <v>2134</v>
      </c>
      <c r="K10" s="26" t="s">
        <v>2144</v>
      </c>
    </row>
    <row r="11" spans="1:11" ht="68" customHeight="1">
      <c r="A11" s="10" t="s">
        <v>2145</v>
      </c>
      <c r="B11" s="24" t="s">
        <v>814</v>
      </c>
      <c r="C11" s="24" t="s">
        <v>2129</v>
      </c>
      <c r="D11" s="29">
        <v>46278</v>
      </c>
      <c r="E11" s="24" t="s">
        <v>2130</v>
      </c>
      <c r="F11" s="24"/>
      <c r="G11" s="24" t="s">
        <v>2146</v>
      </c>
      <c r="H11" s="24" t="s">
        <v>2132</v>
      </c>
      <c r="I11" s="24" t="s">
        <v>2133</v>
      </c>
      <c r="J11" s="24" t="s">
        <v>2134</v>
      </c>
      <c r="K11" s="24" t="s">
        <v>2147</v>
      </c>
    </row>
    <row r="12" spans="1:11" ht="68" customHeight="1">
      <c r="A12" s="11" t="s">
        <v>2148</v>
      </c>
      <c r="B12" s="26" t="s">
        <v>825</v>
      </c>
      <c r="C12" s="26" t="s">
        <v>2129</v>
      </c>
      <c r="D12" s="31">
        <v>46278</v>
      </c>
      <c r="E12" s="26" t="s">
        <v>2130</v>
      </c>
      <c r="F12" s="26"/>
      <c r="G12" s="26" t="s">
        <v>2149</v>
      </c>
      <c r="H12" s="26" t="s">
        <v>2132</v>
      </c>
      <c r="I12" s="26" t="s">
        <v>2133</v>
      </c>
      <c r="J12" s="26" t="s">
        <v>2134</v>
      </c>
      <c r="K12" s="26" t="s">
        <v>2150</v>
      </c>
    </row>
    <row r="13" spans="1:11" ht="68" customHeight="1">
      <c r="A13" s="10" t="s">
        <v>2151</v>
      </c>
      <c r="B13" s="24" t="s">
        <v>1535</v>
      </c>
      <c r="C13" s="24" t="s">
        <v>2129</v>
      </c>
      <c r="D13" s="29">
        <v>46278</v>
      </c>
      <c r="E13" s="24" t="s">
        <v>2139</v>
      </c>
      <c r="F13" s="24"/>
      <c r="G13" s="24" t="s">
        <v>2152</v>
      </c>
      <c r="H13" s="24" t="s">
        <v>2132</v>
      </c>
      <c r="I13" s="24" t="s">
        <v>2133</v>
      </c>
      <c r="J13" s="24" t="s">
        <v>2134</v>
      </c>
      <c r="K13" s="24" t="s">
        <v>2153</v>
      </c>
    </row>
    <row r="14" spans="1:11" ht="82" customHeight="1">
      <c r="A14" s="11" t="s">
        <v>2154</v>
      </c>
      <c r="B14" s="26" t="s">
        <v>851</v>
      </c>
      <c r="C14" s="26" t="s">
        <v>2129</v>
      </c>
      <c r="D14" s="31">
        <v>46278</v>
      </c>
      <c r="E14" s="26" t="s">
        <v>2139</v>
      </c>
      <c r="F14" s="26"/>
      <c r="G14" s="26" t="s">
        <v>2155</v>
      </c>
      <c r="H14" s="26" t="s">
        <v>2132</v>
      </c>
      <c r="I14" s="26" t="s">
        <v>2133</v>
      </c>
      <c r="J14" s="26" t="s">
        <v>2134</v>
      </c>
      <c r="K14" s="26" t="s">
        <v>2156</v>
      </c>
    </row>
    <row r="15" spans="1:11" ht="82" customHeight="1">
      <c r="A15" s="10" t="s">
        <v>2157</v>
      </c>
      <c r="B15" s="24" t="s">
        <v>1543</v>
      </c>
      <c r="C15" s="24" t="s">
        <v>2129</v>
      </c>
      <c r="D15" s="29">
        <v>46278</v>
      </c>
      <c r="E15" s="24" t="s">
        <v>2139</v>
      </c>
      <c r="F15" s="24"/>
      <c r="G15" s="24" t="s">
        <v>2158</v>
      </c>
      <c r="H15" s="24" t="s">
        <v>2132</v>
      </c>
      <c r="I15" s="24" t="s">
        <v>2133</v>
      </c>
      <c r="J15" s="24" t="s">
        <v>2134</v>
      </c>
      <c r="K15" s="24" t="s">
        <v>2156</v>
      </c>
    </row>
    <row r="16" spans="1:11" ht="82" customHeight="1">
      <c r="A16" s="11" t="s">
        <v>2159</v>
      </c>
      <c r="B16" s="26" t="s">
        <v>1548</v>
      </c>
      <c r="C16" s="26" t="s">
        <v>2129</v>
      </c>
      <c r="D16" s="31">
        <v>46278</v>
      </c>
      <c r="E16" s="26" t="s">
        <v>2139</v>
      </c>
      <c r="F16" s="26"/>
      <c r="G16" s="26" t="s">
        <v>2160</v>
      </c>
      <c r="H16" s="26" t="s">
        <v>2132</v>
      </c>
      <c r="I16" s="26" t="s">
        <v>2133</v>
      </c>
      <c r="J16" s="26" t="s">
        <v>2134</v>
      </c>
      <c r="K16" s="26" t="s">
        <v>2156</v>
      </c>
    </row>
    <row r="17" spans="1:11" ht="82" customHeight="1">
      <c r="A17" s="10" t="s">
        <v>2161</v>
      </c>
      <c r="B17" s="24" t="s">
        <v>888</v>
      </c>
      <c r="C17" s="24" t="s">
        <v>2129</v>
      </c>
      <c r="D17" s="29">
        <v>46278</v>
      </c>
      <c r="E17" s="24" t="s">
        <v>2139</v>
      </c>
      <c r="F17" s="24"/>
      <c r="G17" s="24" t="s">
        <v>2162</v>
      </c>
      <c r="H17" s="24" t="s">
        <v>2132</v>
      </c>
      <c r="I17" s="24" t="s">
        <v>2133</v>
      </c>
      <c r="J17" s="24" t="s">
        <v>2134</v>
      </c>
      <c r="K17" s="24" t="s">
        <v>2156</v>
      </c>
    </row>
    <row r="18" spans="1:11" ht="82" customHeight="1">
      <c r="A18" s="11" t="s">
        <v>2163</v>
      </c>
      <c r="B18" s="26" t="s">
        <v>1556</v>
      </c>
      <c r="C18" s="26" t="s">
        <v>2129</v>
      </c>
      <c r="D18" s="31">
        <v>46278</v>
      </c>
      <c r="E18" s="26" t="s">
        <v>2139</v>
      </c>
      <c r="F18" s="26"/>
      <c r="G18" s="26" t="s">
        <v>2164</v>
      </c>
      <c r="H18" s="26" t="s">
        <v>2132</v>
      </c>
      <c r="I18" s="26" t="s">
        <v>2133</v>
      </c>
      <c r="J18" s="26" t="s">
        <v>2134</v>
      </c>
      <c r="K18" s="26" t="s">
        <v>2156</v>
      </c>
    </row>
    <row r="19" spans="1:11" ht="82" customHeight="1">
      <c r="A19" s="10" t="s">
        <v>2165</v>
      </c>
      <c r="B19" s="24" t="s">
        <v>1561</v>
      </c>
      <c r="C19" s="24" t="s">
        <v>2129</v>
      </c>
      <c r="D19" s="29">
        <v>46278</v>
      </c>
      <c r="E19" s="24" t="s">
        <v>2139</v>
      </c>
      <c r="F19" s="24"/>
      <c r="G19" s="24" t="s">
        <v>2166</v>
      </c>
      <c r="H19" s="24" t="s">
        <v>2132</v>
      </c>
      <c r="I19" s="24" t="s">
        <v>2133</v>
      </c>
      <c r="J19" s="24" t="s">
        <v>2134</v>
      </c>
      <c r="K19" s="24" t="s">
        <v>2156</v>
      </c>
    </row>
    <row r="20" spans="1:11" ht="82" customHeight="1">
      <c r="A20" s="11" t="s">
        <v>2167</v>
      </c>
      <c r="B20" s="26" t="s">
        <v>1566</v>
      </c>
      <c r="C20" s="26" t="s">
        <v>2129</v>
      </c>
      <c r="D20" s="31">
        <v>46278</v>
      </c>
      <c r="E20" s="26" t="s">
        <v>2139</v>
      </c>
      <c r="F20" s="26"/>
      <c r="G20" s="26" t="s">
        <v>2168</v>
      </c>
      <c r="H20" s="26" t="s">
        <v>2132</v>
      </c>
      <c r="I20" s="26" t="s">
        <v>2133</v>
      </c>
      <c r="J20" s="26" t="s">
        <v>2134</v>
      </c>
      <c r="K20" s="26" t="s">
        <v>2156</v>
      </c>
    </row>
    <row r="21" spans="1:11" ht="82" customHeight="1">
      <c r="A21" s="10" t="s">
        <v>2169</v>
      </c>
      <c r="B21" s="24" t="s">
        <v>1571</v>
      </c>
      <c r="C21" s="24" t="s">
        <v>2129</v>
      </c>
      <c r="D21" s="29">
        <v>46278</v>
      </c>
      <c r="E21" s="24" t="s">
        <v>2139</v>
      </c>
      <c r="F21" s="24"/>
      <c r="G21" s="24" t="s">
        <v>2170</v>
      </c>
      <c r="H21" s="24" t="s">
        <v>2132</v>
      </c>
      <c r="I21" s="24" t="s">
        <v>2133</v>
      </c>
      <c r="J21" s="24" t="s">
        <v>2134</v>
      </c>
      <c r="K21" s="24" t="s">
        <v>2156</v>
      </c>
    </row>
    <row r="22" spans="1:11" ht="82" customHeight="1">
      <c r="A22" s="11" t="s">
        <v>2171</v>
      </c>
      <c r="B22" s="26" t="s">
        <v>1576</v>
      </c>
      <c r="C22" s="26" t="s">
        <v>2129</v>
      </c>
      <c r="D22" s="31">
        <v>46278</v>
      </c>
      <c r="E22" s="26" t="s">
        <v>2139</v>
      </c>
      <c r="F22" s="26"/>
      <c r="G22" s="26" t="s">
        <v>2172</v>
      </c>
      <c r="H22" s="26" t="s">
        <v>2132</v>
      </c>
      <c r="I22" s="26" t="s">
        <v>2133</v>
      </c>
      <c r="J22" s="26" t="s">
        <v>2134</v>
      </c>
      <c r="K22" s="26" t="s">
        <v>2156</v>
      </c>
    </row>
    <row r="23" spans="1:11" ht="82" customHeight="1">
      <c r="A23" s="10" t="s">
        <v>2173</v>
      </c>
      <c r="B23" s="24" t="s">
        <v>1581</v>
      </c>
      <c r="C23" s="24" t="s">
        <v>2129</v>
      </c>
      <c r="D23" s="29">
        <v>46278</v>
      </c>
      <c r="E23" s="24" t="s">
        <v>2139</v>
      </c>
      <c r="F23" s="24"/>
      <c r="G23" s="24" t="s">
        <v>2174</v>
      </c>
      <c r="H23" s="24" t="s">
        <v>2132</v>
      </c>
      <c r="I23" s="24" t="s">
        <v>2133</v>
      </c>
      <c r="J23" s="24" t="s">
        <v>2134</v>
      </c>
      <c r="K23" s="24" t="s">
        <v>2156</v>
      </c>
    </row>
    <row r="24" spans="1:11" ht="82" customHeight="1">
      <c r="A24" s="11" t="s">
        <v>2175</v>
      </c>
      <c r="B24" s="26" t="s">
        <v>1586</v>
      </c>
      <c r="C24" s="26" t="s">
        <v>2129</v>
      </c>
      <c r="D24" s="31">
        <v>46278</v>
      </c>
      <c r="E24" s="26" t="s">
        <v>2139</v>
      </c>
      <c r="F24" s="26"/>
      <c r="G24" s="26" t="s">
        <v>2176</v>
      </c>
      <c r="H24" s="26" t="s">
        <v>2132</v>
      </c>
      <c r="I24" s="26" t="s">
        <v>2133</v>
      </c>
      <c r="J24" s="26" t="s">
        <v>2134</v>
      </c>
      <c r="K24" s="26" t="s">
        <v>2156</v>
      </c>
    </row>
    <row r="25" spans="1:11" ht="88" customHeight="1">
      <c r="A25" s="10" t="s">
        <v>2177</v>
      </c>
      <c r="B25" s="24" t="s">
        <v>1591</v>
      </c>
      <c r="C25" s="24" t="s">
        <v>2129</v>
      </c>
      <c r="D25" s="29">
        <v>46278</v>
      </c>
      <c r="E25" s="24" t="s">
        <v>2139</v>
      </c>
      <c r="F25" s="24"/>
      <c r="G25" s="24" t="s">
        <v>2178</v>
      </c>
      <c r="H25" s="24" t="s">
        <v>2132</v>
      </c>
      <c r="I25" s="24" t="s">
        <v>2133</v>
      </c>
      <c r="J25" s="24" t="s">
        <v>2134</v>
      </c>
      <c r="K25" s="24" t="s">
        <v>2179</v>
      </c>
    </row>
    <row r="26" spans="1:11" ht="88" customHeight="1">
      <c r="A26" s="11" t="s">
        <v>2180</v>
      </c>
      <c r="B26" s="26" t="s">
        <v>904</v>
      </c>
      <c r="C26" s="26" t="s">
        <v>2129</v>
      </c>
      <c r="D26" s="31">
        <v>46278</v>
      </c>
      <c r="E26" s="26" t="s">
        <v>2139</v>
      </c>
      <c r="F26" s="26"/>
      <c r="G26" s="26" t="s">
        <v>2181</v>
      </c>
      <c r="H26" s="26" t="s">
        <v>2132</v>
      </c>
      <c r="I26" s="26" t="s">
        <v>2133</v>
      </c>
      <c r="J26" s="26" t="s">
        <v>2134</v>
      </c>
      <c r="K26" s="26" t="s">
        <v>2179</v>
      </c>
    </row>
    <row r="27" spans="1:11" ht="88" customHeight="1">
      <c r="A27" s="10" t="s">
        <v>2182</v>
      </c>
      <c r="B27" s="24" t="s">
        <v>1599</v>
      </c>
      <c r="C27" s="24" t="s">
        <v>2129</v>
      </c>
      <c r="D27" s="29">
        <v>46278</v>
      </c>
      <c r="E27" s="24" t="s">
        <v>2139</v>
      </c>
      <c r="F27" s="24"/>
      <c r="G27" s="24" t="s">
        <v>2183</v>
      </c>
      <c r="H27" s="24" t="s">
        <v>2132</v>
      </c>
      <c r="I27" s="24" t="s">
        <v>2133</v>
      </c>
      <c r="J27" s="24" t="s">
        <v>2134</v>
      </c>
      <c r="K27" s="24" t="s">
        <v>2179</v>
      </c>
    </row>
    <row r="28" spans="1:11" ht="88" customHeight="1">
      <c r="A28" s="11" t="s">
        <v>2184</v>
      </c>
      <c r="B28" s="26" t="s">
        <v>908</v>
      </c>
      <c r="C28" s="26" t="s">
        <v>2129</v>
      </c>
      <c r="D28" s="31">
        <v>46278</v>
      </c>
      <c r="E28" s="26" t="s">
        <v>2139</v>
      </c>
      <c r="F28" s="26"/>
      <c r="G28" s="26" t="s">
        <v>2185</v>
      </c>
      <c r="H28" s="26" t="s">
        <v>2132</v>
      </c>
      <c r="I28" s="26" t="s">
        <v>2133</v>
      </c>
      <c r="J28" s="26" t="s">
        <v>2134</v>
      </c>
      <c r="K28" s="26" t="s">
        <v>2179</v>
      </c>
    </row>
    <row r="29" spans="1:11" ht="88" customHeight="1">
      <c r="A29" s="10" t="s">
        <v>2186</v>
      </c>
      <c r="B29" s="24" t="s">
        <v>1608</v>
      </c>
      <c r="C29" s="24" t="s">
        <v>2129</v>
      </c>
      <c r="D29" s="29">
        <v>46278</v>
      </c>
      <c r="E29" s="24" t="s">
        <v>2139</v>
      </c>
      <c r="F29" s="24"/>
      <c r="G29" s="24" t="s">
        <v>2187</v>
      </c>
      <c r="H29" s="24" t="s">
        <v>2132</v>
      </c>
      <c r="I29" s="24" t="s">
        <v>2133</v>
      </c>
      <c r="J29" s="24" t="s">
        <v>2134</v>
      </c>
      <c r="K29" s="24" t="s">
        <v>2179</v>
      </c>
    </row>
    <row r="30" spans="1:11" ht="88" customHeight="1">
      <c r="A30" s="11" t="s">
        <v>2188</v>
      </c>
      <c r="B30" s="26" t="s">
        <v>937</v>
      </c>
      <c r="C30" s="26" t="s">
        <v>2129</v>
      </c>
      <c r="D30" s="31">
        <v>46278</v>
      </c>
      <c r="E30" s="26" t="s">
        <v>2139</v>
      </c>
      <c r="F30" s="26"/>
      <c r="G30" s="26" t="s">
        <v>2189</v>
      </c>
      <c r="H30" s="26" t="s">
        <v>2132</v>
      </c>
      <c r="I30" s="26" t="s">
        <v>2133</v>
      </c>
      <c r="J30" s="26" t="s">
        <v>2134</v>
      </c>
      <c r="K30" s="26" t="s">
        <v>2179</v>
      </c>
    </row>
    <row r="31" spans="1:11" ht="88" customHeight="1">
      <c r="A31" s="10" t="s">
        <v>2190</v>
      </c>
      <c r="B31" s="24" t="s">
        <v>1616</v>
      </c>
      <c r="C31" s="24" t="s">
        <v>2129</v>
      </c>
      <c r="D31" s="29">
        <v>46278</v>
      </c>
      <c r="E31" s="24" t="s">
        <v>2139</v>
      </c>
      <c r="F31" s="24"/>
      <c r="G31" s="24" t="s">
        <v>2191</v>
      </c>
      <c r="H31" s="24" t="s">
        <v>2132</v>
      </c>
      <c r="I31" s="24" t="s">
        <v>2133</v>
      </c>
      <c r="J31" s="24" t="s">
        <v>2134</v>
      </c>
      <c r="K31" s="24" t="s">
        <v>2179</v>
      </c>
    </row>
    <row r="32" spans="1:11" ht="88" customHeight="1">
      <c r="A32" s="11" t="s">
        <v>2192</v>
      </c>
      <c r="B32" s="26" t="s">
        <v>1621</v>
      </c>
      <c r="C32" s="26" t="s">
        <v>2129</v>
      </c>
      <c r="D32" s="31">
        <v>46278</v>
      </c>
      <c r="E32" s="26" t="s">
        <v>2139</v>
      </c>
      <c r="F32" s="26"/>
      <c r="G32" s="26" t="s">
        <v>2193</v>
      </c>
      <c r="H32" s="26" t="s">
        <v>2132</v>
      </c>
      <c r="I32" s="26" t="s">
        <v>2133</v>
      </c>
      <c r="J32" s="26" t="s">
        <v>2134</v>
      </c>
      <c r="K32" s="26" t="s">
        <v>2179</v>
      </c>
    </row>
    <row r="33" spans="1:11" ht="88" customHeight="1">
      <c r="A33" s="10" t="s">
        <v>2194</v>
      </c>
      <c r="B33" s="24" t="s">
        <v>1626</v>
      </c>
      <c r="C33" s="24" t="s">
        <v>2129</v>
      </c>
      <c r="D33" s="29">
        <v>46278</v>
      </c>
      <c r="E33" s="24" t="s">
        <v>2139</v>
      </c>
      <c r="F33" s="24"/>
      <c r="G33" s="24" t="s">
        <v>2195</v>
      </c>
      <c r="H33" s="24" t="s">
        <v>2132</v>
      </c>
      <c r="I33" s="24" t="s">
        <v>2133</v>
      </c>
      <c r="J33" s="24" t="s">
        <v>2134</v>
      </c>
      <c r="K33" s="24" t="s">
        <v>2179</v>
      </c>
    </row>
    <row r="34" spans="1:11" ht="88" customHeight="1">
      <c r="A34" s="11" t="s">
        <v>2196</v>
      </c>
      <c r="B34" s="26" t="s">
        <v>1631</v>
      </c>
      <c r="C34" s="26" t="s">
        <v>2129</v>
      </c>
      <c r="D34" s="31">
        <v>46278</v>
      </c>
      <c r="E34" s="26" t="s">
        <v>2139</v>
      </c>
      <c r="F34" s="26"/>
      <c r="G34" s="26" t="s">
        <v>2197</v>
      </c>
      <c r="H34" s="26" t="s">
        <v>2132</v>
      </c>
      <c r="I34" s="26" t="s">
        <v>2133</v>
      </c>
      <c r="J34" s="26" t="s">
        <v>2134</v>
      </c>
      <c r="K34" s="26" t="s">
        <v>2179</v>
      </c>
    </row>
    <row r="35" spans="1:11" ht="88" customHeight="1">
      <c r="A35" s="10" t="s">
        <v>2198</v>
      </c>
      <c r="B35" s="24" t="s">
        <v>913</v>
      </c>
      <c r="C35" s="24" t="s">
        <v>2129</v>
      </c>
      <c r="D35" s="29">
        <v>46278</v>
      </c>
      <c r="E35" s="24" t="s">
        <v>2139</v>
      </c>
      <c r="F35" s="24"/>
      <c r="G35" s="24" t="s">
        <v>2199</v>
      </c>
      <c r="H35" s="24" t="s">
        <v>2132</v>
      </c>
      <c r="I35" s="24" t="s">
        <v>2133</v>
      </c>
      <c r="J35" s="24" t="s">
        <v>2134</v>
      </c>
      <c r="K35" s="24" t="s">
        <v>2200</v>
      </c>
    </row>
    <row r="36" spans="1:11" ht="88" customHeight="1">
      <c r="A36" s="11" t="s">
        <v>2201</v>
      </c>
      <c r="B36" s="26" t="s">
        <v>1639</v>
      </c>
      <c r="C36" s="26" t="s">
        <v>2129</v>
      </c>
      <c r="D36" s="31">
        <v>46278</v>
      </c>
      <c r="E36" s="26" t="s">
        <v>2139</v>
      </c>
      <c r="F36" s="26"/>
      <c r="G36" s="26" t="s">
        <v>2202</v>
      </c>
      <c r="H36" s="26" t="s">
        <v>2132</v>
      </c>
      <c r="I36" s="26" t="s">
        <v>2133</v>
      </c>
      <c r="J36" s="26" t="s">
        <v>2134</v>
      </c>
      <c r="K36" s="26" t="s">
        <v>2200</v>
      </c>
    </row>
    <row r="37" spans="1:11" ht="88" customHeight="1">
      <c r="A37" s="10" t="s">
        <v>2203</v>
      </c>
      <c r="B37" s="24" t="s">
        <v>924</v>
      </c>
      <c r="C37" s="24" t="s">
        <v>2129</v>
      </c>
      <c r="D37" s="29">
        <v>46278</v>
      </c>
      <c r="E37" s="24" t="s">
        <v>2139</v>
      </c>
      <c r="F37" s="24"/>
      <c r="G37" s="24" t="s">
        <v>2204</v>
      </c>
      <c r="H37" s="24" t="s">
        <v>2132</v>
      </c>
      <c r="I37" s="24" t="s">
        <v>2133</v>
      </c>
      <c r="J37" s="24" t="s">
        <v>2134</v>
      </c>
      <c r="K37" s="24" t="s">
        <v>2200</v>
      </c>
    </row>
    <row r="38" spans="1:11" ht="88" customHeight="1">
      <c r="A38" s="11" t="s">
        <v>2205</v>
      </c>
      <c r="B38" s="26" t="s">
        <v>1648</v>
      </c>
      <c r="C38" s="26" t="s">
        <v>2129</v>
      </c>
      <c r="D38" s="31">
        <v>46278</v>
      </c>
      <c r="E38" s="26" t="s">
        <v>2139</v>
      </c>
      <c r="F38" s="26"/>
      <c r="G38" s="26" t="s">
        <v>2206</v>
      </c>
      <c r="H38" s="26" t="s">
        <v>2132</v>
      </c>
      <c r="I38" s="26" t="s">
        <v>2133</v>
      </c>
      <c r="J38" s="26" t="s">
        <v>2134</v>
      </c>
      <c r="K38" s="26" t="s">
        <v>2200</v>
      </c>
    </row>
    <row r="39" spans="1:11" ht="88" customHeight="1">
      <c r="A39" s="10" t="s">
        <v>2207</v>
      </c>
      <c r="B39" s="24" t="s">
        <v>1373</v>
      </c>
      <c r="C39" s="24" t="s">
        <v>2129</v>
      </c>
      <c r="D39" s="29">
        <v>46278</v>
      </c>
      <c r="E39" s="24" t="s">
        <v>2139</v>
      </c>
      <c r="F39" s="24"/>
      <c r="G39" s="24" t="s">
        <v>2208</v>
      </c>
      <c r="H39" s="24" t="s">
        <v>2132</v>
      </c>
      <c r="I39" s="24" t="s">
        <v>2133</v>
      </c>
      <c r="J39" s="24" t="s">
        <v>2134</v>
      </c>
      <c r="K39" s="24" t="s">
        <v>2200</v>
      </c>
    </row>
    <row r="40" spans="1:11" ht="88" customHeight="1">
      <c r="A40" s="11" t="s">
        <v>2209</v>
      </c>
      <c r="B40" s="26" t="s">
        <v>927</v>
      </c>
      <c r="C40" s="26" t="s">
        <v>2129</v>
      </c>
      <c r="D40" s="31">
        <v>46278</v>
      </c>
      <c r="E40" s="26" t="s">
        <v>2139</v>
      </c>
      <c r="F40" s="26"/>
      <c r="G40" s="26" t="s">
        <v>2210</v>
      </c>
      <c r="H40" s="26" t="s">
        <v>2132</v>
      </c>
      <c r="I40" s="26" t="s">
        <v>2133</v>
      </c>
      <c r="J40" s="26" t="s">
        <v>2134</v>
      </c>
      <c r="K40" s="26" t="s">
        <v>2200</v>
      </c>
    </row>
    <row r="41" spans="1:11" ht="88" customHeight="1">
      <c r="A41" s="10" t="s">
        <v>2211</v>
      </c>
      <c r="B41" s="24" t="s">
        <v>1659</v>
      </c>
      <c r="C41" s="24" t="s">
        <v>2129</v>
      </c>
      <c r="D41" s="29">
        <v>46278</v>
      </c>
      <c r="E41" s="24" t="s">
        <v>2139</v>
      </c>
      <c r="F41" s="24"/>
      <c r="G41" s="24" t="s">
        <v>2212</v>
      </c>
      <c r="H41" s="24" t="s">
        <v>2132</v>
      </c>
      <c r="I41" s="24" t="s">
        <v>2133</v>
      </c>
      <c r="J41" s="24" t="s">
        <v>2134</v>
      </c>
      <c r="K41" s="24" t="s">
        <v>2200</v>
      </c>
    </row>
    <row r="42" spans="1:11" ht="88" customHeight="1">
      <c r="A42" s="11" t="s">
        <v>2213</v>
      </c>
      <c r="B42" s="26" t="s">
        <v>1664</v>
      </c>
      <c r="C42" s="26" t="s">
        <v>2129</v>
      </c>
      <c r="D42" s="31">
        <v>46278</v>
      </c>
      <c r="E42" s="26" t="s">
        <v>2139</v>
      </c>
      <c r="F42" s="26"/>
      <c r="G42" s="26" t="s">
        <v>2214</v>
      </c>
      <c r="H42" s="26" t="s">
        <v>2132</v>
      </c>
      <c r="I42" s="26" t="s">
        <v>2133</v>
      </c>
      <c r="J42" s="26" t="s">
        <v>2134</v>
      </c>
      <c r="K42" s="26" t="s">
        <v>2200</v>
      </c>
    </row>
    <row r="43" spans="1:11" ht="88" customHeight="1">
      <c r="A43" s="10" t="s">
        <v>2215</v>
      </c>
      <c r="B43" s="24" t="s">
        <v>1669</v>
      </c>
      <c r="C43" s="24" t="s">
        <v>2129</v>
      </c>
      <c r="D43" s="29">
        <v>46278</v>
      </c>
      <c r="E43" s="24" t="s">
        <v>2139</v>
      </c>
      <c r="F43" s="24"/>
      <c r="G43" s="24" t="s">
        <v>2216</v>
      </c>
      <c r="H43" s="24" t="s">
        <v>2132</v>
      </c>
      <c r="I43" s="24" t="s">
        <v>2133</v>
      </c>
      <c r="J43" s="24" t="s">
        <v>2134</v>
      </c>
      <c r="K43" s="24" t="s">
        <v>2200</v>
      </c>
    </row>
    <row r="44" spans="1:11" ht="88" customHeight="1">
      <c r="A44" s="11" t="s">
        <v>2217</v>
      </c>
      <c r="B44" s="26" t="s">
        <v>1674</v>
      </c>
      <c r="C44" s="26" t="s">
        <v>2129</v>
      </c>
      <c r="D44" s="31">
        <v>46278</v>
      </c>
      <c r="E44" s="26" t="s">
        <v>2139</v>
      </c>
      <c r="F44" s="26"/>
      <c r="G44" s="26" t="s">
        <v>2218</v>
      </c>
      <c r="H44" s="26" t="s">
        <v>2132</v>
      </c>
      <c r="I44" s="26" t="s">
        <v>2133</v>
      </c>
      <c r="J44" s="26" t="s">
        <v>2134</v>
      </c>
      <c r="K44" s="26" t="s">
        <v>2200</v>
      </c>
    </row>
    <row r="45" spans="1:11" ht="88" customHeight="1">
      <c r="A45" s="10" t="s">
        <v>2219</v>
      </c>
      <c r="B45" s="24" t="s">
        <v>953</v>
      </c>
      <c r="C45" s="24" t="s">
        <v>2129</v>
      </c>
      <c r="D45" s="29">
        <v>46278</v>
      </c>
      <c r="E45" s="24" t="s">
        <v>2139</v>
      </c>
      <c r="F45" s="24"/>
      <c r="G45" s="24" t="s">
        <v>2220</v>
      </c>
      <c r="H45" s="24" t="s">
        <v>2132</v>
      </c>
      <c r="I45" s="24" t="s">
        <v>2133</v>
      </c>
      <c r="J45" s="24" t="s">
        <v>2134</v>
      </c>
      <c r="K45" s="24" t="s">
        <v>2221</v>
      </c>
    </row>
    <row r="46" spans="1:11" ht="88" customHeight="1">
      <c r="A46" s="11" t="s">
        <v>2222</v>
      </c>
      <c r="B46" s="26" t="s">
        <v>957</v>
      </c>
      <c r="C46" s="26" t="s">
        <v>2129</v>
      </c>
      <c r="D46" s="31">
        <v>46278</v>
      </c>
      <c r="E46" s="26" t="s">
        <v>2139</v>
      </c>
      <c r="F46" s="26"/>
      <c r="G46" s="26" t="s">
        <v>2223</v>
      </c>
      <c r="H46" s="26" t="s">
        <v>2132</v>
      </c>
      <c r="I46" s="26" t="s">
        <v>2133</v>
      </c>
      <c r="J46" s="26" t="s">
        <v>2134</v>
      </c>
      <c r="K46" s="26" t="s">
        <v>2221</v>
      </c>
    </row>
    <row r="47" spans="1:11" ht="88" customHeight="1">
      <c r="A47" s="10" t="s">
        <v>2224</v>
      </c>
      <c r="B47" s="24" t="s">
        <v>1686</v>
      </c>
      <c r="C47" s="24" t="s">
        <v>2129</v>
      </c>
      <c r="D47" s="29">
        <v>46278</v>
      </c>
      <c r="E47" s="24" t="s">
        <v>2139</v>
      </c>
      <c r="F47" s="24"/>
      <c r="G47" s="24" t="s">
        <v>2225</v>
      </c>
      <c r="H47" s="24" t="s">
        <v>2132</v>
      </c>
      <c r="I47" s="24" t="s">
        <v>2133</v>
      </c>
      <c r="J47" s="24" t="s">
        <v>2134</v>
      </c>
      <c r="K47" s="24" t="s">
        <v>2221</v>
      </c>
    </row>
    <row r="48" spans="1:11" ht="88" customHeight="1">
      <c r="A48" s="11" t="s">
        <v>2226</v>
      </c>
      <c r="B48" s="26" t="s">
        <v>960</v>
      </c>
      <c r="C48" s="26" t="s">
        <v>2129</v>
      </c>
      <c r="D48" s="31">
        <v>46278</v>
      </c>
      <c r="E48" s="26" t="s">
        <v>2139</v>
      </c>
      <c r="F48" s="26"/>
      <c r="G48" s="26" t="s">
        <v>2227</v>
      </c>
      <c r="H48" s="26" t="s">
        <v>2132</v>
      </c>
      <c r="I48" s="26" t="s">
        <v>2133</v>
      </c>
      <c r="J48" s="26" t="s">
        <v>2134</v>
      </c>
      <c r="K48" s="26" t="s">
        <v>2221</v>
      </c>
    </row>
    <row r="49" spans="1:11" ht="88" customHeight="1">
      <c r="A49" s="10" t="s">
        <v>2228</v>
      </c>
      <c r="B49" s="24" t="s">
        <v>963</v>
      </c>
      <c r="C49" s="24" t="s">
        <v>2129</v>
      </c>
      <c r="D49" s="29">
        <v>46278</v>
      </c>
      <c r="E49" s="24" t="s">
        <v>2139</v>
      </c>
      <c r="F49" s="24"/>
      <c r="G49" s="24" t="s">
        <v>2229</v>
      </c>
      <c r="H49" s="24" t="s">
        <v>2132</v>
      </c>
      <c r="I49" s="24" t="s">
        <v>2133</v>
      </c>
      <c r="J49" s="24" t="s">
        <v>2134</v>
      </c>
      <c r="K49" s="24" t="s">
        <v>2221</v>
      </c>
    </row>
    <row r="50" spans="1:11" ht="88" customHeight="1">
      <c r="A50" s="11" t="s">
        <v>2230</v>
      </c>
      <c r="B50" s="26" t="s">
        <v>966</v>
      </c>
      <c r="C50" s="26" t="s">
        <v>2129</v>
      </c>
      <c r="D50" s="31">
        <v>46278</v>
      </c>
      <c r="E50" s="26" t="s">
        <v>2139</v>
      </c>
      <c r="F50" s="26"/>
      <c r="G50" s="26" t="s">
        <v>2231</v>
      </c>
      <c r="H50" s="26" t="s">
        <v>2132</v>
      </c>
      <c r="I50" s="26" t="s">
        <v>2133</v>
      </c>
      <c r="J50" s="26" t="s">
        <v>2134</v>
      </c>
      <c r="K50" s="26" t="s">
        <v>2221</v>
      </c>
    </row>
    <row r="51" spans="1:11" ht="88" customHeight="1">
      <c r="A51" s="10" t="s">
        <v>2232</v>
      </c>
      <c r="B51" s="24" t="s">
        <v>969</v>
      </c>
      <c r="C51" s="24" t="s">
        <v>2129</v>
      </c>
      <c r="D51" s="29">
        <v>46278</v>
      </c>
      <c r="E51" s="24" t="s">
        <v>2139</v>
      </c>
      <c r="F51" s="24"/>
      <c r="G51" s="24" t="s">
        <v>2233</v>
      </c>
      <c r="H51" s="24" t="s">
        <v>2132</v>
      </c>
      <c r="I51" s="24" t="s">
        <v>2133</v>
      </c>
      <c r="J51" s="24" t="s">
        <v>2134</v>
      </c>
      <c r="K51" s="24" t="s">
        <v>2221</v>
      </c>
    </row>
    <row r="52" spans="1:11" ht="88" customHeight="1">
      <c r="A52" s="11" t="s">
        <v>2234</v>
      </c>
      <c r="B52" s="26" t="s">
        <v>972</v>
      </c>
      <c r="C52" s="26" t="s">
        <v>2129</v>
      </c>
      <c r="D52" s="31">
        <v>46278</v>
      </c>
      <c r="E52" s="26" t="s">
        <v>2139</v>
      </c>
      <c r="F52" s="26"/>
      <c r="G52" s="26" t="s">
        <v>2235</v>
      </c>
      <c r="H52" s="26" t="s">
        <v>2132</v>
      </c>
      <c r="I52" s="26" t="s">
        <v>2133</v>
      </c>
      <c r="J52" s="26" t="s">
        <v>2134</v>
      </c>
      <c r="K52" s="26" t="s">
        <v>2221</v>
      </c>
    </row>
    <row r="53" spans="1:11" ht="88" customHeight="1">
      <c r="A53" s="10" t="s">
        <v>2236</v>
      </c>
      <c r="B53" s="24" t="s">
        <v>975</v>
      </c>
      <c r="C53" s="24" t="s">
        <v>2129</v>
      </c>
      <c r="D53" s="29">
        <v>46278</v>
      </c>
      <c r="E53" s="24" t="s">
        <v>2139</v>
      </c>
      <c r="F53" s="24"/>
      <c r="G53" s="24" t="s">
        <v>2237</v>
      </c>
      <c r="H53" s="24" t="s">
        <v>2132</v>
      </c>
      <c r="I53" s="24" t="s">
        <v>2133</v>
      </c>
      <c r="J53" s="24" t="s">
        <v>2134</v>
      </c>
      <c r="K53" s="24" t="s">
        <v>2238</v>
      </c>
    </row>
    <row r="54" spans="1:11" ht="88" customHeight="1">
      <c r="A54" s="11" t="s">
        <v>2239</v>
      </c>
      <c r="B54" s="26" t="s">
        <v>978</v>
      </c>
      <c r="C54" s="26" t="s">
        <v>2129</v>
      </c>
      <c r="D54" s="31">
        <v>46278</v>
      </c>
      <c r="E54" s="26" t="s">
        <v>2139</v>
      </c>
      <c r="F54" s="26"/>
      <c r="G54" s="26" t="s">
        <v>2240</v>
      </c>
      <c r="H54" s="26" t="s">
        <v>2132</v>
      </c>
      <c r="I54" s="26" t="s">
        <v>2133</v>
      </c>
      <c r="J54" s="26" t="s">
        <v>2134</v>
      </c>
      <c r="K54" s="26" t="s">
        <v>2241</v>
      </c>
    </row>
    <row r="55" spans="1:11" ht="88" customHeight="1">
      <c r="A55" s="10" t="s">
        <v>2242</v>
      </c>
      <c r="B55" s="24" t="s">
        <v>1713</v>
      </c>
      <c r="C55" s="24" t="s">
        <v>2129</v>
      </c>
      <c r="D55" s="29">
        <v>46278</v>
      </c>
      <c r="E55" s="24" t="s">
        <v>2139</v>
      </c>
      <c r="F55" s="24"/>
      <c r="G55" s="24" t="s">
        <v>2243</v>
      </c>
      <c r="H55" s="24" t="s">
        <v>2132</v>
      </c>
      <c r="I55" s="24" t="s">
        <v>2133</v>
      </c>
      <c r="J55" s="24" t="s">
        <v>2134</v>
      </c>
      <c r="K55" s="24" t="s">
        <v>2221</v>
      </c>
    </row>
    <row r="56" spans="1:11" ht="88" customHeight="1">
      <c r="A56" s="11" t="s">
        <v>2244</v>
      </c>
      <c r="B56" s="26" t="s">
        <v>1718</v>
      </c>
      <c r="C56" s="26" t="s">
        <v>2129</v>
      </c>
      <c r="D56" s="31">
        <v>46278</v>
      </c>
      <c r="E56" s="26" t="s">
        <v>2139</v>
      </c>
      <c r="F56" s="26"/>
      <c r="G56" s="26" t="s">
        <v>2245</v>
      </c>
      <c r="H56" s="26" t="s">
        <v>2132</v>
      </c>
      <c r="I56" s="26" t="s">
        <v>2133</v>
      </c>
      <c r="J56" s="26" t="s">
        <v>2134</v>
      </c>
      <c r="K56" s="26" t="s">
        <v>2221</v>
      </c>
    </row>
    <row r="57" spans="1:11" ht="88" customHeight="1">
      <c r="A57" s="10" t="s">
        <v>2246</v>
      </c>
      <c r="B57" s="24" t="s">
        <v>1457</v>
      </c>
      <c r="C57" s="24" t="s">
        <v>2129</v>
      </c>
      <c r="D57" s="29">
        <v>46278</v>
      </c>
      <c r="E57" s="24" t="s">
        <v>2139</v>
      </c>
      <c r="F57" s="24"/>
      <c r="G57" s="24" t="s">
        <v>2247</v>
      </c>
      <c r="H57" s="24" t="s">
        <v>2132</v>
      </c>
      <c r="I57" s="24" t="s">
        <v>2133</v>
      </c>
      <c r="J57" s="24" t="s">
        <v>2134</v>
      </c>
      <c r="K57" s="24" t="s">
        <v>2221</v>
      </c>
    </row>
    <row r="58" spans="1:11" ht="88" customHeight="1">
      <c r="A58" s="11" t="s">
        <v>2248</v>
      </c>
      <c r="B58" s="26" t="s">
        <v>1727</v>
      </c>
      <c r="C58" s="26" t="s">
        <v>2129</v>
      </c>
      <c r="D58" s="31">
        <v>46278</v>
      </c>
      <c r="E58" s="26" t="s">
        <v>2139</v>
      </c>
      <c r="F58" s="26"/>
      <c r="G58" s="26" t="s">
        <v>2249</v>
      </c>
      <c r="H58" s="26" t="s">
        <v>2132</v>
      </c>
      <c r="I58" s="26" t="s">
        <v>2133</v>
      </c>
      <c r="J58" s="26" t="s">
        <v>2134</v>
      </c>
      <c r="K58" s="26" t="s">
        <v>2221</v>
      </c>
    </row>
    <row r="59" spans="1:11" ht="88" customHeight="1">
      <c r="A59" s="10" t="s">
        <v>2250</v>
      </c>
      <c r="B59" s="24" t="s">
        <v>986</v>
      </c>
      <c r="C59" s="24" t="s">
        <v>2129</v>
      </c>
      <c r="D59" s="29">
        <v>46278</v>
      </c>
      <c r="E59" s="24" t="s">
        <v>2139</v>
      </c>
      <c r="F59" s="24"/>
      <c r="G59" s="24" t="s">
        <v>2251</v>
      </c>
      <c r="H59" s="24" t="s">
        <v>2132</v>
      </c>
      <c r="I59" s="24" t="s">
        <v>2133</v>
      </c>
      <c r="J59" s="24" t="s">
        <v>2134</v>
      </c>
      <c r="K59" s="24" t="s">
        <v>2252</v>
      </c>
    </row>
    <row r="60" spans="1:11" ht="88" customHeight="1">
      <c r="A60" s="11" t="s">
        <v>2253</v>
      </c>
      <c r="B60" s="26" t="s">
        <v>994</v>
      </c>
      <c r="C60" s="26" t="s">
        <v>2129</v>
      </c>
      <c r="D60" s="31">
        <v>46278</v>
      </c>
      <c r="E60" s="26" t="s">
        <v>2139</v>
      </c>
      <c r="F60" s="26"/>
      <c r="G60" s="26" t="s">
        <v>2254</v>
      </c>
      <c r="H60" s="26" t="s">
        <v>2132</v>
      </c>
      <c r="I60" s="26" t="s">
        <v>2133</v>
      </c>
      <c r="J60" s="26" t="s">
        <v>2134</v>
      </c>
      <c r="K60" s="26" t="s">
        <v>2252</v>
      </c>
    </row>
    <row r="61" spans="1:11" ht="88" customHeight="1">
      <c r="A61" s="10" t="s">
        <v>2255</v>
      </c>
      <c r="B61" s="24" t="s">
        <v>991</v>
      </c>
      <c r="C61" s="24" t="s">
        <v>2129</v>
      </c>
      <c r="D61" s="29">
        <v>46278</v>
      </c>
      <c r="E61" s="24" t="s">
        <v>2139</v>
      </c>
      <c r="F61" s="24"/>
      <c r="G61" s="24" t="s">
        <v>2256</v>
      </c>
      <c r="H61" s="24" t="s">
        <v>2132</v>
      </c>
      <c r="I61" s="24" t="s">
        <v>2133</v>
      </c>
      <c r="J61" s="24" t="s">
        <v>2134</v>
      </c>
      <c r="K61" s="24" t="s">
        <v>2252</v>
      </c>
    </row>
    <row r="62" spans="1:11" ht="88" customHeight="1">
      <c r="A62" s="11" t="s">
        <v>2257</v>
      </c>
      <c r="B62" s="26" t="s">
        <v>997</v>
      </c>
      <c r="C62" s="26" t="s">
        <v>2129</v>
      </c>
      <c r="D62" s="31">
        <v>46278</v>
      </c>
      <c r="E62" s="26" t="s">
        <v>2139</v>
      </c>
      <c r="F62" s="26"/>
      <c r="G62" s="26" t="s">
        <v>2258</v>
      </c>
      <c r="H62" s="26" t="s">
        <v>2132</v>
      </c>
      <c r="I62" s="26" t="s">
        <v>2133</v>
      </c>
      <c r="J62" s="26" t="s">
        <v>2134</v>
      </c>
      <c r="K62" s="26" t="s">
        <v>2252</v>
      </c>
    </row>
    <row r="63" spans="1:11" ht="88" customHeight="1">
      <c r="A63" s="10" t="s">
        <v>2259</v>
      </c>
      <c r="B63" s="24" t="s">
        <v>1745</v>
      </c>
      <c r="C63" s="24" t="s">
        <v>2129</v>
      </c>
      <c r="D63" s="29">
        <v>46278</v>
      </c>
      <c r="E63" s="24" t="s">
        <v>2139</v>
      </c>
      <c r="F63" s="24"/>
      <c r="G63" s="24" t="s">
        <v>2260</v>
      </c>
      <c r="H63" s="24" t="s">
        <v>2132</v>
      </c>
      <c r="I63" s="24" t="s">
        <v>2133</v>
      </c>
      <c r="J63" s="24" t="s">
        <v>2134</v>
      </c>
      <c r="K63" s="24" t="s">
        <v>2252</v>
      </c>
    </row>
    <row r="64" spans="1:11" ht="88" customHeight="1">
      <c r="A64" s="11" t="s">
        <v>2261</v>
      </c>
      <c r="B64" s="26" t="s">
        <v>1750</v>
      </c>
      <c r="C64" s="26" t="s">
        <v>2129</v>
      </c>
      <c r="D64" s="31">
        <v>46278</v>
      </c>
      <c r="E64" s="26" t="s">
        <v>2139</v>
      </c>
      <c r="F64" s="26"/>
      <c r="G64" s="26" t="s">
        <v>2262</v>
      </c>
      <c r="H64" s="26" t="s">
        <v>2132</v>
      </c>
      <c r="I64" s="26" t="s">
        <v>2133</v>
      </c>
      <c r="J64" s="26" t="s">
        <v>2134</v>
      </c>
      <c r="K64" s="26" t="s">
        <v>2252</v>
      </c>
    </row>
    <row r="65" spans="1:11" ht="88" customHeight="1">
      <c r="A65" s="10" t="s">
        <v>2263</v>
      </c>
      <c r="B65" s="24" t="s">
        <v>1000</v>
      </c>
      <c r="C65" s="24" t="s">
        <v>2129</v>
      </c>
      <c r="D65" s="29">
        <v>46278</v>
      </c>
      <c r="E65" s="24" t="s">
        <v>2139</v>
      </c>
      <c r="F65" s="24"/>
      <c r="G65" s="24" t="s">
        <v>2264</v>
      </c>
      <c r="H65" s="24" t="s">
        <v>2132</v>
      </c>
      <c r="I65" s="24" t="s">
        <v>2133</v>
      </c>
      <c r="J65" s="24" t="s">
        <v>2134</v>
      </c>
      <c r="K65" s="24" t="s">
        <v>2252</v>
      </c>
    </row>
    <row r="66" spans="1:11" ht="88" customHeight="1">
      <c r="A66" s="11" t="s">
        <v>2265</v>
      </c>
      <c r="B66" s="26" t="s">
        <v>1758</v>
      </c>
      <c r="C66" s="26" t="s">
        <v>2129</v>
      </c>
      <c r="D66" s="31">
        <v>46278</v>
      </c>
      <c r="E66" s="26" t="s">
        <v>2139</v>
      </c>
      <c r="F66" s="26"/>
      <c r="G66" s="26" t="s">
        <v>2266</v>
      </c>
      <c r="H66" s="26" t="s">
        <v>2132</v>
      </c>
      <c r="I66" s="26" t="s">
        <v>2133</v>
      </c>
      <c r="J66" s="26" t="s">
        <v>2134</v>
      </c>
      <c r="K66" s="26" t="s">
        <v>2252</v>
      </c>
    </row>
    <row r="67" spans="1:11" ht="88" customHeight="1">
      <c r="A67" s="10" t="s">
        <v>2267</v>
      </c>
      <c r="B67" s="24" t="s">
        <v>1004</v>
      </c>
      <c r="C67" s="24" t="s">
        <v>2129</v>
      </c>
      <c r="D67" s="29">
        <v>46278</v>
      </c>
      <c r="E67" s="24" t="s">
        <v>2139</v>
      </c>
      <c r="F67" s="24"/>
      <c r="G67" s="24" t="s">
        <v>2268</v>
      </c>
      <c r="H67" s="24" t="s">
        <v>2132</v>
      </c>
      <c r="I67" s="24" t="s">
        <v>2133</v>
      </c>
      <c r="J67" s="24" t="s">
        <v>2134</v>
      </c>
      <c r="K67" s="24" t="s">
        <v>2252</v>
      </c>
    </row>
    <row r="68" spans="1:11" ht="88" customHeight="1">
      <c r="A68" s="11" t="s">
        <v>2269</v>
      </c>
      <c r="B68" s="26" t="s">
        <v>1010</v>
      </c>
      <c r="C68" s="26" t="s">
        <v>2129</v>
      </c>
      <c r="D68" s="31">
        <v>46278</v>
      </c>
      <c r="E68" s="26" t="s">
        <v>2139</v>
      </c>
      <c r="F68" s="26"/>
      <c r="G68" s="26" t="s">
        <v>2270</v>
      </c>
      <c r="H68" s="26" t="s">
        <v>2132</v>
      </c>
      <c r="I68" s="26" t="s">
        <v>2133</v>
      </c>
      <c r="J68" s="26" t="s">
        <v>2134</v>
      </c>
      <c r="K68" s="26" t="s">
        <v>2252</v>
      </c>
    </row>
    <row r="69" spans="1:11" ht="88" customHeight="1">
      <c r="A69" s="10" t="s">
        <v>2271</v>
      </c>
      <c r="B69" s="24" t="s">
        <v>1014</v>
      </c>
      <c r="C69" s="24" t="s">
        <v>2129</v>
      </c>
      <c r="D69" s="29">
        <v>46278</v>
      </c>
      <c r="E69" s="24" t="s">
        <v>2139</v>
      </c>
      <c r="F69" s="24"/>
      <c r="G69" s="24" t="s">
        <v>2272</v>
      </c>
      <c r="H69" s="24" t="s">
        <v>2132</v>
      </c>
      <c r="I69" s="24" t="s">
        <v>2133</v>
      </c>
      <c r="J69" s="24" t="s">
        <v>2134</v>
      </c>
      <c r="K69" s="24" t="s">
        <v>2252</v>
      </c>
    </row>
    <row r="70" spans="1:11" ht="88" customHeight="1">
      <c r="A70" s="11" t="s">
        <v>2273</v>
      </c>
      <c r="B70" s="26" t="s">
        <v>1018</v>
      </c>
      <c r="C70" s="26" t="s">
        <v>2129</v>
      </c>
      <c r="D70" s="31">
        <v>46278</v>
      </c>
      <c r="E70" s="26" t="s">
        <v>2139</v>
      </c>
      <c r="F70" s="26"/>
      <c r="G70" s="26" t="s">
        <v>2274</v>
      </c>
      <c r="H70" s="26" t="s">
        <v>2132</v>
      </c>
      <c r="I70" s="26" t="s">
        <v>2133</v>
      </c>
      <c r="J70" s="26" t="s">
        <v>2134</v>
      </c>
      <c r="K70" s="26" t="s">
        <v>2252</v>
      </c>
    </row>
    <row r="71" spans="1:11" ht="88" customHeight="1">
      <c r="A71" s="10" t="s">
        <v>2275</v>
      </c>
      <c r="B71" s="24" t="s">
        <v>1775</v>
      </c>
      <c r="C71" s="24" t="s">
        <v>2129</v>
      </c>
      <c r="D71" s="29">
        <v>46278</v>
      </c>
      <c r="E71" s="24" t="s">
        <v>2139</v>
      </c>
      <c r="F71" s="24"/>
      <c r="G71" s="24" t="s">
        <v>2276</v>
      </c>
      <c r="H71" s="24" t="s">
        <v>2132</v>
      </c>
      <c r="I71" s="24" t="s">
        <v>2133</v>
      </c>
      <c r="J71" s="24" t="s">
        <v>2134</v>
      </c>
      <c r="K71" s="24" t="s">
        <v>2252</v>
      </c>
    </row>
    <row r="72" spans="1:11" ht="88" customHeight="1">
      <c r="A72" s="11" t="s">
        <v>2277</v>
      </c>
      <c r="B72" s="26" t="s">
        <v>1021</v>
      </c>
      <c r="C72" s="26" t="s">
        <v>2129</v>
      </c>
      <c r="D72" s="31">
        <v>46278</v>
      </c>
      <c r="E72" s="26" t="s">
        <v>2139</v>
      </c>
      <c r="F72" s="26"/>
      <c r="G72" s="26" t="s">
        <v>2278</v>
      </c>
      <c r="H72" s="26" t="s">
        <v>2132</v>
      </c>
      <c r="I72" s="26" t="s">
        <v>2133</v>
      </c>
      <c r="J72" s="26" t="s">
        <v>2134</v>
      </c>
      <c r="K72" s="26" t="s">
        <v>2252</v>
      </c>
    </row>
    <row r="73" spans="1:11" ht="88" customHeight="1">
      <c r="A73" s="10" t="s">
        <v>2279</v>
      </c>
      <c r="B73" s="24" t="s">
        <v>1782</v>
      </c>
      <c r="C73" s="24" t="s">
        <v>2129</v>
      </c>
      <c r="D73" s="29">
        <v>46278</v>
      </c>
      <c r="E73" s="24" t="s">
        <v>2139</v>
      </c>
      <c r="F73" s="24"/>
      <c r="G73" s="24" t="s">
        <v>2280</v>
      </c>
      <c r="H73" s="24" t="s">
        <v>2132</v>
      </c>
      <c r="I73" s="24" t="s">
        <v>2133</v>
      </c>
      <c r="J73" s="24" t="s">
        <v>2134</v>
      </c>
      <c r="K73" s="24" t="s">
        <v>2252</v>
      </c>
    </row>
    <row r="74" spans="1:11" ht="88" customHeight="1">
      <c r="A74" s="11" t="s">
        <v>2281</v>
      </c>
      <c r="B74" s="26" t="s">
        <v>1787</v>
      </c>
      <c r="C74" s="26" t="s">
        <v>2129</v>
      </c>
      <c r="D74" s="31">
        <v>46278</v>
      </c>
      <c r="E74" s="26" t="s">
        <v>2139</v>
      </c>
      <c r="F74" s="26"/>
      <c r="G74" s="26" t="s">
        <v>2282</v>
      </c>
      <c r="H74" s="26" t="s">
        <v>2132</v>
      </c>
      <c r="I74" s="26" t="s">
        <v>2133</v>
      </c>
      <c r="J74" s="26" t="s">
        <v>2134</v>
      </c>
      <c r="K74" s="26" t="s">
        <v>2252</v>
      </c>
    </row>
    <row r="75" spans="1:11" ht="88" customHeight="1">
      <c r="A75" s="10" t="s">
        <v>2283</v>
      </c>
      <c r="B75" s="24" t="s">
        <v>1023</v>
      </c>
      <c r="C75" s="24" t="s">
        <v>2129</v>
      </c>
      <c r="D75" s="29">
        <v>46278</v>
      </c>
      <c r="E75" s="24" t="s">
        <v>2139</v>
      </c>
      <c r="F75" s="24"/>
      <c r="G75" s="24" t="s">
        <v>2284</v>
      </c>
      <c r="H75" s="24" t="s">
        <v>2132</v>
      </c>
      <c r="I75" s="24" t="s">
        <v>2133</v>
      </c>
      <c r="J75" s="24" t="s">
        <v>2134</v>
      </c>
      <c r="K75" s="24" t="s">
        <v>2285</v>
      </c>
    </row>
    <row r="76" spans="1:11" ht="88" customHeight="1">
      <c r="A76" s="11" t="s">
        <v>2286</v>
      </c>
      <c r="B76" s="26" t="s">
        <v>1795</v>
      </c>
      <c r="C76" s="26" t="s">
        <v>2129</v>
      </c>
      <c r="D76" s="31">
        <v>46278</v>
      </c>
      <c r="E76" s="26" t="s">
        <v>2139</v>
      </c>
      <c r="F76" s="26"/>
      <c r="G76" s="26" t="s">
        <v>2287</v>
      </c>
      <c r="H76" s="26" t="s">
        <v>2132</v>
      </c>
      <c r="I76" s="26" t="s">
        <v>2133</v>
      </c>
      <c r="J76" s="26" t="s">
        <v>2134</v>
      </c>
      <c r="K76" s="26" t="s">
        <v>2285</v>
      </c>
    </row>
    <row r="77" spans="1:11" ht="88" customHeight="1">
      <c r="A77" s="10" t="s">
        <v>2288</v>
      </c>
      <c r="B77" s="24" t="s">
        <v>1027</v>
      </c>
      <c r="C77" s="24" t="s">
        <v>2129</v>
      </c>
      <c r="D77" s="29">
        <v>46278</v>
      </c>
      <c r="E77" s="24" t="s">
        <v>2139</v>
      </c>
      <c r="F77" s="24"/>
      <c r="G77" s="24" t="s">
        <v>2289</v>
      </c>
      <c r="H77" s="24" t="s">
        <v>2132</v>
      </c>
      <c r="I77" s="24" t="s">
        <v>2133</v>
      </c>
      <c r="J77" s="24" t="s">
        <v>2134</v>
      </c>
      <c r="K77" s="24" t="s">
        <v>2285</v>
      </c>
    </row>
    <row r="78" spans="1:11" ht="88" customHeight="1">
      <c r="A78" s="11" t="s">
        <v>2290</v>
      </c>
      <c r="B78" s="26" t="s">
        <v>1803</v>
      </c>
      <c r="C78" s="26" t="s">
        <v>2129</v>
      </c>
      <c r="D78" s="31">
        <v>46278</v>
      </c>
      <c r="E78" s="26" t="s">
        <v>2139</v>
      </c>
      <c r="F78" s="26"/>
      <c r="G78" s="26" t="s">
        <v>2291</v>
      </c>
      <c r="H78" s="26" t="s">
        <v>2132</v>
      </c>
      <c r="I78" s="26" t="s">
        <v>2133</v>
      </c>
      <c r="J78" s="26" t="s">
        <v>2134</v>
      </c>
      <c r="K78" s="26" t="s">
        <v>2285</v>
      </c>
    </row>
    <row r="79" spans="1:11" ht="88" customHeight="1">
      <c r="A79" s="10" t="s">
        <v>2292</v>
      </c>
      <c r="B79" s="24" t="s">
        <v>1031</v>
      </c>
      <c r="C79" s="24" t="s">
        <v>2129</v>
      </c>
      <c r="D79" s="29">
        <v>46278</v>
      </c>
      <c r="E79" s="24" t="s">
        <v>2139</v>
      </c>
      <c r="F79" s="24"/>
      <c r="G79" s="24" t="s">
        <v>2293</v>
      </c>
      <c r="H79" s="24" t="s">
        <v>2132</v>
      </c>
      <c r="I79" s="24" t="s">
        <v>2133</v>
      </c>
      <c r="J79" s="24" t="s">
        <v>2134</v>
      </c>
      <c r="K79" s="24" t="s">
        <v>2285</v>
      </c>
    </row>
    <row r="80" spans="1:11" ht="88" customHeight="1">
      <c r="A80" s="11" t="s">
        <v>2294</v>
      </c>
      <c r="B80" s="26" t="s">
        <v>1811</v>
      </c>
      <c r="C80" s="26" t="s">
        <v>2129</v>
      </c>
      <c r="D80" s="31">
        <v>46278</v>
      </c>
      <c r="E80" s="26" t="s">
        <v>2139</v>
      </c>
      <c r="F80" s="26"/>
      <c r="G80" s="26" t="s">
        <v>2295</v>
      </c>
      <c r="H80" s="26" t="s">
        <v>2132</v>
      </c>
      <c r="I80" s="26" t="s">
        <v>2133</v>
      </c>
      <c r="J80" s="26" t="s">
        <v>2134</v>
      </c>
      <c r="K80" s="26" t="s">
        <v>2285</v>
      </c>
    </row>
    <row r="81" spans="1:11" ht="88" customHeight="1">
      <c r="A81" s="10" t="s">
        <v>2296</v>
      </c>
      <c r="B81" s="24" t="s">
        <v>1816</v>
      </c>
      <c r="C81" s="24" t="s">
        <v>2129</v>
      </c>
      <c r="D81" s="29">
        <v>46278</v>
      </c>
      <c r="E81" s="24" t="s">
        <v>2139</v>
      </c>
      <c r="F81" s="24"/>
      <c r="G81" s="24" t="s">
        <v>2297</v>
      </c>
      <c r="H81" s="24" t="s">
        <v>2132</v>
      </c>
      <c r="I81" s="24" t="s">
        <v>2133</v>
      </c>
      <c r="J81" s="24" t="s">
        <v>2134</v>
      </c>
      <c r="K81" s="24" t="s">
        <v>2285</v>
      </c>
    </row>
    <row r="82" spans="1:11" ht="88" customHeight="1">
      <c r="A82" s="11" t="s">
        <v>2298</v>
      </c>
      <c r="B82" s="26" t="s">
        <v>1821</v>
      </c>
      <c r="C82" s="26" t="s">
        <v>2129</v>
      </c>
      <c r="D82" s="31">
        <v>46278</v>
      </c>
      <c r="E82" s="26" t="s">
        <v>2139</v>
      </c>
      <c r="F82" s="26"/>
      <c r="G82" s="26" t="s">
        <v>2297</v>
      </c>
      <c r="H82" s="26" t="s">
        <v>2132</v>
      </c>
      <c r="I82" s="26" t="s">
        <v>2133</v>
      </c>
      <c r="J82" s="26" t="s">
        <v>2134</v>
      </c>
      <c r="K82" s="26" t="s">
        <v>2285</v>
      </c>
    </row>
    <row r="83" spans="1:11" ht="88" customHeight="1">
      <c r="A83" s="10" t="s">
        <v>2299</v>
      </c>
      <c r="B83" s="24" t="s">
        <v>1824</v>
      </c>
      <c r="C83" s="24" t="s">
        <v>2129</v>
      </c>
      <c r="D83" s="29">
        <v>46278</v>
      </c>
      <c r="E83" s="24" t="s">
        <v>2139</v>
      </c>
      <c r="F83" s="24"/>
      <c r="G83" s="24" t="s">
        <v>2297</v>
      </c>
      <c r="H83" s="24" t="s">
        <v>2132</v>
      </c>
      <c r="I83" s="24" t="s">
        <v>2133</v>
      </c>
      <c r="J83" s="24" t="s">
        <v>2134</v>
      </c>
      <c r="K83" s="24" t="s">
        <v>2285</v>
      </c>
    </row>
    <row r="84" spans="1:11" ht="88" customHeight="1">
      <c r="A84" s="11" t="s">
        <v>2300</v>
      </c>
      <c r="B84" s="26" t="s">
        <v>1041</v>
      </c>
      <c r="C84" s="26" t="s">
        <v>2129</v>
      </c>
      <c r="D84" s="31">
        <v>46278</v>
      </c>
      <c r="E84" s="26" t="s">
        <v>2139</v>
      </c>
      <c r="F84" s="26"/>
      <c r="G84" s="26" t="s">
        <v>2301</v>
      </c>
      <c r="H84" s="26" t="s">
        <v>2132</v>
      </c>
      <c r="I84" s="26" t="s">
        <v>2133</v>
      </c>
      <c r="J84" s="26" t="s">
        <v>2134</v>
      </c>
      <c r="K84" s="26" t="s">
        <v>2285</v>
      </c>
    </row>
    <row r="85" spans="1:11" ht="88" customHeight="1">
      <c r="A85" s="10" t="s">
        <v>2302</v>
      </c>
      <c r="B85" s="24" t="s">
        <v>1049</v>
      </c>
      <c r="C85" s="24" t="s">
        <v>2129</v>
      </c>
      <c r="D85" s="29">
        <v>46278</v>
      </c>
      <c r="E85" s="24" t="s">
        <v>2139</v>
      </c>
      <c r="F85" s="24"/>
      <c r="G85" s="24" t="s">
        <v>2303</v>
      </c>
      <c r="H85" s="24" t="s">
        <v>2132</v>
      </c>
      <c r="I85" s="24" t="s">
        <v>2133</v>
      </c>
      <c r="J85" s="24" t="s">
        <v>2134</v>
      </c>
      <c r="K85" s="24" t="s">
        <v>2285</v>
      </c>
    </row>
    <row r="86" spans="1:11" ht="88" customHeight="1">
      <c r="A86" s="11" t="s">
        <v>2304</v>
      </c>
      <c r="B86" s="26" t="s">
        <v>1052</v>
      </c>
      <c r="C86" s="26" t="s">
        <v>2129</v>
      </c>
      <c r="D86" s="31">
        <v>46278</v>
      </c>
      <c r="E86" s="26" t="s">
        <v>2139</v>
      </c>
      <c r="F86" s="26"/>
      <c r="G86" s="26" t="s">
        <v>2305</v>
      </c>
      <c r="H86" s="26" t="s">
        <v>2132</v>
      </c>
      <c r="I86" s="26" t="s">
        <v>2133</v>
      </c>
      <c r="J86" s="26" t="s">
        <v>2134</v>
      </c>
      <c r="K86" s="26" t="s">
        <v>2285</v>
      </c>
    </row>
    <row r="87" spans="1:11" ht="88" customHeight="1">
      <c r="A87" s="10" t="s">
        <v>2306</v>
      </c>
      <c r="B87" s="24" t="s">
        <v>1838</v>
      </c>
      <c r="C87" s="24" t="s">
        <v>2129</v>
      </c>
      <c r="D87" s="29">
        <v>46278</v>
      </c>
      <c r="E87" s="24" t="s">
        <v>2139</v>
      </c>
      <c r="F87" s="24"/>
      <c r="G87" s="24" t="s">
        <v>2307</v>
      </c>
      <c r="H87" s="24" t="s">
        <v>2132</v>
      </c>
      <c r="I87" s="24" t="s">
        <v>2133</v>
      </c>
      <c r="J87" s="24" t="s">
        <v>2134</v>
      </c>
      <c r="K87" s="24" t="s">
        <v>2285</v>
      </c>
    </row>
    <row r="88" spans="1:11" ht="88" customHeight="1">
      <c r="A88" s="11" t="s">
        <v>2308</v>
      </c>
      <c r="B88" s="26" t="s">
        <v>1843</v>
      </c>
      <c r="C88" s="26" t="s">
        <v>2129</v>
      </c>
      <c r="D88" s="31">
        <v>46278</v>
      </c>
      <c r="E88" s="26" t="s">
        <v>2139</v>
      </c>
      <c r="F88" s="26"/>
      <c r="G88" s="26" t="s">
        <v>2309</v>
      </c>
      <c r="H88" s="26" t="s">
        <v>2132</v>
      </c>
      <c r="I88" s="26" t="s">
        <v>2133</v>
      </c>
      <c r="J88" s="26" t="s">
        <v>2134</v>
      </c>
      <c r="K88" s="26" t="s">
        <v>2285</v>
      </c>
    </row>
    <row r="89" spans="1:11" ht="88" customHeight="1">
      <c r="A89" s="10" t="s">
        <v>2310</v>
      </c>
      <c r="B89" s="24" t="s">
        <v>1848</v>
      </c>
      <c r="C89" s="24" t="s">
        <v>2129</v>
      </c>
      <c r="D89" s="29">
        <v>46278</v>
      </c>
      <c r="E89" s="24" t="s">
        <v>2139</v>
      </c>
      <c r="F89" s="24"/>
      <c r="G89" s="24" t="s">
        <v>2311</v>
      </c>
      <c r="H89" s="24" t="s">
        <v>2132</v>
      </c>
      <c r="I89" s="24" t="s">
        <v>2133</v>
      </c>
      <c r="J89" s="24" t="s">
        <v>2134</v>
      </c>
      <c r="K89" s="24" t="s">
        <v>2285</v>
      </c>
    </row>
    <row r="90" spans="1:11" ht="88" customHeight="1">
      <c r="A90" s="11" t="s">
        <v>2312</v>
      </c>
      <c r="B90" s="26" t="s">
        <v>1066</v>
      </c>
      <c r="C90" s="26" t="s">
        <v>2129</v>
      </c>
      <c r="D90" s="31">
        <v>46278</v>
      </c>
      <c r="E90" s="26" t="s">
        <v>2139</v>
      </c>
      <c r="F90" s="26"/>
      <c r="G90" s="26" t="s">
        <v>2313</v>
      </c>
      <c r="H90" s="26" t="s">
        <v>2132</v>
      </c>
      <c r="I90" s="26" t="s">
        <v>2133</v>
      </c>
      <c r="J90" s="26" t="s">
        <v>2134</v>
      </c>
      <c r="K90" s="26" t="s">
        <v>2285</v>
      </c>
    </row>
    <row r="91" spans="1:11" ht="88" customHeight="1">
      <c r="A91" s="10" t="s">
        <v>2314</v>
      </c>
      <c r="B91" s="24" t="s">
        <v>1856</v>
      </c>
      <c r="C91" s="24" t="s">
        <v>2129</v>
      </c>
      <c r="D91" s="29">
        <v>46278</v>
      </c>
      <c r="E91" s="24" t="s">
        <v>2139</v>
      </c>
      <c r="F91" s="24"/>
      <c r="G91" s="24" t="s">
        <v>2315</v>
      </c>
      <c r="H91" s="24" t="s">
        <v>2132</v>
      </c>
      <c r="I91" s="24" t="s">
        <v>2133</v>
      </c>
      <c r="J91" s="24" t="s">
        <v>2134</v>
      </c>
      <c r="K91" s="24" t="s">
        <v>2285</v>
      </c>
    </row>
  </sheetData>
  <sheetProtection sheet="1" objects="1" scenarios="1" sort="0" autoFilter="0"/>
  <dataValidations count="2">
    <dataValidation type="list" sqref="E7:E91" xr:uid="{00000000-0002-0000-0800-000000000000}">
      <formula1>"unchanged,changed,unclear,unavailable"</formula1>
    </dataValidation>
    <dataValidation type="list" sqref="H7:H91" xr:uid="{00000000-0002-0000-0800-000001000000}">
      <formula1>"candidate,approved,withdrawn"</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9</vt:i4>
      </vt:variant>
    </vt:vector>
  </HeadingPairs>
  <TitlesOfParts>
    <vt:vector size="9" baseType="lpstr">
      <vt:lpstr>Übersicht</vt:lpstr>
      <vt:lpstr>Feiertagskalender</vt:lpstr>
      <vt:lpstr>Gemeinwesen</vt:lpstr>
      <vt:lpstr>Feiertagsregeln</vt:lpstr>
      <vt:lpstr>Geltungsbereiche</vt:lpstr>
      <vt:lpstr>Gebietszuordnungen</vt:lpstr>
      <vt:lpstr>Rechtsquellen</vt:lpstr>
      <vt:lpstr>Verfahrensbezug</vt:lpstr>
      <vt:lpstr>Quellenprüfung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Steimer</cp:lastModifiedBy>
  <dcterms:modified xsi:type="dcterms:W3CDTF">2026-09-16T16:31:09Z</dcterms:modified>
</cp:coreProperties>
</file>