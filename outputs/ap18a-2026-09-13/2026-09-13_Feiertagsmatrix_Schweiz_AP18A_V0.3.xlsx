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a790fcff39084b1a"/>
    <x:sheet xmlns:r="http://schemas.openxmlformats.org/officeDocument/2006/relationships" name="Feiertagskalender" sheetId="2" r:id="R67c4e2dd8aaf4bae"/>
    <x:sheet xmlns:r="http://schemas.openxmlformats.org/officeDocument/2006/relationships" name="Gemeinwesen" sheetId="3" r:id="Rbee30fbd630a402e"/>
    <x:sheet xmlns:r="http://schemas.openxmlformats.org/officeDocument/2006/relationships" name="Feiertagsregeln" sheetId="4" r:id="R26d2b98c0ed74e26"/>
    <x:sheet xmlns:r="http://schemas.openxmlformats.org/officeDocument/2006/relationships" name="Geltungsbereiche" sheetId="5" r:id="R8efd4dd5ceea4a05"/>
    <x:sheet xmlns:r="http://schemas.openxmlformats.org/officeDocument/2006/relationships" name="Rechtsquellen" sheetId="6" r:id="R8f0c9cc1f5a94d61"/>
    <x:sheet xmlns:r="http://schemas.openxmlformats.org/officeDocument/2006/relationships" name="Verfahrensbezug" sheetId="7" r:id="R44d077d3e5e948b8"/>
    <x:sheet xmlns:r="http://schemas.openxmlformats.org/officeDocument/2006/relationships" name="Quellenprüfung" sheetId="8" r:id="R1a0f16ab2cf24af3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0"/>
    <ns0:numFmt numFmtId="201" formatCode="dd&quot;.&quot;mm&quot;.&quot;yyyy"/>
  </ns0:numFmts>
  <ns0:fonts count="8">
    <ns0:font>
      <ns0:sz val="11"/>
      <ns0:name val="Carlito"/>
    </ns0:font>
    <ns0:font>
      <ns0:sz val="10"/>
      <ns0:color rgb="FF172126"/>
      <ns0:name val="Arial"/>
    </ns0:font>
    <ns0:font>
      <ns0:b/>
      <ns0:sz val="16"/>
      <ns0:color rgb="FF122C40"/>
      <ns0:name val="Arial"/>
    </ns0:font>
    <ns0:font>
      <ns0:b/>
      <ns0:sz val="10"/>
      <ns0:color rgb="FF122C40"/>
      <ns0:name val="Arial"/>
    </ns0:font>
    <ns0:font>
      <ns0:b/>
      <ns0:sz val="10"/>
      <ns0:color rgb="FFA6532D"/>
      <ns0:name val="Arial"/>
    </ns0:font>
    <ns0:font>
      <ns0:b/>
      <ns0:sz val="10"/>
      <ns0:color rgb="FFFFFFFF"/>
      <ns0:name val="Arial"/>
    </ns0:font>
    <ns0:font>
      <ns0:i/>
      <ns0:sz val="10"/>
      <ns0:color rgb="FF566168"/>
      <ns0:name val="Arial"/>
    </ns0:font>
    <ns0:font>
      <ns0:sz val="10"/>
      <ns0:color rgb="FF2F6F73"/>
      <ns0:name val="Arial"/>
    </ns0:font>
  </ns0:fonts>
  <ns0:fills count="9">
    <ns0:fill>
      <ns0:patternFill patternType="none"/>
    </ns0:fill>
    <ns0:fill>
      <ns0:patternFill patternType="gray125"/>
    </ns0:fill>
    <ns0:fill>
      <ns0:patternFill patternType="solid">
        <ns0:fgColor rgb="FFFFF1CB"/>
      </ns0:patternFill>
    </ns0:fill>
    <ns0:fill>
      <ns0:patternFill patternType="solid">
        <ns0:fgColor rgb="FF122C40"/>
      </ns0:patternFill>
    </ns0:fill>
    <ns0:fill>
      <ns0:patternFill patternType="solid">
        <ns0:fgColor rgb="FFE7EEEE"/>
      </ns0:patternFill>
    </ns0:fill>
    <ns0:fill>
      <ns0:patternFill patternType="solid">
        <ns0:fgColor rgb="FFFFFFFF"/>
      </ns0:patternFill>
    </ns0:fill>
    <ns0:fill>
      <ns0:patternFill patternType="solid">
        <ns0:fgColor rgb="FF122C40"/>
      </ns0:patternFill>
    </ns0:fill>
    <ns0:fill>
      <ns0:patternFill patternType="solid">
        <ns0:fgColor rgb="FFE7EEEE"/>
      </ns0:patternFill>
    </ns0:fill>
    <ns0:fill>
      <ns0:patternFill patternType="solid">
        <ns0:fgColor rgb="FFFFFFFF"/>
      </ns0:patternFill>
    </ns0:fill>
  </ns0:fills>
  <ns0:borders count="2">
    <ns0:border/>
    <ns0:border>
      <ns0:bottom style="thin">
        <ns0:color rgb="FFA6532D"/>
      </ns0:bottom>
    </ns0:border>
  </ns0:borders>
  <ns0:cellStyleXfs count="1">
    <ns0:xf numFmtId="0" fontId="0" fillId="0" borderId="0"/>
  </ns0:cellStyleXfs>
  <ns0:cellXfs count="92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horizontal="center" vertical="center"/>
    </ns0:xf>
    <ns0:xf numFmtId="0" fontId="4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 wrapText="1"/>
    </ns0:xf>
    <ns0:xf numFmtId="0" fontId="5" fillId="3" borderId="0" xfId="0" applyNumberFormat="1" applyFont="1" applyFill="1" applyBorder="1" applyAlignment="1">
      <ns0:alignment horizontal="center" vertical="center" wrapText="1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200" fontId="1" fillId="4" borderId="0" xfId="0" applyNumberFormat="1" applyFont="1" applyFill="1" applyBorder="1" applyAlignment="1">
      <ns0:alignment vertical="center" wrapText="1"/>
    </ns0:xf>
    <ns0:xf numFmtId="200" fontId="1" fillId="5" borderId="0" xfId="0" applyNumberFormat="1" applyFont="1" applyFill="1" applyBorder="1" applyAlignment="1">
      <ns0:alignment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0" fontId="1" fillId="3" borderId="0" xfId="0" applyNumberFormat="1" applyFont="1" applyFill="1" applyBorder="1"/>
    <ns0:xf numFmtId="0" fontId="5" fillId="3" borderId="0" xfId="0" applyNumberFormat="1" applyFont="1" applyFill="1" applyBorder="1"/>
    <ns0:xf numFmtId="201" fontId="1" fillId="0" borderId="0" xfId="0" applyNumberFormat="1" applyFont="1" applyFill="1" applyBorder="1"/>
    <ns0:xf numFmtId="0" fontId="7" fillId="4" borderId="0" xfId="0" applyNumberFormat="1" applyFont="1" applyFill="1" applyBorder="1" applyAlignment="1">
      <ns0:alignment vertical="center" wrapText="1"/>
    </ns0:xf>
    <ns0:xf numFmtId="0" fontId="7" fillId="5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horizontal="center" vertical="center"/>
    </ns0:xf>
    <ns0:xf numFmtId="0" fontId="4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horizontal="center"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0" fontId="5" fillId="3" borderId="0" xfId="0" applyNumberFormat="1" applyFont="1" applyFill="1" applyBorder="1"/>
    <ns0:xf numFmtId="200" fontId="1" fillId="4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/>
    <ns0:xf numFmtId="200" fontId="1" fillId="5" borderId="0" xfId="0" applyNumberFormat="1" applyFont="1" applyFill="1" applyBorder="1" applyAlignment="1">
      <ns0:alignment vertical="center" wrapText="1"/>
    </ns0:xf>
    <ns0:xf numFmtId="200" fontId="1" fillId="4" borderId="0" xfId="0" applyNumberFormat="1" applyFont="1" applyFill="1" applyBorder="1" applyAlignment="1">
      <ns0:alignment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200" fontId="1" fillId="5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201" fontId="1" fillId="0" borderId="0" xfId="0" applyNumberFormat="1" applyFont="1" applyFill="1" applyBorder="1"/>
    <ns0:xf numFmtId="0" fontId="7" fillId="4" borderId="0" xfId="0" applyNumberFormat="1" applyFont="1" applyFill="1" applyBorder="1" applyAlignment="1">
      <ns0:alignment vertical="center" wrapText="1"/>
    </ns0:xf>
    <ns0:xf numFmtId="0" fontId="7" fillId="5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>
      <ns0:alignment vertical="center"/>
    </ns0:xf>
    <ns0:xf numFmtId="0" fontId="1" fillId="6" borderId="0" xfId="0" applyNumberFormat="1" applyFont="1" applyFill="1" applyBorder="1" applyAlignment="1">
      <ns0:alignment vertical="center" wrapText="1"/>
    </ns0:xf>
    <ns0:xf numFmtId="0" fontId="5" fillId="6" borderId="0" xfId="0" applyNumberFormat="1" applyFont="1" applyFill="1" applyBorder="1" applyAlignment="1">
      <ns0:alignment vertical="center" wrapText="1"/>
    </ns0:xf>
    <ns0:xf numFmtId="0" fontId="5" fillId="6" borderId="0" xfId="0" applyNumberFormat="1" applyFont="1" applyFill="1" applyBorder="1" applyAlignment="1">
      <ns0:alignment horizontal="center" vertical="center" wrapText="1"/>
    </ns0:xf>
    <ns0:xf numFmtId="0" fontId="1" fillId="0" borderId="0" xfId="0" applyNumberFormat="1" applyFont="1" applyFill="1" applyBorder="1" applyAlignment="1">
      <ns0:alignment horizontal="left" vertical="center" wrapText="1"/>
    </ns0:xf>
    <ns0:xf numFmtId="0" fontId="1" fillId="7" borderId="0" xfId="0" applyNumberFormat="1" applyFont="1" applyFill="1" applyBorder="1" applyAlignment="1">
      <ns0:alignment horizontal="left" vertical="center" wrapText="1"/>
    </ns0:xf>
    <ns0:xf numFmtId="0" fontId="1" fillId="8" borderId="0" xfId="0" applyNumberFormat="1" applyFont="1" applyFill="1" applyBorder="1" applyAlignment="1">
      <ns0:alignment horizontal="left" vertical="center" wrapText="1"/>
    </ns0:xf>
    <ns0:xf numFmtId="0" fontId="1" fillId="0" borderId="0" xfId="0" applyNumberFormat="1" applyFont="1" applyFill="1" applyBorder="1" applyAlignment="1" applyProtection="1">
      <ns0:alignment vertical="center"/>
      <ns0:protection locked="1" hidden="0"/>
    </ns0:xf>
    <ns0:xf numFmtId="0" fontId="2" fillId="0" borderId="0" xfId="0" applyNumberFormat="1" applyFont="1" applyFill="1" applyBorder="1" applyAlignment="1" applyProtection="1">
      <ns0:alignment vertical="center"/>
      <ns0:protection locked="1" hidden="0"/>
    </ns0:xf>
    <ns0:xf numFmtId="0" fontId="1" fillId="0" borderId="1" xfId="0" applyNumberFormat="1" applyFont="1" applyFill="1" applyBorder="1" applyAlignment="1" applyProtection="1">
      <ns0:alignment vertical="center"/>
      <ns0:protection locked="1" hidden="0"/>
    </ns0:xf>
    <ns0:xf numFmtId="0" fontId="3" fillId="2" borderId="0" xfId="0" applyNumberFormat="1" applyFont="1" applyFill="1" applyBorder="1" applyAlignment="1" applyProtection="1">
      <ns0:alignment horizontal="center" vertical="center"/>
      <ns0:protection locked="0" hidden="0"/>
    </ns0:xf>
    <ns0:xf numFmtId="0" fontId="4" fillId="0" borderId="0" xfId="0" applyNumberFormat="1" applyFont="1" applyFill="1" applyBorder="1" applyAlignment="1" applyProtection="1">
      <ns0:alignment vertical="center"/>
      <ns0:protection locked="1" hidden="0"/>
    </ns0:xf>
    <ns0:xf numFmtId="0" fontId="5" fillId="3" borderId="0" xfId="0" applyNumberFormat="1" applyFont="1" applyFill="1" applyBorder="1" applyAlignment="1" applyProtection="1">
      <ns0:alignment vertical="center"/>
      <ns0:protection locked="1" hidden="0"/>
    </ns0:xf>
    <ns0:xf numFmtId="200" fontId="1" fillId="0" borderId="0" xfId="0" applyNumberFormat="1" applyFont="1" applyFill="1" applyBorder="1" applyAlignment="1" applyProtection="1">
      <ns0:alignment vertical="center"/>
      <ns0:protection locked="1" hidden="0"/>
    </ns0:xf>
    <ns0:xf numFmtId="0" fontId="6" fillId="0" borderId="0" xfId="0" applyNumberFormat="1" applyFont="1" applyFill="1" applyBorder="1" applyAlignment="1" applyProtection="1">
      <ns0:alignment vertical="center"/>
      <ns0:protection locked="1" hidden="0"/>
    </ns0:xf>
    <ns0:xf numFmtId="0" fontId="5" fillId="3" borderId="0" xfId="0" applyNumberFormat="1" applyFont="1" applyFill="1" applyBorder="1" applyAlignment="1" applyProtection="1">
      <ns0:alignment horizontal="center" vertical="center" wrapText="1"/>
      <ns0:protection locked="1" hidden="0"/>
    </ns0:xf>
    <ns0:xf numFmtId="0" fontId="5" fillId="6" borderId="0" xfId="0" applyNumberFormat="1" applyFont="1" applyFill="1" applyBorder="1" applyAlignment="1" applyProtection="1">
      <ns0:alignment horizontal="center" vertical="center" wrapText="1"/>
      <ns0:protection locked="1" hidden="0"/>
    </ns0:xf>
    <ns0:xf numFmtId="201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7" borderId="0" xfId="0" applyNumberFormat="1" applyFont="1" applyFill="1" applyBorder="1" applyAlignment="1" applyProtection="1">
      <ns0:alignment horizontal="left" vertical="center" wrapText="1"/>
      <ns0:protection locked="1" hidden="0"/>
    </ns0:xf>
    <ns0:xf numFmtId="201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8" borderId="0" xfId="0" applyNumberFormat="1" applyFont="1" applyFill="1" applyBorder="1" applyAlignment="1" applyProtection="1">
      <ns0:alignment horizontal="left" vertical="center" wrapText="1"/>
      <ns0:protection locked="1" hidden="0"/>
    </ns0:xf>
    <ns0:xf numFmtId="0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0" fontId="1" fillId="7" borderId="0" xfId="0" applyNumberFormat="1" applyFont="1" applyFill="1" applyBorder="1" applyAlignment="1" applyProtection="1">
      <ns0:alignment horizontal="left" vertical="center" wrapText="1"/>
      <ns0:protection locked="0" hidden="0"/>
    </ns0:xf>
    <ns0:xf numFmtId="0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0" fontId="1" fillId="8" borderId="0" xfId="0" applyNumberFormat="1" applyFont="1" applyFill="1" applyBorder="1" applyAlignment="1" applyProtection="1">
      <ns0:alignment horizontal="left" vertical="center" wrapText="1"/>
      <ns0:protection locked="0" hidden="0"/>
    </ns0:xf>
    <ns0:xf numFmtId="0" fontId="5" fillId="3" borderId="0" xfId="0" applyNumberFormat="1" applyFont="1" applyFill="1" applyBorder="1" applyProtection="1">
      <ns0:protection locked="1" hidden="0"/>
    </ns0:xf>
    <ns0:xf numFmtId="200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0" borderId="0" xfId="0" applyNumberFormat="1" applyFont="1" applyFill="1" applyBorder="1" applyProtection="1">
      <ns0:protection locked="1" hidden="0"/>
    </ns0:xf>
    <ns0:xf numFmtId="200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200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200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0" borderId="0" xfId="0" applyNumberFormat="1" applyFont="1" applyFill="1" applyBorder="1" applyProtection="1">
      <ns0:protection locked="1" hidden="0"/>
    </ns0:xf>
    <ns0:xf numFmtId="0" fontId="7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7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0" borderId="0" xfId="0" applyNumberFormat="1" applyFont="1" applyFill="1" applyBorder="1" applyAlignment="1" applyProtection="1">
      <ns0:alignment vertical="center"/>
      <ns0:protection locked="0" hidden="0"/>
    </ns0:xf>
  </ns0:cellXfs>
  <ns0:cellStyles count="1">
    <ns0:cellStyle name="Normal" xfId="0"/>
  </ns0:cellStyles>
  <ns0:dxfs count="18"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</ns0:dxf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/Relationships>
</file>

<file path=xl/tables/table1.xml><?xml version="1.0" encoding="utf-8"?>
<table xmlns="http://schemas.openxmlformats.org/spreadsheetml/2006/main" id="7" name="AP18_Feiertagskalender" displayName="AP18_Feiertagskalender" ref="A6:N22" headerRowCount="1" totalsRowCount="0" totalsRowShown="0">
  <autoFilter ref="A6:N22"/>
  <tableColumns count="14">
    <tableColumn id="1" name="Datum"/>
    <tableColumn id="2" name="Wochentag"/>
    <tableColumn id="3" name="Gemeinwesen"/>
    <tableColumn id="4" name="Geltungsbereich"/>
    <tableColumn id="5" name="Feiertag"/>
    <tableColumn id="6" name="Französisch"/>
    <tableColumn id="13" name="Italienisch"/>
    <tableColumn id="14" name="Rumantsch Grischun"/>
    <tableColumn id="7" name="Rechtskategorie"/>
    <tableColumn id="8" name="Fachstatus"/>
    <tableColumn id="9" name="Regel-ID"/>
    <tableColumn id="10" name="Quellen-ID"/>
    <tableColumn id="11" name="Fundstelle"/>
    <tableColumn id="12" name="Abdeck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AP18_Gemeinwesen" displayName="AP18_Gemeinwesen" ref="A6:I33" headerRowCount="1" totalsRowCount="0" totalsRowShown="0">
  <autoFilter ref="A6:I33"/>
  <tableColumns count="9">
    <tableColumn id="1" name="Code"/>
    <tableColumn id="2" name="Deutsch"/>
    <tableColumn id="3" name="Französisch"/>
    <tableColumn id="8" name="Italienisch"/>
    <tableColumn id="9" name="Rumantsch Grischun"/>
    <tableColumn id="4" name="Übergeordnet"/>
    <tableColumn id="5" name="Erfassungsstand"/>
    <tableColumn id="6" name="Fachstatus"/>
    <tableColumn id="7" name="Amtliche Feiertagsquel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AP18_Feiertagsregeln" displayName="AP18_Feiertagsregeln" ref="A6:Z21" headerRowCount="1" totalsRowCount="0" totalsRowShown="0">
  <autoFilter ref="A6:Z21"/>
  <tableColumns count="26">
    <tableColumn id="1" name="Regel-ID"/>
    <tableColumn id="2" name="Gemeinwesen"/>
    <tableColumn id="3" name="Geltungs-ID"/>
    <tableColumn id="4" name="Deutsch"/>
    <tableColumn id="5" name="Französisch"/>
    <tableColumn id="25" name="Italienisch"/>
    <tableColumn id="26" name="Rumantsch Grischun"/>
    <tableColumn id="6" name="Rechtskategorie"/>
    <tableColumn id="7" name="Regeltyp"/>
    <tableColumn id="8" name="Monat"/>
    <tableColumn id="9" name="Tag"/>
    <tableColumn id="10" name="Osterversatz"/>
    <tableColumn id="11" name="ISO-Wochentag"/>
    <tableColumn id="12" name="Vorkommen"/>
    <tableColumn id="13" name="Gültig ab"/>
    <tableColumn id="14" name="Gültig bis"/>
    <tableColumn id="15" name="Priorität"/>
    <tableColumn id="16" name="Fachstatus"/>
    <tableColumn id="17" name="Freigabebasis"/>
    <tableColumn id="18" name="Wirkung"/>
    <tableColumn id="19" name="Zielregel"/>
    <tableColumn id="20" name="Exportklasse"/>
    <tableColumn id="21" name="Rohdatum"/>
    <tableColumn id="22" name="Datum im Geltungszeitraum"/>
    <tableColumn id="23" name="Quellen-ID"/>
    <tableColumn id="24" name="Fundstel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AP18_Geltungsbereiche" displayName="AP18_Geltungsbereiche" ref="A6:M11" headerRowCount="1" totalsRowCount="0" totalsRowShown="0">
  <autoFilter ref="A6:M11"/>
  <tableColumns count="13">
    <tableColumn id="1" name="Geltungs-ID"/>
    <tableColumn id="2" name="Gemeinwesen"/>
    <tableColumn id="3" name="Gebiet"/>
    <tableColumn id="13" name="Französisch"/>
    <tableColumn id="11" name="Italienisch"/>
    <tableColumn id="12" name="Rumantsch Grischun"/>
    <tableColumn id="4" name="Gebietstyp"/>
    <tableColumn id="5" name="Umfang / Grenze"/>
    <tableColumn id="6" name="Quellen-ID"/>
    <tableColumn id="7" name="Fundstelle"/>
    <tableColumn id="8" name="Fachstatus"/>
    <tableColumn id="9" name="Daten ab"/>
    <tableColumn id="10" name="Daten bis"/>
  </tableColumns>
  <tableStyleInfo name="TableStyleLight1" showFirstColumn="0" showLastColumn="0" showRowStripes="1" showColumnStripes="0"/>
</table>
</file>

<file path=xl/tables/table5.xml><?xml version="1.0" encoding="utf-8"?>
<x:table xmlns:x="http://schemas.openxmlformats.org/spreadsheetml/2006/main" id="4" name="AP18_Rechtsquellen" displayName="AP18_Rechtsquellen" ref="A6:K11" headerRowCount="1" totalsRowCount="0" totalsRowShown="0">
  <x:autoFilter ref="A6:K11"/>
  <x:tableColumns count="11">
    <x:tableColumn id="1" name="Quellen-ID"/>
    <x:tableColumn id="2" name="Gemeinwesen"/>
    <x:tableColumn id="3" name="Erlass / Quelle"/>
    <x:tableColumn id="4" name="Fundstelle"/>
    <x:tableColumn id="5" name="Amtlicher Link"/>
    <x:tableColumn id="6" name="Fassungsstand"/>
    <x:tableColumn id="7" name="Abgerufen"/>
    <x:tableColumn id="8" name="Prüfhinweis"/>
    <x:tableColumn id="9" name="Fachstatus"/>
    <x:tableColumn id="10" name="Frühere Freigabebasis"/>
    <x:tableColumn id="11" name="URL (Original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AP18_Verfahrensbezug" displayName="AP18_Verfahrensbezug" ref="A6:H10" headerRowCount="1" totalsRowCount="0" totalsRowShown="0">
  <x:autoFilter ref="A6:H10"/>
  <x:tableColumns count="8">
    <x:tableColumn id="1" name="Zuordnungs-ID"/>
    <x:tableColumn id="2" name="Geltungs-ID"/>
    <x:tableColumn id="3" name="Rechtskategorie"/>
    <x:tableColumn id="4" name="Anwendungsbereich"/>
    <x:tableColumn id="5" name="Wirkung / Grenze"/>
    <x:tableColumn id="6" name="Norm / Referenz"/>
    <x:tableColumn id="7" name="Fachstatus"/>
    <x:tableColumn id="8" name="Freigabebasi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AP18_Quellenprufung" displayName="AP18_Quellenprufung" ref="A6:K10" headerRowCount="1" totalsRowCount="0" totalsRowShown="0">
  <x:autoFilter ref="A6:K10"/>
  <x:tableColumns count="11">
    <x:tableColumn id="1" name="Prüf-ID"/>
    <x:tableColumn id="2" name="Quellen-ID"/>
    <x:tableColumn id="3" name="Auslöser"/>
    <x:tableColumn id="4" name="Datum"/>
    <x:tableColumn id="5" name="Ergebnis"/>
    <x:tableColumn id="6" name="Vergleichsbasis"/>
    <x:tableColumn id="7" name="Befund"/>
    <x:tableColumn id="8" name="Ereignisstatus"/>
    <x:tableColumn id="9" name="Fachverantwortung"/>
    <x:tableColumn id="10" name="Arbeitsinstrument"/>
    <x:tableColumn id="11" name="Nächster Schrit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5.xml" Id="Rd26ebe63f2594f1b" /><ns0:Relationship Id="ap18Hyperlink1" Type="http://schemas.openxmlformats.org/officeDocument/2006/relationships/hyperlink" Target="https://www.fedlex.admin.ch/eli/cc/1994/1340_1340_1340/de" TargetMode="External" /><ns0:Relationship Id="ap18Hyperlink2" Type="http://schemas.openxmlformats.org/officeDocument/2006/relationships/hyperlink" Target="https://www.belex.sites.be.ch/app/de/texts_of_law/555.1" TargetMode="External" /><ns0:Relationship Id="ap18Hyperlink3" Type="http://schemas.openxmlformats.org/officeDocument/2006/relationships/hyperlink" Target="https://gesetzessammlungen.ag.ch/app/de/texts_of_law/961.200" TargetMode="External" /><ns0:Relationship Id="ap18Hyperlink4" Type="http://schemas.openxmlformats.org/officeDocument/2006/relationships/hyperlink" Target="https://gesetzessammlungen.ag.ch/app/de/texts_of_law/221.200" TargetMode="External" /><ns0:Relationship Id="ap18Hyperlink5" Type="http://schemas.openxmlformats.org/officeDocument/2006/relationships/hyperlink" Target="https://www.bj.admin.ch/dam/bj/de/data/publiservice/service/zivilprozessrecht/hinweise-kant-feiertage-d.pdf.download.pdf/hinweise-kant-feiertage-d.pdf" TargetMode="External" /></ns0: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sheet1.xml><?xml version="1.0" encoding="utf-8"?>
<worksheet xmlns="http://schemas.openxmlformats.org/spreadsheetml/2006/main">
  <sheetPr>
    <tabColor rgb="FF122C40"/>
  </sheetPr>
  <sheetViews>
    <sheetView showGridLines="0" workbookViewId="0"/>
  </sheetViews>
  <sheetFormatPr defaultRowHeight="15"/>
  <cols>
    <col min="1" max="1" width="27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STEIMER Feiertagsgrundlage Schweiz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0" t="str">
        <v>Kalenderjahr</v>
      </c>
      <c r="B4" s="63" t="n">
        <v>2027</v>
      </c>
      <c r="C4" s="60"/>
      <c r="D4" s="60" t="str">
        <v>Prüfzeitraum 2026–2028</v>
      </c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24" customHeight="1">
      <c r="A6" s="64" t="str">
        <v>AP18A · V0.3 mit zusammenhängenden Sprachspalten DE / FR / IT / RG</v>
      </c>
      <c r="B6" s="60"/>
      <c r="C6" s="60"/>
      <c r="D6" s="60"/>
      <c r="E6" s="60"/>
      <c r="F6" s="60"/>
      <c r="G6" s="60"/>
      <c r="H6" s="60"/>
    </row>
    <row r="7" ht="24" customHeight="1">
      <c r="A7" s="60"/>
      <c r="B7" s="60"/>
      <c r="C7" s="60"/>
      <c r="D7" s="60"/>
      <c r="E7" s="60"/>
      <c r="F7" s="60"/>
      <c r="G7" s="60"/>
      <c r="H7" s="60"/>
    </row>
    <row r="8" ht="25" customHeight="1">
      <c r="A8" s="60" t="str">
        <v>Bund und alle 26 Kantone sind inventarisiert. 24 Kantone sind noch nicht erhoben.</v>
      </c>
      <c r="B8" s="60"/>
      <c r="C8" s="60"/>
      <c r="D8" s="60"/>
      <c r="E8" s="60"/>
      <c r="F8" s="60"/>
      <c r="G8" s="60"/>
      <c r="H8" s="60"/>
    </row>
    <row r="9" ht="25" customHeight="1">
      <c r="A9" s="60" t="str">
        <v>Ausgelieferter Stand: unveränderte Feiertagsregeln des freigegebenen MVP-0.3-Bestands.</v>
      </c>
      <c r="B9" s="60"/>
      <c r="C9" s="60"/>
      <c r="D9" s="60"/>
      <c r="E9" s="60"/>
      <c r="F9" s="60"/>
      <c r="G9" s="60"/>
      <c r="H9" s="60"/>
    </row>
    <row r="10" ht="25" customHeight="1">
      <c r="A10" s="60" t="str">
        <v>Aargau: drei Beispieldaten, keine vollständige Feiertagsliste und keine Fristenfreigabe.</v>
      </c>
      <c r="B10" s="60"/>
      <c r="C10" s="60"/>
      <c r="D10" s="60"/>
      <c r="E10" s="60"/>
      <c r="F10" s="60"/>
      <c r="G10" s="60"/>
      <c r="H10" s="60"/>
    </row>
    <row r="11" ht="25" customHeight="1">
      <c r="A11" s="60" t="str">
        <v>Gelbes Feld: Jahr ändern. Die Datumswerte werden in Excel neu berechnet.</v>
      </c>
      <c r="B11" s="60"/>
      <c r="C11" s="60"/>
      <c r="D11" s="60"/>
      <c r="E11" s="60"/>
      <c r="F11" s="60"/>
      <c r="G11" s="60"/>
      <c r="H11" s="60"/>
    </row>
    <row r="12" ht="25" customHeight="1">
      <c r="A12" s="60" t="str">
        <v>Im Feiertagskalender nach Gemeinwesen, Geltungsbereich oder Status filtern.</v>
      </c>
      <c r="B12" s="60"/>
      <c r="C12" s="60"/>
      <c r="D12" s="60"/>
      <c r="E12" s="60"/>
      <c r="F12" s="60"/>
      <c r="G12" s="60"/>
      <c r="H12" s="60"/>
    </row>
    <row r="13" ht="25" customHeight="1">
      <c r="A13" s="60" t="str">
        <v>Jede Regeländerung verlangt Fachstatus open und neue Prüfung. Alte Freigabe gilt nicht weiter.</v>
      </c>
      <c r="B13" s="60"/>
      <c r="C13" s="60"/>
      <c r="D13" s="60"/>
      <c r="E13" s="60"/>
      <c r="F13" s="60"/>
      <c r="G13" s="60"/>
      <c r="H13" s="60"/>
    </row>
    <row r="14" ht="25" customHeight="1">
      <c r="A14" s="60" t="str">
        <v>approved bezeichnet nur die angegebene frühere Fachfreigabe, nicht diese Arbeitsmappe.</v>
      </c>
      <c r="B14" s="60"/>
      <c r="C14" s="60"/>
      <c r="D14" s="60"/>
      <c r="E14" s="60"/>
      <c r="F14" s="60"/>
      <c r="G14" s="60"/>
      <c r="H14" s="60"/>
    </row>
    <row r="15" ht="25" customHeight="1">
      <c r="A15" s="60" t="str">
        <v>Quellenprüfung und Datenrelease bleiben getrennt. Neue Prüfereignisse sind candidate.</v>
      </c>
      <c r="B15" s="60"/>
      <c r="C15" s="60"/>
      <c r="D15" s="60"/>
      <c r="E15" s="60"/>
      <c r="F15" s="60"/>
      <c r="G15" s="60"/>
      <c r="H15" s="60"/>
    </row>
    <row r="16" ht="25" customHeight="1">
      <c r="A16" s="60" t="str">
        <v>Keine Makros, externen Datenverbindungen oder automatische Datenaktivierung.</v>
      </c>
      <c r="B16" s="60"/>
      <c r="C16" s="60"/>
      <c r="D16" s="60"/>
      <c r="E16" s="60"/>
      <c r="F16" s="60"/>
      <c r="G16" s="60"/>
      <c r="H16" s="60"/>
    </row>
    <row r="17" ht="25" customHeight="1">
      <c r="A17" s="60" t="str">
        <v>Sonntage gelten separat. Die Ansicht enthält benannte Feiertage, nicht jeden Sonntag.</v>
      </c>
      <c r="B17" s="60"/>
      <c r="C17" s="60"/>
      <c r="D17" s="60"/>
      <c r="E17" s="60"/>
      <c r="F17" s="60"/>
      <c r="G17" s="60"/>
      <c r="H17" s="60"/>
    </row>
    <row r="18" ht="25" customHeight="1">
      <c r="A18" s="60" t="str">
        <v>Gerichtsferien bleiben unverändert in der bestehenden Kalenderkomponente.</v>
      </c>
      <c r="B18" s="60"/>
      <c r="C18" s="60"/>
      <c r="D18" s="60"/>
      <c r="E18" s="60"/>
      <c r="F18" s="60"/>
      <c r="G18" s="60"/>
      <c r="H18" s="60"/>
    </row>
    <row r="19" ht="25" customHeight="1">
      <c r="A19" s="60" t="str">
        <v>Fehlende Kantonsdaten bedeuten nicht, dass dort keine Feiertage bestehen.</v>
      </c>
      <c r="B19" s="60"/>
      <c r="C19" s="60"/>
      <c r="D19" s="60"/>
      <c r="E19" s="60"/>
      <c r="F19" s="60"/>
      <c r="G19" s="60"/>
      <c r="H19" s="60"/>
    </row>
    <row r="20" ht="25" customHeight="1">
      <c r="A20" s="60" t="str">
        <v>Kalender-App und Feiertagskarte gehören nicht zu AP18.</v>
      </c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5" t="str">
        <v>Kontrolle</v>
      </c>
      <c r="B23" s="65" t="str">
        <v>Anzahl</v>
      </c>
      <c r="C23" s="60"/>
      <c r="D23" s="60"/>
      <c r="E23" s="60"/>
      <c r="F23" s="60"/>
      <c r="G23" s="60"/>
      <c r="H23" s="60"/>
    </row>
    <row r="24" ht="24" customHeight="1">
      <c r="A24" s="60" t="str">
        <v>Gemeinwesen</v>
      </c>
      <c r="B24" s="66" t="n">
        <f>COUNTA('Gemeinwesen'!$A$7:$A$33)</f>
        <v>27</v>
      </c>
      <c r="C24" s="60"/>
      <c r="D24" s="60" t="str">
        <v>Stand: 13. September 2026</v>
      </c>
      <c r="E24" s="60"/>
      <c r="F24" s="60"/>
      <c r="G24" s="60"/>
      <c r="H24" s="60"/>
    </row>
    <row r="25" ht="24" customHeight="1">
      <c r="A25" s="60" t="str">
        <v>Referenz-Feiertagsregeln</v>
      </c>
      <c r="B25" s="66" t="n">
        <f>COUNTIFS('Feiertagsregeln'!$R$7:$R$21,"approved")</f>
        <v>12</v>
      </c>
      <c r="C25" s="60"/>
      <c r="D25" s="60" t="str">
        <v>Fachverantwortung: David Steimer</v>
      </c>
      <c r="E25" s="60"/>
      <c r="F25" s="60"/>
      <c r="G25" s="60"/>
      <c r="H25" s="60"/>
    </row>
    <row r="26" ht="24" customHeight="1">
      <c r="A26" s="60" t="str">
        <v>Offene AG-Beispiele</v>
      </c>
      <c r="B26" s="66" t="n">
        <f>COUNTIFS('Feiertagsregeln'!$R$7:$R$21,"open")</f>
        <v>3</v>
      </c>
      <c r="C26" s="60"/>
      <c r="D26" s="60" t="str">
        <v>Nächste Jahresprüfung: spätestens 15.11.2027</v>
      </c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 t="str">
        <v>Pflege: Regeln und Quellen über stabile IDs verknüpfen. Keine Zeilennummer als Identität.</v>
      </c>
      <c r="B29" s="60"/>
      <c r="C29" s="60"/>
      <c r="D29" s="60"/>
      <c r="E29" s="60"/>
      <c r="F29" s="60"/>
      <c r="G29" s="60"/>
      <c r="H29" s="60"/>
    </row>
    <row r="30" ht="24" customHeight="1">
      <c r="A30" s="60" t="str">
        <v>AP18A bildet den Pilot ab. Suppress/Replace, Import und Kandidatenexport folgen separat.</v>
      </c>
      <c r="B30" s="60"/>
      <c r="C30" s="60"/>
      <c r="D30" s="60"/>
      <c r="E30" s="60"/>
      <c r="F30" s="60"/>
      <c r="G30" s="60"/>
      <c r="H30" s="60"/>
    </row>
    <row r="31" ht="24" customHeight="1">
      <c r="A31" s="60" t="str">
        <v>Der Stand enthält keine neue juristische Freigabe und verändert keine Installation.</v>
      </c>
      <c r="B31" s="60"/>
      <c r="C31" s="60"/>
      <c r="D31" s="60"/>
      <c r="E31" s="60"/>
      <c r="F31" s="60"/>
      <c r="G31" s="60"/>
      <c r="H31" s="60"/>
    </row>
    <row r="32" ht="24" customHeight="1">
      <c r="A32" s="60" t="str">
        <v>Gebiets- und Zuordnungsänderungen brauchen eine Neugenerierung des Kalenders.</v>
      </c>
      <c r="B32" s="60"/>
      <c r="C32" s="60"/>
      <c r="D32" s="60"/>
      <c r="E32" s="60"/>
      <c r="F32" s="60"/>
      <c r="G32" s="60"/>
      <c r="H32" s="60"/>
    </row>
    <row r="33" ht="24" customHeight="1">
      <c r="A33" s="60" t="str">
        <v>Formeln und Referenzzeilen sind geschützt. Blattschutz ohne Passwort aufhebbar.</v>
      </c>
      <c r="B33" s="60"/>
      <c r="C33" s="60"/>
      <c r="D33" s="60"/>
      <c r="E33" s="60"/>
      <c r="F33" s="60"/>
      <c r="G33" s="60"/>
      <c r="H33" s="60"/>
    </row>
    <row r="34" ht="24" customHeight="1">
      <c r="A34" s="60" t="str">
        <v>IT und Rumantsch Grischun: gelbe Sprachfelder noch zu erfassen, keine Übersetzungsfreigabe.</v>
      </c>
      <c r="B34" s="60"/>
      <c r="C34" s="60"/>
      <c r="D34" s="60"/>
      <c r="E34" s="60"/>
      <c r="F34" s="60"/>
      <c r="G34" s="60"/>
      <c r="H34" s="60"/>
    </row>
    <row r="35" ht="24" customHeight="1">
      <c r="A35" s="60" t="str">
        <v>Zusätzliche Sprachen nur in der Arbeitsmappe. App und Laufzeitdaten bleiben unverändert.</v>
      </c>
      <c r="B35" s="60"/>
      <c r="C35" s="60"/>
      <c r="D35" s="60"/>
      <c r="E35" s="60"/>
      <c r="F35" s="60"/>
      <c r="G35" s="60"/>
      <c r="H35" s="60"/>
    </row>
    <row r="36" ht="24" customHeight="1">
      <c r="A36" s="60" t="str">
        <v>Excel-Interaktion V0.2 durch David Steimer bestätigt. V0.3 ordnet die Sprachspalten neu.</v>
      </c>
      <c r="B36" s="60"/>
      <c r="C36" s="60"/>
      <c r="D36" s="60"/>
      <c r="E36" s="60"/>
      <c r="F36" s="60"/>
      <c r="G36" s="60"/>
      <c r="H36" s="60"/>
    </row>
  </sheetData>
  <sheetProtection sheet="1" objects="1" scenarios="1" autoFilter="0" sort="0" selectLockedCells="0" selectUnlockedCells="0"/>
  <dataValidations count="1">
    <dataValidation type="whole" operator="between" sqref="B4">
      <formula1>2026</formula1>
      <formula2>2028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F6F7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38" hidden="0" customWidth="1"/>
    <col min="5" max="5" width="40" hidden="0" customWidth="1"/>
    <col min="6" max="6" width="34" hidden="0" customWidth="1"/>
    <col min="7" max="7" width="32" hidden="0" customWidth="1"/>
    <col min="8" max="8" width="32" hidden="0" customWidth="1"/>
    <col min="9" max="9" width="29" hidden="0" customWidth="1"/>
    <col min="10" max="10" width="17" hidden="0" customWidth="1"/>
    <col min="11" max="11" width="43" hidden="0" customWidth="1"/>
    <col min="12" max="12" width="43" hidden="0" customWidth="1"/>
    <col min="13" max="13" width="35" hidden="0" customWidth="1"/>
    <col min="14" max="14" width="29" hidden="0" customWidth="1"/>
  </cols>
  <sheetData>
    <row r="1" ht="24" customHeight="1">
      <c r="A1" s="60"/>
      <c r="B1" s="60"/>
      <c r="C1" s="60"/>
      <c r="D1" s="60"/>
      <c r="E1" s="60"/>
      <c r="F1" s="60"/>
      <c r="I1" s="60"/>
      <c r="J1" s="60"/>
      <c r="K1" s="60"/>
      <c r="L1" s="60"/>
      <c r="M1" s="60"/>
      <c r="N1" s="60"/>
    </row>
    <row r="2" ht="24" customHeight="1">
      <c r="A2" s="61" t="str">
        <v>Generierter Feiertagskalender</v>
      </c>
      <c r="B2" s="60"/>
      <c r="C2" s="60"/>
      <c r="D2" s="60"/>
      <c r="E2" s="60"/>
      <c r="F2" s="60"/>
      <c r="I2" s="60"/>
      <c r="J2" s="60"/>
      <c r="K2" s="60"/>
      <c r="L2" s="60"/>
      <c r="M2" s="60"/>
      <c r="N2" s="60"/>
    </row>
    <row r="3" ht="24" customHeight="1">
      <c r="A3" s="62"/>
      <c r="B3" s="62"/>
      <c r="C3" s="62"/>
      <c r="D3" s="62"/>
      <c r="E3" s="62"/>
      <c r="F3" s="62"/>
      <c r="I3" s="62"/>
      <c r="J3" s="62"/>
      <c r="K3" s="62"/>
      <c r="L3" s="62"/>
      <c r="M3" s="62"/>
      <c r="N3" s="62"/>
    </row>
    <row r="4" ht="24" customHeight="1">
      <c r="A4" s="67" t="str">
        <v>Jahr auf Übersicht ändern. Filter nach Gebiet und Kategorie. AG zeigt nur Einzelbeispiele. Nicht erhobene Kantone haben keine Ergebniszeilen.</v>
      </c>
      <c r="B4" s="60"/>
      <c r="C4" s="60"/>
      <c r="D4" s="60"/>
      <c r="E4" s="60"/>
      <c r="F4" s="60"/>
      <c r="I4" s="60"/>
      <c r="J4" s="60"/>
      <c r="K4" s="60"/>
      <c r="L4" s="60"/>
      <c r="M4" s="60"/>
      <c r="N4" s="60"/>
    </row>
    <row r="5" ht="24" customHeight="1">
      <c r="A5" s="60"/>
      <c r="B5" s="60"/>
      <c r="C5" s="60"/>
      <c r="D5" s="60"/>
      <c r="E5" s="60"/>
      <c r="F5" s="60"/>
      <c r="I5" s="60"/>
      <c r="J5" s="60"/>
      <c r="K5" s="60"/>
      <c r="L5" s="60"/>
      <c r="M5" s="60"/>
      <c r="N5" s="60"/>
    </row>
    <row r="6" ht="42" customHeight="1">
      <c r="A6" s="68" t="str">
        <v>Datum</v>
      </c>
      <c r="B6" s="68" t="str">
        <v>Wochentag</v>
      </c>
      <c r="C6" s="68" t="str">
        <v>Gemeinwesen</v>
      </c>
      <c r="D6" s="68" t="str">
        <v>Geltungsbereich</v>
      </c>
      <c r="E6" s="68" t="str">
        <v>Feiertag</v>
      </c>
      <c r="F6" s="68" t="str">
        <v>Französisch</v>
      </c>
      <c r="G6" s="69" t="str">
        <v>Italienisch</v>
      </c>
      <c r="H6" s="69" t="str">
        <v>Rumantsch Grischun</v>
      </c>
      <c r="I6" s="68" t="str">
        <v>Rechtskategorie</v>
      </c>
      <c r="J6" s="68" t="str">
        <v>Fachstatus</v>
      </c>
      <c r="K6" s="68" t="str">
        <v>Regel-ID</v>
      </c>
      <c r="L6" s="68" t="str">
        <v>Quellen-ID</v>
      </c>
      <c r="M6" s="68" t="str">
        <v>Fundstelle</v>
      </c>
      <c r="N6" s="68" t="str">
        <v>Abdeckung</v>
      </c>
    </row>
    <row r="7" ht="38" customHeight="1">
      <c r="A7" s="70" t="n">
        <f>INDEX('Feiertagsregeln'!$X$7:$X$21,MATCH($K7,'Feiertagsregeln'!$A$7:$A$21,0))</f>
        <v>46600</v>
      </c>
      <c r="B7" s="71" t="str">
        <f>IF(ISNUMBER(A7),CHOOSE(WEEKDAY(A7,2),"Montag","Dienstag","Mittwoch","Donnerstag","Freitag","Samstag","Sonntag"),"n.a.")</f>
        <v>Sonntag</v>
      </c>
      <c r="C7" s="71" t="str">
        <v>CH</v>
      </c>
      <c r="D7" s="71" t="str">
        <v>Bundesgebiet</v>
      </c>
      <c r="E7" s="71" t="str">
        <f>INDEX('Feiertagsregeln'!$D$7:$D$21,MATCH($K7,'Feiertagsregeln'!$A$7:$A$21,0))</f>
        <v>Bundesfeiertag</v>
      </c>
      <c r="F7" s="71" t="str">
        <f>INDEX('Feiertagsregeln'!$E$7:$E$21,MATCH($K7,'Feiertagsregeln'!$A$7:$A$21,0))</f>
        <v>Fête nationale</v>
      </c>
      <c r="G7" s="72" t="str">
        <f>IF(INDEX('Feiertagsregeln'!$F$7:$F$21,MATCH($K7,'Feiertagsregeln'!$A$7:$A$21,0))="","Noch zu erfassen",INDEX('Feiertagsregeln'!$F$7:$F$21,MATCH($K7,'Feiertagsregeln'!$A$7:$A$21,0)))</f>
        <v>Noch zu erfassen</v>
      </c>
      <c r="H7" s="72" t="str">
        <f>IF(INDEX('Feiertagsregeln'!$G$7:$G$21,MATCH($K7,'Feiertagsregeln'!$A$7:$A$21,0))="","Noch zu erfassen",INDEX('Feiertagsregeln'!$G$7:$G$21,MATCH($K7,'Feiertagsregeln'!$A$7:$A$21,0)))</f>
        <v>Noch zu erfassen</v>
      </c>
      <c r="I7" s="71" t="str">
        <f>INDEX('Feiertagsregeln'!$H$7:$H$21,MATCH($K7,'Feiertagsregeln'!$A$7:$A$21,0))</f>
        <v>publicHoliday</v>
      </c>
      <c r="J7" s="71" t="str">
        <f>INDEX('Feiertagsregeln'!$R$7:$R$21,MATCH($K7,'Feiertagsregeln'!$A$7:$A$21,0))</f>
        <v>approved</v>
      </c>
      <c r="K7" s="71" t="str">
        <v>CH-CAL-HOL-NATIONAL-DAY</v>
      </c>
      <c r="L7" s="71" t="str">
        <f>INDEX('Feiertagsregeln'!$Y$7:$Y$21,MATCH($K7,'Feiertagsregeln'!$A$7:$A$21,0))</f>
        <v>SRC-BUNDESFEIERTAG-19940701</v>
      </c>
      <c r="M7" s="71" t="str">
        <f>INDEX('Feiertagsregeln'!$Z$7:$Z$21,MATCH($K7,'Feiertagsregeln'!$A$7:$A$21,0))</f>
        <v>Art. 1</v>
      </c>
      <c r="N7" s="71" t="str">
        <v>Nur Bundesfeiertag</v>
      </c>
    </row>
    <row r="8" ht="38" customHeight="1">
      <c r="A8" s="73" t="n">
        <f>INDEX('Feiertagsregeln'!$X$7:$X$21,MATCH($K8,'Feiertagsregeln'!$A$7:$A$21,0))</f>
        <v>46600</v>
      </c>
      <c r="B8" s="74" t="str">
        <f>IF(ISNUMBER(A8),CHOOSE(WEEKDAY(A8,2),"Montag","Dienstag","Mittwoch","Donnerstag","Freitag","Samstag","Sonntag"),"n.a.")</f>
        <v>Sonntag</v>
      </c>
      <c r="C8" s="74" t="str">
        <v>CH-BE</v>
      </c>
      <c r="D8" s="74" t="str">
        <v>Kanton Bern</v>
      </c>
      <c r="E8" s="74" t="str">
        <f>INDEX('Feiertagsregeln'!$D$7:$D$21,MATCH($K8,'Feiertagsregeln'!$A$7:$A$21,0))</f>
        <v>Bundesfeiertag</v>
      </c>
      <c r="F8" s="74" t="str">
        <f>INDEX('Feiertagsregeln'!$E$7:$E$21,MATCH($K8,'Feiertagsregeln'!$A$7:$A$21,0))</f>
        <v>Fête nationale</v>
      </c>
      <c r="G8" s="75" t="str">
        <f>IF(INDEX('Feiertagsregeln'!$F$7:$F$21,MATCH($K8,'Feiertagsregeln'!$A$7:$A$21,0))="","Noch zu erfassen",INDEX('Feiertagsregeln'!$F$7:$F$21,MATCH($K8,'Feiertagsregeln'!$A$7:$A$21,0)))</f>
        <v>Noch zu erfassen</v>
      </c>
      <c r="H8" s="75" t="str">
        <f>IF(INDEX('Feiertagsregeln'!$G$7:$G$21,MATCH($K8,'Feiertagsregeln'!$A$7:$A$21,0))="","Noch zu erfassen",INDEX('Feiertagsregeln'!$G$7:$G$21,MATCH($K8,'Feiertagsregeln'!$A$7:$A$21,0)))</f>
        <v>Noch zu erfassen</v>
      </c>
      <c r="I8" s="74" t="str">
        <f>INDEX('Feiertagsregeln'!$H$7:$H$21,MATCH($K8,'Feiertagsregeln'!$A$7:$A$21,0))</f>
        <v>publicHoliday</v>
      </c>
      <c r="J8" s="74" t="str">
        <f>INDEX('Feiertagsregeln'!$R$7:$R$21,MATCH($K8,'Feiertagsregeln'!$A$7:$A$21,0))</f>
        <v>approved</v>
      </c>
      <c r="K8" s="74" t="str">
        <v>CH-CAL-HOL-NATIONAL-DAY</v>
      </c>
      <c r="L8" s="74" t="str">
        <f>INDEX('Feiertagsregeln'!$Y$7:$Y$21,MATCH($K8,'Feiertagsregeln'!$A$7:$A$21,0))</f>
        <v>SRC-BUNDESFEIERTAG-19940701</v>
      </c>
      <c r="M8" s="74" t="str">
        <f>INDEX('Feiertagsregeln'!$Z$7:$Z$21,MATCH($K8,'Feiertagsregeln'!$A$7:$A$21,0))</f>
        <v>Art. 1</v>
      </c>
      <c r="N8" s="74" t="str">
        <v>Referenzbestand</v>
      </c>
    </row>
    <row r="9" ht="38" customHeight="1">
      <c r="A9" s="70" t="n">
        <f>INDEX('Feiertagsregeln'!$X$7:$X$21,MATCH($K9,'Feiertagsregeln'!$A$7:$A$21,0))</f>
        <v>46388</v>
      </c>
      <c r="B9" s="71" t="str">
        <f>IF(ISNUMBER(A9),CHOOSE(WEEKDAY(A9,2),"Montag","Dienstag","Mittwoch","Donnerstag","Freitag","Samstag","Sonntag"),"n.a.")</f>
        <v>Freitag</v>
      </c>
      <c r="C9" s="71" t="str">
        <v>CH-BE</v>
      </c>
      <c r="D9" s="71" t="str">
        <v>Kanton Bern</v>
      </c>
      <c r="E9" s="71" t="str">
        <f>INDEX('Feiertagsregeln'!$D$7:$D$21,MATCH($K9,'Feiertagsregeln'!$A$7:$A$21,0))</f>
        <v>Neujahr</v>
      </c>
      <c r="F9" s="71" t="str">
        <f>INDEX('Feiertagsregeln'!$E$7:$E$21,MATCH($K9,'Feiertagsregeln'!$A$7:$A$21,0))</f>
        <v>Nouvel An</v>
      </c>
      <c r="G9" s="72" t="str">
        <f>IF(INDEX('Feiertagsregeln'!$F$7:$F$21,MATCH($K9,'Feiertagsregeln'!$A$7:$A$21,0))="","Noch zu erfassen",INDEX('Feiertagsregeln'!$F$7:$F$21,MATCH($K9,'Feiertagsregeln'!$A$7:$A$21,0)))</f>
        <v>Noch zu erfassen</v>
      </c>
      <c r="H9" s="72" t="str">
        <f>IF(INDEX('Feiertagsregeln'!$G$7:$G$21,MATCH($K9,'Feiertagsregeln'!$A$7:$A$21,0))="","Noch zu erfassen",INDEX('Feiertagsregeln'!$G$7:$G$21,MATCH($K9,'Feiertagsregeln'!$A$7:$A$21,0)))</f>
        <v>Noch zu erfassen</v>
      </c>
      <c r="I9" s="71" t="str">
        <f>INDEX('Feiertagsregeln'!$H$7:$H$21,MATCH($K9,'Feiertagsregeln'!$A$7:$A$21,0))</f>
        <v>publicHoliday</v>
      </c>
      <c r="J9" s="71" t="str">
        <f>INDEX('Feiertagsregeln'!$R$7:$R$21,MATCH($K9,'Feiertagsregeln'!$A$7:$A$21,0))</f>
        <v>approved</v>
      </c>
      <c r="K9" s="71" t="str">
        <v>BE-CAL-HOL-NEW-YEAR</v>
      </c>
      <c r="L9" s="71" t="str">
        <f>INDEX('Feiertagsregeln'!$Y$7:$Y$21,MATCH($K9,'Feiertagsregeln'!$A$7:$A$21,0))</f>
        <v>SRC-FRG-BE-20210401</v>
      </c>
      <c r="M9" s="71" t="str">
        <f>INDEX('Feiertagsregeln'!$Z$7:$Z$21,MATCH($K9,'Feiertagsregeln'!$A$7:$A$21,0))</f>
        <v>Art. 2 Abs. 1 Bst. c</v>
      </c>
      <c r="N9" s="71" t="str">
        <v>Referenzbestand</v>
      </c>
    </row>
    <row r="10" ht="38" customHeight="1">
      <c r="A10" s="73" t="n">
        <f>INDEX('Feiertagsregeln'!$X$7:$X$21,MATCH($K10,'Feiertagsregeln'!$A$7:$A$21,0))</f>
        <v>46389</v>
      </c>
      <c r="B10" s="74" t="str">
        <f>IF(ISNUMBER(A10),CHOOSE(WEEKDAY(A10,2),"Montag","Dienstag","Mittwoch","Donnerstag","Freitag","Samstag","Sonntag"),"n.a.")</f>
        <v>Samstag</v>
      </c>
      <c r="C10" s="74" t="str">
        <v>CH-BE</v>
      </c>
      <c r="D10" s="74" t="str">
        <v>Kanton Bern</v>
      </c>
      <c r="E10" s="74" t="str">
        <f>INDEX('Feiertagsregeln'!$D$7:$D$21,MATCH($K10,'Feiertagsregeln'!$A$7:$A$21,0))</f>
        <v>Berchtoldstag</v>
      </c>
      <c r="F10" s="74" t="str">
        <f>INDEX('Feiertagsregeln'!$E$7:$E$21,MATCH($K10,'Feiertagsregeln'!$A$7:$A$21,0))</f>
        <v>Saint-Berchtold</v>
      </c>
      <c r="G10" s="75" t="str">
        <f>IF(INDEX('Feiertagsregeln'!$F$7:$F$21,MATCH($K10,'Feiertagsregeln'!$A$7:$A$21,0))="","Noch zu erfassen",INDEX('Feiertagsregeln'!$F$7:$F$21,MATCH($K10,'Feiertagsregeln'!$A$7:$A$21,0)))</f>
        <v>Noch zu erfassen</v>
      </c>
      <c r="H10" s="75" t="str">
        <f>IF(INDEX('Feiertagsregeln'!$G$7:$G$21,MATCH($K10,'Feiertagsregeln'!$A$7:$A$21,0))="","Noch zu erfassen",INDEX('Feiertagsregeln'!$G$7:$G$21,MATCH($K10,'Feiertagsregeln'!$A$7:$A$21,0)))</f>
        <v>Noch zu erfassen</v>
      </c>
      <c r="I10" s="74" t="str">
        <f>INDEX('Feiertagsregeln'!$H$7:$H$21,MATCH($K10,'Feiertagsregeln'!$A$7:$A$21,0))</f>
        <v>publicHoliday</v>
      </c>
      <c r="J10" s="74" t="str">
        <f>INDEX('Feiertagsregeln'!$R$7:$R$21,MATCH($K10,'Feiertagsregeln'!$A$7:$A$21,0))</f>
        <v>approved</v>
      </c>
      <c r="K10" s="74" t="str">
        <v>BE-CAL-HOL-BERCHTOLD-DAY</v>
      </c>
      <c r="L10" s="74" t="str">
        <f>INDEX('Feiertagsregeln'!$Y$7:$Y$21,MATCH($K10,'Feiertagsregeln'!$A$7:$A$21,0))</f>
        <v>SRC-FRG-BE-20210401</v>
      </c>
      <c r="M10" s="74" t="str">
        <f>INDEX('Feiertagsregeln'!$Z$7:$Z$21,MATCH($K10,'Feiertagsregeln'!$A$7:$A$21,0))</f>
        <v>Art. 2 Abs. 1 Bst. c</v>
      </c>
      <c r="N10" s="74" t="str">
        <v>Referenzbestand</v>
      </c>
    </row>
    <row r="11" ht="38" customHeight="1">
      <c r="A11" s="70" t="n">
        <f>INDEX('Feiertagsregeln'!$X$7:$X$21,MATCH($K11,'Feiertagsregeln'!$A$7:$A$21,0))</f>
        <v>46472</v>
      </c>
      <c r="B11" s="71" t="str">
        <f>IF(ISNUMBER(A11),CHOOSE(WEEKDAY(A11,2),"Montag","Dienstag","Mittwoch","Donnerstag","Freitag","Samstag","Sonntag"),"n.a.")</f>
        <v>Freitag</v>
      </c>
      <c r="C11" s="71" t="str">
        <v>CH-BE</v>
      </c>
      <c r="D11" s="71" t="str">
        <v>Kanton Bern</v>
      </c>
      <c r="E11" s="71" t="str">
        <f>INDEX('Feiertagsregeln'!$D$7:$D$21,MATCH($K11,'Feiertagsregeln'!$A$7:$A$21,0))</f>
        <v>Karfreitag</v>
      </c>
      <c r="F11" s="71" t="str">
        <f>INDEX('Feiertagsregeln'!$E$7:$E$21,MATCH($K11,'Feiertagsregeln'!$A$7:$A$21,0))</f>
        <v>Vendredi saint</v>
      </c>
      <c r="G11" s="72" t="str">
        <f>IF(INDEX('Feiertagsregeln'!$F$7:$F$21,MATCH($K11,'Feiertagsregeln'!$A$7:$A$21,0))="","Noch zu erfassen",INDEX('Feiertagsregeln'!$F$7:$F$21,MATCH($K11,'Feiertagsregeln'!$A$7:$A$21,0)))</f>
        <v>Noch zu erfassen</v>
      </c>
      <c r="H11" s="72" t="str">
        <f>IF(INDEX('Feiertagsregeln'!$G$7:$G$21,MATCH($K11,'Feiertagsregeln'!$A$7:$A$21,0))="","Noch zu erfassen",INDEX('Feiertagsregeln'!$G$7:$G$21,MATCH($K11,'Feiertagsregeln'!$A$7:$A$21,0)))</f>
        <v>Noch zu erfassen</v>
      </c>
      <c r="I11" s="71" t="str">
        <f>INDEX('Feiertagsregeln'!$H$7:$H$21,MATCH($K11,'Feiertagsregeln'!$A$7:$A$21,0))</f>
        <v>publicHoliday</v>
      </c>
      <c r="J11" s="71" t="str">
        <f>INDEX('Feiertagsregeln'!$R$7:$R$21,MATCH($K11,'Feiertagsregeln'!$A$7:$A$21,0))</f>
        <v>approved</v>
      </c>
      <c r="K11" s="71" t="str">
        <v>BE-CAL-HOL-GOOD-FRIDAY</v>
      </c>
      <c r="L11" s="71" t="str">
        <f>INDEX('Feiertagsregeln'!$Y$7:$Y$21,MATCH($K11,'Feiertagsregeln'!$A$7:$A$21,0))</f>
        <v>SRC-FRG-BE-20210401</v>
      </c>
      <c r="M11" s="71" t="str">
        <f>INDEX('Feiertagsregeln'!$Z$7:$Z$21,MATCH($K11,'Feiertagsregeln'!$A$7:$A$21,0))</f>
        <v>Art. 2 Abs. 1 Bst. b</v>
      </c>
      <c r="N11" s="71" t="str">
        <v>Referenzbestand</v>
      </c>
    </row>
    <row r="12" ht="38" customHeight="1">
      <c r="A12" s="73" t="n">
        <f>INDEX('Feiertagsregeln'!$X$7:$X$21,MATCH($K12,'Feiertagsregeln'!$A$7:$A$21,0))</f>
        <v>46474</v>
      </c>
      <c r="B12" s="74" t="str">
        <f>IF(ISNUMBER(A12),CHOOSE(WEEKDAY(A12,2),"Montag","Dienstag","Mittwoch","Donnerstag","Freitag","Samstag","Sonntag"),"n.a.")</f>
        <v>Sonntag</v>
      </c>
      <c r="C12" s="74" t="str">
        <v>CH-BE</v>
      </c>
      <c r="D12" s="74" t="str">
        <v>Kanton Bern</v>
      </c>
      <c r="E12" s="74" t="str">
        <f>INDEX('Feiertagsregeln'!$D$7:$D$21,MATCH($K12,'Feiertagsregeln'!$A$7:$A$21,0))</f>
        <v>Ostern</v>
      </c>
      <c r="F12" s="74" t="str">
        <f>INDEX('Feiertagsregeln'!$E$7:$E$21,MATCH($K12,'Feiertagsregeln'!$A$7:$A$21,0))</f>
        <v>Pâques</v>
      </c>
      <c r="G12" s="75" t="str">
        <f>IF(INDEX('Feiertagsregeln'!$F$7:$F$21,MATCH($K12,'Feiertagsregeln'!$A$7:$A$21,0))="","Noch zu erfassen",INDEX('Feiertagsregeln'!$F$7:$F$21,MATCH($K12,'Feiertagsregeln'!$A$7:$A$21,0)))</f>
        <v>Noch zu erfassen</v>
      </c>
      <c r="H12" s="75" t="str">
        <f>IF(INDEX('Feiertagsregeln'!$G$7:$G$21,MATCH($K12,'Feiertagsregeln'!$A$7:$A$21,0))="","Noch zu erfassen",INDEX('Feiertagsregeln'!$G$7:$G$21,MATCH($K12,'Feiertagsregeln'!$A$7:$A$21,0)))</f>
        <v>Noch zu erfassen</v>
      </c>
      <c r="I12" s="74" t="str">
        <f>INDEX('Feiertagsregeln'!$H$7:$H$21,MATCH($K12,'Feiertagsregeln'!$A$7:$A$21,0))</f>
        <v>publicHoliday</v>
      </c>
      <c r="J12" s="74" t="str">
        <f>INDEX('Feiertagsregeln'!$R$7:$R$21,MATCH($K12,'Feiertagsregeln'!$A$7:$A$21,0))</f>
        <v>approved</v>
      </c>
      <c r="K12" s="74" t="str">
        <v>BE-CAL-HOL-EASTER</v>
      </c>
      <c r="L12" s="74" t="str">
        <f>INDEX('Feiertagsregeln'!$Y$7:$Y$21,MATCH($K12,'Feiertagsregeln'!$A$7:$A$21,0))</f>
        <v>SRC-FRG-BE-20210401</v>
      </c>
      <c r="M12" s="74" t="str">
        <f>INDEX('Feiertagsregeln'!$Z$7:$Z$21,MATCH($K12,'Feiertagsregeln'!$A$7:$A$21,0))</f>
        <v>Art. 2 Abs. 1 Bst. b</v>
      </c>
      <c r="N12" s="74" t="str">
        <v>Referenzbestand</v>
      </c>
    </row>
    <row r="13" ht="38" customHeight="1">
      <c r="A13" s="70" t="n">
        <f>INDEX('Feiertagsregeln'!$X$7:$X$21,MATCH($K13,'Feiertagsregeln'!$A$7:$A$21,0))</f>
        <v>46475</v>
      </c>
      <c r="B13" s="71" t="str">
        <f>IF(ISNUMBER(A13),CHOOSE(WEEKDAY(A13,2),"Montag","Dienstag","Mittwoch","Donnerstag","Freitag","Samstag","Sonntag"),"n.a.")</f>
        <v>Montag</v>
      </c>
      <c r="C13" s="71" t="str">
        <v>CH-BE</v>
      </c>
      <c r="D13" s="71" t="str">
        <v>Kanton Bern</v>
      </c>
      <c r="E13" s="71" t="str">
        <f>INDEX('Feiertagsregeln'!$D$7:$D$21,MATCH($K13,'Feiertagsregeln'!$A$7:$A$21,0))</f>
        <v>Ostermontag</v>
      </c>
      <c r="F13" s="71" t="str">
        <f>INDEX('Feiertagsregeln'!$E$7:$E$21,MATCH($K13,'Feiertagsregeln'!$A$7:$A$21,0))</f>
        <v>Lundi de Pâques</v>
      </c>
      <c r="G13" s="72" t="str">
        <f>IF(INDEX('Feiertagsregeln'!$F$7:$F$21,MATCH($K13,'Feiertagsregeln'!$A$7:$A$21,0))="","Noch zu erfassen",INDEX('Feiertagsregeln'!$F$7:$F$21,MATCH($K13,'Feiertagsregeln'!$A$7:$A$21,0)))</f>
        <v>Noch zu erfassen</v>
      </c>
      <c r="H13" s="72" t="str">
        <f>IF(INDEX('Feiertagsregeln'!$G$7:$G$21,MATCH($K13,'Feiertagsregeln'!$A$7:$A$21,0))="","Noch zu erfassen",INDEX('Feiertagsregeln'!$G$7:$G$21,MATCH($K13,'Feiertagsregeln'!$A$7:$A$21,0)))</f>
        <v>Noch zu erfassen</v>
      </c>
      <c r="I13" s="71" t="str">
        <f>INDEX('Feiertagsregeln'!$H$7:$H$21,MATCH($K13,'Feiertagsregeln'!$A$7:$A$21,0))</f>
        <v>publicHoliday</v>
      </c>
      <c r="J13" s="71" t="str">
        <f>INDEX('Feiertagsregeln'!$R$7:$R$21,MATCH($K13,'Feiertagsregeln'!$A$7:$A$21,0))</f>
        <v>approved</v>
      </c>
      <c r="K13" s="71" t="str">
        <v>BE-CAL-HOL-EASTER-MONDAY</v>
      </c>
      <c r="L13" s="71" t="str">
        <f>INDEX('Feiertagsregeln'!$Y$7:$Y$21,MATCH($K13,'Feiertagsregeln'!$A$7:$A$21,0))</f>
        <v>SRC-FRG-BE-20210401</v>
      </c>
      <c r="M13" s="71" t="str">
        <f>INDEX('Feiertagsregeln'!$Z$7:$Z$21,MATCH($K13,'Feiertagsregeln'!$A$7:$A$21,0))</f>
        <v>Art. 2 Abs. 1 Bst. c</v>
      </c>
      <c r="N13" s="71" t="str">
        <v>Referenzbestand</v>
      </c>
    </row>
    <row r="14" ht="38" customHeight="1">
      <c r="A14" s="73" t="n">
        <f>INDEX('Feiertagsregeln'!$X$7:$X$21,MATCH($K14,'Feiertagsregeln'!$A$7:$A$21,0))</f>
        <v>46513</v>
      </c>
      <c r="B14" s="74" t="str">
        <f>IF(ISNUMBER(A14),CHOOSE(WEEKDAY(A14,2),"Montag","Dienstag","Mittwoch","Donnerstag","Freitag","Samstag","Sonntag"),"n.a.")</f>
        <v>Donnerstag</v>
      </c>
      <c r="C14" s="74" t="str">
        <v>CH-BE</v>
      </c>
      <c r="D14" s="74" t="str">
        <v>Kanton Bern</v>
      </c>
      <c r="E14" s="74" t="str">
        <f>INDEX('Feiertagsregeln'!$D$7:$D$21,MATCH($K14,'Feiertagsregeln'!$A$7:$A$21,0))</f>
        <v>Auffahrt</v>
      </c>
      <c r="F14" s="74" t="str">
        <f>INDEX('Feiertagsregeln'!$E$7:$E$21,MATCH($K14,'Feiertagsregeln'!$A$7:$A$21,0))</f>
        <v>Ascension</v>
      </c>
      <c r="G14" s="75" t="str">
        <f>IF(INDEX('Feiertagsregeln'!$F$7:$F$21,MATCH($K14,'Feiertagsregeln'!$A$7:$A$21,0))="","Noch zu erfassen",INDEX('Feiertagsregeln'!$F$7:$F$21,MATCH($K14,'Feiertagsregeln'!$A$7:$A$21,0)))</f>
        <v>Noch zu erfassen</v>
      </c>
      <c r="H14" s="75" t="str">
        <f>IF(INDEX('Feiertagsregeln'!$G$7:$G$21,MATCH($K14,'Feiertagsregeln'!$A$7:$A$21,0))="","Noch zu erfassen",INDEX('Feiertagsregeln'!$G$7:$G$21,MATCH($K14,'Feiertagsregeln'!$A$7:$A$21,0)))</f>
        <v>Noch zu erfassen</v>
      </c>
      <c r="I14" s="74" t="str">
        <f>INDEX('Feiertagsregeln'!$H$7:$H$21,MATCH($K14,'Feiertagsregeln'!$A$7:$A$21,0))</f>
        <v>publicHoliday</v>
      </c>
      <c r="J14" s="74" t="str">
        <f>INDEX('Feiertagsregeln'!$R$7:$R$21,MATCH($K14,'Feiertagsregeln'!$A$7:$A$21,0))</f>
        <v>approved</v>
      </c>
      <c r="K14" s="74" t="str">
        <v>BE-CAL-HOL-ASCENSION</v>
      </c>
      <c r="L14" s="74" t="str">
        <f>INDEX('Feiertagsregeln'!$Y$7:$Y$21,MATCH($K14,'Feiertagsregeln'!$A$7:$A$21,0))</f>
        <v>SRC-FRG-BE-20210401</v>
      </c>
      <c r="M14" s="74" t="str">
        <f>INDEX('Feiertagsregeln'!$Z$7:$Z$21,MATCH($K14,'Feiertagsregeln'!$A$7:$A$21,0))</f>
        <v>Art. 2 Abs. 1 Bst. b</v>
      </c>
      <c r="N14" s="74" t="str">
        <v>Referenzbestand</v>
      </c>
    </row>
    <row r="15" ht="38" customHeight="1">
      <c r="A15" s="70" t="n">
        <f>INDEX('Feiertagsregeln'!$X$7:$X$21,MATCH($K15,'Feiertagsregeln'!$A$7:$A$21,0))</f>
        <v>46523</v>
      </c>
      <c r="B15" s="71" t="str">
        <f>IF(ISNUMBER(A15),CHOOSE(WEEKDAY(A15,2),"Montag","Dienstag","Mittwoch","Donnerstag","Freitag","Samstag","Sonntag"),"n.a.")</f>
        <v>Sonntag</v>
      </c>
      <c r="C15" s="71" t="str">
        <v>CH-BE</v>
      </c>
      <c r="D15" s="71" t="str">
        <v>Kanton Bern</v>
      </c>
      <c r="E15" s="71" t="str">
        <f>INDEX('Feiertagsregeln'!$D$7:$D$21,MATCH($K15,'Feiertagsregeln'!$A$7:$A$21,0))</f>
        <v>Pfingsten</v>
      </c>
      <c r="F15" s="71" t="str">
        <f>INDEX('Feiertagsregeln'!$E$7:$E$21,MATCH($K15,'Feiertagsregeln'!$A$7:$A$21,0))</f>
        <v>Pentecôte</v>
      </c>
      <c r="G15" s="72" t="str">
        <f>IF(INDEX('Feiertagsregeln'!$F$7:$F$21,MATCH($K15,'Feiertagsregeln'!$A$7:$A$21,0))="","Noch zu erfassen",INDEX('Feiertagsregeln'!$F$7:$F$21,MATCH($K15,'Feiertagsregeln'!$A$7:$A$21,0)))</f>
        <v>Noch zu erfassen</v>
      </c>
      <c r="H15" s="72" t="str">
        <f>IF(INDEX('Feiertagsregeln'!$G$7:$G$21,MATCH($K15,'Feiertagsregeln'!$A$7:$A$21,0))="","Noch zu erfassen",INDEX('Feiertagsregeln'!$G$7:$G$21,MATCH($K15,'Feiertagsregeln'!$A$7:$A$21,0)))</f>
        <v>Noch zu erfassen</v>
      </c>
      <c r="I15" s="71" t="str">
        <f>INDEX('Feiertagsregeln'!$H$7:$H$21,MATCH($K15,'Feiertagsregeln'!$A$7:$A$21,0))</f>
        <v>publicHoliday</v>
      </c>
      <c r="J15" s="71" t="str">
        <f>INDEX('Feiertagsregeln'!$R$7:$R$21,MATCH($K15,'Feiertagsregeln'!$A$7:$A$21,0))</f>
        <v>approved</v>
      </c>
      <c r="K15" s="71" t="str">
        <v>BE-CAL-HOL-PENTECOST</v>
      </c>
      <c r="L15" s="71" t="str">
        <f>INDEX('Feiertagsregeln'!$Y$7:$Y$21,MATCH($K15,'Feiertagsregeln'!$A$7:$A$21,0))</f>
        <v>SRC-FRG-BE-20210401</v>
      </c>
      <c r="M15" s="71" t="str">
        <f>INDEX('Feiertagsregeln'!$Z$7:$Z$21,MATCH($K15,'Feiertagsregeln'!$A$7:$A$21,0))</f>
        <v>Art. 2 Abs. 1 Bst. b</v>
      </c>
      <c r="N15" s="71" t="str">
        <v>Referenzbestand</v>
      </c>
    </row>
    <row r="16" ht="38" customHeight="1">
      <c r="A16" s="73" t="n">
        <f>INDEX('Feiertagsregeln'!$X$7:$X$21,MATCH($K16,'Feiertagsregeln'!$A$7:$A$21,0))</f>
        <v>46524</v>
      </c>
      <c r="B16" s="74" t="str">
        <f>IF(ISNUMBER(A16),CHOOSE(WEEKDAY(A16,2),"Montag","Dienstag","Mittwoch","Donnerstag","Freitag","Samstag","Sonntag"),"n.a.")</f>
        <v>Montag</v>
      </c>
      <c r="C16" s="74" t="str">
        <v>CH-BE</v>
      </c>
      <c r="D16" s="74" t="str">
        <v>Kanton Bern</v>
      </c>
      <c r="E16" s="74" t="str">
        <f>INDEX('Feiertagsregeln'!$D$7:$D$21,MATCH($K16,'Feiertagsregeln'!$A$7:$A$21,0))</f>
        <v>Pfingstmontag</v>
      </c>
      <c r="F16" s="74" t="str">
        <f>INDEX('Feiertagsregeln'!$E$7:$E$21,MATCH($K16,'Feiertagsregeln'!$A$7:$A$21,0))</f>
        <v>Lundi de Pentecôte</v>
      </c>
      <c r="G16" s="75" t="str">
        <f>IF(INDEX('Feiertagsregeln'!$F$7:$F$21,MATCH($K16,'Feiertagsregeln'!$A$7:$A$21,0))="","Noch zu erfassen",INDEX('Feiertagsregeln'!$F$7:$F$21,MATCH($K16,'Feiertagsregeln'!$A$7:$A$21,0)))</f>
        <v>Noch zu erfassen</v>
      </c>
      <c r="H16" s="75" t="str">
        <f>IF(INDEX('Feiertagsregeln'!$G$7:$G$21,MATCH($K16,'Feiertagsregeln'!$A$7:$A$21,0))="","Noch zu erfassen",INDEX('Feiertagsregeln'!$G$7:$G$21,MATCH($K16,'Feiertagsregeln'!$A$7:$A$21,0)))</f>
        <v>Noch zu erfassen</v>
      </c>
      <c r="I16" s="74" t="str">
        <f>INDEX('Feiertagsregeln'!$H$7:$H$21,MATCH($K16,'Feiertagsregeln'!$A$7:$A$21,0))</f>
        <v>publicHoliday</v>
      </c>
      <c r="J16" s="74" t="str">
        <f>INDEX('Feiertagsregeln'!$R$7:$R$21,MATCH($K16,'Feiertagsregeln'!$A$7:$A$21,0))</f>
        <v>approved</v>
      </c>
      <c r="K16" s="74" t="str">
        <v>BE-CAL-HOL-WHIT-MONDAY</v>
      </c>
      <c r="L16" s="74" t="str">
        <f>INDEX('Feiertagsregeln'!$Y$7:$Y$21,MATCH($K16,'Feiertagsregeln'!$A$7:$A$21,0))</f>
        <v>SRC-FRG-BE-20210401</v>
      </c>
      <c r="M16" s="74" t="str">
        <f>INDEX('Feiertagsregeln'!$Z$7:$Z$21,MATCH($K16,'Feiertagsregeln'!$A$7:$A$21,0))</f>
        <v>Art. 2 Abs. 1 Bst. c</v>
      </c>
      <c r="N16" s="74" t="str">
        <v>Referenzbestand</v>
      </c>
    </row>
    <row r="17" ht="38" customHeight="1">
      <c r="A17" s="70" t="n">
        <f>INDEX('Feiertagsregeln'!$X$7:$X$21,MATCH($K17,'Feiertagsregeln'!$A$7:$A$21,0))</f>
        <v>46649</v>
      </c>
      <c r="B17" s="71" t="str">
        <f>IF(ISNUMBER(A17),CHOOSE(WEEKDAY(A17,2),"Montag","Dienstag","Mittwoch","Donnerstag","Freitag","Samstag","Sonntag"),"n.a.")</f>
        <v>Sonntag</v>
      </c>
      <c r="C17" s="71" t="str">
        <v>CH-BE</v>
      </c>
      <c r="D17" s="71" t="str">
        <v>Kanton Bern</v>
      </c>
      <c r="E17" s="71" t="str">
        <f>INDEX('Feiertagsregeln'!$D$7:$D$21,MATCH($K17,'Feiertagsregeln'!$A$7:$A$21,0))</f>
        <v>Eidgenössischer Dank-, Buss- und Bettag</v>
      </c>
      <c r="F17" s="71" t="str">
        <f>INDEX('Feiertagsregeln'!$E$7:$E$21,MATCH($K17,'Feiertagsregeln'!$A$7:$A$21,0))</f>
        <v>Jeûne fédéral</v>
      </c>
      <c r="G17" s="72" t="str">
        <f>IF(INDEX('Feiertagsregeln'!$F$7:$F$21,MATCH($K17,'Feiertagsregeln'!$A$7:$A$21,0))="","Noch zu erfassen",INDEX('Feiertagsregeln'!$F$7:$F$21,MATCH($K17,'Feiertagsregeln'!$A$7:$A$21,0)))</f>
        <v>Noch zu erfassen</v>
      </c>
      <c r="H17" s="72" t="str">
        <f>IF(INDEX('Feiertagsregeln'!$G$7:$G$21,MATCH($K17,'Feiertagsregeln'!$A$7:$A$21,0))="","Noch zu erfassen",INDEX('Feiertagsregeln'!$G$7:$G$21,MATCH($K17,'Feiertagsregeln'!$A$7:$A$21,0)))</f>
        <v>Noch zu erfassen</v>
      </c>
      <c r="I17" s="71" t="str">
        <f>INDEX('Feiertagsregeln'!$H$7:$H$21,MATCH($K17,'Feiertagsregeln'!$A$7:$A$21,0))</f>
        <v>publicHoliday</v>
      </c>
      <c r="J17" s="71" t="str">
        <f>INDEX('Feiertagsregeln'!$R$7:$R$21,MATCH($K17,'Feiertagsregeln'!$A$7:$A$21,0))</f>
        <v>approved</v>
      </c>
      <c r="K17" s="71" t="str">
        <v>BE-CAL-HOL-FEDERAL-FAST</v>
      </c>
      <c r="L17" s="71" t="str">
        <f>INDEX('Feiertagsregeln'!$Y$7:$Y$21,MATCH($K17,'Feiertagsregeln'!$A$7:$A$21,0))</f>
        <v>SRC-FRG-BE-20210401</v>
      </c>
      <c r="M17" s="71" t="str">
        <f>INDEX('Feiertagsregeln'!$Z$7:$Z$21,MATCH($K17,'Feiertagsregeln'!$A$7:$A$21,0))</f>
        <v>Art. 2 Abs. 1 Bst. b</v>
      </c>
      <c r="N17" s="71" t="str">
        <v>Referenzbestand</v>
      </c>
    </row>
    <row r="18" ht="38" customHeight="1">
      <c r="A18" s="73" t="n">
        <f>INDEX('Feiertagsregeln'!$X$7:$X$21,MATCH($K18,'Feiertagsregeln'!$A$7:$A$21,0))</f>
        <v>46746</v>
      </c>
      <c r="B18" s="74" t="str">
        <f>IF(ISNUMBER(A18),CHOOSE(WEEKDAY(A18,2),"Montag","Dienstag","Mittwoch","Donnerstag","Freitag","Samstag","Sonntag"),"n.a.")</f>
        <v>Samstag</v>
      </c>
      <c r="C18" s="74" t="str">
        <v>CH-BE</v>
      </c>
      <c r="D18" s="74" t="str">
        <v>Kanton Bern</v>
      </c>
      <c r="E18" s="74" t="str">
        <f>INDEX('Feiertagsregeln'!$D$7:$D$21,MATCH($K18,'Feiertagsregeln'!$A$7:$A$21,0))</f>
        <v>Weihnachten</v>
      </c>
      <c r="F18" s="74" t="str">
        <f>INDEX('Feiertagsregeln'!$E$7:$E$21,MATCH($K18,'Feiertagsregeln'!$A$7:$A$21,0))</f>
        <v>Noël</v>
      </c>
      <c r="G18" s="75" t="str">
        <f>IF(INDEX('Feiertagsregeln'!$F$7:$F$21,MATCH($K18,'Feiertagsregeln'!$A$7:$A$21,0))="","Noch zu erfassen",INDEX('Feiertagsregeln'!$F$7:$F$21,MATCH($K18,'Feiertagsregeln'!$A$7:$A$21,0)))</f>
        <v>Noch zu erfassen</v>
      </c>
      <c r="H18" s="75" t="str">
        <f>IF(INDEX('Feiertagsregeln'!$G$7:$G$21,MATCH($K18,'Feiertagsregeln'!$A$7:$A$21,0))="","Noch zu erfassen",INDEX('Feiertagsregeln'!$G$7:$G$21,MATCH($K18,'Feiertagsregeln'!$A$7:$A$21,0)))</f>
        <v>Noch zu erfassen</v>
      </c>
      <c r="I18" s="74" t="str">
        <f>INDEX('Feiertagsregeln'!$H$7:$H$21,MATCH($K18,'Feiertagsregeln'!$A$7:$A$21,0))</f>
        <v>publicHoliday</v>
      </c>
      <c r="J18" s="74" t="str">
        <f>INDEX('Feiertagsregeln'!$R$7:$R$21,MATCH($K18,'Feiertagsregeln'!$A$7:$A$21,0))</f>
        <v>approved</v>
      </c>
      <c r="K18" s="74" t="str">
        <v>BE-CAL-HOL-CHRISTMAS</v>
      </c>
      <c r="L18" s="74" t="str">
        <f>INDEX('Feiertagsregeln'!$Y$7:$Y$21,MATCH($K18,'Feiertagsregeln'!$A$7:$A$21,0))</f>
        <v>SRC-FRG-BE-20210401</v>
      </c>
      <c r="M18" s="74" t="str">
        <f>INDEX('Feiertagsregeln'!$Z$7:$Z$21,MATCH($K18,'Feiertagsregeln'!$A$7:$A$21,0))</f>
        <v>Art. 2 Abs. 1 Bst. b</v>
      </c>
      <c r="N18" s="74" t="str">
        <v>Referenzbestand</v>
      </c>
    </row>
    <row r="19" ht="38" customHeight="1">
      <c r="A19" s="70" t="n">
        <f>INDEX('Feiertagsregeln'!$X$7:$X$21,MATCH($K19,'Feiertagsregeln'!$A$7:$A$21,0))</f>
        <v>46747</v>
      </c>
      <c r="B19" s="71" t="str">
        <f>IF(ISNUMBER(A19),CHOOSE(WEEKDAY(A19,2),"Montag","Dienstag","Mittwoch","Donnerstag","Freitag","Samstag","Sonntag"),"n.a.")</f>
        <v>Sonntag</v>
      </c>
      <c r="C19" s="71" t="str">
        <v>CH-BE</v>
      </c>
      <c r="D19" s="71" t="str">
        <v>Kanton Bern</v>
      </c>
      <c r="E19" s="71" t="str">
        <f>INDEX('Feiertagsregeln'!$D$7:$D$21,MATCH($K19,'Feiertagsregeln'!$A$7:$A$21,0))</f>
        <v>Stephanstag</v>
      </c>
      <c r="F19" s="71" t="str">
        <f>INDEX('Feiertagsregeln'!$E$7:$E$21,MATCH($K19,'Feiertagsregeln'!$A$7:$A$21,0))</f>
        <v>Saint-Étienne</v>
      </c>
      <c r="G19" s="72" t="str">
        <f>IF(INDEX('Feiertagsregeln'!$F$7:$F$21,MATCH($K19,'Feiertagsregeln'!$A$7:$A$21,0))="","Noch zu erfassen",INDEX('Feiertagsregeln'!$F$7:$F$21,MATCH($K19,'Feiertagsregeln'!$A$7:$A$21,0)))</f>
        <v>Noch zu erfassen</v>
      </c>
      <c r="H19" s="72" t="str">
        <f>IF(INDEX('Feiertagsregeln'!$G$7:$G$21,MATCH($K19,'Feiertagsregeln'!$A$7:$A$21,0))="","Noch zu erfassen",INDEX('Feiertagsregeln'!$G$7:$G$21,MATCH($K19,'Feiertagsregeln'!$A$7:$A$21,0)))</f>
        <v>Noch zu erfassen</v>
      </c>
      <c r="I19" s="71" t="str">
        <f>INDEX('Feiertagsregeln'!$H$7:$H$21,MATCH($K19,'Feiertagsregeln'!$A$7:$A$21,0))</f>
        <v>publicHoliday</v>
      </c>
      <c r="J19" s="71" t="str">
        <f>INDEX('Feiertagsregeln'!$R$7:$R$21,MATCH($K19,'Feiertagsregeln'!$A$7:$A$21,0))</f>
        <v>approved</v>
      </c>
      <c r="K19" s="71" t="str">
        <v>BE-CAL-HOL-ST-STEPHEN</v>
      </c>
      <c r="L19" s="71" t="str">
        <f>INDEX('Feiertagsregeln'!$Y$7:$Y$21,MATCH($K19,'Feiertagsregeln'!$A$7:$A$21,0))</f>
        <v>SRC-FRG-BE-20210401</v>
      </c>
      <c r="M19" s="71" t="str">
        <f>INDEX('Feiertagsregeln'!$Z$7:$Z$21,MATCH($K19,'Feiertagsregeln'!$A$7:$A$21,0))</f>
        <v>Art. 2 Abs. 1 Bst. c</v>
      </c>
      <c r="N19" s="71" t="str">
        <v>Referenzbestand</v>
      </c>
    </row>
    <row r="20" ht="38" customHeight="1">
      <c r="A20" s="73" t="n">
        <f>INDEX('Feiertagsregeln'!$X$7:$X$21,MATCH($K20,'Feiertagsregeln'!$A$7:$A$21,0))</f>
        <v>46534</v>
      </c>
      <c r="B20" s="74" t="str">
        <f>IF(ISNUMBER(A20),CHOOSE(WEEKDAY(A20,2),"Montag","Dienstag","Mittwoch","Donnerstag","Freitag","Samstag","Sonntag"),"n.a.")</f>
        <v>Donnerstag</v>
      </c>
      <c r="C20" s="74" t="str">
        <v>CH-AG</v>
      </c>
      <c r="D20" s="74" t="str">
        <v>Bezirk Baden ohne Bergdietikon</v>
      </c>
      <c r="E20" s="74" t="str">
        <f>INDEX('Feiertagsregeln'!$D$7:$D$21,MATCH($K20,'Feiertagsregeln'!$A$7:$A$21,0))</f>
        <v>Fronleichnam</v>
      </c>
      <c r="F20" s="74" t="str">
        <f>INDEX('Feiertagsregeln'!$E$7:$E$21,MATCH($K20,'Feiertagsregeln'!$A$7:$A$21,0))</f>
        <v>Fête-Dieu</v>
      </c>
      <c r="G20" s="75" t="str">
        <f>IF(INDEX('Feiertagsregeln'!$F$7:$F$21,MATCH($K20,'Feiertagsregeln'!$A$7:$A$21,0))="","Noch zu erfassen",INDEX('Feiertagsregeln'!$F$7:$F$21,MATCH($K20,'Feiertagsregeln'!$A$7:$A$21,0)))</f>
        <v>Noch zu erfassen</v>
      </c>
      <c r="H20" s="75" t="str">
        <f>IF(INDEX('Feiertagsregeln'!$G$7:$G$21,MATCH($K20,'Feiertagsregeln'!$A$7:$A$21,0))="","Noch zu erfassen",INDEX('Feiertagsregeln'!$G$7:$G$21,MATCH($K20,'Feiertagsregeln'!$A$7:$A$21,0)))</f>
        <v>Noch zu erfassen</v>
      </c>
      <c r="I20" s="74" t="str">
        <f>INDEX('Feiertagsregeln'!$H$7:$H$21,MATCH($K20,'Feiertagsregeln'!$A$7:$A$21,0))</f>
        <v>labourLawHoliday</v>
      </c>
      <c r="J20" s="74" t="str">
        <f>INDEX('Feiertagsregeln'!$R$7:$R$21,MATCH($K20,'Feiertagsregeln'!$A$7:$A$21,0))</f>
        <v>open</v>
      </c>
      <c r="K20" s="74" t="str">
        <v>AG-WORK-HOL-CORPUS-CHRISTI</v>
      </c>
      <c r="L20" s="74" t="str">
        <f>INDEX('Feiertagsregeln'!$Y$7:$Y$21,MATCH($K20,'Feiertagsregeln'!$A$7:$A$21,0))</f>
        <v>SRC-AG-EGARR-20250901</v>
      </c>
      <c r="M20" s="74" t="str">
        <f>INDEX('Feiertagsregeln'!$Z$7:$Z$21,MATCH($K20,'Feiertagsregeln'!$A$7:$A$21,0))</f>
        <v>§ 6 Abs. 1 Bst. b Ziff. 2</v>
      </c>
      <c r="N20" s="74" t="str">
        <v>Teilumfang, offen</v>
      </c>
    </row>
    <row r="21" ht="38" customHeight="1">
      <c r="A21" s="70" t="n">
        <f>INDEX('Feiertagsregeln'!$X$7:$X$21,MATCH($K21,'Feiertagsregeln'!$A$7:$A$21,0))</f>
        <v>46389</v>
      </c>
      <c r="B21" s="71" t="str">
        <f>IF(ISNUMBER(A21),CHOOSE(WEEKDAY(A21,2),"Montag","Dienstag","Mittwoch","Donnerstag","Freitag","Samstag","Sonntag"),"n.a.")</f>
        <v>Samstag</v>
      </c>
      <c r="C21" s="71" t="str">
        <v>CH-AG</v>
      </c>
      <c r="D21" s="71" t="str">
        <v>Gemeinde Bergdietikon</v>
      </c>
      <c r="E21" s="71" t="str">
        <f>INDEX('Feiertagsregeln'!$D$7:$D$21,MATCH($K21,'Feiertagsregeln'!$A$7:$A$21,0))</f>
        <v>Berchtoldstag</v>
      </c>
      <c r="F21" s="71" t="str">
        <f>INDEX('Feiertagsregeln'!$E$7:$E$21,MATCH($K21,'Feiertagsregeln'!$A$7:$A$21,0))</f>
        <v>Saint-Berchtold</v>
      </c>
      <c r="G21" s="72" t="str">
        <f>IF(INDEX('Feiertagsregeln'!$F$7:$F$21,MATCH($K21,'Feiertagsregeln'!$A$7:$A$21,0))="","Noch zu erfassen",INDEX('Feiertagsregeln'!$F$7:$F$21,MATCH($K21,'Feiertagsregeln'!$A$7:$A$21,0)))</f>
        <v>Noch zu erfassen</v>
      </c>
      <c r="H21" s="72" t="str">
        <f>IF(INDEX('Feiertagsregeln'!$G$7:$G$21,MATCH($K21,'Feiertagsregeln'!$A$7:$A$21,0))="","Noch zu erfassen",INDEX('Feiertagsregeln'!$G$7:$G$21,MATCH($K21,'Feiertagsregeln'!$A$7:$A$21,0)))</f>
        <v>Noch zu erfassen</v>
      </c>
      <c r="I21" s="71" t="str">
        <f>INDEX('Feiertagsregeln'!$H$7:$H$21,MATCH($K21,'Feiertagsregeln'!$A$7:$A$21,0))</f>
        <v>labourLawHoliday</v>
      </c>
      <c r="J21" s="71" t="str">
        <f>INDEX('Feiertagsregeln'!$R$7:$R$21,MATCH($K21,'Feiertagsregeln'!$A$7:$A$21,0))</f>
        <v>open</v>
      </c>
      <c r="K21" s="71" t="str">
        <v>AG-WORK-HOL-BERCHTOLD</v>
      </c>
      <c r="L21" s="71" t="str">
        <f>INDEX('Feiertagsregeln'!$Y$7:$Y$21,MATCH($K21,'Feiertagsregeln'!$A$7:$A$21,0))</f>
        <v>SRC-AG-EGARR-20250901</v>
      </c>
      <c r="M21" s="71" t="str">
        <f>INDEX('Feiertagsregeln'!$Z$7:$Z$21,MATCH($K21,'Feiertagsregeln'!$A$7:$A$21,0))</f>
        <v>§ 6 Abs. 1 Bst. b Ziff. 1</v>
      </c>
      <c r="N21" s="71" t="str">
        <v>Teilumfang, offen</v>
      </c>
    </row>
    <row r="22" ht="38" customHeight="1">
      <c r="A22" s="73" t="n">
        <f>INDEX('Feiertagsregeln'!$X$7:$X$21,MATCH($K22,'Feiertagsregeln'!$A$7:$A$21,0))</f>
        <v>46692</v>
      </c>
      <c r="B22" s="74" t="str">
        <f>IF(ISNUMBER(A22),CHOOSE(WEEKDAY(A22,2),"Montag","Dienstag","Mittwoch","Donnerstag","Freitag","Samstag","Sonntag"),"n.a.")</f>
        <v>Montag</v>
      </c>
      <c r="C22" s="74" t="str">
        <v>CH-AG</v>
      </c>
      <c r="D22" s="74" t="str">
        <v>Aargau, prozessuale Zuordnung</v>
      </c>
      <c r="E22" s="74" t="str">
        <f>INDEX('Feiertagsregeln'!$D$7:$D$21,MATCH($K22,'Feiertagsregeln'!$A$7:$A$21,0))</f>
        <v>Allerheiligen</v>
      </c>
      <c r="F22" s="74" t="str">
        <f>INDEX('Feiertagsregeln'!$E$7:$E$21,MATCH($K22,'Feiertagsregeln'!$A$7:$A$21,0))</f>
        <v>Toussaint</v>
      </c>
      <c r="G22" s="75" t="str">
        <f>IF(INDEX('Feiertagsregeln'!$F$7:$F$21,MATCH($K22,'Feiertagsregeln'!$A$7:$A$21,0))="","Noch zu erfassen",INDEX('Feiertagsregeln'!$F$7:$F$21,MATCH($K22,'Feiertagsregeln'!$A$7:$A$21,0)))</f>
        <v>Noch zu erfassen</v>
      </c>
      <c r="H22" s="75" t="str">
        <f>IF(INDEX('Feiertagsregeln'!$G$7:$G$21,MATCH($K22,'Feiertagsregeln'!$A$7:$A$21,0))="","Noch zu erfassen",INDEX('Feiertagsregeln'!$G$7:$G$21,MATCH($K22,'Feiertagsregeln'!$A$7:$A$21,0)))</f>
        <v>Noch zu erfassen</v>
      </c>
      <c r="I22" s="74" t="str">
        <f>INDEX('Feiertagsregeln'!$H$7:$H$21,MATCH($K22,'Feiertagsregeln'!$A$7:$A$21,0))</f>
        <v>proceduralEquivalentDay</v>
      </c>
      <c r="J22" s="74" t="str">
        <f>INDEX('Feiertagsregeln'!$R$7:$R$21,MATCH($K22,'Feiertagsregeln'!$A$7:$A$21,0))</f>
        <v>open</v>
      </c>
      <c r="K22" s="74" t="str">
        <v>AG-PROC-DAY-ALL-SAINTS</v>
      </c>
      <c r="L22" s="74" t="str">
        <f>INDEX('Feiertagsregeln'!$Y$7:$Y$21,MATCH($K22,'Feiertagsregeln'!$A$7:$A$21,0))</f>
        <v>SRC-AG-EGZPO</v>
      </c>
      <c r="M22" s="74" t="str">
        <f>INDEX('Feiertagsregeln'!$Z$7:$Z$21,MATCH($K22,'Feiertagsregeln'!$A$7:$A$21,0))</f>
        <v>§ 21</v>
      </c>
      <c r="N22" s="74" t="str">
        <v>Teilumfang, offen</v>
      </c>
    </row>
    <row r="23" ht="24" customHeight="1">
      <c r="A23" s="60"/>
      <c r="B23" s="60"/>
      <c r="C23" s="60"/>
      <c r="D23" s="60"/>
      <c r="E23" s="60"/>
      <c r="F23" s="60"/>
      <c r="I23" s="60"/>
      <c r="J23" s="60"/>
      <c r="K23" s="60"/>
      <c r="L23" s="60"/>
      <c r="M23" s="60"/>
      <c r="N23" s="60"/>
    </row>
    <row r="24" ht="24" customHeight="1">
      <c r="A24" s="60"/>
      <c r="B24" s="60"/>
      <c r="C24" s="60"/>
      <c r="D24" s="60"/>
      <c r="E24" s="60"/>
      <c r="F24" s="60"/>
      <c r="I24" s="60"/>
      <c r="J24" s="60"/>
      <c r="K24" s="60"/>
      <c r="L24" s="60"/>
      <c r="M24" s="60"/>
      <c r="N24" s="60"/>
    </row>
    <row r="25" ht="24" customHeight="1">
      <c r="A25" s="60"/>
      <c r="B25" s="60"/>
      <c r="C25" s="60"/>
      <c r="D25" s="60"/>
      <c r="E25" s="60"/>
      <c r="F25" s="60"/>
      <c r="I25" s="60"/>
      <c r="J25" s="60"/>
      <c r="K25" s="60"/>
      <c r="L25" s="60"/>
      <c r="M25" s="60"/>
      <c r="N25" s="60"/>
    </row>
    <row r="26" ht="24" customHeight="1">
      <c r="A26" s="60"/>
      <c r="B26" s="60"/>
      <c r="C26" s="60"/>
      <c r="D26" s="60"/>
      <c r="E26" s="60"/>
      <c r="F26" s="60"/>
      <c r="I26" s="60"/>
      <c r="J26" s="60"/>
      <c r="K26" s="60"/>
      <c r="L26" s="60"/>
      <c r="M26" s="60"/>
      <c r="N26" s="60"/>
    </row>
    <row r="27" ht="24" customHeight="1">
      <c r="A27" s="60"/>
      <c r="B27" s="60"/>
      <c r="C27" s="60"/>
      <c r="D27" s="60"/>
      <c r="E27" s="60"/>
      <c r="F27" s="60"/>
      <c r="I27" s="60"/>
      <c r="J27" s="60"/>
      <c r="K27" s="60"/>
      <c r="L27" s="60"/>
      <c r="M27" s="60"/>
      <c r="N27" s="60"/>
    </row>
    <row r="28" ht="24" customHeight="1">
      <c r="A28" s="60"/>
      <c r="B28" s="60"/>
      <c r="C28" s="60"/>
      <c r="D28" s="60"/>
      <c r="E28" s="60"/>
      <c r="F28" s="60"/>
      <c r="I28" s="60"/>
      <c r="J28" s="60"/>
      <c r="K28" s="60"/>
      <c r="L28" s="60"/>
      <c r="M28" s="60"/>
      <c r="N28" s="60"/>
    </row>
    <row r="29" ht="24" customHeight="1">
      <c r="A29" s="60"/>
      <c r="B29" s="60"/>
      <c r="C29" s="60"/>
      <c r="D29" s="60"/>
      <c r="E29" s="60"/>
      <c r="F29" s="60"/>
      <c r="I29" s="60"/>
      <c r="J29" s="60"/>
      <c r="K29" s="60"/>
      <c r="L29" s="60"/>
      <c r="M29" s="60"/>
      <c r="N29" s="60"/>
    </row>
    <row r="30" ht="24" customHeight="1">
      <c r="A30" s="60"/>
      <c r="B30" s="60"/>
      <c r="C30" s="60"/>
      <c r="D30" s="60"/>
      <c r="E30" s="60"/>
      <c r="F30" s="60"/>
      <c r="I30" s="60"/>
      <c r="J30" s="60"/>
      <c r="K30" s="60"/>
      <c r="L30" s="60"/>
      <c r="M30" s="60"/>
      <c r="N30" s="60"/>
    </row>
    <row r="31" ht="24" customHeight="1">
      <c r="A31" s="60"/>
      <c r="B31" s="60"/>
      <c r="C31" s="60"/>
      <c r="D31" s="60"/>
      <c r="E31" s="60"/>
      <c r="F31" s="60"/>
      <c r="I31" s="60"/>
      <c r="J31" s="60"/>
      <c r="K31" s="60"/>
      <c r="L31" s="60"/>
      <c r="M31" s="60"/>
      <c r="N31" s="60"/>
    </row>
    <row r="32" ht="24" customHeight="1">
      <c r="A32" s="60"/>
      <c r="B32" s="60"/>
      <c r="C32" s="60"/>
      <c r="D32" s="60"/>
      <c r="E32" s="60"/>
      <c r="F32" s="60"/>
      <c r="I32" s="60"/>
      <c r="J32" s="60"/>
      <c r="K32" s="60"/>
      <c r="L32" s="60"/>
      <c r="M32" s="60"/>
      <c r="N32" s="60"/>
    </row>
  </sheetData>
  <sheetProtection sheet="1" objects="1" scenarios="1" autoFilter="0" sort="0" selectLockedCells="0" selectUnlockedCells="0"/>
  <conditionalFormatting sqref="J7:J22">
    <cfRule type="containsText" dxfId="10" priority="1" operator="containsText" text="open"/>
    <cfRule type="containsText" dxfId="11" priority="2" operator="containsText" text="blocked"/>
  </conditionalFormatting>
  <dataValidations count="1">
    <dataValidation type="list" sqref="J7:J22">
      <formula1>"approved,open,blocked"</formula1>
    </dataValidation>
  </dataValidations>
  <pageMargins left="0.7" right="0.7" top="0.75" bottom="0.75" header="0.3" footer="0.3"/>
  <tableParts count="1">
    <tablePart ns1:id="R30d012bed9d140c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15" hidden="0" customWidth="1"/>
    <col min="2" max="2" width="28" hidden="0" customWidth="1"/>
    <col min="3" max="3" width="31" hidden="0" customWidth="1"/>
    <col min="4" max="4" width="32" hidden="0" customWidth="1"/>
    <col min="5" max="5" width="32" hidden="0" customWidth="1"/>
    <col min="6" max="6" width="15" hidden="0" customWidth="1"/>
    <col min="7" max="7" width="30" hidden="0" customWidth="1"/>
    <col min="8" max="8" width="16" hidden="0" customWidth="1"/>
    <col min="9" max="9" width="64" hidden="0" customWidth="1"/>
  </cols>
  <sheetData>
    <row r="1" ht="24" customHeight="1">
      <c r="A1" s="60"/>
      <c r="B1" s="60"/>
      <c r="C1" s="60"/>
      <c r="F1" s="60"/>
      <c r="G1" s="60"/>
      <c r="H1" s="60"/>
      <c r="I1" s="60"/>
    </row>
    <row r="2" ht="24" customHeight="1">
      <c r="A2" s="61" t="str">
        <v>Gemeinwesen und Bearbeitungsstand</v>
      </c>
      <c r="B2" s="60"/>
      <c r="C2" s="60"/>
      <c r="F2" s="60"/>
      <c r="G2" s="60"/>
      <c r="H2" s="60"/>
      <c r="I2" s="60"/>
    </row>
    <row r="3" ht="24" customHeight="1">
      <c r="A3" s="62"/>
      <c r="B3" s="62"/>
      <c r="C3" s="62"/>
      <c r="F3" s="62"/>
      <c r="G3" s="62"/>
      <c r="H3" s="62"/>
      <c r="I3" s="62"/>
    </row>
    <row r="4" ht="24" customHeight="1">
      <c r="A4" s="67" t="str">
        <v>Erfassungsstand und fachliche Freigabe sind getrennt. Leere Quellen sind noch zu erheben.</v>
      </c>
      <c r="B4" s="60"/>
      <c r="C4" s="60"/>
      <c r="F4" s="60"/>
      <c r="G4" s="60"/>
      <c r="H4" s="60"/>
      <c r="I4" s="60"/>
    </row>
    <row r="5" ht="24" customHeight="1">
      <c r="A5" s="60"/>
      <c r="B5" s="60"/>
      <c r="C5" s="60"/>
      <c r="F5" s="60"/>
      <c r="G5" s="60"/>
      <c r="H5" s="60"/>
      <c r="I5" s="60"/>
    </row>
    <row r="6" ht="42" customHeight="1">
      <c r="A6" s="68" t="str">
        <v>Code</v>
      </c>
      <c r="B6" s="68" t="str">
        <v>Deutsch</v>
      </c>
      <c r="C6" s="68" t="str">
        <v>Französisch</v>
      </c>
      <c r="D6" s="69" t="str">
        <v>Italienisch</v>
      </c>
      <c r="E6" s="69" t="str">
        <v>Rumantsch Grischun</v>
      </c>
      <c r="F6" s="68" t="str">
        <v>Übergeordnet</v>
      </c>
      <c r="G6" s="68" t="str">
        <v>Erfassungsstand</v>
      </c>
      <c r="H6" s="68" t="str">
        <v>Fachstatus</v>
      </c>
      <c r="I6" s="68" t="str">
        <v>Amtliche Feiertagsquelle</v>
      </c>
    </row>
    <row r="7" ht="38" customHeight="1">
      <c r="A7" s="71" t="str">
        <v>CH</v>
      </c>
      <c r="B7" s="76" t="str">
        <v>Bund</v>
      </c>
      <c r="C7" s="76" t="str">
        <v>Confédération</v>
      </c>
      <c r="D7" s="77" t="str"/>
      <c r="E7" s="77" t="str"/>
      <c r="F7" s="76"/>
      <c r="G7" s="76" t="str">
        <v>Referenzpilot</v>
      </c>
      <c r="H7" s="76" t="str">
        <v>approved</v>
      </c>
      <c r="I7" s="76" t="str">
        <v>https://www.fedlex.admin.ch/eli/cc/1994/1340_1340_1340/de</v>
      </c>
    </row>
    <row r="8" ht="38" customHeight="1">
      <c r="A8" s="74" t="str">
        <v>CH-ZH</v>
      </c>
      <c r="B8" s="78" t="str">
        <v>Zürich</v>
      </c>
      <c r="C8" s="78" t="str">
        <v>Zurich</v>
      </c>
      <c r="D8" s="79" t="str"/>
      <c r="E8" s="79" t="str"/>
      <c r="F8" s="78" t="str">
        <v>CH</v>
      </c>
      <c r="G8" s="78" t="str">
        <v>Nicht erhoben</v>
      </c>
      <c r="H8" s="78" t="str">
        <v>open</v>
      </c>
      <c r="I8" s="78" t="str">
        <v>Noch zu erheben</v>
      </c>
    </row>
    <row r="9" ht="38" customHeight="1">
      <c r="A9" s="71" t="str">
        <v>CH-BE</v>
      </c>
      <c r="B9" s="76" t="str">
        <v>Bern</v>
      </c>
      <c r="C9" s="76" t="str">
        <v>Berne</v>
      </c>
      <c r="D9" s="77" t="str"/>
      <c r="E9" s="77" t="str"/>
      <c r="F9" s="76" t="str">
        <v>CH</v>
      </c>
      <c r="G9" s="76" t="str">
        <v>Referenzpilot</v>
      </c>
      <c r="H9" s="76" t="str">
        <v>approved</v>
      </c>
      <c r="I9" s="76" t="str">
        <v>https://www.belex.sites.be.ch/app/de/texts_of_law/555.1</v>
      </c>
    </row>
    <row r="10" ht="38" customHeight="1">
      <c r="A10" s="74" t="str">
        <v>CH-LU</v>
      </c>
      <c r="B10" s="78" t="str">
        <v>Luzern</v>
      </c>
      <c r="C10" s="78" t="str">
        <v>Lucerne</v>
      </c>
      <c r="D10" s="79" t="str"/>
      <c r="E10" s="79" t="str"/>
      <c r="F10" s="78" t="str">
        <v>CH</v>
      </c>
      <c r="G10" s="78" t="str">
        <v>Nicht erhoben</v>
      </c>
      <c r="H10" s="78" t="str">
        <v>open</v>
      </c>
      <c r="I10" s="78" t="str">
        <v>Noch zu erheben</v>
      </c>
    </row>
    <row r="11" ht="38" customHeight="1">
      <c r="A11" s="71" t="str">
        <v>CH-UR</v>
      </c>
      <c r="B11" s="76" t="str">
        <v>Uri</v>
      </c>
      <c r="C11" s="76" t="str">
        <v>Uri</v>
      </c>
      <c r="D11" s="77" t="str"/>
      <c r="E11" s="77" t="str"/>
      <c r="F11" s="76" t="str">
        <v>CH</v>
      </c>
      <c r="G11" s="76" t="str">
        <v>Nicht erhoben</v>
      </c>
      <c r="H11" s="76" t="str">
        <v>open</v>
      </c>
      <c r="I11" s="76" t="str">
        <v>Noch zu erheben</v>
      </c>
    </row>
    <row r="12" ht="38" customHeight="1">
      <c r="A12" s="74" t="str">
        <v>CH-SZ</v>
      </c>
      <c r="B12" s="78" t="str">
        <v>Schwyz</v>
      </c>
      <c r="C12" s="78" t="str">
        <v>Schwytz</v>
      </c>
      <c r="D12" s="79" t="str"/>
      <c r="E12" s="79" t="str"/>
      <c r="F12" s="78" t="str">
        <v>CH</v>
      </c>
      <c r="G12" s="78" t="str">
        <v>Nicht erhoben</v>
      </c>
      <c r="H12" s="78" t="str">
        <v>open</v>
      </c>
      <c r="I12" s="78" t="str">
        <v>Noch zu erheben</v>
      </c>
    </row>
    <row r="13" ht="38" customHeight="1">
      <c r="A13" s="71" t="str">
        <v>CH-OW</v>
      </c>
      <c r="B13" s="76" t="str">
        <v>Obwalden</v>
      </c>
      <c r="C13" s="76" t="str">
        <v>Obwald</v>
      </c>
      <c r="D13" s="77" t="str"/>
      <c r="E13" s="77" t="str"/>
      <c r="F13" s="76" t="str">
        <v>CH</v>
      </c>
      <c r="G13" s="76" t="str">
        <v>Nicht erhoben</v>
      </c>
      <c r="H13" s="76" t="str">
        <v>open</v>
      </c>
      <c r="I13" s="76" t="str">
        <v>Noch zu erheben</v>
      </c>
    </row>
    <row r="14" ht="38" customHeight="1">
      <c r="A14" s="74" t="str">
        <v>CH-NW</v>
      </c>
      <c r="B14" s="78" t="str">
        <v>Nidwalden</v>
      </c>
      <c r="C14" s="78" t="str">
        <v>Nidwald</v>
      </c>
      <c r="D14" s="79" t="str"/>
      <c r="E14" s="79" t="str"/>
      <c r="F14" s="78" t="str">
        <v>CH</v>
      </c>
      <c r="G14" s="78" t="str">
        <v>Nicht erhoben</v>
      </c>
      <c r="H14" s="78" t="str">
        <v>open</v>
      </c>
      <c r="I14" s="78" t="str">
        <v>Noch zu erheben</v>
      </c>
    </row>
    <row r="15" ht="38" customHeight="1">
      <c r="A15" s="71" t="str">
        <v>CH-GL</v>
      </c>
      <c r="B15" s="76" t="str">
        <v>Glarus</v>
      </c>
      <c r="C15" s="76" t="str">
        <v>Glaris</v>
      </c>
      <c r="D15" s="77" t="str"/>
      <c r="E15" s="77" t="str"/>
      <c r="F15" s="76" t="str">
        <v>CH</v>
      </c>
      <c r="G15" s="76" t="str">
        <v>Nicht erhoben</v>
      </c>
      <c r="H15" s="76" t="str">
        <v>open</v>
      </c>
      <c r="I15" s="76" t="str">
        <v>Noch zu erheben</v>
      </c>
    </row>
    <row r="16" ht="38" customHeight="1">
      <c r="A16" s="74" t="str">
        <v>CH-ZG</v>
      </c>
      <c r="B16" s="78" t="str">
        <v>Zug</v>
      </c>
      <c r="C16" s="78" t="str">
        <v>Zoug</v>
      </c>
      <c r="D16" s="79" t="str"/>
      <c r="E16" s="79" t="str"/>
      <c r="F16" s="78" t="str">
        <v>CH</v>
      </c>
      <c r="G16" s="78" t="str">
        <v>Nicht erhoben</v>
      </c>
      <c r="H16" s="78" t="str">
        <v>open</v>
      </c>
      <c r="I16" s="78" t="str">
        <v>Noch zu erheben</v>
      </c>
    </row>
    <row r="17" ht="38" customHeight="1">
      <c r="A17" s="71" t="str">
        <v>CH-FR</v>
      </c>
      <c r="B17" s="76" t="str">
        <v>Freiburg</v>
      </c>
      <c r="C17" s="76" t="str">
        <v>Fribourg</v>
      </c>
      <c r="D17" s="77" t="str"/>
      <c r="E17" s="77" t="str"/>
      <c r="F17" s="76" t="str">
        <v>CH</v>
      </c>
      <c r="G17" s="76" t="str">
        <v>Nicht erhoben</v>
      </c>
      <c r="H17" s="76" t="str">
        <v>open</v>
      </c>
      <c r="I17" s="76" t="str">
        <v>Noch zu erheben</v>
      </c>
    </row>
    <row r="18" ht="38" customHeight="1">
      <c r="A18" s="74" t="str">
        <v>CH-SO</v>
      </c>
      <c r="B18" s="78" t="str">
        <v>Solothurn</v>
      </c>
      <c r="C18" s="78" t="str">
        <v>Soleure</v>
      </c>
      <c r="D18" s="79" t="str"/>
      <c r="E18" s="79" t="str"/>
      <c r="F18" s="78" t="str">
        <v>CH</v>
      </c>
      <c r="G18" s="78" t="str">
        <v>Nicht erhoben</v>
      </c>
      <c r="H18" s="78" t="str">
        <v>open</v>
      </c>
      <c r="I18" s="78" t="str">
        <v>Noch zu erheben</v>
      </c>
    </row>
    <row r="19" ht="38" customHeight="1">
      <c r="A19" s="71" t="str">
        <v>CH-BS</v>
      </c>
      <c r="B19" s="76" t="str">
        <v>Basel-Stadt</v>
      </c>
      <c r="C19" s="76" t="str">
        <v>Bâle-Ville</v>
      </c>
      <c r="D19" s="77" t="str"/>
      <c r="E19" s="77" t="str"/>
      <c r="F19" s="76" t="str">
        <v>CH</v>
      </c>
      <c r="G19" s="76" t="str">
        <v>Nicht erhoben</v>
      </c>
      <c r="H19" s="76" t="str">
        <v>open</v>
      </c>
      <c r="I19" s="76" t="str">
        <v>Noch zu erheben</v>
      </c>
    </row>
    <row r="20" ht="38" customHeight="1">
      <c r="A20" s="74" t="str">
        <v>CH-BL</v>
      </c>
      <c r="B20" s="78" t="str">
        <v>Basel-Landschaft</v>
      </c>
      <c r="C20" s="78" t="str">
        <v>Bâle-Campagne</v>
      </c>
      <c r="D20" s="79" t="str"/>
      <c r="E20" s="79" t="str"/>
      <c r="F20" s="78" t="str">
        <v>CH</v>
      </c>
      <c r="G20" s="78" t="str">
        <v>Nicht erhoben</v>
      </c>
      <c r="H20" s="78" t="str">
        <v>open</v>
      </c>
      <c r="I20" s="78" t="str">
        <v>Noch zu erheben</v>
      </c>
    </row>
    <row r="21" ht="38" customHeight="1">
      <c r="A21" s="71" t="str">
        <v>CH-SH</v>
      </c>
      <c r="B21" s="76" t="str">
        <v>Schaffhausen</v>
      </c>
      <c r="C21" s="76" t="str">
        <v>Schaffhouse</v>
      </c>
      <c r="D21" s="77" t="str"/>
      <c r="E21" s="77" t="str"/>
      <c r="F21" s="76" t="str">
        <v>CH</v>
      </c>
      <c r="G21" s="76" t="str">
        <v>Nicht erhoben</v>
      </c>
      <c r="H21" s="76" t="str">
        <v>open</v>
      </c>
      <c r="I21" s="76" t="str">
        <v>Noch zu erheben</v>
      </c>
    </row>
    <row r="22" ht="38" customHeight="1">
      <c r="A22" s="74" t="str">
        <v>CH-AR</v>
      </c>
      <c r="B22" s="78" t="str">
        <v>Appenzell Ausserrhoden</v>
      </c>
      <c r="C22" s="78" t="str">
        <v>Appenzell Rhodes-Extérieures</v>
      </c>
      <c r="D22" s="79" t="str"/>
      <c r="E22" s="79" t="str"/>
      <c r="F22" s="78" t="str">
        <v>CH</v>
      </c>
      <c r="G22" s="78" t="str">
        <v>Nicht erhoben</v>
      </c>
      <c r="H22" s="78" t="str">
        <v>open</v>
      </c>
      <c r="I22" s="78" t="str">
        <v>Noch zu erheben</v>
      </c>
    </row>
    <row r="23" ht="38" customHeight="1">
      <c r="A23" s="71" t="str">
        <v>CH-AI</v>
      </c>
      <c r="B23" s="76" t="str">
        <v>Appenzell Innerrhoden</v>
      </c>
      <c r="C23" s="76" t="str">
        <v>Appenzell Rhodes-Intérieures</v>
      </c>
      <c r="D23" s="77" t="str"/>
      <c r="E23" s="77" t="str"/>
      <c r="F23" s="76" t="str">
        <v>CH</v>
      </c>
      <c r="G23" s="76" t="str">
        <v>Nicht erhoben</v>
      </c>
      <c r="H23" s="76" t="str">
        <v>open</v>
      </c>
      <c r="I23" s="76" t="str">
        <v>Noch zu erheben</v>
      </c>
    </row>
    <row r="24" ht="38" customHeight="1">
      <c r="A24" s="74" t="str">
        <v>CH-SG</v>
      </c>
      <c r="B24" s="78" t="str">
        <v>St. Gallen</v>
      </c>
      <c r="C24" s="78" t="str">
        <v>Saint-Gall</v>
      </c>
      <c r="D24" s="79" t="str"/>
      <c r="E24" s="79" t="str"/>
      <c r="F24" s="78" t="str">
        <v>CH</v>
      </c>
      <c r="G24" s="78" t="str">
        <v>Nicht erhoben</v>
      </c>
      <c r="H24" s="78" t="str">
        <v>open</v>
      </c>
      <c r="I24" s="78" t="str">
        <v>Noch zu erheben</v>
      </c>
    </row>
    <row r="25" ht="38" customHeight="1">
      <c r="A25" s="71" t="str">
        <v>CH-GR</v>
      </c>
      <c r="B25" s="76" t="str">
        <v>Graubünden</v>
      </c>
      <c r="C25" s="76" t="str">
        <v>Grisons</v>
      </c>
      <c r="D25" s="77" t="str"/>
      <c r="E25" s="77" t="str"/>
      <c r="F25" s="76" t="str">
        <v>CH</v>
      </c>
      <c r="G25" s="76" t="str">
        <v>Nicht erhoben</v>
      </c>
      <c r="H25" s="76" t="str">
        <v>open</v>
      </c>
      <c r="I25" s="76" t="str">
        <v>Noch zu erheben</v>
      </c>
    </row>
    <row r="26" ht="38" customHeight="1">
      <c r="A26" s="74" t="str">
        <v>CH-AG</v>
      </c>
      <c r="B26" s="78" t="str">
        <v>Aargau</v>
      </c>
      <c r="C26" s="78" t="str">
        <v>Argovie</v>
      </c>
      <c r="D26" s="79" t="str"/>
      <c r="E26" s="79" t="str"/>
      <c r="F26" s="78" t="str">
        <v>CH</v>
      </c>
      <c r="G26" s="78" t="str">
        <v>Strukturpilot, Teilumfang</v>
      </c>
      <c r="H26" s="78" t="str">
        <v>open</v>
      </c>
      <c r="I26" s="78" t="str">
        <v>https://gesetzessammlungen.ag.ch/app/de/texts_of_law/961.200</v>
      </c>
    </row>
    <row r="27" ht="38" customHeight="1">
      <c r="A27" s="71" t="str">
        <v>CH-TG</v>
      </c>
      <c r="B27" s="76" t="str">
        <v>Thurgau</v>
      </c>
      <c r="C27" s="76" t="str">
        <v>Thurgovie</v>
      </c>
      <c r="D27" s="77" t="str"/>
      <c r="E27" s="77" t="str"/>
      <c r="F27" s="76" t="str">
        <v>CH</v>
      </c>
      <c r="G27" s="76" t="str">
        <v>Nicht erhoben</v>
      </c>
      <c r="H27" s="76" t="str">
        <v>open</v>
      </c>
      <c r="I27" s="76" t="str">
        <v>Noch zu erheben</v>
      </c>
    </row>
    <row r="28" ht="38" customHeight="1">
      <c r="A28" s="74" t="str">
        <v>CH-TI</v>
      </c>
      <c r="B28" s="78" t="str">
        <v>Tessin</v>
      </c>
      <c r="C28" s="78" t="str">
        <v>Tessin</v>
      </c>
      <c r="D28" s="79" t="str"/>
      <c r="E28" s="79" t="str"/>
      <c r="F28" s="78" t="str">
        <v>CH</v>
      </c>
      <c r="G28" s="78" t="str">
        <v>Nicht erhoben</v>
      </c>
      <c r="H28" s="78" t="str">
        <v>open</v>
      </c>
      <c r="I28" s="78" t="str">
        <v>Noch zu erheben</v>
      </c>
    </row>
    <row r="29" ht="38" customHeight="1">
      <c r="A29" s="71" t="str">
        <v>CH-VD</v>
      </c>
      <c r="B29" s="76" t="str">
        <v>Waadt</v>
      </c>
      <c r="C29" s="76" t="str">
        <v>Vaud</v>
      </c>
      <c r="D29" s="77" t="str"/>
      <c r="E29" s="77" t="str"/>
      <c r="F29" s="76" t="str">
        <v>CH</v>
      </c>
      <c r="G29" s="76" t="str">
        <v>Nicht erhoben</v>
      </c>
      <c r="H29" s="76" t="str">
        <v>open</v>
      </c>
      <c r="I29" s="76" t="str">
        <v>Noch zu erheben</v>
      </c>
    </row>
    <row r="30" ht="38" customHeight="1">
      <c r="A30" s="74" t="str">
        <v>CH-VS</v>
      </c>
      <c r="B30" s="78" t="str">
        <v>Wallis</v>
      </c>
      <c r="C30" s="78" t="str">
        <v>Valais</v>
      </c>
      <c r="D30" s="79" t="str"/>
      <c r="E30" s="79" t="str"/>
      <c r="F30" s="78" t="str">
        <v>CH</v>
      </c>
      <c r="G30" s="78" t="str">
        <v>Nicht erhoben</v>
      </c>
      <c r="H30" s="78" t="str">
        <v>open</v>
      </c>
      <c r="I30" s="78" t="str">
        <v>Noch zu erheben</v>
      </c>
    </row>
    <row r="31" ht="38" customHeight="1">
      <c r="A31" s="71" t="str">
        <v>CH-NE</v>
      </c>
      <c r="B31" s="76" t="str">
        <v>Neuenburg</v>
      </c>
      <c r="C31" s="76" t="str">
        <v>Neuchâtel</v>
      </c>
      <c r="D31" s="77" t="str"/>
      <c r="E31" s="77" t="str"/>
      <c r="F31" s="76" t="str">
        <v>CH</v>
      </c>
      <c r="G31" s="76" t="str">
        <v>Nicht erhoben</v>
      </c>
      <c r="H31" s="76" t="str">
        <v>open</v>
      </c>
      <c r="I31" s="76" t="str">
        <v>Noch zu erheben</v>
      </c>
    </row>
    <row r="32" ht="38" customHeight="1">
      <c r="A32" s="74" t="str">
        <v>CH-GE</v>
      </c>
      <c r="B32" s="78" t="str">
        <v>Genf</v>
      </c>
      <c r="C32" s="78" t="str">
        <v>Genève</v>
      </c>
      <c r="D32" s="79" t="str"/>
      <c r="E32" s="79" t="str"/>
      <c r="F32" s="78" t="str">
        <v>CH</v>
      </c>
      <c r="G32" s="78" t="str">
        <v>Nicht erhoben</v>
      </c>
      <c r="H32" s="78" t="str">
        <v>open</v>
      </c>
      <c r="I32" s="78" t="str">
        <v>Noch zu erheben</v>
      </c>
    </row>
    <row r="33" ht="38" customHeight="1">
      <c r="A33" s="71" t="str">
        <v>CH-JU</v>
      </c>
      <c r="B33" s="76" t="str">
        <v>Jura</v>
      </c>
      <c r="C33" s="76" t="str">
        <v>Jura</v>
      </c>
      <c r="D33" s="77" t="str"/>
      <c r="E33" s="77" t="str"/>
      <c r="F33" s="76" t="str">
        <v>CH</v>
      </c>
      <c r="G33" s="76" t="str">
        <v>Nicht erhoben</v>
      </c>
      <c r="H33" s="76" t="str">
        <v>open</v>
      </c>
      <c r="I33" s="76" t="str">
        <v>Noch zu erheben</v>
      </c>
    </row>
  </sheetData>
  <sheetProtection sheet="1" objects="1" scenarios="1" autoFilter="0" sort="0" selectLockedCells="0" selectUnlockedCells="0"/>
  <conditionalFormatting sqref="H7:H33">
    <cfRule type="containsText" dxfId="0" priority="1" operator="containsText" text="open"/>
    <cfRule type="containsText" dxfId="1" priority="2" operator="containsText" text="blocked"/>
  </conditionalFormatting>
  <conditionalFormatting sqref="D7:D33">
    <cfRule type="containsBlanks" dxfId="12" priority="3"/>
  </conditionalFormatting>
  <conditionalFormatting sqref="E7:E33">
    <cfRule type="containsBlanks" dxfId="13" priority="4"/>
  </conditionalFormatting>
  <dataValidations count="1">
    <dataValidation type="list" sqref="H7:H33">
      <formula1>"approved,open,blocked"</formula1>
    </dataValidation>
  </dataValidations>
  <pageMargins left="0.7" right="0.7" top="0.75" bottom="0.75" header="0.3" footer="0.3"/>
  <tableParts count="1">
    <tablePart ns1:id="R31792b8a397e425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31" hidden="0" customWidth="1"/>
    <col min="4" max="4" width="35" hidden="0" customWidth="1"/>
    <col min="5" max="5" width="32" hidden="0" customWidth="1"/>
    <col min="6" max="6" width="32" hidden="0" customWidth="1"/>
    <col min="7" max="7" width="32" hidden="0" customWidth="1"/>
    <col min="8" max="8" width="27" hidden="0" customWidth="1"/>
    <col min="9" max="9" width="27" hidden="0" customWidth="1"/>
    <col min="10" max="10" width="10" hidden="0" customWidth="1"/>
    <col min="11" max="11" width="10" hidden="0" customWidth="1"/>
    <col min="12" max="12" width="13" hidden="0" customWidth="1"/>
    <col min="13" max="13" width="14" hidden="0" customWidth="1"/>
    <col min="14" max="14" width="13" hidden="0" customWidth="1"/>
    <col min="15" max="15" width="16" hidden="0" customWidth="1"/>
    <col min="16" max="16" width="16" hidden="0" customWidth="1"/>
    <col min="17" max="17" width="12" hidden="0" customWidth="1"/>
    <col min="18" max="18" width="15" hidden="0" customWidth="1"/>
    <col min="19" max="19" width="41" hidden="0" customWidth="1"/>
    <col min="20" max="20" width="13" hidden="0" customWidth="1"/>
    <col min="21" max="21" width="24" hidden="0" customWidth="1"/>
    <col min="22" max="22" width="24" hidden="0" customWidth="1"/>
    <col min="23" max="23" width="17" hidden="0" customWidth="1"/>
    <col min="24" max="24" width="24" hidden="0" customWidth="1"/>
    <col min="25" max="25" width="42" hidden="0" customWidth="1"/>
    <col min="26" max="26" width="32" hidden="0" customWidth="1"/>
    <col min="27" max="27" width="22" hidden="0" customWidth="1"/>
    <col min="28" max="28" width="18" hidden="0" customWidth="1"/>
  </cols>
  <sheetData>
    <row r="1" ht="24" customHeight="1">
      <c r="A1" s="60"/>
      <c r="B1" s="60"/>
      <c r="C1" s="60"/>
      <c r="D1" s="60"/>
      <c r="E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4" customHeight="1">
      <c r="A2" s="61" t="str">
        <v>Feiertagsregeln und Berechnung</v>
      </c>
      <c r="B2" s="60"/>
      <c r="C2" s="60"/>
      <c r="D2" s="60"/>
      <c r="E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4" customHeight="1">
      <c r="A3" s="62"/>
      <c r="B3" s="62"/>
      <c r="C3" s="62"/>
      <c r="D3" s="62"/>
      <c r="E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4" customHeight="1">
      <c r="A4" s="67" t="str">
        <v>Rechtskategorie und Geltungsbereich sind Pflicht. Datum und Gültigkeit rechts werden aus dem Kalenderjahr berechnet.</v>
      </c>
      <c r="B4" s="60"/>
      <c r="C4" s="60"/>
      <c r="D4" s="60"/>
      <c r="E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4" customHeight="1">
      <c r="A5" s="60"/>
      <c r="B5" s="60"/>
      <c r="C5" s="60"/>
      <c r="D5" s="60"/>
      <c r="E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42" customHeight="1">
      <c r="A6" s="68" t="str">
        <v>Regel-ID</v>
      </c>
      <c r="B6" s="68" t="str">
        <v>Gemeinwesen</v>
      </c>
      <c r="C6" s="68" t="str">
        <v>Geltungs-ID</v>
      </c>
      <c r="D6" s="68" t="str">
        <v>Deutsch</v>
      </c>
      <c r="E6" s="68" t="str">
        <v>Französisch</v>
      </c>
      <c r="F6" s="69" t="str">
        <v>Italienisch</v>
      </c>
      <c r="G6" s="69" t="str">
        <v>Rumantsch Grischun</v>
      </c>
      <c r="H6" s="68" t="str">
        <v>Rechtskategorie</v>
      </c>
      <c r="I6" s="68" t="str">
        <v>Regeltyp</v>
      </c>
      <c r="J6" s="68" t="str">
        <v>Monat</v>
      </c>
      <c r="K6" s="68" t="str">
        <v>Tag</v>
      </c>
      <c r="L6" s="68" t="str">
        <v>Osterversatz</v>
      </c>
      <c r="M6" s="68" t="str">
        <v>ISO-Wochentag</v>
      </c>
      <c r="N6" s="68" t="str">
        <v>Vorkommen</v>
      </c>
      <c r="O6" s="68" t="str">
        <v>Gültig ab</v>
      </c>
      <c r="P6" s="68" t="str">
        <v>Gültig bis</v>
      </c>
      <c r="Q6" s="68" t="str">
        <v>Priorität</v>
      </c>
      <c r="R6" s="68" t="str">
        <v>Fachstatus</v>
      </c>
      <c r="S6" s="68" t="str">
        <v>Freigabebasis</v>
      </c>
      <c r="T6" s="68" t="str">
        <v>Wirkung</v>
      </c>
      <c r="U6" s="68" t="str">
        <v>Zielregel</v>
      </c>
      <c r="V6" s="68" t="str">
        <v>Exportklasse</v>
      </c>
      <c r="W6" s="68" t="str">
        <v>Rohdatum</v>
      </c>
      <c r="X6" s="68" t="str">
        <v>Datum im Geltungszeitraum</v>
      </c>
      <c r="Y6" s="68" t="str">
        <v>Quellen-ID</v>
      </c>
      <c r="Z6" s="68" t="str">
        <v>Fundstelle</v>
      </c>
      <c r="AA6" s="80" t="str">
        <v>Osterrechnung</v>
      </c>
      <c r="AB6" s="80" t="str">
        <v>Wert</v>
      </c>
    </row>
    <row r="7" ht="38" customHeight="1">
      <c r="A7" s="71" t="str">
        <v>CH-CAL-HOL-NATIONAL-DAY</v>
      </c>
      <c r="B7" s="71" t="str">
        <v>CH</v>
      </c>
      <c r="C7" s="71" t="str">
        <v>CH-ALL</v>
      </c>
      <c r="D7" s="71" t="str">
        <v>Bundesfeiertag</v>
      </c>
      <c r="E7" s="71" t="str">
        <v>Fête nationale</v>
      </c>
      <c r="F7" s="77" t="str"/>
      <c r="G7" s="77" t="str"/>
      <c r="H7" s="71" t="str">
        <v>publicHoliday</v>
      </c>
      <c r="I7" s="71" t="str">
        <v>fixedMonthDay</v>
      </c>
      <c r="J7" s="81" t="n">
        <v>8</v>
      </c>
      <c r="K7" s="81" t="n">
        <v>1</v>
      </c>
      <c r="L7" s="71"/>
      <c r="M7" s="71"/>
      <c r="N7" s="71"/>
      <c r="O7" s="70" t="n">
        <v>34516</v>
      </c>
      <c r="P7" s="70"/>
      <c r="Q7" s="71" t="n">
        <v>100</v>
      </c>
      <c r="R7" s="71" t="str">
        <v>approved</v>
      </c>
      <c r="S7" s="71" t="str">
        <v>2026-08-31-mvp-03-approved.1</v>
      </c>
      <c r="T7" s="71" t="str">
        <v>add</v>
      </c>
      <c r="U7" s="71"/>
      <c r="V7" s="71" t="str">
        <v>referenceOnly</v>
      </c>
      <c r="W7" s="70" t="n">
        <f>IF(AND(ISNUMBER('Übersicht'!$B$4),'Übersicht'!$B$4=INT('Übersicht'!$B$4),'Übersicht'!$B$4&gt;=2026,'Übersicht'!$B$4&lt;=2028),IF(I7="fixedMonthDay",IF(AND(ISNUMBER(J7),ISNUMBER(K7),J7=INT(J7),K7=INT(K7),MONTH(DATE('Übersicht'!$B$4,J7,K7))=J7,DAY(DATE('Übersicht'!$B$4,J7,K7))=K7),DATE('Übersicht'!$B$4,J7,K7),NA()),IF(I7="easterOffsetDays",IF(AND(ISNUMBER(L7),L7=INT(L7),ABS(L7)&lt;=366),$AB$23+L7,NA()),IF(I7="nthWeekdayOfMonth",IF(AND(ISNUMBER(J7),ISNUMBER(M7),ISNUMBER(N7),J7=INT(J7),M7=INT(M7),N7=INT(N7),J7&gt;=1,J7&lt;=12,M7&gt;=1,M7&lt;=7,N7&gt;=1,N7&lt;=5,MONTH(DATE('Übersicht'!$B$4,J7,1)+MOD(M7-WEEKDAY(DATE('Übersicht'!$B$4,J7,1),2),7)+7*(N7-1))=J7),DATE('Übersicht'!$B$4,J7,1)+MOD(M7-WEEKDAY(DATE('Übersicht'!$B$4,J7,1),2),7)+7*(N7-1),NA()),NA()))),NA())</f>
        <v>46600</v>
      </c>
      <c r="X7" s="70" t="n">
        <f>IF(AND(W7&gt;=O7,OR(P7="",W7&lt;=P7)),W7,"Ausserhalb Geltung")</f>
        <v>46600</v>
      </c>
      <c r="Y7" s="71" t="str">
        <v>SRC-BUNDESFEIERTAG-19940701</v>
      </c>
      <c r="Z7" s="71" t="str">
        <v>Art. 1</v>
      </c>
      <c r="AA7" s="82" t="str">
        <v>Jahr</v>
      </c>
      <c r="AB7" s="82" t="n">
        <f>'Übersicht'!$B$4</f>
        <v>2027</v>
      </c>
    </row>
    <row r="8" ht="38" customHeight="1">
      <c r="A8" s="74" t="str">
        <v>BE-CAL-HOL-NEW-YEAR</v>
      </c>
      <c r="B8" s="74" t="str">
        <v>CH-BE</v>
      </c>
      <c r="C8" s="74" t="str">
        <v>BE-ALL</v>
      </c>
      <c r="D8" s="74" t="str">
        <v>Neujahr</v>
      </c>
      <c r="E8" s="74" t="str">
        <v>Nouvel An</v>
      </c>
      <c r="F8" s="79" t="str"/>
      <c r="G8" s="79" t="str"/>
      <c r="H8" s="74" t="str">
        <v>publicHoliday</v>
      </c>
      <c r="I8" s="74" t="str">
        <v>fixedMonthDay</v>
      </c>
      <c r="J8" s="83" t="n">
        <v>1</v>
      </c>
      <c r="K8" s="83" t="n">
        <v>1</v>
      </c>
      <c r="L8" s="74"/>
      <c r="M8" s="74"/>
      <c r="N8" s="74"/>
      <c r="O8" s="73" t="n">
        <v>46023</v>
      </c>
      <c r="P8" s="73"/>
      <c r="Q8" s="74" t="n">
        <v>100</v>
      </c>
      <c r="R8" s="74" t="str">
        <v>approved</v>
      </c>
      <c r="S8" s="74" t="str">
        <v>2026-08-31-mvp-03-approved.1</v>
      </c>
      <c r="T8" s="74" t="str">
        <v>add</v>
      </c>
      <c r="U8" s="74"/>
      <c r="V8" s="74" t="str">
        <v>referenceOnly</v>
      </c>
      <c r="W8" s="73" t="n">
        <f>IF(AND(ISNUMBER('Übersicht'!$B$4),'Übersicht'!$B$4=INT('Übersicht'!$B$4),'Übersicht'!$B$4&gt;=2026,'Übersicht'!$B$4&lt;=2028),IF(I8="fixedMonthDay",IF(AND(ISNUMBER(J8),ISNUMBER(K8),J8=INT(J8),K8=INT(K8),MONTH(DATE('Übersicht'!$B$4,J8,K8))=J8,DAY(DATE('Übersicht'!$B$4,J8,K8))=K8),DATE('Übersicht'!$B$4,J8,K8),NA()),IF(I8="easterOffsetDays",IF(AND(ISNUMBER(L8),L8=INT(L8),ABS(L8)&lt;=366),$AB$23+L8,NA()),IF(I8="nthWeekdayOfMonth",IF(AND(ISNUMBER(J8),ISNUMBER(M8),ISNUMBER(N8),J8=INT(J8),M8=INT(M8),N8=INT(N8),J8&gt;=1,J8&lt;=12,M8&gt;=1,M8&lt;=7,N8&gt;=1,N8&lt;=5,MONTH(DATE('Übersicht'!$B$4,J8,1)+MOD(M8-WEEKDAY(DATE('Übersicht'!$B$4,J8,1),2),7)+7*(N8-1))=J8),DATE('Übersicht'!$B$4,J8,1)+MOD(M8-WEEKDAY(DATE('Übersicht'!$B$4,J8,1),2),7)+7*(N8-1),NA()),NA()))),NA())</f>
        <v>46388</v>
      </c>
      <c r="X8" s="73" t="n">
        <f>IF(AND(W8&gt;=O8,OR(P8="",W8&lt;=P8)),W8,"Ausserhalb Geltung")</f>
        <v>46388</v>
      </c>
      <c r="Y8" s="74" t="str">
        <v>SRC-FRG-BE-20210401</v>
      </c>
      <c r="Z8" s="74" t="str">
        <v>Art. 2 Abs. 1 Bst. c</v>
      </c>
      <c r="AA8" s="82" t="str">
        <v>a</v>
      </c>
      <c r="AB8" s="82" t="n">
        <f>MOD(AB7,19)</f>
        <v>13</v>
      </c>
    </row>
    <row r="9" ht="38" customHeight="1">
      <c r="A9" s="71" t="str">
        <v>BE-CAL-HOL-BERCHTOLD-DAY</v>
      </c>
      <c r="B9" s="71" t="str">
        <v>CH-BE</v>
      </c>
      <c r="C9" s="71" t="str">
        <v>BE-ALL</v>
      </c>
      <c r="D9" s="71" t="str">
        <v>Berchtoldstag</v>
      </c>
      <c r="E9" s="71" t="str">
        <v>Saint-Berchtold</v>
      </c>
      <c r="F9" s="77" t="str"/>
      <c r="G9" s="77" t="str"/>
      <c r="H9" s="71" t="str">
        <v>publicHoliday</v>
      </c>
      <c r="I9" s="71" t="str">
        <v>fixedMonthDay</v>
      </c>
      <c r="J9" s="81" t="n">
        <v>1</v>
      </c>
      <c r="K9" s="81" t="n">
        <v>2</v>
      </c>
      <c r="L9" s="71"/>
      <c r="M9" s="71"/>
      <c r="N9" s="71"/>
      <c r="O9" s="70" t="n">
        <v>46023</v>
      </c>
      <c r="P9" s="70"/>
      <c r="Q9" s="71" t="n">
        <v>100</v>
      </c>
      <c r="R9" s="71" t="str">
        <v>approved</v>
      </c>
      <c r="S9" s="71" t="str">
        <v>2026-08-31-mvp-03-approved.1</v>
      </c>
      <c r="T9" s="71" t="str">
        <v>add</v>
      </c>
      <c r="U9" s="71"/>
      <c r="V9" s="71" t="str">
        <v>referenceOnly</v>
      </c>
      <c r="W9" s="70" t="n">
        <f>IF(AND(ISNUMBER('Übersicht'!$B$4),'Übersicht'!$B$4=INT('Übersicht'!$B$4),'Übersicht'!$B$4&gt;=2026,'Übersicht'!$B$4&lt;=2028),IF(I9="fixedMonthDay",IF(AND(ISNUMBER(J9),ISNUMBER(K9),J9=INT(J9),K9=INT(K9),MONTH(DATE('Übersicht'!$B$4,J9,K9))=J9,DAY(DATE('Übersicht'!$B$4,J9,K9))=K9),DATE('Übersicht'!$B$4,J9,K9),NA()),IF(I9="easterOffsetDays",IF(AND(ISNUMBER(L9),L9=INT(L9),ABS(L9)&lt;=366),$AB$23+L9,NA()),IF(I9="nthWeekdayOfMonth",IF(AND(ISNUMBER(J9),ISNUMBER(M9),ISNUMBER(N9),J9=INT(J9),M9=INT(M9),N9=INT(N9),J9&gt;=1,J9&lt;=12,M9&gt;=1,M9&lt;=7,N9&gt;=1,N9&lt;=5,MONTH(DATE('Übersicht'!$B$4,J9,1)+MOD(M9-WEEKDAY(DATE('Übersicht'!$B$4,J9,1),2),7)+7*(N9-1))=J9),DATE('Übersicht'!$B$4,J9,1)+MOD(M9-WEEKDAY(DATE('Übersicht'!$B$4,J9,1),2),7)+7*(N9-1),NA()),NA()))),NA())</f>
        <v>46389</v>
      </c>
      <c r="X9" s="70" t="n">
        <f>IF(AND(W9&gt;=O9,OR(P9="",W9&lt;=P9)),W9,"Ausserhalb Geltung")</f>
        <v>46389</v>
      </c>
      <c r="Y9" s="71" t="str">
        <v>SRC-FRG-BE-20210401</v>
      </c>
      <c r="Z9" s="71" t="str">
        <v>Art. 2 Abs. 1 Bst. c</v>
      </c>
      <c r="AA9" s="82" t="str">
        <v>b</v>
      </c>
      <c r="AB9" s="82" t="n">
        <f>INT(AB7/100)</f>
        <v>20</v>
      </c>
    </row>
    <row r="10" ht="38" customHeight="1">
      <c r="A10" s="74" t="str">
        <v>BE-CAL-HOL-GOOD-FRIDAY</v>
      </c>
      <c r="B10" s="74" t="str">
        <v>CH-BE</v>
      </c>
      <c r="C10" s="74" t="str">
        <v>BE-ALL</v>
      </c>
      <c r="D10" s="74" t="str">
        <v>Karfreitag</v>
      </c>
      <c r="E10" s="74" t="str">
        <v>Vendredi saint</v>
      </c>
      <c r="F10" s="79" t="str"/>
      <c r="G10" s="79" t="str"/>
      <c r="H10" s="74" t="str">
        <v>publicHoliday</v>
      </c>
      <c r="I10" s="74" t="str">
        <v>easterOffsetDays</v>
      </c>
      <c r="J10" s="83"/>
      <c r="K10" s="83"/>
      <c r="L10" s="74" t="n">
        <v>-2</v>
      </c>
      <c r="M10" s="74"/>
      <c r="N10" s="74"/>
      <c r="O10" s="73" t="n">
        <v>46023</v>
      </c>
      <c r="P10" s="73"/>
      <c r="Q10" s="74" t="n">
        <v>100</v>
      </c>
      <c r="R10" s="74" t="str">
        <v>approved</v>
      </c>
      <c r="S10" s="74" t="str">
        <v>2026-08-31-mvp-03-approved.1</v>
      </c>
      <c r="T10" s="74" t="str">
        <v>add</v>
      </c>
      <c r="U10" s="74"/>
      <c r="V10" s="74" t="str">
        <v>referenceOnly</v>
      </c>
      <c r="W10" s="73" t="n">
        <f>IF(AND(ISNUMBER('Übersicht'!$B$4),'Übersicht'!$B$4=INT('Übersicht'!$B$4),'Übersicht'!$B$4&gt;=2026,'Übersicht'!$B$4&lt;=2028),IF(I10="fixedMonthDay",IF(AND(ISNUMBER(J10),ISNUMBER(K10),J10=INT(J10),K10=INT(K10),MONTH(DATE('Übersicht'!$B$4,J10,K10))=J10,DAY(DATE('Übersicht'!$B$4,J10,K10))=K10),DATE('Übersicht'!$B$4,J10,K10),NA()),IF(I10="easterOffsetDays",IF(AND(ISNUMBER(L10),L10=INT(L10),ABS(L10)&lt;=366),$AB$23+L10,NA()),IF(I10="nthWeekdayOfMonth",IF(AND(ISNUMBER(J10),ISNUMBER(M10),ISNUMBER(N10),J10=INT(J10),M10=INT(M10),N10=INT(N10),J10&gt;=1,J10&lt;=12,M10&gt;=1,M10&lt;=7,N10&gt;=1,N10&lt;=5,MONTH(DATE('Übersicht'!$B$4,J10,1)+MOD(M10-WEEKDAY(DATE('Übersicht'!$B$4,J10,1),2),7)+7*(N10-1))=J10),DATE('Übersicht'!$B$4,J10,1)+MOD(M10-WEEKDAY(DATE('Übersicht'!$B$4,J10,1),2),7)+7*(N10-1),NA()),NA()))),NA())</f>
        <v>46472</v>
      </c>
      <c r="X10" s="73" t="n">
        <f>IF(AND(W10&gt;=O10,OR(P10="",W10&lt;=P10)),W10,"Ausserhalb Geltung")</f>
        <v>46472</v>
      </c>
      <c r="Y10" s="74" t="str">
        <v>SRC-FRG-BE-20210401</v>
      </c>
      <c r="Z10" s="74" t="str">
        <v>Art. 2 Abs. 1 Bst. b</v>
      </c>
      <c r="AA10" s="82" t="str">
        <v>c</v>
      </c>
      <c r="AB10" s="82" t="n">
        <f>MOD(AB7,100)</f>
        <v>27</v>
      </c>
    </row>
    <row r="11" ht="38" customHeight="1">
      <c r="A11" s="71" t="str">
        <v>BE-CAL-HOL-EASTER</v>
      </c>
      <c r="B11" s="71" t="str">
        <v>CH-BE</v>
      </c>
      <c r="C11" s="71" t="str">
        <v>BE-ALL</v>
      </c>
      <c r="D11" s="71" t="str">
        <v>Ostern</v>
      </c>
      <c r="E11" s="71" t="str">
        <v>Pâques</v>
      </c>
      <c r="F11" s="77" t="str"/>
      <c r="G11" s="77" t="str"/>
      <c r="H11" s="71" t="str">
        <v>publicHoliday</v>
      </c>
      <c r="I11" s="71" t="str">
        <v>easterOffsetDays</v>
      </c>
      <c r="J11" s="81"/>
      <c r="K11" s="81"/>
      <c r="L11" s="71" t="n">
        <v>0</v>
      </c>
      <c r="M11" s="71"/>
      <c r="N11" s="71"/>
      <c r="O11" s="70" t="n">
        <v>46023</v>
      </c>
      <c r="P11" s="70"/>
      <c r="Q11" s="71" t="n">
        <v>100</v>
      </c>
      <c r="R11" s="71" t="str">
        <v>approved</v>
      </c>
      <c r="S11" s="71" t="str">
        <v>2026-08-31-mvp-03-approved.1</v>
      </c>
      <c r="T11" s="71" t="str">
        <v>add</v>
      </c>
      <c r="U11" s="71"/>
      <c r="V11" s="71" t="str">
        <v>referenceOnly</v>
      </c>
      <c r="W11" s="70" t="n">
        <f>IF(AND(ISNUMBER('Übersicht'!$B$4),'Übersicht'!$B$4=INT('Übersicht'!$B$4),'Übersicht'!$B$4&gt;=2026,'Übersicht'!$B$4&lt;=2028),IF(I11="fixedMonthDay",IF(AND(ISNUMBER(J11),ISNUMBER(K11),J11=INT(J11),K11=INT(K11),MONTH(DATE('Übersicht'!$B$4,J11,K11))=J11,DAY(DATE('Übersicht'!$B$4,J11,K11))=K11),DATE('Übersicht'!$B$4,J11,K11),NA()),IF(I11="easterOffsetDays",IF(AND(ISNUMBER(L11),L11=INT(L11),ABS(L11)&lt;=366),$AB$23+L11,NA()),IF(I11="nthWeekdayOfMonth",IF(AND(ISNUMBER(J11),ISNUMBER(M11),ISNUMBER(N11),J11=INT(J11),M11=INT(M11),N11=INT(N11),J11&gt;=1,J11&lt;=12,M11&gt;=1,M11&lt;=7,N11&gt;=1,N11&lt;=5,MONTH(DATE('Übersicht'!$B$4,J11,1)+MOD(M11-WEEKDAY(DATE('Übersicht'!$B$4,J11,1),2),7)+7*(N11-1))=J11),DATE('Übersicht'!$B$4,J11,1)+MOD(M11-WEEKDAY(DATE('Übersicht'!$B$4,J11,1),2),7)+7*(N11-1),NA()),NA()))),NA())</f>
        <v>46474</v>
      </c>
      <c r="X11" s="70" t="n">
        <f>IF(AND(W11&gt;=O11,OR(P11="",W11&lt;=P11)),W11,"Ausserhalb Geltung")</f>
        <v>46474</v>
      </c>
      <c r="Y11" s="71" t="str">
        <v>SRC-FRG-BE-20210401</v>
      </c>
      <c r="Z11" s="71" t="str">
        <v>Art. 2 Abs. 1 Bst. b</v>
      </c>
      <c r="AA11" s="82" t="str">
        <v>d</v>
      </c>
      <c r="AB11" s="82" t="n">
        <f>INT(AB9/4)</f>
        <v>5</v>
      </c>
    </row>
    <row r="12" ht="38" customHeight="1">
      <c r="A12" s="74" t="str">
        <v>BE-CAL-HOL-EASTER-MONDAY</v>
      </c>
      <c r="B12" s="74" t="str">
        <v>CH-BE</v>
      </c>
      <c r="C12" s="74" t="str">
        <v>BE-ALL</v>
      </c>
      <c r="D12" s="74" t="str">
        <v>Ostermontag</v>
      </c>
      <c r="E12" s="74" t="str">
        <v>Lundi de Pâques</v>
      </c>
      <c r="F12" s="79" t="str"/>
      <c r="G12" s="79" t="str"/>
      <c r="H12" s="74" t="str">
        <v>publicHoliday</v>
      </c>
      <c r="I12" s="74" t="str">
        <v>easterOffsetDays</v>
      </c>
      <c r="J12" s="83"/>
      <c r="K12" s="83"/>
      <c r="L12" s="74" t="n">
        <v>1</v>
      </c>
      <c r="M12" s="74"/>
      <c r="N12" s="74"/>
      <c r="O12" s="73" t="n">
        <v>46023</v>
      </c>
      <c r="P12" s="73"/>
      <c r="Q12" s="74" t="n">
        <v>100</v>
      </c>
      <c r="R12" s="74" t="str">
        <v>approved</v>
      </c>
      <c r="S12" s="74" t="str">
        <v>2026-08-31-mvp-03-approved.1</v>
      </c>
      <c r="T12" s="74" t="str">
        <v>add</v>
      </c>
      <c r="U12" s="74"/>
      <c r="V12" s="74" t="str">
        <v>referenceOnly</v>
      </c>
      <c r="W12" s="73" t="n">
        <f>IF(AND(ISNUMBER('Übersicht'!$B$4),'Übersicht'!$B$4=INT('Übersicht'!$B$4),'Übersicht'!$B$4&gt;=2026,'Übersicht'!$B$4&lt;=2028),IF(I12="fixedMonthDay",IF(AND(ISNUMBER(J12),ISNUMBER(K12),J12=INT(J12),K12=INT(K12),MONTH(DATE('Übersicht'!$B$4,J12,K12))=J12,DAY(DATE('Übersicht'!$B$4,J12,K12))=K12),DATE('Übersicht'!$B$4,J12,K12),NA()),IF(I12="easterOffsetDays",IF(AND(ISNUMBER(L12),L12=INT(L12),ABS(L12)&lt;=366),$AB$23+L12,NA()),IF(I12="nthWeekdayOfMonth",IF(AND(ISNUMBER(J12),ISNUMBER(M12),ISNUMBER(N12),J12=INT(J12),M12=INT(M12),N12=INT(N12),J12&gt;=1,J12&lt;=12,M12&gt;=1,M12&lt;=7,N12&gt;=1,N12&lt;=5,MONTH(DATE('Übersicht'!$B$4,J12,1)+MOD(M12-WEEKDAY(DATE('Übersicht'!$B$4,J12,1),2),7)+7*(N12-1))=J12),DATE('Übersicht'!$B$4,J12,1)+MOD(M12-WEEKDAY(DATE('Übersicht'!$B$4,J12,1),2),7)+7*(N12-1),NA()),NA()))),NA())</f>
        <v>46475</v>
      </c>
      <c r="X12" s="73" t="n">
        <f>IF(AND(W12&gt;=O12,OR(P12="",W12&lt;=P12)),W12,"Ausserhalb Geltung")</f>
        <v>46475</v>
      </c>
      <c r="Y12" s="74" t="str">
        <v>SRC-FRG-BE-20210401</v>
      </c>
      <c r="Z12" s="74" t="str">
        <v>Art. 2 Abs. 1 Bst. c</v>
      </c>
      <c r="AA12" s="82" t="str">
        <v>e</v>
      </c>
      <c r="AB12" s="82" t="n">
        <f>MOD(AB9,4)</f>
        <v>0</v>
      </c>
    </row>
    <row r="13" ht="38" customHeight="1">
      <c r="A13" s="71" t="str">
        <v>BE-CAL-HOL-ASCENSION</v>
      </c>
      <c r="B13" s="71" t="str">
        <v>CH-BE</v>
      </c>
      <c r="C13" s="71" t="str">
        <v>BE-ALL</v>
      </c>
      <c r="D13" s="71" t="str">
        <v>Auffahrt</v>
      </c>
      <c r="E13" s="71" t="str">
        <v>Ascension</v>
      </c>
      <c r="F13" s="77" t="str"/>
      <c r="G13" s="77" t="str"/>
      <c r="H13" s="71" t="str">
        <v>publicHoliday</v>
      </c>
      <c r="I13" s="71" t="str">
        <v>easterOffsetDays</v>
      </c>
      <c r="J13" s="81"/>
      <c r="K13" s="81"/>
      <c r="L13" s="71" t="n">
        <v>39</v>
      </c>
      <c r="M13" s="71"/>
      <c r="N13" s="71"/>
      <c r="O13" s="70" t="n">
        <v>46023</v>
      </c>
      <c r="P13" s="70"/>
      <c r="Q13" s="71" t="n">
        <v>100</v>
      </c>
      <c r="R13" s="71" t="str">
        <v>approved</v>
      </c>
      <c r="S13" s="71" t="str">
        <v>2026-08-31-mvp-03-approved.1</v>
      </c>
      <c r="T13" s="71" t="str">
        <v>add</v>
      </c>
      <c r="U13" s="71"/>
      <c r="V13" s="71" t="str">
        <v>referenceOnly</v>
      </c>
      <c r="W13" s="70" t="n">
        <f>IF(AND(ISNUMBER('Übersicht'!$B$4),'Übersicht'!$B$4=INT('Übersicht'!$B$4),'Übersicht'!$B$4&gt;=2026,'Übersicht'!$B$4&lt;=2028),IF(I13="fixedMonthDay",IF(AND(ISNUMBER(J13),ISNUMBER(K13),J13=INT(J13),K13=INT(K13),MONTH(DATE('Übersicht'!$B$4,J13,K13))=J13,DAY(DATE('Übersicht'!$B$4,J13,K13))=K13),DATE('Übersicht'!$B$4,J13,K13),NA()),IF(I13="easterOffsetDays",IF(AND(ISNUMBER(L13),L13=INT(L13),ABS(L13)&lt;=366),$AB$23+L13,NA()),IF(I13="nthWeekdayOfMonth",IF(AND(ISNUMBER(J13),ISNUMBER(M13),ISNUMBER(N13),J13=INT(J13),M13=INT(M13),N13=INT(N13),J13&gt;=1,J13&lt;=12,M13&gt;=1,M13&lt;=7,N13&gt;=1,N13&lt;=5,MONTH(DATE('Übersicht'!$B$4,J13,1)+MOD(M13-WEEKDAY(DATE('Übersicht'!$B$4,J13,1),2),7)+7*(N13-1))=J13),DATE('Übersicht'!$B$4,J13,1)+MOD(M13-WEEKDAY(DATE('Übersicht'!$B$4,J13,1),2),7)+7*(N13-1),NA()),NA()))),NA())</f>
        <v>46513</v>
      </c>
      <c r="X13" s="70" t="n">
        <f>IF(AND(W13&gt;=O13,OR(P13="",W13&lt;=P13)),W13,"Ausserhalb Geltung")</f>
        <v>46513</v>
      </c>
      <c r="Y13" s="71" t="str">
        <v>SRC-FRG-BE-20210401</v>
      </c>
      <c r="Z13" s="71" t="str">
        <v>Art. 2 Abs. 1 Bst. b</v>
      </c>
      <c r="AA13" s="82" t="str">
        <v>f</v>
      </c>
      <c r="AB13" s="82" t="n">
        <f>INT((AB9+8)/25)</f>
        <v>1</v>
      </c>
    </row>
    <row r="14" ht="38" customHeight="1">
      <c r="A14" s="74" t="str">
        <v>BE-CAL-HOL-PENTECOST</v>
      </c>
      <c r="B14" s="74" t="str">
        <v>CH-BE</v>
      </c>
      <c r="C14" s="74" t="str">
        <v>BE-ALL</v>
      </c>
      <c r="D14" s="74" t="str">
        <v>Pfingsten</v>
      </c>
      <c r="E14" s="74" t="str">
        <v>Pentecôte</v>
      </c>
      <c r="F14" s="79" t="str"/>
      <c r="G14" s="79" t="str"/>
      <c r="H14" s="74" t="str">
        <v>publicHoliday</v>
      </c>
      <c r="I14" s="74" t="str">
        <v>easterOffsetDays</v>
      </c>
      <c r="J14" s="83"/>
      <c r="K14" s="83"/>
      <c r="L14" s="74" t="n">
        <v>49</v>
      </c>
      <c r="M14" s="74"/>
      <c r="N14" s="74"/>
      <c r="O14" s="73" t="n">
        <v>46023</v>
      </c>
      <c r="P14" s="73"/>
      <c r="Q14" s="74" t="n">
        <v>100</v>
      </c>
      <c r="R14" s="74" t="str">
        <v>approved</v>
      </c>
      <c r="S14" s="74" t="str">
        <v>2026-08-31-mvp-03-approved.1</v>
      </c>
      <c r="T14" s="74" t="str">
        <v>add</v>
      </c>
      <c r="U14" s="74"/>
      <c r="V14" s="74" t="str">
        <v>referenceOnly</v>
      </c>
      <c r="W14" s="73" t="n">
        <f>IF(AND(ISNUMBER('Übersicht'!$B$4),'Übersicht'!$B$4=INT('Übersicht'!$B$4),'Übersicht'!$B$4&gt;=2026,'Übersicht'!$B$4&lt;=2028),IF(I14="fixedMonthDay",IF(AND(ISNUMBER(J14),ISNUMBER(K14),J14=INT(J14),K14=INT(K14),MONTH(DATE('Übersicht'!$B$4,J14,K14))=J14,DAY(DATE('Übersicht'!$B$4,J14,K14))=K14),DATE('Übersicht'!$B$4,J14,K14),NA()),IF(I14="easterOffsetDays",IF(AND(ISNUMBER(L14),L14=INT(L14),ABS(L14)&lt;=366),$AB$23+L14,NA()),IF(I14="nthWeekdayOfMonth",IF(AND(ISNUMBER(J14),ISNUMBER(M14),ISNUMBER(N14),J14=INT(J14),M14=INT(M14),N14=INT(N14),J14&gt;=1,J14&lt;=12,M14&gt;=1,M14&lt;=7,N14&gt;=1,N14&lt;=5,MONTH(DATE('Übersicht'!$B$4,J14,1)+MOD(M14-WEEKDAY(DATE('Übersicht'!$B$4,J14,1),2),7)+7*(N14-1))=J14),DATE('Übersicht'!$B$4,J14,1)+MOD(M14-WEEKDAY(DATE('Übersicht'!$B$4,J14,1),2),7)+7*(N14-1),NA()),NA()))),NA())</f>
        <v>46523</v>
      </c>
      <c r="X14" s="73" t="n">
        <f>IF(AND(W14&gt;=O14,OR(P14="",W14&lt;=P14)),W14,"Ausserhalb Geltung")</f>
        <v>46523</v>
      </c>
      <c r="Y14" s="74" t="str">
        <v>SRC-FRG-BE-20210401</v>
      </c>
      <c r="Z14" s="74" t="str">
        <v>Art. 2 Abs. 1 Bst. b</v>
      </c>
      <c r="AA14" s="82" t="str">
        <v>g</v>
      </c>
      <c r="AB14" s="82" t="n">
        <f>INT((AB9-AB13+1)/3)</f>
        <v>6</v>
      </c>
    </row>
    <row r="15" ht="38" customHeight="1">
      <c r="A15" s="71" t="str">
        <v>BE-CAL-HOL-WHIT-MONDAY</v>
      </c>
      <c r="B15" s="71" t="str">
        <v>CH-BE</v>
      </c>
      <c r="C15" s="71" t="str">
        <v>BE-ALL</v>
      </c>
      <c r="D15" s="71" t="str">
        <v>Pfingstmontag</v>
      </c>
      <c r="E15" s="71" t="str">
        <v>Lundi de Pentecôte</v>
      </c>
      <c r="F15" s="77" t="str"/>
      <c r="G15" s="77" t="str"/>
      <c r="H15" s="71" t="str">
        <v>publicHoliday</v>
      </c>
      <c r="I15" s="71" t="str">
        <v>easterOffsetDays</v>
      </c>
      <c r="J15" s="81"/>
      <c r="K15" s="81"/>
      <c r="L15" s="71" t="n">
        <v>50</v>
      </c>
      <c r="M15" s="71"/>
      <c r="N15" s="71"/>
      <c r="O15" s="70" t="n">
        <v>46023</v>
      </c>
      <c r="P15" s="70"/>
      <c r="Q15" s="71" t="n">
        <v>100</v>
      </c>
      <c r="R15" s="71" t="str">
        <v>approved</v>
      </c>
      <c r="S15" s="71" t="str">
        <v>2026-08-31-mvp-03-approved.1</v>
      </c>
      <c r="T15" s="71" t="str">
        <v>add</v>
      </c>
      <c r="U15" s="71"/>
      <c r="V15" s="71" t="str">
        <v>referenceOnly</v>
      </c>
      <c r="W15" s="70" t="n">
        <f>IF(AND(ISNUMBER('Übersicht'!$B$4),'Übersicht'!$B$4=INT('Übersicht'!$B$4),'Übersicht'!$B$4&gt;=2026,'Übersicht'!$B$4&lt;=2028),IF(I15="fixedMonthDay",IF(AND(ISNUMBER(J15),ISNUMBER(K15),J15=INT(J15),K15=INT(K15),MONTH(DATE('Übersicht'!$B$4,J15,K15))=J15,DAY(DATE('Übersicht'!$B$4,J15,K15))=K15),DATE('Übersicht'!$B$4,J15,K15),NA()),IF(I15="easterOffsetDays",IF(AND(ISNUMBER(L15),L15=INT(L15),ABS(L15)&lt;=366),$AB$23+L15,NA()),IF(I15="nthWeekdayOfMonth",IF(AND(ISNUMBER(J15),ISNUMBER(M15),ISNUMBER(N15),J15=INT(J15),M15=INT(M15),N15=INT(N15),J15&gt;=1,J15&lt;=12,M15&gt;=1,M15&lt;=7,N15&gt;=1,N15&lt;=5,MONTH(DATE('Übersicht'!$B$4,J15,1)+MOD(M15-WEEKDAY(DATE('Übersicht'!$B$4,J15,1),2),7)+7*(N15-1))=J15),DATE('Übersicht'!$B$4,J15,1)+MOD(M15-WEEKDAY(DATE('Übersicht'!$B$4,J15,1),2),7)+7*(N15-1),NA()),NA()))),NA())</f>
        <v>46524</v>
      </c>
      <c r="X15" s="70" t="n">
        <f>IF(AND(W15&gt;=O15,OR(P15="",W15&lt;=P15)),W15,"Ausserhalb Geltung")</f>
        <v>46524</v>
      </c>
      <c r="Y15" s="71" t="str">
        <v>SRC-FRG-BE-20210401</v>
      </c>
      <c r="Z15" s="71" t="str">
        <v>Art. 2 Abs. 1 Bst. c</v>
      </c>
      <c r="AA15" s="82" t="str">
        <v>h</v>
      </c>
      <c r="AB15" s="82" t="n">
        <f>MOD(19*AB8+AB9-AB11-AB14+15,30)</f>
        <v>1</v>
      </c>
    </row>
    <row r="16" ht="38" customHeight="1">
      <c r="A16" s="74" t="str">
        <v>BE-CAL-HOL-FEDERAL-FAST</v>
      </c>
      <c r="B16" s="74" t="str">
        <v>CH-BE</v>
      </c>
      <c r="C16" s="74" t="str">
        <v>BE-ALL</v>
      </c>
      <c r="D16" s="74" t="str">
        <v>Eidgenössischer Dank-, Buss- und Bettag</v>
      </c>
      <c r="E16" s="74" t="str">
        <v>Jeûne fédéral</v>
      </c>
      <c r="F16" s="79" t="str"/>
      <c r="G16" s="79" t="str"/>
      <c r="H16" s="74" t="str">
        <v>publicHoliday</v>
      </c>
      <c r="I16" s="74" t="str">
        <v>nthWeekdayOfMonth</v>
      </c>
      <c r="J16" s="83" t="n">
        <v>9</v>
      </c>
      <c r="K16" s="83"/>
      <c r="L16" s="74"/>
      <c r="M16" s="74" t="n">
        <v>7</v>
      </c>
      <c r="N16" s="74" t="n">
        <v>3</v>
      </c>
      <c r="O16" s="73" t="n">
        <v>46023</v>
      </c>
      <c r="P16" s="73"/>
      <c r="Q16" s="74" t="n">
        <v>100</v>
      </c>
      <c r="R16" s="74" t="str">
        <v>approved</v>
      </c>
      <c r="S16" s="74" t="str">
        <v>2026-08-31-mvp-03-approved.1</v>
      </c>
      <c r="T16" s="74" t="str">
        <v>add</v>
      </c>
      <c r="U16" s="74"/>
      <c r="V16" s="74" t="str">
        <v>referenceOnly</v>
      </c>
      <c r="W16" s="73" t="n">
        <f>IF(AND(ISNUMBER('Übersicht'!$B$4),'Übersicht'!$B$4=INT('Übersicht'!$B$4),'Übersicht'!$B$4&gt;=2026,'Übersicht'!$B$4&lt;=2028),IF(I16="fixedMonthDay",IF(AND(ISNUMBER(J16),ISNUMBER(K16),J16=INT(J16),K16=INT(K16),MONTH(DATE('Übersicht'!$B$4,J16,K16))=J16,DAY(DATE('Übersicht'!$B$4,J16,K16))=K16),DATE('Übersicht'!$B$4,J16,K16),NA()),IF(I16="easterOffsetDays",IF(AND(ISNUMBER(L16),L16=INT(L16),ABS(L16)&lt;=366),$AB$23+L16,NA()),IF(I16="nthWeekdayOfMonth",IF(AND(ISNUMBER(J16),ISNUMBER(M16),ISNUMBER(N16),J16=INT(J16),M16=INT(M16),N16=INT(N16),J16&gt;=1,J16&lt;=12,M16&gt;=1,M16&lt;=7,N16&gt;=1,N16&lt;=5,MONTH(DATE('Übersicht'!$B$4,J16,1)+MOD(M16-WEEKDAY(DATE('Übersicht'!$B$4,J16,1),2),7)+7*(N16-1))=J16),DATE('Übersicht'!$B$4,J16,1)+MOD(M16-WEEKDAY(DATE('Übersicht'!$B$4,J16,1),2),7)+7*(N16-1),NA()),NA()))),NA())</f>
        <v>46649</v>
      </c>
      <c r="X16" s="73" t="n">
        <f>IF(AND(W16&gt;=O16,OR(P16="",W16&lt;=P16)),W16,"Ausserhalb Geltung")</f>
        <v>46649</v>
      </c>
      <c r="Y16" s="74" t="str">
        <v>SRC-FRG-BE-20210401</v>
      </c>
      <c r="Z16" s="74" t="str">
        <v>Art. 2 Abs. 1 Bst. b</v>
      </c>
      <c r="AA16" s="82" t="str">
        <v>i</v>
      </c>
      <c r="AB16" s="82" t="n">
        <f>INT(AB10/4)</f>
        <v>6</v>
      </c>
    </row>
    <row r="17" ht="38" customHeight="1">
      <c r="A17" s="71" t="str">
        <v>BE-CAL-HOL-CHRISTMAS</v>
      </c>
      <c r="B17" s="71" t="str">
        <v>CH-BE</v>
      </c>
      <c r="C17" s="71" t="str">
        <v>BE-ALL</v>
      </c>
      <c r="D17" s="71" t="str">
        <v>Weihnachten</v>
      </c>
      <c r="E17" s="71" t="str">
        <v>Noël</v>
      </c>
      <c r="F17" s="77" t="str"/>
      <c r="G17" s="77" t="str"/>
      <c r="H17" s="71" t="str">
        <v>publicHoliday</v>
      </c>
      <c r="I17" s="71" t="str">
        <v>fixedMonthDay</v>
      </c>
      <c r="J17" s="81" t="n">
        <v>12</v>
      </c>
      <c r="K17" s="81" t="n">
        <v>25</v>
      </c>
      <c r="L17" s="71"/>
      <c r="M17" s="71"/>
      <c r="N17" s="71"/>
      <c r="O17" s="70" t="n">
        <v>46023</v>
      </c>
      <c r="P17" s="70"/>
      <c r="Q17" s="71" t="n">
        <v>100</v>
      </c>
      <c r="R17" s="71" t="str">
        <v>approved</v>
      </c>
      <c r="S17" s="71" t="str">
        <v>2026-08-31-mvp-03-approved.1</v>
      </c>
      <c r="T17" s="71" t="str">
        <v>add</v>
      </c>
      <c r="U17" s="71"/>
      <c r="V17" s="71" t="str">
        <v>referenceOnly</v>
      </c>
      <c r="W17" s="70" t="n">
        <f>IF(AND(ISNUMBER('Übersicht'!$B$4),'Übersicht'!$B$4=INT('Übersicht'!$B$4),'Übersicht'!$B$4&gt;=2026,'Übersicht'!$B$4&lt;=2028),IF(I17="fixedMonthDay",IF(AND(ISNUMBER(J17),ISNUMBER(K17),J17=INT(J17),K17=INT(K17),MONTH(DATE('Übersicht'!$B$4,J17,K17))=J17,DAY(DATE('Übersicht'!$B$4,J17,K17))=K17),DATE('Übersicht'!$B$4,J17,K17),NA()),IF(I17="easterOffsetDays",IF(AND(ISNUMBER(L17),L17=INT(L17),ABS(L17)&lt;=366),$AB$23+L17,NA()),IF(I17="nthWeekdayOfMonth",IF(AND(ISNUMBER(J17),ISNUMBER(M17),ISNUMBER(N17),J17=INT(J17),M17=INT(M17),N17=INT(N17),J17&gt;=1,J17&lt;=12,M17&gt;=1,M17&lt;=7,N17&gt;=1,N17&lt;=5,MONTH(DATE('Übersicht'!$B$4,J17,1)+MOD(M17-WEEKDAY(DATE('Übersicht'!$B$4,J17,1),2),7)+7*(N17-1))=J17),DATE('Übersicht'!$B$4,J17,1)+MOD(M17-WEEKDAY(DATE('Übersicht'!$B$4,J17,1),2),7)+7*(N17-1),NA()),NA()))),NA())</f>
        <v>46746</v>
      </c>
      <c r="X17" s="70" t="n">
        <f>IF(AND(W17&gt;=O17,OR(P17="",W17&lt;=P17)),W17,"Ausserhalb Geltung")</f>
        <v>46746</v>
      </c>
      <c r="Y17" s="71" t="str">
        <v>SRC-FRG-BE-20210401</v>
      </c>
      <c r="Z17" s="71" t="str">
        <v>Art. 2 Abs. 1 Bst. b</v>
      </c>
      <c r="AA17" s="82" t="str">
        <v>k</v>
      </c>
      <c r="AB17" s="82" t="n">
        <f>MOD(AB10,4)</f>
        <v>3</v>
      </c>
    </row>
    <row r="18" ht="38" customHeight="1">
      <c r="A18" s="74" t="str">
        <v>BE-CAL-HOL-ST-STEPHEN</v>
      </c>
      <c r="B18" s="74" t="str">
        <v>CH-BE</v>
      </c>
      <c r="C18" s="74" t="str">
        <v>BE-ALL</v>
      </c>
      <c r="D18" s="74" t="str">
        <v>Stephanstag</v>
      </c>
      <c r="E18" s="74" t="str">
        <v>Saint-Étienne</v>
      </c>
      <c r="F18" s="79" t="str"/>
      <c r="G18" s="79" t="str"/>
      <c r="H18" s="74" t="str">
        <v>publicHoliday</v>
      </c>
      <c r="I18" s="74" t="str">
        <v>fixedMonthDay</v>
      </c>
      <c r="J18" s="83" t="n">
        <v>12</v>
      </c>
      <c r="K18" s="83" t="n">
        <v>26</v>
      </c>
      <c r="L18" s="74"/>
      <c r="M18" s="74"/>
      <c r="N18" s="74"/>
      <c r="O18" s="73" t="n">
        <v>46023</v>
      </c>
      <c r="P18" s="73"/>
      <c r="Q18" s="74" t="n">
        <v>100</v>
      </c>
      <c r="R18" s="74" t="str">
        <v>approved</v>
      </c>
      <c r="S18" s="74" t="str">
        <v>2026-08-31-mvp-03-approved.1</v>
      </c>
      <c r="T18" s="74" t="str">
        <v>add</v>
      </c>
      <c r="U18" s="74"/>
      <c r="V18" s="74" t="str">
        <v>referenceOnly</v>
      </c>
      <c r="W18" s="73" t="n">
        <f>IF(AND(ISNUMBER('Übersicht'!$B$4),'Übersicht'!$B$4=INT('Übersicht'!$B$4),'Übersicht'!$B$4&gt;=2026,'Übersicht'!$B$4&lt;=2028),IF(I18="fixedMonthDay",IF(AND(ISNUMBER(J18),ISNUMBER(K18),J18=INT(J18),K18=INT(K18),MONTH(DATE('Übersicht'!$B$4,J18,K18))=J18,DAY(DATE('Übersicht'!$B$4,J18,K18))=K18),DATE('Übersicht'!$B$4,J18,K18),NA()),IF(I18="easterOffsetDays",IF(AND(ISNUMBER(L18),L18=INT(L18),ABS(L18)&lt;=366),$AB$23+L18,NA()),IF(I18="nthWeekdayOfMonth",IF(AND(ISNUMBER(J18),ISNUMBER(M18),ISNUMBER(N18),J18=INT(J18),M18=INT(M18),N18=INT(N18),J18&gt;=1,J18&lt;=12,M18&gt;=1,M18&lt;=7,N18&gt;=1,N18&lt;=5,MONTH(DATE('Übersicht'!$B$4,J18,1)+MOD(M18-WEEKDAY(DATE('Übersicht'!$B$4,J18,1),2),7)+7*(N18-1))=J18),DATE('Übersicht'!$B$4,J18,1)+MOD(M18-WEEKDAY(DATE('Übersicht'!$B$4,J18,1),2),7)+7*(N18-1),NA()),NA()))),NA())</f>
        <v>46747</v>
      </c>
      <c r="X18" s="73" t="n">
        <f>IF(AND(W18&gt;=O18,OR(P18="",W18&lt;=P18)),W18,"Ausserhalb Geltung")</f>
        <v>46747</v>
      </c>
      <c r="Y18" s="74" t="str">
        <v>SRC-FRG-BE-20210401</v>
      </c>
      <c r="Z18" s="74" t="str">
        <v>Art. 2 Abs. 1 Bst. c</v>
      </c>
      <c r="AA18" s="82" t="str">
        <v>l</v>
      </c>
      <c r="AB18" s="82" t="n">
        <f>MOD(32+2*AB12+2*AB16-AB15-AB17,7)</f>
        <v>5</v>
      </c>
    </row>
    <row r="19" ht="38" customHeight="1">
      <c r="A19" s="71" t="str">
        <v>AG-WORK-HOL-CORPUS-CHRISTI</v>
      </c>
      <c r="B19" s="71" t="str">
        <v>CH-AG</v>
      </c>
      <c r="C19" s="71" t="str">
        <v>AG-ARG-BADEN</v>
      </c>
      <c r="D19" s="76" t="str">
        <v>Fronleichnam</v>
      </c>
      <c r="E19" s="76" t="str">
        <v>Fête-Dieu</v>
      </c>
      <c r="F19" s="77" t="str"/>
      <c r="G19" s="77" t="str"/>
      <c r="H19" s="71" t="str">
        <v>labourLawHoliday</v>
      </c>
      <c r="I19" s="71" t="str">
        <v>easterOffsetDays</v>
      </c>
      <c r="J19" s="84"/>
      <c r="K19" s="84"/>
      <c r="L19" s="76" t="n">
        <v>60</v>
      </c>
      <c r="M19" s="76"/>
      <c r="N19" s="76"/>
      <c r="O19" s="85" t="n">
        <v>46023</v>
      </c>
      <c r="P19" s="85"/>
      <c r="Q19" s="76" t="n">
        <v>100</v>
      </c>
      <c r="R19" s="76" t="str">
        <v>open</v>
      </c>
      <c r="S19" s="71"/>
      <c r="T19" s="71" t="str">
        <v>add</v>
      </c>
      <c r="U19" s="71"/>
      <c r="V19" s="71" t="str">
        <v>blockedScope</v>
      </c>
      <c r="W19" s="70" t="n">
        <f>IF(AND(ISNUMBER('Übersicht'!$B$4),'Übersicht'!$B$4=INT('Übersicht'!$B$4),'Übersicht'!$B$4&gt;=2026,'Übersicht'!$B$4&lt;=2028),IF(I19="fixedMonthDay",IF(AND(ISNUMBER(J19),ISNUMBER(K19),J19=INT(J19),K19=INT(K19),MONTH(DATE('Übersicht'!$B$4,J19,K19))=J19,DAY(DATE('Übersicht'!$B$4,J19,K19))=K19),DATE('Übersicht'!$B$4,J19,K19),NA()),IF(I19="easterOffsetDays",IF(AND(ISNUMBER(L19),L19=INT(L19),ABS(L19)&lt;=366),$AB$23+L19,NA()),IF(I19="nthWeekdayOfMonth",IF(AND(ISNUMBER(J19),ISNUMBER(M19),ISNUMBER(N19),J19=INT(J19),M19=INT(M19),N19=INT(N19),J19&gt;=1,J19&lt;=12,M19&gt;=1,M19&lt;=7,N19&gt;=1,N19&lt;=5,MONTH(DATE('Übersicht'!$B$4,J19,1)+MOD(M19-WEEKDAY(DATE('Übersicht'!$B$4,J19,1),2),7)+7*(N19-1))=J19),DATE('Übersicht'!$B$4,J19,1)+MOD(M19-WEEKDAY(DATE('Übersicht'!$B$4,J19,1),2),7)+7*(N19-1),NA()),NA()))),NA())</f>
        <v>46534</v>
      </c>
      <c r="X19" s="70" t="n">
        <f>IF(AND(W19&gt;=O19,OR(P19="",W19&lt;=P19)),W19,"Ausserhalb Geltung")</f>
        <v>46534</v>
      </c>
      <c r="Y19" s="71" t="str">
        <v>SRC-AG-EGARR-20250901</v>
      </c>
      <c r="Z19" s="71" t="str">
        <v>§ 6 Abs. 1 Bst. b Ziff. 2</v>
      </c>
      <c r="AA19" s="82" t="str">
        <v>m</v>
      </c>
      <c r="AB19" s="82" t="n">
        <f>INT((AB8+11*AB15+22*AB18)/451)</f>
        <v>0</v>
      </c>
    </row>
    <row r="20" ht="38" customHeight="1">
      <c r="A20" s="74" t="str">
        <v>AG-WORK-HOL-BERCHTOLD</v>
      </c>
      <c r="B20" s="74" t="str">
        <v>CH-AG</v>
      </c>
      <c r="C20" s="74" t="str">
        <v>AG-ARG-BERGDIETIKON</v>
      </c>
      <c r="D20" s="78" t="str">
        <v>Berchtoldstag</v>
      </c>
      <c r="E20" s="78" t="str">
        <v>Saint-Berchtold</v>
      </c>
      <c r="F20" s="79" t="str"/>
      <c r="G20" s="79" t="str"/>
      <c r="H20" s="74" t="str">
        <v>labourLawHoliday</v>
      </c>
      <c r="I20" s="74" t="str">
        <v>fixedMonthDay</v>
      </c>
      <c r="J20" s="86" t="n">
        <v>1</v>
      </c>
      <c r="K20" s="86" t="n">
        <v>2</v>
      </c>
      <c r="L20" s="78"/>
      <c r="M20" s="78"/>
      <c r="N20" s="78"/>
      <c r="O20" s="87" t="n">
        <v>46023</v>
      </c>
      <c r="P20" s="87"/>
      <c r="Q20" s="78" t="n">
        <v>100</v>
      </c>
      <c r="R20" s="78" t="str">
        <v>open</v>
      </c>
      <c r="S20" s="74"/>
      <c r="T20" s="74" t="str">
        <v>add</v>
      </c>
      <c r="U20" s="74"/>
      <c r="V20" s="74" t="str">
        <v>blockedScope</v>
      </c>
      <c r="W20" s="73" t="n">
        <f>IF(AND(ISNUMBER('Übersicht'!$B$4),'Übersicht'!$B$4=INT('Übersicht'!$B$4),'Übersicht'!$B$4&gt;=2026,'Übersicht'!$B$4&lt;=2028),IF(I20="fixedMonthDay",IF(AND(ISNUMBER(J20),ISNUMBER(K20),J20=INT(J20),K20=INT(K20),MONTH(DATE('Übersicht'!$B$4,J20,K20))=J20,DAY(DATE('Übersicht'!$B$4,J20,K20))=K20),DATE('Übersicht'!$B$4,J20,K20),NA()),IF(I20="easterOffsetDays",IF(AND(ISNUMBER(L20),L20=INT(L20),ABS(L20)&lt;=366),$AB$23+L20,NA()),IF(I20="nthWeekdayOfMonth",IF(AND(ISNUMBER(J20),ISNUMBER(M20),ISNUMBER(N20),J20=INT(J20),M20=INT(M20),N20=INT(N20),J20&gt;=1,J20&lt;=12,M20&gt;=1,M20&lt;=7,N20&gt;=1,N20&lt;=5,MONTH(DATE('Übersicht'!$B$4,J20,1)+MOD(M20-WEEKDAY(DATE('Übersicht'!$B$4,J20,1),2),7)+7*(N20-1))=J20),DATE('Übersicht'!$B$4,J20,1)+MOD(M20-WEEKDAY(DATE('Übersicht'!$B$4,J20,1),2),7)+7*(N20-1),NA()),NA()))),NA())</f>
        <v>46389</v>
      </c>
      <c r="X20" s="73" t="n">
        <f>IF(AND(W20&gt;=O20,OR(P20="",W20&lt;=P20)),W20,"Ausserhalb Geltung")</f>
        <v>46389</v>
      </c>
      <c r="Y20" s="74" t="str">
        <v>SRC-AG-EGARR-20250901</v>
      </c>
      <c r="Z20" s="74" t="str">
        <v>§ 6 Abs. 1 Bst. b Ziff. 1</v>
      </c>
      <c r="AA20" s="82" t="str">
        <v>n</v>
      </c>
      <c r="AB20" s="82" t="n">
        <f>AB15+AB18-7*AB19+114</f>
        <v>120</v>
      </c>
    </row>
    <row r="21" ht="38" customHeight="1">
      <c r="A21" s="71" t="str">
        <v>AG-PROC-DAY-ALL-SAINTS</v>
      </c>
      <c r="B21" s="71" t="str">
        <v>CH-AG</v>
      </c>
      <c r="C21" s="71" t="str">
        <v>AG-ZPO-ALL</v>
      </c>
      <c r="D21" s="76" t="str">
        <v>Allerheiligen</v>
      </c>
      <c r="E21" s="76" t="str">
        <v>Toussaint</v>
      </c>
      <c r="F21" s="77" t="str"/>
      <c r="G21" s="77" t="str"/>
      <c r="H21" s="71" t="str">
        <v>proceduralEquivalentDay</v>
      </c>
      <c r="I21" s="71" t="str">
        <v>fixedMonthDay</v>
      </c>
      <c r="J21" s="84" t="n">
        <v>11</v>
      </c>
      <c r="K21" s="84" t="n">
        <v>1</v>
      </c>
      <c r="L21" s="76"/>
      <c r="M21" s="76"/>
      <c r="N21" s="76"/>
      <c r="O21" s="85" t="n">
        <v>46023</v>
      </c>
      <c r="P21" s="85"/>
      <c r="Q21" s="76" t="n">
        <v>100</v>
      </c>
      <c r="R21" s="76" t="str">
        <v>open</v>
      </c>
      <c r="S21" s="71"/>
      <c r="T21" s="71" t="str">
        <v>add</v>
      </c>
      <c r="U21" s="71"/>
      <c r="V21" s="71" t="str">
        <v>blockedEffect</v>
      </c>
      <c r="W21" s="70" t="n">
        <f>IF(AND(ISNUMBER('Übersicht'!$B$4),'Übersicht'!$B$4=INT('Übersicht'!$B$4),'Übersicht'!$B$4&gt;=2026,'Übersicht'!$B$4&lt;=2028),IF(I21="fixedMonthDay",IF(AND(ISNUMBER(J21),ISNUMBER(K21),J21=INT(J21),K21=INT(K21),MONTH(DATE('Übersicht'!$B$4,J21,K21))=J21,DAY(DATE('Übersicht'!$B$4,J21,K21))=K21),DATE('Übersicht'!$B$4,J21,K21),NA()),IF(I21="easterOffsetDays",IF(AND(ISNUMBER(L21),L21=INT(L21),ABS(L21)&lt;=366),$AB$23+L21,NA()),IF(I21="nthWeekdayOfMonth",IF(AND(ISNUMBER(J21),ISNUMBER(M21),ISNUMBER(N21),J21=INT(J21),M21=INT(M21),N21=INT(N21),J21&gt;=1,J21&lt;=12,M21&gt;=1,M21&lt;=7,N21&gt;=1,N21&lt;=5,MONTH(DATE('Übersicht'!$B$4,J21,1)+MOD(M21-WEEKDAY(DATE('Übersicht'!$B$4,J21,1),2),7)+7*(N21-1))=J21),DATE('Übersicht'!$B$4,J21,1)+MOD(M21-WEEKDAY(DATE('Übersicht'!$B$4,J21,1),2),7)+7*(N21-1),NA()),NA()))),NA())</f>
        <v>46692</v>
      </c>
      <c r="X21" s="70" t="n">
        <f>IF(AND(W21&gt;=O21,OR(P21="",W21&lt;=P21)),W21,"Ausserhalb Geltung")</f>
        <v>46692</v>
      </c>
      <c r="Y21" s="71" t="str">
        <v>SRC-AG-EGZPO</v>
      </c>
      <c r="Z21" s="71" t="str">
        <v>§ 21</v>
      </c>
      <c r="AA21" s="82" t="str">
        <v>Ostermonat</v>
      </c>
      <c r="AB21" s="82" t="n">
        <f>INT(AB20/31)</f>
        <v>3</v>
      </c>
    </row>
    <row r="22" ht="24" customHeight="1">
      <c r="A22" s="60"/>
      <c r="B22" s="60"/>
      <c r="C22" s="60"/>
      <c r="D22" s="60"/>
      <c r="E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82" t="str">
        <v>Ostertag</v>
      </c>
      <c r="AB22" s="82" t="n">
        <f>MOD(AB20,31)+1</f>
        <v>28</v>
      </c>
    </row>
    <row r="23" ht="24" customHeight="1">
      <c r="A23" s="60"/>
      <c r="B23" s="60"/>
      <c r="C23" s="60"/>
      <c r="D23" s="60"/>
      <c r="E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82" t="str">
        <v>Ostersonntag</v>
      </c>
      <c r="AB23" s="88" t="n">
        <f>DATE(AB7,AB21,AB22)</f>
        <v>46474</v>
      </c>
    </row>
    <row r="24" ht="24" customHeight="1">
      <c r="A24" s="60"/>
      <c r="B24" s="60"/>
      <c r="C24" s="60"/>
      <c r="D24" s="60"/>
      <c r="E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4" customHeight="1">
      <c r="A25" s="60"/>
      <c r="B25" s="60"/>
      <c r="C25" s="60"/>
      <c r="D25" s="60"/>
      <c r="E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24" customHeight="1">
      <c r="A26" s="60"/>
      <c r="B26" s="60"/>
      <c r="C26" s="60"/>
      <c r="D26" s="60"/>
      <c r="E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4" customHeight="1">
      <c r="A27" s="60"/>
      <c r="B27" s="60"/>
      <c r="C27" s="60"/>
      <c r="D27" s="60"/>
      <c r="E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4" customHeight="1">
      <c r="A28" s="60"/>
      <c r="B28" s="60"/>
      <c r="C28" s="60"/>
      <c r="D28" s="60"/>
      <c r="E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24" customHeight="1">
      <c r="A29" s="60"/>
      <c r="B29" s="60"/>
      <c r="C29" s="60"/>
      <c r="D29" s="60"/>
      <c r="E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4" customHeight="1">
      <c r="A30" s="60"/>
      <c r="B30" s="60"/>
      <c r="C30" s="60"/>
      <c r="D30" s="60"/>
      <c r="E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4" customHeight="1">
      <c r="A31" s="60"/>
      <c r="B31" s="60"/>
      <c r="C31" s="60"/>
      <c r="D31" s="60"/>
      <c r="E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4" customHeight="1">
      <c r="A32" s="60"/>
      <c r="B32" s="60"/>
      <c r="C32" s="60"/>
      <c r="D32" s="60"/>
      <c r="E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</sheetData>
  <sheetProtection sheet="1" objects="1" scenarios="1" autoFilter="0" sort="0" selectLockedCells="0" selectUnlockedCells="0"/>
  <conditionalFormatting sqref="R7:R21">
    <cfRule type="containsText" dxfId="2" priority="1" operator="containsText" text="open"/>
    <cfRule type="containsText" dxfId="3" priority="2" operator="containsText" text="blocked"/>
  </conditionalFormatting>
  <conditionalFormatting sqref="F7:F21">
    <cfRule type="containsBlanks" dxfId="14" priority="3"/>
  </conditionalFormatting>
  <conditionalFormatting sqref="G7:G21">
    <cfRule type="containsBlanks" dxfId="15" priority="4"/>
  </conditionalFormatting>
  <dataValidations count="3">
    <dataValidation type="list" sqref="R7:R21">
      <formula1>"approved,open,blocked"</formula1>
    </dataValidation>
    <dataValidation type="list" sqref="I7:I21">
      <formula1>"fixedMonthDay,easterOffsetDays,nthWeekdayOfMonth"</formula1>
    </dataValidation>
    <dataValidation type="list" sqref="H7:H21">
      <formula1>"publicHoliday,labourLawHoliday,proceduralEquivalentDay"</formula1>
    </dataValidation>
  </dataValidations>
  <pageMargins left="0.7" right="0.7" top="0.75" bottom="0.75" header="0.3" footer="0.3"/>
  <tableParts count="1">
    <tablePart ns1:id="R0bab3cd1dad14de2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1" hidden="0" customWidth="1"/>
    <col min="2" max="2" width="16" hidden="0" customWidth="1"/>
    <col min="3" max="3" width="38" hidden="0" customWidth="1"/>
    <col min="4" max="4" width="32" hidden="0" customWidth="1"/>
    <col min="5" max="5" width="32" hidden="0" customWidth="1"/>
    <col min="6" max="6" width="32" hidden="0" customWidth="1"/>
    <col min="7" max="7" width="22" hidden="0" customWidth="1"/>
    <col min="8" max="8" width="62" hidden="0" customWidth="1"/>
    <col min="9" max="9" width="40" hidden="0" customWidth="1"/>
    <col min="10" max="10" width="35" hidden="0" customWidth="1"/>
    <col min="11" max="11" width="16" hidden="0" customWidth="1"/>
    <col min="12" max="12" width="16" hidden="0" customWidth="1"/>
    <col min="13" max="13" width="16" hidden="0" customWidth="1"/>
  </cols>
  <sheetData>
    <row r="1" ht="24" customHeight="1">
      <c r="A1" s="60"/>
      <c r="B1" s="60"/>
      <c r="C1" s="60"/>
      <c r="G1" s="60"/>
      <c r="H1" s="60"/>
      <c r="I1" s="60"/>
      <c r="J1" s="60"/>
      <c r="K1" s="60"/>
      <c r="L1" s="60"/>
      <c r="M1" s="60"/>
    </row>
    <row r="2" ht="24" customHeight="1">
      <c r="A2" s="61" t="str">
        <v>Räumliche Geltungsbereiche</v>
      </c>
      <c r="B2" s="60"/>
      <c r="C2" s="60"/>
      <c r="G2" s="60"/>
      <c r="H2" s="60"/>
      <c r="I2" s="60"/>
      <c r="J2" s="60"/>
      <c r="K2" s="60"/>
      <c r="L2" s="60"/>
      <c r="M2" s="60"/>
    </row>
    <row r="3" ht="24" customHeight="1">
      <c r="A3" s="62"/>
      <c r="B3" s="62"/>
      <c r="C3" s="62"/>
      <c r="G3" s="62"/>
      <c r="H3" s="62"/>
      <c r="I3" s="62"/>
      <c r="J3" s="62"/>
      <c r="K3" s="62"/>
      <c r="L3" s="62"/>
      <c r="M3" s="62"/>
    </row>
    <row r="4" ht="24" customHeight="1">
      <c r="A4" s="67" t="str">
        <v>Gemeinden und Bezirke konkretisieren kantonales Recht. Keine Geodaten und kein eigenständiges kommunales Feiertagsrecht.</v>
      </c>
      <c r="B4" s="60"/>
      <c r="C4" s="60"/>
      <c r="G4" s="60"/>
      <c r="H4" s="60"/>
      <c r="I4" s="60"/>
      <c r="J4" s="60"/>
      <c r="K4" s="60"/>
      <c r="L4" s="60"/>
      <c r="M4" s="60"/>
    </row>
    <row r="5" ht="24" customHeight="1">
      <c r="A5" s="60"/>
      <c r="B5" s="60"/>
      <c r="C5" s="60"/>
      <c r="G5" s="60"/>
      <c r="H5" s="60"/>
      <c r="I5" s="60"/>
      <c r="J5" s="60"/>
      <c r="K5" s="60"/>
      <c r="L5" s="60"/>
      <c r="M5" s="60"/>
    </row>
    <row r="6" ht="42" customHeight="1">
      <c r="A6" s="68" t="str">
        <v>Geltungs-ID</v>
      </c>
      <c r="B6" s="68" t="str">
        <v>Gemeinwesen</v>
      </c>
      <c r="C6" s="68" t="str">
        <v>Gebiet</v>
      </c>
      <c r="D6" s="69" t="str">
        <v>Französisch</v>
      </c>
      <c r="E6" s="69" t="str">
        <v>Italienisch</v>
      </c>
      <c r="F6" s="69" t="str">
        <v>Rumantsch Grischun</v>
      </c>
      <c r="G6" s="68" t="str">
        <v>Gebietstyp</v>
      </c>
      <c r="H6" s="68" t="str">
        <v>Umfang / Grenze</v>
      </c>
      <c r="I6" s="68" t="str">
        <v>Quellen-ID</v>
      </c>
      <c r="J6" s="68" t="str">
        <v>Fundstelle</v>
      </c>
      <c r="K6" s="68" t="str">
        <v>Fachstatus</v>
      </c>
      <c r="L6" s="68" t="str">
        <v>Daten ab</v>
      </c>
      <c r="M6" s="68" t="str">
        <v>Daten bis</v>
      </c>
    </row>
    <row r="7" ht="38" customHeight="1">
      <c r="A7" s="71" t="str">
        <v>CH-ALL</v>
      </c>
      <c r="B7" s="71" t="str">
        <v>CH</v>
      </c>
      <c r="C7" s="71" t="str">
        <v>Bundesgebiet</v>
      </c>
      <c r="D7" s="77" t="str"/>
      <c r="E7" s="77" t="str"/>
      <c r="F7" s="77" t="str"/>
      <c r="G7" s="71" t="str">
        <v>National</v>
      </c>
      <c r="H7" s="71" t="str">
        <v>Bundesgebiet</v>
      </c>
      <c r="I7" s="71" t="str">
        <v>SRC-BUNDESFEIERTAG-19940701</v>
      </c>
      <c r="J7" s="71" t="str">
        <v>Art. 1</v>
      </c>
      <c r="K7" s="71" t="str">
        <v>approved</v>
      </c>
      <c r="L7" s="70" t="n">
        <v>34516</v>
      </c>
      <c r="M7" s="70"/>
    </row>
    <row r="8" ht="38" customHeight="1">
      <c r="A8" s="74" t="str">
        <v>BE-ALL</v>
      </c>
      <c r="B8" s="74" t="str">
        <v>CH-BE</v>
      </c>
      <c r="C8" s="74" t="str">
        <v>Kanton Bern</v>
      </c>
      <c r="D8" s="79" t="str"/>
      <c r="E8" s="79" t="str"/>
      <c r="F8" s="79" t="str"/>
      <c r="G8" s="74" t="str">
        <v>Kanton</v>
      </c>
      <c r="H8" s="74" t="str">
        <v>Gesamtes Kantonsgebiet</v>
      </c>
      <c r="I8" s="74" t="str">
        <v>SRC-FRG-BE-20210401</v>
      </c>
      <c r="J8" s="74" t="str">
        <v>Art. 2 Abs. 1</v>
      </c>
      <c r="K8" s="74" t="str">
        <v>approved</v>
      </c>
      <c r="L8" s="73" t="n">
        <v>46023</v>
      </c>
      <c r="M8" s="73"/>
    </row>
    <row r="9" ht="38" customHeight="1">
      <c r="A9" s="71" t="str">
        <v>AG-ARG-BADEN</v>
      </c>
      <c r="B9" s="71" t="str">
        <v>CH-AG</v>
      </c>
      <c r="C9" s="71" t="str">
        <v>Bezirk Baden ohne Bergdietikon</v>
      </c>
      <c r="D9" s="77" t="str"/>
      <c r="E9" s="77" t="str"/>
      <c r="F9" s="77" t="str"/>
      <c r="G9" s="71" t="str">
        <v>Bezirksausnahme</v>
      </c>
      <c r="H9" s="71" t="str">
        <v>Nur § 6 Abs. 1 Bst. b Ziff. 2 EG ArR. Kein allgemeiner Fristenkalender.</v>
      </c>
      <c r="I9" s="71" t="str">
        <v>SRC-AG-EGARR-20250901</v>
      </c>
      <c r="J9" s="71" t="str">
        <v>§ 6 Abs. 1 Bst. b Ziff. 2</v>
      </c>
      <c r="K9" s="71" t="str">
        <v>open</v>
      </c>
      <c r="L9" s="70" t="n">
        <v>46023</v>
      </c>
      <c r="M9" s="70"/>
    </row>
    <row r="10" ht="38" customHeight="1">
      <c r="A10" s="74" t="str">
        <v>AG-ARG-BERGDIETIKON</v>
      </c>
      <c r="B10" s="74" t="str">
        <v>CH-AG</v>
      </c>
      <c r="C10" s="74" t="str">
        <v>Gemeinde Bergdietikon</v>
      </c>
      <c r="D10" s="79" t="str"/>
      <c r="E10" s="79" t="str"/>
      <c r="F10" s="79" t="str"/>
      <c r="G10" s="74" t="str">
        <v>Gemeinde</v>
      </c>
      <c r="H10" s="74" t="str">
        <v>Nur § 6 Abs. 1 Bst. b Ziff. 1 EG ArR. Kantonale Rechtsgrundlage.</v>
      </c>
      <c r="I10" s="74" t="str">
        <v>SRC-AG-EGARR-20250901</v>
      </c>
      <c r="J10" s="74" t="str">
        <v>§ 6 Abs. 1 Bst. b Ziff. 1</v>
      </c>
      <c r="K10" s="74" t="str">
        <v>open</v>
      </c>
      <c r="L10" s="73" t="n">
        <v>46023</v>
      </c>
      <c r="M10" s="73"/>
    </row>
    <row r="11" ht="38" customHeight="1">
      <c r="A11" s="71" t="str">
        <v>AG-ZPO-ALL</v>
      </c>
      <c r="B11" s="71" t="str">
        <v>CH-AG</v>
      </c>
      <c r="C11" s="71" t="str">
        <v>Aargau, prozessuale Zuordnung</v>
      </c>
      <c r="D11" s="77" t="str"/>
      <c r="E11" s="77" t="str"/>
      <c r="F11" s="77" t="str"/>
      <c r="G11" s="71" t="str">
        <v>Kanton</v>
      </c>
      <c r="H11" s="71" t="str">
        <v>§ 21 EG ZPO getrennt vom Arbeitsrecht. Anwendungszuordnung offen.</v>
      </c>
      <c r="I11" s="71" t="str">
        <v>SRC-AG-EGZPO</v>
      </c>
      <c r="J11" s="71" t="str">
        <v>§ 21</v>
      </c>
      <c r="K11" s="71" t="str">
        <v>open</v>
      </c>
      <c r="L11" s="70" t="n">
        <v>46023</v>
      </c>
      <c r="M11" s="70"/>
    </row>
    <row r="12" ht="24" customHeight="1">
      <c r="A12" s="60"/>
      <c r="B12" s="60"/>
      <c r="C12" s="60"/>
      <c r="G12" s="60"/>
      <c r="H12" s="60"/>
      <c r="I12" s="60"/>
      <c r="J12" s="60"/>
      <c r="K12" s="60"/>
      <c r="L12" s="60"/>
      <c r="M12" s="60"/>
    </row>
    <row r="13" ht="24" customHeight="1">
      <c r="A13" s="60"/>
      <c r="B13" s="60"/>
      <c r="C13" s="60"/>
      <c r="G13" s="60"/>
      <c r="H13" s="60"/>
      <c r="I13" s="60"/>
      <c r="J13" s="60"/>
      <c r="K13" s="60"/>
      <c r="L13" s="60"/>
      <c r="M13" s="60"/>
    </row>
    <row r="14" ht="24" customHeight="1">
      <c r="A14" s="60"/>
      <c r="B14" s="60"/>
      <c r="C14" s="60"/>
      <c r="G14" s="60"/>
      <c r="H14" s="60"/>
      <c r="I14" s="60"/>
      <c r="J14" s="60"/>
      <c r="K14" s="60"/>
      <c r="L14" s="60"/>
      <c r="M14" s="60"/>
    </row>
    <row r="15" ht="24" customHeight="1">
      <c r="A15" s="60"/>
      <c r="B15" s="60"/>
      <c r="C15" s="60"/>
      <c r="G15" s="60"/>
      <c r="H15" s="60"/>
      <c r="I15" s="60"/>
      <c r="J15" s="60"/>
      <c r="K15" s="60"/>
      <c r="L15" s="60"/>
      <c r="M15" s="60"/>
    </row>
    <row r="16" ht="24" customHeight="1">
      <c r="A16" s="60"/>
      <c r="B16" s="60"/>
      <c r="C16" s="60"/>
      <c r="G16" s="60"/>
      <c r="H16" s="60"/>
      <c r="I16" s="60"/>
      <c r="J16" s="60"/>
      <c r="K16" s="60"/>
      <c r="L16" s="60"/>
      <c r="M16" s="60"/>
    </row>
    <row r="17" ht="24" customHeight="1">
      <c r="A17" s="60"/>
      <c r="B17" s="60"/>
      <c r="C17" s="60"/>
      <c r="G17" s="60"/>
      <c r="H17" s="60"/>
      <c r="I17" s="60"/>
      <c r="J17" s="60"/>
      <c r="K17" s="60"/>
      <c r="L17" s="60"/>
      <c r="M17" s="60"/>
    </row>
    <row r="18" ht="24" customHeight="1">
      <c r="A18" s="60"/>
      <c r="B18" s="60"/>
      <c r="C18" s="60"/>
      <c r="G18" s="60"/>
      <c r="H18" s="60"/>
      <c r="I18" s="60"/>
      <c r="J18" s="60"/>
      <c r="K18" s="60"/>
      <c r="L18" s="60"/>
      <c r="M18" s="60"/>
    </row>
    <row r="19" ht="24" customHeight="1">
      <c r="A19" s="60"/>
      <c r="B19" s="60"/>
      <c r="C19" s="60"/>
      <c r="G19" s="60"/>
      <c r="H19" s="60"/>
      <c r="I19" s="60"/>
      <c r="J19" s="60"/>
      <c r="K19" s="60"/>
      <c r="L19" s="60"/>
      <c r="M19" s="60"/>
    </row>
    <row r="20" ht="24" customHeight="1">
      <c r="A20" s="60"/>
      <c r="B20" s="60"/>
      <c r="C20" s="60"/>
      <c r="G20" s="60"/>
      <c r="H20" s="60"/>
      <c r="I20" s="60"/>
      <c r="J20" s="60"/>
      <c r="K20" s="60"/>
      <c r="L20" s="60"/>
      <c r="M20" s="60"/>
    </row>
    <row r="21" ht="24" customHeight="1">
      <c r="A21" s="60"/>
      <c r="B21" s="60"/>
      <c r="C21" s="60"/>
      <c r="G21" s="60"/>
      <c r="H21" s="60"/>
      <c r="I21" s="60"/>
      <c r="J21" s="60"/>
      <c r="K21" s="60"/>
      <c r="L21" s="60"/>
      <c r="M21" s="60"/>
    </row>
    <row r="22" ht="24" customHeight="1">
      <c r="A22" s="60"/>
      <c r="B22" s="60"/>
      <c r="C22" s="60"/>
      <c r="G22" s="60"/>
      <c r="H22" s="60"/>
      <c r="I22" s="60"/>
      <c r="J22" s="60"/>
      <c r="K22" s="60"/>
      <c r="L22" s="60"/>
      <c r="M22" s="60"/>
    </row>
    <row r="23" ht="24" customHeight="1">
      <c r="A23" s="60"/>
      <c r="B23" s="60"/>
      <c r="C23" s="60"/>
      <c r="G23" s="60"/>
      <c r="H23" s="60"/>
      <c r="I23" s="60"/>
      <c r="J23" s="60"/>
      <c r="K23" s="60"/>
      <c r="L23" s="60"/>
      <c r="M23" s="60"/>
    </row>
    <row r="24" ht="24" customHeight="1">
      <c r="A24" s="60"/>
      <c r="B24" s="60"/>
      <c r="C24" s="60"/>
      <c r="G24" s="60"/>
      <c r="H24" s="60"/>
      <c r="I24" s="60"/>
      <c r="J24" s="60"/>
      <c r="K24" s="60"/>
      <c r="L24" s="60"/>
      <c r="M24" s="60"/>
    </row>
    <row r="25" ht="24" customHeight="1">
      <c r="A25" s="60"/>
      <c r="B25" s="60"/>
      <c r="C25" s="60"/>
      <c r="G25" s="60"/>
      <c r="H25" s="60"/>
      <c r="I25" s="60"/>
      <c r="J25" s="60"/>
      <c r="K25" s="60"/>
      <c r="L25" s="60"/>
      <c r="M25" s="60"/>
    </row>
    <row r="26" ht="24" customHeight="1">
      <c r="A26" s="60"/>
      <c r="B26" s="60"/>
      <c r="C26" s="60"/>
      <c r="G26" s="60"/>
      <c r="H26" s="60"/>
      <c r="I26" s="60"/>
      <c r="J26" s="60"/>
      <c r="K26" s="60"/>
      <c r="L26" s="60"/>
      <c r="M26" s="60"/>
    </row>
    <row r="27" ht="24" customHeight="1">
      <c r="A27" s="60"/>
      <c r="B27" s="60"/>
      <c r="C27" s="60"/>
      <c r="G27" s="60"/>
      <c r="H27" s="60"/>
      <c r="I27" s="60"/>
      <c r="J27" s="60"/>
      <c r="K27" s="60"/>
      <c r="L27" s="60"/>
      <c r="M27" s="60"/>
    </row>
    <row r="28" ht="24" customHeight="1">
      <c r="A28" s="60"/>
      <c r="B28" s="60"/>
      <c r="C28" s="60"/>
      <c r="G28" s="60"/>
      <c r="H28" s="60"/>
      <c r="I28" s="60"/>
      <c r="J28" s="60"/>
      <c r="K28" s="60"/>
      <c r="L28" s="60"/>
      <c r="M28" s="60"/>
    </row>
    <row r="29" ht="24" customHeight="1">
      <c r="A29" s="60"/>
      <c r="B29" s="60"/>
      <c r="C29" s="60"/>
      <c r="G29" s="60"/>
      <c r="H29" s="60"/>
      <c r="I29" s="60"/>
      <c r="J29" s="60"/>
      <c r="K29" s="60"/>
      <c r="L29" s="60"/>
      <c r="M29" s="60"/>
    </row>
    <row r="30" ht="24" customHeight="1">
      <c r="A30" s="60"/>
      <c r="B30" s="60"/>
      <c r="C30" s="60"/>
      <c r="G30" s="60"/>
      <c r="H30" s="60"/>
      <c r="I30" s="60"/>
      <c r="J30" s="60"/>
      <c r="K30" s="60"/>
      <c r="L30" s="60"/>
      <c r="M30" s="60"/>
    </row>
    <row r="31" ht="24" customHeight="1">
      <c r="A31" s="60"/>
      <c r="B31" s="60"/>
      <c r="C31" s="60"/>
      <c r="G31" s="60"/>
      <c r="H31" s="60"/>
      <c r="I31" s="60"/>
      <c r="J31" s="60"/>
      <c r="K31" s="60"/>
      <c r="L31" s="60"/>
      <c r="M31" s="60"/>
    </row>
    <row r="32" ht="24" customHeight="1">
      <c r="A32" s="60"/>
      <c r="B32" s="60"/>
      <c r="C32" s="60"/>
      <c r="G32" s="60"/>
      <c r="H32" s="60"/>
      <c r="I32" s="60"/>
      <c r="J32" s="60"/>
      <c r="K32" s="60"/>
      <c r="L32" s="60"/>
      <c r="M32" s="60"/>
    </row>
  </sheetData>
  <sheetProtection sheet="1" objects="1" scenarios="1" autoFilter="0" sort="0" selectLockedCells="0" selectUnlockedCells="0"/>
  <conditionalFormatting sqref="K7:K11">
    <cfRule type="containsText" dxfId="4" priority="1" operator="containsText" text="open"/>
    <cfRule type="containsText" dxfId="5" priority="2" operator="containsText" text="blocked"/>
  </conditionalFormatting>
  <conditionalFormatting sqref="D7:D11">
    <cfRule type="containsBlanks" dxfId="16" priority="3"/>
  </conditionalFormatting>
  <conditionalFormatting sqref="E7:E11">
    <cfRule type="containsBlanks" dxfId="16" priority="3"/>
  </conditionalFormatting>
  <conditionalFormatting sqref="F7:F11">
    <cfRule type="containsBlanks" dxfId="17" priority="4"/>
  </conditionalFormatting>
  <dataValidations count="1">
    <dataValidation type="list" sqref="K7:K11">
      <formula1>"approved,open,blocked"</formula1>
    </dataValidation>
  </dataValidations>
  <pageMargins left="0.7" right="0.7" top="0.75" bottom="0.75" header="0.3" footer="0.3"/>
  <tableParts count="1">
    <tablePart ns1:id="R99563abf19104c2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66" hidden="0" customWidth="1"/>
    <col min="4" max="4" width="39" hidden="0" customWidth="1"/>
    <col min="5" max="5" width="28" hidden="0" customWidth="1"/>
    <col min="6" max="6" width="17" hidden="0" customWidth="1"/>
    <col min="7" max="7" width="17" hidden="0" customWidth="1"/>
    <col min="8" max="8" width="59" hidden="0" customWidth="1"/>
    <col min="9" max="9" width="16" hidden="0" customWidth="1"/>
    <col min="10" max="10" width="41" hidden="0" customWidth="1"/>
    <col min="11" max="11" width="90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Rechtsgrundlagen und amtliche Quellen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Quellen-IDs sind stabil. Originalstand, Abruf und Fachfreigabe sind verschiedene Angaben.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Quellen-ID</v>
      </c>
      <c r="B6" s="68" t="str">
        <v>Gemeinwesen</v>
      </c>
      <c r="C6" s="68" t="str">
        <v>Erlass / Quelle</v>
      </c>
      <c r="D6" s="68" t="str">
        <v>Fundstelle</v>
      </c>
      <c r="E6" s="68" t="str">
        <v>Amtlicher Link</v>
      </c>
      <c r="F6" s="68" t="str">
        <v>Fassungsstand</v>
      </c>
      <c r="G6" s="68" t="str">
        <v>Abgerufen</v>
      </c>
      <c r="H6" s="68" t="str">
        <v>Prüfhinweis</v>
      </c>
      <c r="I6" s="68" t="str">
        <v>Fachstatus</v>
      </c>
      <c r="J6" s="68" t="str">
        <v>Frühere Freigabebasis</v>
      </c>
      <c r="K6" s="68" t="str">
        <v>URL (Original)</v>
      </c>
    </row>
    <row r="7" ht="38" customHeight="1">
      <c r="A7" s="71" t="str">
        <v>SRC-BUNDESFEIERTAG-19940701</v>
      </c>
      <c r="B7" s="71" t="str">
        <v>CH</v>
      </c>
      <c r="C7" s="71" t="str">
        <v>Verordnung über den Bundesfeiertag, SR 116</v>
      </c>
      <c r="D7" s="71" t="str">
        <v>SR 116, Art. 1</v>
      </c>
      <c r="E7" s="89" t="str">
        <v>Amtliche Quelle öffnen</v>
      </c>
      <c r="F7" s="70" t="n">
        <v>34516</v>
      </c>
      <c r="G7" s="70" t="n">
        <v>46278</v>
      </c>
      <c r="H7" s="71" t="str">
        <v>Originaltext geöffnet</v>
      </c>
      <c r="I7" s="71" t="str">
        <v>approved</v>
      </c>
      <c r="J7" s="71" t="str">
        <v>2026-08-31-mvp-03-approved.1</v>
      </c>
      <c r="K7" s="71" t="str">
        <v>https://www.fedlex.admin.ch/eli/cc/1994/1340_1340_1340/de</v>
      </c>
    </row>
    <row r="8" ht="38" customHeight="1">
      <c r="A8" s="74" t="str">
        <v>SRC-FRG-BE-20210401</v>
      </c>
      <c r="B8" s="74" t="str">
        <v>CH-BE</v>
      </c>
      <c r="C8" s="74" t="str">
        <v>Gesetz über die Ruhe an öffentlichen Feiertagen, BSG 555.1</v>
      </c>
      <c r="D8" s="74" t="str">
        <v>BSG 555.1, Art. 2</v>
      </c>
      <c r="E8" s="90" t="str">
        <v>Amtliche Quelle öffnen</v>
      </c>
      <c r="F8" s="73" t="n">
        <v>44287</v>
      </c>
      <c r="G8" s="73" t="n">
        <v>46278</v>
      </c>
      <c r="H8" s="74" t="str">
        <v>Originaltext geöffnet</v>
      </c>
      <c r="I8" s="74" t="str">
        <v>approved</v>
      </c>
      <c r="J8" s="74" t="str">
        <v>2026-08-31-mvp-03-approved.1</v>
      </c>
      <c r="K8" s="74" t="str">
        <v>https://www.belex.sites.be.ch/app/de/texts_of_law/555.1</v>
      </c>
    </row>
    <row r="9" ht="38" customHeight="1">
      <c r="A9" s="71" t="str">
        <v>SRC-AG-EGARR-20250901</v>
      </c>
      <c r="B9" s="76" t="str">
        <v>CH-AG</v>
      </c>
      <c r="C9" s="76" t="str">
        <v>Einführungsgesetz zum Arbeitsrecht</v>
      </c>
      <c r="D9" s="76" t="str">
        <v>SAR 961.200, § 6</v>
      </c>
      <c r="E9" s="89" t="str">
        <v>Amtliche Quelle öffnen</v>
      </c>
      <c r="F9" s="85" t="n">
        <v>45901</v>
      </c>
      <c r="G9" s="85" t="n">
        <v>46278</v>
      </c>
      <c r="H9" s="76" t="str">
        <v>Amtliche Fassung geprüft, Fachabnahme offen</v>
      </c>
      <c r="I9" s="76" t="str">
        <v>open</v>
      </c>
      <c r="J9" s="76"/>
      <c r="K9" s="71" t="str">
        <v>https://gesetzessammlungen.ag.ch/app/de/texts_of_law/961.200</v>
      </c>
    </row>
    <row r="10" ht="38" customHeight="1">
      <c r="A10" s="74" t="str">
        <v>SRC-AG-EGZPO</v>
      </c>
      <c r="B10" s="78" t="str">
        <v>CH-AG</v>
      </c>
      <c r="C10" s="78" t="str">
        <v>Einführungsgesetz zur Schweizerischen Zivilprozessordnung</v>
      </c>
      <c r="D10" s="78" t="str">
        <v>SAR 221.200, § 21 Abs. 1</v>
      </c>
      <c r="E10" s="90" t="str">
        <v>Amtliche Quelle öffnen</v>
      </c>
      <c r="F10" s="87" t="n">
        <v>44562</v>
      </c>
      <c r="G10" s="87" t="n">
        <v>46278</v>
      </c>
      <c r="H10" s="78" t="str">
        <v>Verfahrensbezogene Abgrenzung, Fachabnahme offen</v>
      </c>
      <c r="I10" s="78" t="str">
        <v>open</v>
      </c>
      <c r="J10" s="78"/>
      <c r="K10" s="74" t="str">
        <v>https://gesetzessammlungen.ag.ch/app/de/texts_of_law/221.200</v>
      </c>
    </row>
    <row r="11" ht="38" customHeight="1">
      <c r="A11" s="71" t="str">
        <v>SRC-BJ-FRISTENHINWEISE-20121217</v>
      </c>
      <c r="B11" s="76" t="str">
        <v>CH</v>
      </c>
      <c r="C11" s="76" t="str">
        <v>Hinweise zum Verzeichnis gesetzlicher Feiertage und gleichgestellter Tage</v>
      </c>
      <c r="D11" s="76" t="str">
        <v>Ziff. 1–3, Stand 17.12.2012</v>
      </c>
      <c r="E11" s="89" t="str">
        <v>Amtliche Quelle öffnen</v>
      </c>
      <c r="F11" s="85" t="n">
        <v>41260</v>
      </c>
      <c r="G11" s="85" t="n">
        <v>46278</v>
      </c>
      <c r="H11" s="76" t="str">
        <v>Methodische Abgrenzung, keine aktuelle Feiertagsvollerhebung</v>
      </c>
      <c r="I11" s="76" t="str">
        <v>open</v>
      </c>
      <c r="J11" s="76"/>
      <c r="K11" s="71" t="str">
        <v>https://www.bj.admin.ch/dam/bj/de/data/publiservice/service/zivilprozessrecht/hinweise-kant-feiertage-d.pdf.download.pdf/hinweise-kant-feiertage-d.pdf</v>
      </c>
    </row>
    <row r="12" ht="24" customHeight="1">
      <c r="A12" s="60"/>
      <c r="B12" s="91"/>
      <c r="C12" s="91"/>
      <c r="D12" s="91"/>
      <c r="E12" s="60"/>
      <c r="F12" s="91"/>
      <c r="G12" s="91"/>
      <c r="H12" s="91"/>
      <c r="I12" s="91"/>
      <c r="J12" s="91"/>
      <c r="K12" s="60"/>
    </row>
    <row r="13" ht="24" customHeight="1">
      <c r="A13" s="60"/>
      <c r="B13" s="91"/>
      <c r="C13" s="91"/>
      <c r="D13" s="91"/>
      <c r="E13" s="60"/>
      <c r="F13" s="91"/>
      <c r="G13" s="91"/>
      <c r="H13" s="91"/>
      <c r="I13" s="91"/>
      <c r="J13" s="91"/>
      <c r="K13" s="60"/>
    </row>
    <row r="14" ht="24" customHeight="1">
      <c r="A14" s="60"/>
      <c r="B14" s="91"/>
      <c r="C14" s="91"/>
      <c r="D14" s="91"/>
      <c r="E14" s="60"/>
      <c r="F14" s="91"/>
      <c r="G14" s="91"/>
      <c r="H14" s="91"/>
      <c r="I14" s="91"/>
      <c r="J14" s="91"/>
      <c r="K14" s="60"/>
    </row>
    <row r="15" ht="24" customHeight="1">
      <c r="A15" s="60"/>
      <c r="B15" s="91"/>
      <c r="C15" s="91"/>
      <c r="D15" s="91"/>
      <c r="E15" s="60"/>
      <c r="F15" s="91"/>
      <c r="G15" s="91"/>
      <c r="H15" s="91"/>
      <c r="I15" s="91"/>
      <c r="J15" s="91"/>
      <c r="K15" s="60"/>
    </row>
    <row r="16" ht="24" customHeight="1">
      <c r="A16" s="60"/>
      <c r="B16" s="91"/>
      <c r="C16" s="91"/>
      <c r="D16" s="91"/>
      <c r="E16" s="60"/>
      <c r="F16" s="91"/>
      <c r="G16" s="91"/>
      <c r="H16" s="91"/>
      <c r="I16" s="91"/>
      <c r="J16" s="91"/>
      <c r="K16" s="60"/>
    </row>
    <row r="17" ht="24" customHeight="1">
      <c r="A17" s="60"/>
      <c r="B17" s="91"/>
      <c r="C17" s="91"/>
      <c r="D17" s="91"/>
      <c r="E17" s="60"/>
      <c r="F17" s="91"/>
      <c r="G17" s="91"/>
      <c r="H17" s="91"/>
      <c r="I17" s="91"/>
      <c r="J17" s="91"/>
      <c r="K17" s="60"/>
    </row>
    <row r="18" ht="24" customHeight="1">
      <c r="A18" s="60"/>
      <c r="B18" s="91"/>
      <c r="C18" s="91"/>
      <c r="D18" s="91"/>
      <c r="E18" s="60"/>
      <c r="F18" s="91"/>
      <c r="G18" s="91"/>
      <c r="H18" s="91"/>
      <c r="I18" s="91"/>
      <c r="J18" s="91"/>
      <c r="K18" s="60"/>
    </row>
    <row r="19" ht="24" customHeight="1">
      <c r="A19" s="60"/>
      <c r="B19" s="91"/>
      <c r="C19" s="91"/>
      <c r="D19" s="91"/>
      <c r="E19" s="60"/>
      <c r="F19" s="91"/>
      <c r="G19" s="91"/>
      <c r="H19" s="91"/>
      <c r="I19" s="91"/>
      <c r="J19" s="91"/>
      <c r="K19" s="60"/>
    </row>
    <row r="20" ht="24" customHeight="1">
      <c r="A20" s="60"/>
      <c r="B20" s="91"/>
      <c r="C20" s="91"/>
      <c r="D20" s="91"/>
      <c r="E20" s="60"/>
      <c r="F20" s="91"/>
      <c r="G20" s="91"/>
      <c r="H20" s="91"/>
      <c r="I20" s="91"/>
      <c r="J20" s="91"/>
      <c r="K20" s="60"/>
    </row>
    <row r="21" ht="24" customHeight="1">
      <c r="A21" s="60"/>
      <c r="B21" s="91"/>
      <c r="C21" s="91"/>
      <c r="D21" s="91"/>
      <c r="E21" s="60"/>
      <c r="F21" s="91"/>
      <c r="G21" s="91"/>
      <c r="H21" s="91"/>
      <c r="I21" s="91"/>
      <c r="J21" s="91"/>
      <c r="K21" s="60"/>
    </row>
    <row r="22" ht="24" customHeight="1">
      <c r="A22" s="60"/>
      <c r="B22" s="91"/>
      <c r="C22" s="91"/>
      <c r="D22" s="91"/>
      <c r="E22" s="60"/>
      <c r="F22" s="91"/>
      <c r="G22" s="91"/>
      <c r="H22" s="91"/>
      <c r="I22" s="91"/>
      <c r="J22" s="91"/>
      <c r="K22" s="60"/>
    </row>
    <row r="23" ht="24" customHeight="1">
      <c r="A23" s="60"/>
      <c r="B23" s="91"/>
      <c r="C23" s="91"/>
      <c r="D23" s="91"/>
      <c r="E23" s="60"/>
      <c r="F23" s="91"/>
      <c r="G23" s="91"/>
      <c r="H23" s="91"/>
      <c r="I23" s="91"/>
      <c r="J23" s="91"/>
      <c r="K23" s="60"/>
    </row>
    <row r="24" ht="24" customHeight="1">
      <c r="A24" s="60"/>
      <c r="B24" s="91"/>
      <c r="C24" s="91"/>
      <c r="D24" s="91"/>
      <c r="E24" s="60"/>
      <c r="F24" s="91"/>
      <c r="G24" s="91"/>
      <c r="H24" s="91"/>
      <c r="I24" s="91"/>
      <c r="J24" s="91"/>
      <c r="K24" s="60"/>
    </row>
    <row r="25" ht="24" customHeight="1">
      <c r="A25" s="60"/>
      <c r="B25" s="91"/>
      <c r="C25" s="91"/>
      <c r="D25" s="91"/>
      <c r="E25" s="60"/>
      <c r="F25" s="91"/>
      <c r="G25" s="91"/>
      <c r="H25" s="91"/>
      <c r="I25" s="91"/>
      <c r="J25" s="91"/>
      <c r="K25" s="60"/>
    </row>
    <row r="26" ht="24" customHeight="1">
      <c r="A26" s="60"/>
      <c r="B26" s="91"/>
      <c r="C26" s="91"/>
      <c r="D26" s="91"/>
      <c r="E26" s="60"/>
      <c r="F26" s="91"/>
      <c r="G26" s="91"/>
      <c r="H26" s="91"/>
      <c r="I26" s="91"/>
      <c r="J26" s="91"/>
      <c r="K26" s="60"/>
    </row>
    <row r="27" ht="24" customHeight="1">
      <c r="A27" s="60"/>
      <c r="B27" s="91"/>
      <c r="C27" s="91"/>
      <c r="D27" s="91"/>
      <c r="E27" s="60"/>
      <c r="F27" s="91"/>
      <c r="G27" s="91"/>
      <c r="H27" s="91"/>
      <c r="I27" s="91"/>
      <c r="J27" s="91"/>
      <c r="K27" s="60"/>
    </row>
    <row r="28" ht="24" customHeight="1">
      <c r="A28" s="60"/>
      <c r="B28" s="91"/>
      <c r="C28" s="91"/>
      <c r="D28" s="91"/>
      <c r="E28" s="60"/>
      <c r="F28" s="91"/>
      <c r="G28" s="91"/>
      <c r="H28" s="91"/>
      <c r="I28" s="91"/>
      <c r="J28" s="91"/>
      <c r="K28" s="60"/>
    </row>
    <row r="29" ht="24" customHeight="1">
      <c r="A29" s="60"/>
      <c r="B29" s="91"/>
      <c r="C29" s="91"/>
      <c r="D29" s="91"/>
      <c r="E29" s="60"/>
      <c r="F29" s="91"/>
      <c r="G29" s="91"/>
      <c r="H29" s="91"/>
      <c r="I29" s="91"/>
      <c r="J29" s="91"/>
      <c r="K29" s="60"/>
    </row>
    <row r="30" ht="24" customHeight="1">
      <c r="A30" s="60"/>
      <c r="B30" s="91"/>
      <c r="C30" s="91"/>
      <c r="D30" s="91"/>
      <c r="E30" s="60"/>
      <c r="F30" s="91"/>
      <c r="G30" s="91"/>
      <c r="H30" s="91"/>
      <c r="I30" s="91"/>
      <c r="J30" s="91"/>
      <c r="K30" s="60"/>
    </row>
    <row r="31" ht="24" customHeight="1">
      <c r="A31" s="60"/>
      <c r="B31" s="91"/>
      <c r="C31" s="91"/>
      <c r="D31" s="91"/>
      <c r="E31" s="60"/>
      <c r="F31" s="91"/>
      <c r="G31" s="91"/>
      <c r="H31" s="91"/>
      <c r="I31" s="91"/>
      <c r="J31" s="91"/>
      <c r="K31" s="60"/>
    </row>
    <row r="32" ht="24" customHeight="1">
      <c r="A32" s="60"/>
      <c r="B32" s="91"/>
      <c r="C32" s="91"/>
      <c r="D32" s="91"/>
      <c r="E32" s="60"/>
      <c r="F32" s="91"/>
      <c r="G32" s="91"/>
      <c r="H32" s="91"/>
      <c r="I32" s="91"/>
      <c r="J32" s="91"/>
      <c r="K32" s="60"/>
    </row>
  </sheetData>
  <sheetProtection sheet="1" objects="1" scenarios="1" autoFilter="0" sort="0" selectLockedCells="0" selectUnlockedCells="0"/>
  <conditionalFormatting sqref="I7:I11">
    <cfRule type="containsText" dxfId="6" priority="1" operator="containsText" text="open"/>
    <cfRule type="containsText" dxfId="7" priority="2" operator="containsText" text="blocked"/>
  </conditionalFormatting>
  <dataValidations count="1">
    <dataValidation type="list" sqref="I7:I11">
      <formula1>"approved,open,blocked"</formula1>
    </dataValidation>
  </dataValidations>
  <hyperlinks>
    <hyperlink ref="E7" ns1:id="ap18Hyperlink1"/>
    <hyperlink ref="E8" ns1:id="ap18Hyperlink2"/>
    <hyperlink ref="E9" ns1:id="ap18Hyperlink3"/>
    <hyperlink ref="E10" ns1:id="ap18Hyperlink4"/>
    <hyperlink ref="E11" ns1:id="ap18Hyperlink5"/>
  </hyperlinks>
  <pageMargins left="0.7" right="0.7" top="0.75" bottom="0.75" header="0.3" footer="0.3"/>
  <tableParts count="1">
    <tablePart ns1:id="Rd26ebe63f2594f1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28" hidden="0" customWidth="1"/>
    <col min="2" max="2" width="31" hidden="0" customWidth="1"/>
    <col min="3" max="3" width="29" hidden="0" customWidth="1"/>
    <col min="4" max="4" width="42" hidden="0" customWidth="1"/>
    <col min="5" max="5" width="65" hidden="0" customWidth="1"/>
    <col min="6" max="6" width="49" hidden="0" customWidth="1"/>
    <col min="7" max="7" width="16" hidden="0" customWidth="1"/>
    <col min="8" max="8" width="41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Sachliche und verfahrensrechtliche Zuordnung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7" t="str">
        <v>Ein arbeitsrechtlicher Feiertag ist nicht automatisch ein prozessualer Fristenverlängerungstag.</v>
      </c>
      <c r="B4" s="60"/>
      <c r="C4" s="60"/>
      <c r="D4" s="60"/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42" customHeight="1">
      <c r="A6" s="68" t="str">
        <v>Zuordnungs-ID</v>
      </c>
      <c r="B6" s="68" t="str">
        <v>Geltungs-ID</v>
      </c>
      <c r="C6" s="68" t="str">
        <v>Rechtskategorie</v>
      </c>
      <c r="D6" s="68" t="str">
        <v>Anwendungsbereich</v>
      </c>
      <c r="E6" s="68" t="str">
        <v>Wirkung / Grenze</v>
      </c>
      <c r="F6" s="68" t="str">
        <v>Norm / Referenz</v>
      </c>
      <c r="G6" s="68" t="str">
        <v>Fachstatus</v>
      </c>
      <c r="H6" s="68" t="str">
        <v>Freigabebasis</v>
      </c>
    </row>
    <row r="7" ht="38" customHeight="1">
      <c r="A7" s="71" t="str">
        <v>MAP-BE-PARITY</v>
      </c>
      <c r="B7" s="71" t="str">
        <v>BE-ALL</v>
      </c>
      <c r="C7" s="71" t="str">
        <v>publicHoliday</v>
      </c>
      <c r="D7" s="71" t="str">
        <v>MVP-0.3-Referenzprofile</v>
      </c>
      <c r="E7" s="71" t="str">
        <v>Bestehende Anknüpfung unverändert, keine neue Profilfreigabe</v>
      </c>
      <c r="F7" s="71" t="str">
        <v>Referenzrelease / jeweiliges Rechtsprofil</v>
      </c>
      <c r="G7" s="71" t="str">
        <v>approved</v>
      </c>
      <c r="H7" s="71" t="str">
        <v>2026-08-31-mvp-03-approved.1</v>
      </c>
    </row>
    <row r="8" ht="38" customHeight="1">
      <c r="A8" s="74" t="str">
        <v>MAP-CH-PARITY</v>
      </c>
      <c r="B8" s="74" t="str">
        <v>CH-ALL</v>
      </c>
      <c r="C8" s="74" t="str">
        <v>publicHoliday</v>
      </c>
      <c r="D8" s="74" t="str">
        <v>MVP-0.3-Referenzprofile</v>
      </c>
      <c r="E8" s="74" t="str">
        <v>Nur Bundesfeiertag vererben, keine kantonale Vollständigkeit ableiten</v>
      </c>
      <c r="F8" s="74" t="str">
        <v>SR 116 Art. 1 / Referenzrelease</v>
      </c>
      <c r="G8" s="74" t="str">
        <v>approved</v>
      </c>
      <c r="H8" s="74" t="str">
        <v>2026-08-31-mvp-03-approved.1</v>
      </c>
    </row>
    <row r="9" ht="38" customHeight="1">
      <c r="A9" s="71" t="str">
        <v>MAP-AG-LABOUR</v>
      </c>
      <c r="B9" s="71" t="str">
        <v>AG-ARG-BADEN</v>
      </c>
      <c r="C9" s="71" t="str">
        <v>labourLawHoliday</v>
      </c>
      <c r="D9" s="71" t="str">
        <v>Arbeitsrecht, nicht pauschal Fristenrecht</v>
      </c>
      <c r="E9" s="71" t="str">
        <v>Keine automatische Übernahme in Fristenrechner</v>
      </c>
      <c r="F9" s="71" t="str">
        <v>SAR 961.200 § 6 Abs. 1 Bst. b</v>
      </c>
      <c r="G9" s="71" t="str">
        <v>blocked</v>
      </c>
      <c r="H9" s="71"/>
    </row>
    <row r="10" ht="38" customHeight="1">
      <c r="A10" s="74" t="str">
        <v>MAP-AG-ZPO</v>
      </c>
      <c r="B10" s="74" t="str">
        <v>AG-ZPO-ALL</v>
      </c>
      <c r="C10" s="74" t="str">
        <v>proceduralEquivalentDay</v>
      </c>
      <c r="D10" s="74" t="str">
        <v>EG ZPO / konkrete Bundesprofile noch prüfen</v>
      </c>
      <c r="E10" s="74" t="str">
        <v>Genaue Verfahrensanknüpfung vor Export fachlich abnehmen</v>
      </c>
      <c r="F10" s="74" t="str">
        <v>SAR 221.200 § 21</v>
      </c>
      <c r="G10" s="74" t="str">
        <v>open</v>
      </c>
      <c r="H10" s="74"/>
    </row>
    <row r="11" ht="24" customHeight="1">
      <c r="A11" s="60"/>
      <c r="B11" s="60"/>
      <c r="C11" s="60"/>
      <c r="D11" s="60"/>
      <c r="E11" s="60"/>
      <c r="F11" s="60"/>
      <c r="G11" s="60"/>
      <c r="H11" s="60"/>
    </row>
    <row r="12" ht="24" customHeight="1">
      <c r="A12" s="60"/>
      <c r="B12" s="60"/>
      <c r="C12" s="60"/>
      <c r="D12" s="60"/>
      <c r="E12" s="60"/>
      <c r="F12" s="60"/>
      <c r="G12" s="60"/>
      <c r="H12" s="60"/>
    </row>
    <row r="13" ht="24" customHeight="1">
      <c r="A13" s="60"/>
      <c r="B13" s="60"/>
      <c r="C13" s="60"/>
      <c r="D13" s="60"/>
      <c r="E13" s="60"/>
      <c r="F13" s="60"/>
      <c r="G13" s="60"/>
      <c r="H13" s="60"/>
    </row>
    <row r="14" ht="24" customHeight="1">
      <c r="A14" s="60"/>
      <c r="B14" s="60"/>
      <c r="C14" s="60"/>
      <c r="D14" s="60"/>
      <c r="E14" s="60"/>
      <c r="F14" s="60"/>
      <c r="G14" s="60"/>
      <c r="H14" s="60"/>
    </row>
    <row r="15" ht="24" customHeight="1">
      <c r="A15" s="60"/>
      <c r="B15" s="60"/>
      <c r="C15" s="60"/>
      <c r="D15" s="60"/>
      <c r="E15" s="60"/>
      <c r="F15" s="60"/>
      <c r="G15" s="60"/>
      <c r="H15" s="60"/>
    </row>
    <row r="16" ht="24" customHeight="1">
      <c r="A16" s="60"/>
      <c r="B16" s="60"/>
      <c r="C16" s="60"/>
      <c r="D16" s="60"/>
      <c r="E16" s="60"/>
      <c r="F16" s="60"/>
      <c r="G16" s="60"/>
      <c r="H16" s="60"/>
    </row>
    <row r="17" ht="24" customHeight="1">
      <c r="A17" s="60"/>
      <c r="B17" s="60"/>
      <c r="C17" s="60"/>
      <c r="D17" s="60"/>
      <c r="E17" s="60"/>
      <c r="F17" s="60"/>
      <c r="G17" s="60"/>
      <c r="H17" s="60"/>
    </row>
    <row r="18" ht="24" customHeight="1">
      <c r="A18" s="60"/>
      <c r="B18" s="60"/>
      <c r="C18" s="60"/>
      <c r="D18" s="60"/>
      <c r="E18" s="60"/>
      <c r="F18" s="60"/>
      <c r="G18" s="60"/>
      <c r="H18" s="60"/>
    </row>
    <row r="19" ht="24" customHeight="1">
      <c r="A19" s="60"/>
      <c r="B19" s="60"/>
      <c r="C19" s="60"/>
      <c r="D19" s="60"/>
      <c r="E19" s="60"/>
      <c r="F19" s="60"/>
      <c r="G19" s="60"/>
      <c r="H19" s="60"/>
    </row>
    <row r="20" ht="24" customHeight="1">
      <c r="A20" s="60"/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0"/>
      <c r="B23" s="60"/>
      <c r="C23" s="60"/>
      <c r="D23" s="60"/>
      <c r="E23" s="60"/>
      <c r="F23" s="60"/>
      <c r="G23" s="60"/>
      <c r="H23" s="60"/>
    </row>
    <row r="24" ht="24" customHeight="1">
      <c r="A24" s="60"/>
      <c r="B24" s="60"/>
      <c r="C24" s="60"/>
      <c r="D24" s="60"/>
      <c r="E24" s="60"/>
      <c r="F24" s="60"/>
      <c r="G24" s="60"/>
      <c r="H24" s="60"/>
    </row>
    <row r="25" ht="24" customHeight="1">
      <c r="A25" s="60"/>
      <c r="B25" s="60"/>
      <c r="C25" s="60"/>
      <c r="D25" s="60"/>
      <c r="E25" s="60"/>
      <c r="F25" s="60"/>
      <c r="G25" s="60"/>
      <c r="H25" s="60"/>
    </row>
    <row r="26" ht="24" customHeight="1">
      <c r="A26" s="60"/>
      <c r="B26" s="60"/>
      <c r="C26" s="60"/>
      <c r="D26" s="60"/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/>
      <c r="B29" s="60"/>
      <c r="C29" s="60"/>
      <c r="D29" s="60"/>
      <c r="E29" s="60"/>
      <c r="F29" s="60"/>
      <c r="G29" s="60"/>
      <c r="H29" s="60"/>
    </row>
    <row r="30" ht="24" customHeight="1">
      <c r="A30" s="60"/>
      <c r="B30" s="60"/>
      <c r="C30" s="60"/>
      <c r="D30" s="60"/>
      <c r="E30" s="60"/>
      <c r="F30" s="60"/>
      <c r="G30" s="60"/>
      <c r="H30" s="60"/>
    </row>
    <row r="31" ht="24" customHeight="1">
      <c r="A31" s="60"/>
      <c r="B31" s="60"/>
      <c r="C31" s="60"/>
      <c r="D31" s="60"/>
      <c r="E31" s="60"/>
      <c r="F31" s="60"/>
      <c r="G31" s="60"/>
      <c r="H31" s="60"/>
    </row>
    <row r="32" ht="24" customHeight="1">
      <c r="A32" s="60"/>
      <c r="B32" s="60"/>
      <c r="C32" s="60"/>
      <c r="D32" s="60"/>
      <c r="E32" s="60"/>
      <c r="F32" s="60"/>
      <c r="G32" s="60"/>
      <c r="H32" s="60"/>
    </row>
  </sheetData>
  <sheetProtection sheet="1" objects="1" scenarios="1" autoFilter="0" sort="0" selectLockedCells="0" selectUnlockedCells="0"/>
  <conditionalFormatting sqref="G7:G10">
    <cfRule type="containsText" dxfId="8" priority="1" operator="containsText" text="open"/>
    <cfRule type="containsText" dxfId="9" priority="2" operator="containsText" text="blocked"/>
  </conditionalFormatting>
  <dataValidations count="1">
    <dataValidation type="list" sqref="G7:G10">
      <formula1>"approved,open,blocked"</formula1>
    </dataValidation>
  </dataValidations>
  <pageMargins left="0.7" right="0.7" top="0.75" bottom="0.75" header="0.3" footer="0.3"/>
  <tableParts count="1">
    <tablePart ns1:id="R530b41eeba0841d4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42" hidden="0" customWidth="1"/>
    <col min="3" max="3" width="17" hidden="0" customWidth="1"/>
    <col min="4" max="4" width="17" hidden="0" customWidth="1"/>
    <col min="5" max="5" width="18" hidden="0" customWidth="1"/>
    <col min="6" max="6" width="41" hidden="0" customWidth="1"/>
    <col min="7" max="7" width="65" hidden="0" customWidth="1"/>
    <col min="8" max="8" width="18" hidden="0" customWidth="1"/>
    <col min="9" max="9" width="25" hidden="0" customWidth="1"/>
    <col min="10" max="10" width="20" hidden="0" customWidth="1"/>
    <col min="11" max="11" width="47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Quellenprüfung nach AP13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Vorbereitete Prüfnotizen, keine Erweiterung des freigegebenen append-only-Protokolls.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Prüf-ID</v>
      </c>
      <c r="B6" s="68" t="str">
        <v>Quellen-ID</v>
      </c>
      <c r="C6" s="68" t="str">
        <v>Auslöser</v>
      </c>
      <c r="D6" s="68" t="str">
        <v>Datum</v>
      </c>
      <c r="E6" s="68" t="str">
        <v>Ergebnis</v>
      </c>
      <c r="F6" s="68" t="str">
        <v>Vergleichsbasis</v>
      </c>
      <c r="G6" s="68" t="str">
        <v>Befund</v>
      </c>
      <c r="H6" s="68" t="str">
        <v>Ereignisstatus</v>
      </c>
      <c r="I6" s="68" t="str">
        <v>Fachverantwortung</v>
      </c>
      <c r="J6" s="68" t="str">
        <v>Arbeitsinstrument</v>
      </c>
      <c r="K6" s="68" t="str">
        <v>Nächster Schritt</v>
      </c>
    </row>
    <row r="7" ht="38" customHeight="1">
      <c r="A7" s="71" t="str">
        <v>AP18A-20260913-CH</v>
      </c>
      <c r="B7" s="76" t="str">
        <v>SRC-BUNDESFEIERTAG-19940701</v>
      </c>
      <c r="C7" s="76" t="str">
        <v>newScope</v>
      </c>
      <c r="D7" s="85" t="n">
        <v>46278</v>
      </c>
      <c r="E7" s="76" t="str">
        <v>unchanged</v>
      </c>
      <c r="F7" s="76" t="str">
        <v>2026-08-31-mvp-03-approved.1</v>
      </c>
      <c r="G7" s="76" t="str">
        <v>Art. 1 und aktuelle Fassung im Original verglichen</v>
      </c>
      <c r="H7" s="76" t="str">
        <v>candidate</v>
      </c>
      <c r="I7" s="76" t="str">
        <v>David Steimer</v>
      </c>
      <c r="J7" s="76" t="str">
        <v>Codex</v>
      </c>
      <c r="K7" s="76" t="str">
        <v>Prüfereignis fachlich abnehmen</v>
      </c>
    </row>
    <row r="8" ht="38" customHeight="1">
      <c r="A8" s="74" t="str">
        <v>AP18A-20260913-BE</v>
      </c>
      <c r="B8" s="78" t="str">
        <v>SRC-FRG-BE-20210401</v>
      </c>
      <c r="C8" s="78" t="str">
        <v>newScope</v>
      </c>
      <c r="D8" s="87" t="n">
        <v>46278</v>
      </c>
      <c r="E8" s="78" t="str">
        <v>unchanged</v>
      </c>
      <c r="F8" s="78" t="str">
        <v>2026-08-31-mvp-03-approved.1</v>
      </c>
      <c r="G8" s="78" t="str">
        <v>Art. 2 und aktuelle Fassung im Original verglichen</v>
      </c>
      <c r="H8" s="78" t="str">
        <v>candidate</v>
      </c>
      <c r="I8" s="78" t="str">
        <v>David Steimer</v>
      </c>
      <c r="J8" s="78" t="str">
        <v>Codex</v>
      </c>
      <c r="K8" s="78" t="str">
        <v>Prüfereignis fachlich abnehmen</v>
      </c>
    </row>
    <row r="9" ht="38" customHeight="1">
      <c r="A9" s="71" t="str">
        <v>AP18A-20260913-AG</v>
      </c>
      <c r="B9" s="76" t="str">
        <v>SRC-AG-EGARR-20250901</v>
      </c>
      <c r="C9" s="76" t="str">
        <v>newScope</v>
      </c>
      <c r="D9" s="85" t="n">
        <v>46278</v>
      </c>
      <c r="E9" s="76" t="str">
        <v>unclear</v>
      </c>
      <c r="F9" s="76"/>
      <c r="G9" s="76" t="str">
        <v>Regionale Arbeitsfeiertage sind kein generischer Fristenkalender</v>
      </c>
      <c r="H9" s="76" t="str">
        <v>candidate</v>
      </c>
      <c r="I9" s="76" t="str">
        <v>David Steimer</v>
      </c>
      <c r="J9" s="76" t="str">
        <v>Codex</v>
      </c>
      <c r="K9" s="76" t="str">
        <v>AG-Fristenanknüpfung separat prüfen</v>
      </c>
    </row>
    <row r="10" ht="38" customHeight="1">
      <c r="A10" s="74" t="str">
        <v>AP18A-20260913-AG-ZPO</v>
      </c>
      <c r="B10" s="78" t="str">
        <v>SRC-AG-EGZPO</v>
      </c>
      <c r="C10" s="78" t="str">
        <v>newScope</v>
      </c>
      <c r="D10" s="87" t="n">
        <v>46278</v>
      </c>
      <c r="E10" s="78" t="str">
        <v>unclear</v>
      </c>
      <c r="F10" s="78"/>
      <c r="G10" s="78" t="str">
        <v>Prozessuale Liste getrennt von regionalem Arbeitsrecht führen</v>
      </c>
      <c r="H10" s="78" t="str">
        <v>candidate</v>
      </c>
      <c r="I10" s="78" t="str">
        <v>David Steimer</v>
      </c>
      <c r="J10" s="78" t="str">
        <v>Codex</v>
      </c>
      <c r="K10" s="78" t="str">
        <v>Anwendungsbereich und Quellenstand abnehmen</v>
      </c>
    </row>
    <row r="11" ht="24" customHeight="1">
      <c r="A11" s="60"/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2" ht="24" customHeight="1">
      <c r="A12" s="60"/>
      <c r="B12" s="91"/>
      <c r="C12" s="91"/>
      <c r="D12" s="91"/>
      <c r="E12" s="91"/>
      <c r="F12" s="91"/>
      <c r="G12" s="91"/>
      <c r="H12" s="91"/>
      <c r="I12" s="91"/>
      <c r="J12" s="91"/>
      <c r="K12" s="91"/>
    </row>
    <row r="13" ht="24" customHeight="1">
      <c r="A13" s="60"/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4" ht="24" customHeight="1">
      <c r="A14" s="60"/>
      <c r="B14" s="91"/>
      <c r="C14" s="91"/>
      <c r="D14" s="91"/>
      <c r="E14" s="91"/>
      <c r="F14" s="91"/>
      <c r="G14" s="91"/>
      <c r="H14" s="91"/>
      <c r="I14" s="91"/>
      <c r="J14" s="91"/>
      <c r="K14" s="91"/>
    </row>
    <row r="15" ht="24" customHeight="1">
      <c r="A15" s="60"/>
      <c r="B15" s="91"/>
      <c r="C15" s="91"/>
      <c r="D15" s="91"/>
      <c r="E15" s="91"/>
      <c r="F15" s="91"/>
      <c r="G15" s="91"/>
      <c r="H15" s="91"/>
      <c r="I15" s="91"/>
      <c r="J15" s="91"/>
      <c r="K15" s="91"/>
    </row>
    <row r="16" ht="24" customHeight="1">
      <c r="A16" s="60"/>
      <c r="B16" s="91"/>
      <c r="C16" s="91"/>
      <c r="D16" s="91"/>
      <c r="E16" s="91"/>
      <c r="F16" s="91"/>
      <c r="G16" s="91"/>
      <c r="H16" s="91"/>
      <c r="I16" s="91"/>
      <c r="J16" s="91"/>
      <c r="K16" s="91"/>
    </row>
    <row r="17" ht="24" customHeight="1">
      <c r="A17" s="60"/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8" ht="24" customHeight="1">
      <c r="A18" s="60"/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ht="24" customHeight="1">
      <c r="A19" s="60"/>
      <c r="B19" s="91"/>
      <c r="C19" s="91"/>
      <c r="D19" s="91"/>
      <c r="E19" s="91"/>
      <c r="F19" s="91"/>
      <c r="G19" s="91"/>
      <c r="H19" s="91"/>
      <c r="I19" s="91"/>
      <c r="J19" s="91"/>
      <c r="K19" s="91"/>
    </row>
    <row r="20" ht="24" customHeight="1">
      <c r="A20" s="60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ht="24" customHeight="1">
      <c r="A21" s="60"/>
      <c r="B21" s="91"/>
      <c r="C21" s="91"/>
      <c r="D21" s="91"/>
      <c r="E21" s="91"/>
      <c r="F21" s="91"/>
      <c r="G21" s="91"/>
      <c r="H21" s="91"/>
      <c r="I21" s="91"/>
      <c r="J21" s="91"/>
      <c r="K21" s="91"/>
    </row>
    <row r="22" ht="24" customHeight="1">
      <c r="A22" s="60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24" customHeight="1">
      <c r="A23" s="60"/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ht="24" customHeight="1">
      <c r="A24" s="60"/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ht="24" customHeight="1">
      <c r="A25" s="60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ht="24" customHeight="1">
      <c r="A26" s="60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ht="24" customHeight="1">
      <c r="A27" s="60"/>
      <c r="B27" s="91"/>
      <c r="C27" s="91"/>
      <c r="D27" s="91"/>
      <c r="E27" s="91"/>
      <c r="F27" s="91"/>
      <c r="G27" s="91"/>
      <c r="H27" s="91"/>
      <c r="I27" s="91"/>
      <c r="J27" s="91"/>
      <c r="K27" s="91"/>
    </row>
    <row r="28" ht="24" customHeight="1">
      <c r="A28" s="60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24" customHeight="1">
      <c r="A29" s="60"/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ht="24" customHeight="1">
      <c r="A30" s="60"/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ht="24" customHeight="1">
      <c r="A31" s="60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ht="24" customHeight="1">
      <c r="A32" s="60"/>
      <c r="B32" s="91"/>
      <c r="C32" s="91"/>
      <c r="D32" s="91"/>
      <c r="E32" s="91"/>
      <c r="F32" s="91"/>
      <c r="G32" s="91"/>
      <c r="H32" s="91"/>
      <c r="I32" s="91"/>
      <c r="J32" s="91"/>
      <c r="K32" s="91"/>
    </row>
  </sheetData>
  <sheetProtection sheet="1" objects="1" scenarios="1" autoFilter="0" sort="0" selectLockedCells="0" selectUnlockedCells="0"/>
  <dataValidations count="2">
    <dataValidation type="list" sqref="E7:E10">
      <formula1>"unchanged,changed,unclear,unavailable"</formula1>
    </dataValidation>
    <dataValidation type="list" sqref="H7:H10">
      <formula1>"candidate,approved,withdrawn"</formula1>
    </dataValidation>
  </dataValidations>
  <pageMargins left="0.7" right="0.7" top="0.75" bottom="0.75" header="0.3" footer="0.3"/>
  <tableParts count="1">
    <tablePart ns1:id="R8780e029f2f441fb"/>
  </tableParts>
</worksheet>
</file>