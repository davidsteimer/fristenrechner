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e2010d1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a790fcff39084b1a"/>
    <x:sheet xmlns:r="http://schemas.openxmlformats.org/officeDocument/2006/relationships" name="Feiertagskalender" sheetId="2" r:id="R67c4e2dd8aaf4bae"/>
    <x:sheet xmlns:r="http://schemas.openxmlformats.org/officeDocument/2006/relationships" name="Gemeinwesen" sheetId="3" r:id="Rbee30fbd630a402e"/>
    <x:sheet xmlns:r="http://schemas.openxmlformats.org/officeDocument/2006/relationships" name="Feiertagsregeln" sheetId="4" r:id="R26d2b98c0ed74e26"/>
    <x:sheet xmlns:r="http://schemas.openxmlformats.org/officeDocument/2006/relationships" name="Geltungsbereiche" sheetId="5" r:id="R8efd4dd5ceea4a05"/>
    <x:sheet xmlns:r="http://schemas.openxmlformats.org/officeDocument/2006/relationships" name="Rechtsquellen" sheetId="6" r:id="R8f0c9cc1f5a94d61"/>
    <x:sheet xmlns:r="http://schemas.openxmlformats.org/officeDocument/2006/relationships" name="Verfahrensbezug" sheetId="7" r:id="R44d077d3e5e948b8"/>
    <x:sheet xmlns:r="http://schemas.openxmlformats.org/officeDocument/2006/relationships" name="Quellenprüfung" sheetId="8" r:id="R1a0f16ab2cf24af3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0"/>
    <ns0:numFmt numFmtId="201" formatCode="dd&quot;.&quot;mm&quot;.&quot;yyyy"/>
  </ns0:numFmts>
  <ns0:fonts count="8">
    <ns0:font>
      <ns0:sz val="11"/>
      <ns0:name val="Carlito"/>
    </ns0:font>
    <ns0:font>
      <ns0:sz val="10"/>
      <ns0:color rgb="FF172126"/>
      <ns0:name val="Arial"/>
    </ns0:font>
    <ns0:font>
      <ns0:b/>
      <ns0:sz val="16"/>
      <ns0:color rgb="FF122C40"/>
      <ns0:name val="Arial"/>
    </ns0:font>
    <ns0:font>
      <ns0:b/>
      <ns0:sz val="10"/>
      <ns0:color rgb="FF122C40"/>
      <ns0:name val="Arial"/>
    </ns0:font>
    <ns0:font>
      <ns0:b/>
      <ns0:sz val="10"/>
      <ns0:color rgb="FFA6532D"/>
      <ns0:name val="Arial"/>
    </ns0:font>
    <ns0:font>
      <ns0:b/>
      <ns0:sz val="10"/>
      <ns0:color rgb="FFFFFFFF"/>
      <ns0:name val="Arial"/>
    </ns0:font>
    <ns0:font>
      <ns0:i/>
      <ns0:sz val="10"/>
      <ns0:color rgb="FF566168"/>
      <ns0:name val="Arial"/>
    </ns0:font>
    <ns0:font>
      <ns0:sz val="10"/>
      <ns0:color rgb="FF2F6F73"/>
      <ns0:name val="Arial"/>
    </ns0:font>
  </ns0:fonts>
  <ns0:fills count="9">
    <ns0:fill>
      <ns0:patternFill patternType="none"/>
    </ns0:fill>
    <ns0:fill>
      <ns0:patternFill patternType="gray125"/>
    </ns0:fill>
    <ns0:fill>
      <ns0:patternFill patternType="solid">
        <ns0:fgColor rgb="FFFFF1CB"/>
      </ns0:patternFill>
    </ns0:fill>
    <ns0:fill>
      <ns0:patternFill patternType="solid">
        <ns0:fgColor rgb="FF122C40"/>
      </ns0:patternFill>
    </ns0:fill>
    <ns0:fill>
      <ns0:patternFill patternType="solid">
        <ns0:fgColor rgb="FFE7EEEE"/>
      </ns0:patternFill>
    </ns0:fill>
    <ns0:fill>
      <ns0:patternFill patternType="solid">
        <ns0:fgColor rgb="FFFFFFFF"/>
      </ns0:patternFill>
    </ns0:fill>
    <ns0:fill>
      <ns0:patternFill patternType="solid">
        <ns0:fgColor rgb="FF122C40"/>
      </ns0:patternFill>
    </ns0:fill>
    <ns0:fill>
      <ns0:patternFill patternType="solid">
        <ns0:fgColor rgb="FFE7EEEE"/>
      </ns0:patternFill>
    </ns0:fill>
    <ns0:fill>
      <ns0:patternFill patternType="solid">
        <ns0:fgColor rgb="FFFFFFFF"/>
      </ns0:patternFill>
    </ns0:fill>
  </ns0:fills>
  <ns0:borders count="2">
    <ns0:border/>
    <ns0:border>
      <ns0:bottom style="thin">
        <ns0:color rgb="FFA6532D"/>
      </ns0:bottom>
    </ns0:border>
  </ns0:borders>
  <ns0:cellStyleXfs count="1">
    <ns0:xf numFmtId="0" fontId="0" fillId="0" borderId="0"/>
  </ns0:cellStyleXfs>
  <ns0:cellXfs count="92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horizontal="center" vertical="center"/>
    </ns0:xf>
    <ns0:xf numFmtId="0" fontId="4" fillId="0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 wrapText="1"/>
    </ns0:xf>
    <ns0:xf numFmtId="0" fontId="5" fillId="3" borderId="0" xfId="0" applyNumberFormat="1" applyFont="1" applyFill="1" applyBorder="1" applyAlignment="1">
      <ns0:alignment horizontal="center" vertical="center" wrapText="1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 wrapText="1"/>
    </ns0:xf>
    <ns0:xf numFmtId="200" fontId="1" fillId="4" borderId="0" xfId="0" applyNumberFormat="1" applyFont="1" applyFill="1" applyBorder="1" applyAlignment="1">
      <ns0:alignment vertical="center" wrapText="1"/>
    </ns0:xf>
    <ns0:xf numFmtId="200" fontId="1" fillId="5" borderId="0" xfId="0" applyNumberFormat="1" applyFont="1" applyFill="1" applyBorder="1" applyAlignment="1">
      <ns0:alignment vertical="center" wrapText="1"/>
    </ns0:xf>
    <ns0:xf numFmtId="201" fontId="1" fillId="4" borderId="0" xfId="0" applyNumberFormat="1" applyFont="1" applyFill="1" applyBorder="1" applyAlignment="1">
      <ns0:alignment vertical="center" wrapText="1"/>
    </ns0:xf>
    <ns0:xf numFmtId="201" fontId="1" fillId="5" borderId="0" xfId="0" applyNumberFormat="1" applyFont="1" applyFill="1" applyBorder="1" applyAlignment="1">
      <ns0:alignment vertical="center" wrapText="1"/>
    </ns0:xf>
    <ns0:xf numFmtId="0" fontId="1" fillId="3" borderId="0" xfId="0" applyNumberFormat="1" applyFont="1" applyFill="1" applyBorder="1"/>
    <ns0:xf numFmtId="0" fontId="5" fillId="3" borderId="0" xfId="0" applyNumberFormat="1" applyFont="1" applyFill="1" applyBorder="1"/>
    <ns0:xf numFmtId="201" fontId="1" fillId="0" borderId="0" xfId="0" applyNumberFormat="1" applyFont="1" applyFill="1" applyBorder="1"/>
    <ns0:xf numFmtId="0" fontId="7" fillId="4" borderId="0" xfId="0" applyNumberFormat="1" applyFont="1" applyFill="1" applyBorder="1" applyAlignment="1">
      <ns0:alignment vertical="center" wrapText="1"/>
    </ns0:xf>
    <ns0:xf numFmtId="0" fontId="7" fillId="5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horizontal="center" vertical="center"/>
    </ns0:xf>
    <ns0:xf numFmtId="0" fontId="4" fillId="0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horizontal="center" vertical="center" wrapText="1"/>
    </ns0:xf>
    <ns0:xf numFmtId="201" fontId="1" fillId="4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201" fontId="1" fillId="5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 wrapText="1"/>
    </ns0:xf>
    <ns0:xf numFmtId="0" fontId="5" fillId="3" borderId="0" xfId="0" applyNumberFormat="1" applyFont="1" applyFill="1" applyBorder="1"/>
    <ns0:xf numFmtId="200" fontId="1" fillId="4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/>
    <ns0:xf numFmtId="200" fontId="1" fillId="5" borderId="0" xfId="0" applyNumberFormat="1" applyFont="1" applyFill="1" applyBorder="1" applyAlignment="1">
      <ns0:alignment vertical="center" wrapText="1"/>
    </ns0:xf>
    <ns0:xf numFmtId="200" fontId="1" fillId="4" borderId="0" xfId="0" applyNumberFormat="1" applyFont="1" applyFill="1" applyBorder="1" applyAlignment="1">
      <ns0:alignment vertical="center" wrapText="1"/>
    </ns0:xf>
    <ns0:xf numFmtId="201" fontId="1" fillId="4" borderId="0" xfId="0" applyNumberFormat="1" applyFont="1" applyFill="1" applyBorder="1" applyAlignment="1">
      <ns0:alignment vertical="center" wrapText="1"/>
    </ns0:xf>
    <ns0:xf numFmtId="200" fontId="1" fillId="5" borderId="0" xfId="0" applyNumberFormat="1" applyFont="1" applyFill="1" applyBorder="1" applyAlignment="1">
      <ns0:alignment vertical="center" wrapText="1"/>
    </ns0:xf>
    <ns0:xf numFmtId="201" fontId="1" fillId="5" borderId="0" xfId="0" applyNumberFormat="1" applyFont="1" applyFill="1" applyBorder="1" applyAlignment="1">
      <ns0:alignment vertical="center" wrapText="1"/>
    </ns0:xf>
    <ns0:xf numFmtId="201" fontId="1" fillId="0" borderId="0" xfId="0" applyNumberFormat="1" applyFont="1" applyFill="1" applyBorder="1"/>
    <ns0:xf numFmtId="0" fontId="7" fillId="4" borderId="0" xfId="0" applyNumberFormat="1" applyFont="1" applyFill="1" applyBorder="1" applyAlignment="1">
      <ns0:alignment vertical="center" wrapText="1"/>
    </ns0:xf>
    <ns0:xf numFmtId="0" fontId="7" fillId="5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 applyAlignment="1">
      <ns0:alignment vertical="center"/>
    </ns0:xf>
    <ns0:xf numFmtId="0" fontId="1" fillId="6" borderId="0" xfId="0" applyNumberFormat="1" applyFont="1" applyFill="1" applyBorder="1" applyAlignment="1">
      <ns0:alignment vertical="center" wrapText="1"/>
    </ns0:xf>
    <ns0:xf numFmtId="0" fontId="5" fillId="6" borderId="0" xfId="0" applyNumberFormat="1" applyFont="1" applyFill="1" applyBorder="1" applyAlignment="1">
      <ns0:alignment vertical="center" wrapText="1"/>
    </ns0:xf>
    <ns0:xf numFmtId="0" fontId="5" fillId="6" borderId="0" xfId="0" applyNumberFormat="1" applyFont="1" applyFill="1" applyBorder="1" applyAlignment="1">
      <ns0:alignment horizontal="center" vertical="center" wrapText="1"/>
    </ns0:xf>
    <ns0:xf numFmtId="0" fontId="1" fillId="0" borderId="0" xfId="0" applyNumberFormat="1" applyFont="1" applyFill="1" applyBorder="1" applyAlignment="1">
      <ns0:alignment horizontal="left" vertical="center" wrapText="1"/>
    </ns0:xf>
    <ns0:xf numFmtId="0" fontId="1" fillId="7" borderId="0" xfId="0" applyNumberFormat="1" applyFont="1" applyFill="1" applyBorder="1" applyAlignment="1">
      <ns0:alignment horizontal="left" vertical="center" wrapText="1"/>
    </ns0:xf>
    <ns0:xf numFmtId="0" fontId="1" fillId="8" borderId="0" xfId="0" applyNumberFormat="1" applyFont="1" applyFill="1" applyBorder="1" applyAlignment="1">
      <ns0:alignment horizontal="left" vertical="center" wrapText="1"/>
    </ns0:xf>
    <ns0:xf numFmtId="0" fontId="1" fillId="0" borderId="0" xfId="0" applyNumberFormat="1" applyFont="1" applyFill="1" applyBorder="1" applyAlignment="1" applyProtection="1">
      <ns0:alignment vertical="center"/>
      <ns0:protection locked="1" hidden="0"/>
    </ns0:xf>
    <ns0:xf numFmtId="0" fontId="2" fillId="0" borderId="0" xfId="0" applyNumberFormat="1" applyFont="1" applyFill="1" applyBorder="1" applyAlignment="1" applyProtection="1">
      <ns0:alignment vertical="center"/>
      <ns0:protection locked="1" hidden="0"/>
    </ns0:xf>
    <ns0:xf numFmtId="0" fontId="1" fillId="0" borderId="1" xfId="0" applyNumberFormat="1" applyFont="1" applyFill="1" applyBorder="1" applyAlignment="1" applyProtection="1">
      <ns0:alignment vertical="center"/>
      <ns0:protection locked="1" hidden="0"/>
    </ns0:xf>
    <ns0:xf numFmtId="0" fontId="3" fillId="2" borderId="0" xfId="0" applyNumberFormat="1" applyFont="1" applyFill="1" applyBorder="1" applyAlignment="1" applyProtection="1">
      <ns0:alignment horizontal="center" vertical="center"/>
      <ns0:protection locked="0" hidden="0"/>
    </ns0:xf>
    <ns0:xf numFmtId="0" fontId="4" fillId="0" borderId="0" xfId="0" applyNumberFormat="1" applyFont="1" applyFill="1" applyBorder="1" applyAlignment="1" applyProtection="1">
      <ns0:alignment vertical="center"/>
      <ns0:protection locked="1" hidden="0"/>
    </ns0:xf>
    <ns0:xf numFmtId="0" fontId="5" fillId="3" borderId="0" xfId="0" applyNumberFormat="1" applyFont="1" applyFill="1" applyBorder="1" applyAlignment="1" applyProtection="1">
      <ns0:alignment vertical="center"/>
      <ns0:protection locked="1" hidden="0"/>
    </ns0:xf>
    <ns0:xf numFmtId="200" fontId="1" fillId="0" borderId="0" xfId="0" applyNumberFormat="1" applyFont="1" applyFill="1" applyBorder="1" applyAlignment="1" applyProtection="1">
      <ns0:alignment vertical="center"/>
      <ns0:protection locked="1" hidden="0"/>
    </ns0:xf>
    <ns0:xf numFmtId="0" fontId="6" fillId="0" borderId="0" xfId="0" applyNumberFormat="1" applyFont="1" applyFill="1" applyBorder="1" applyAlignment="1" applyProtection="1">
      <ns0:alignment vertical="center"/>
      <ns0:protection locked="1" hidden="0"/>
    </ns0:xf>
    <ns0:xf numFmtId="0" fontId="5" fillId="3" borderId="0" xfId="0" applyNumberFormat="1" applyFont="1" applyFill="1" applyBorder="1" applyAlignment="1" applyProtection="1">
      <ns0:alignment horizontal="center" vertical="center" wrapText="1"/>
      <ns0:protection locked="1" hidden="0"/>
    </ns0:xf>
    <ns0:xf numFmtId="0" fontId="5" fillId="6" borderId="0" xfId="0" applyNumberFormat="1" applyFont="1" applyFill="1" applyBorder="1" applyAlignment="1" applyProtection="1">
      <ns0:alignment horizontal="center" vertical="center" wrapText="1"/>
      <ns0:protection locked="1" hidden="0"/>
    </ns0:xf>
    <ns0:xf numFmtId="201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7" borderId="0" xfId="0" applyNumberFormat="1" applyFont="1" applyFill="1" applyBorder="1" applyAlignment="1" applyProtection="1">
      <ns0:alignment horizontal="left" vertical="center" wrapText="1"/>
      <ns0:protection locked="1" hidden="0"/>
    </ns0:xf>
    <ns0:xf numFmtId="201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8" borderId="0" xfId="0" applyNumberFormat="1" applyFont="1" applyFill="1" applyBorder="1" applyAlignment="1" applyProtection="1">
      <ns0:alignment horizontal="left" vertical="center" wrapText="1"/>
      <ns0:protection locked="1" hidden="0"/>
    </ns0:xf>
    <ns0:xf numFmtId="0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0" fontId="1" fillId="7" borderId="0" xfId="0" applyNumberFormat="1" applyFont="1" applyFill="1" applyBorder="1" applyAlignment="1" applyProtection="1">
      <ns0:alignment horizontal="left" vertical="center" wrapText="1"/>
      <ns0:protection locked="0" hidden="0"/>
    </ns0:xf>
    <ns0:xf numFmtId="0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0" fontId="1" fillId="8" borderId="0" xfId="0" applyNumberFormat="1" applyFont="1" applyFill="1" applyBorder="1" applyAlignment="1" applyProtection="1">
      <ns0:alignment horizontal="left" vertical="center" wrapText="1"/>
      <ns0:protection locked="0" hidden="0"/>
    </ns0:xf>
    <ns0:xf numFmtId="0" fontId="5" fillId="3" borderId="0" xfId="0" applyNumberFormat="1" applyFont="1" applyFill="1" applyBorder="1" applyProtection="1">
      <ns0:protection locked="1" hidden="0"/>
    </ns0:xf>
    <ns0:xf numFmtId="200" fontId="1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0" borderId="0" xfId="0" applyNumberFormat="1" applyFont="1" applyFill="1" applyBorder="1" applyProtection="1">
      <ns0:protection locked="1" hidden="0"/>
    </ns0:xf>
    <ns0:xf numFmtId="200" fontId="1" fillId="5" borderId="0" xfId="0" applyNumberFormat="1" applyFont="1" applyFill="1" applyBorder="1" applyAlignment="1" applyProtection="1">
      <ns0:alignment vertical="center" wrapText="1"/>
      <ns0:protection locked="1" hidden="0"/>
    </ns0:xf>
    <ns0:xf numFmtId="200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4" borderId="0" xfId="0" applyNumberFormat="1" applyFont="1" applyFill="1" applyBorder="1" applyAlignment="1" applyProtection="1">
      <ns0:alignment vertical="center" wrapText="1"/>
      <ns0:protection locked="0" hidden="0"/>
    </ns0:xf>
    <ns0:xf numFmtId="200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5" borderId="0" xfId="0" applyNumberFormat="1" applyFont="1" applyFill="1" applyBorder="1" applyAlignment="1" applyProtection="1">
      <ns0:alignment vertical="center" wrapText="1"/>
      <ns0:protection locked="0" hidden="0"/>
    </ns0:xf>
    <ns0:xf numFmtId="201" fontId="1" fillId="0" borderId="0" xfId="0" applyNumberFormat="1" applyFont="1" applyFill="1" applyBorder="1" applyProtection="1">
      <ns0:protection locked="1" hidden="0"/>
    </ns0:xf>
    <ns0:xf numFmtId="0" fontId="7" fillId="4" borderId="0" xfId="0" applyNumberFormat="1" applyFont="1" applyFill="1" applyBorder="1" applyAlignment="1" applyProtection="1">
      <ns0:alignment vertical="center" wrapText="1"/>
      <ns0:protection locked="1" hidden="0"/>
    </ns0:xf>
    <ns0:xf numFmtId="0" fontId="7" fillId="5" borderId="0" xfId="0" applyNumberFormat="1" applyFont="1" applyFill="1" applyBorder="1" applyAlignment="1" applyProtection="1">
      <ns0:alignment vertical="center" wrapText="1"/>
      <ns0:protection locked="1" hidden="0"/>
    </ns0:xf>
    <ns0:xf numFmtId="0" fontId="1" fillId="0" borderId="0" xfId="0" applyNumberFormat="1" applyFont="1" applyFill="1" applyBorder="1" applyAlignment="1" applyProtection="1">
      <ns0:alignment vertical="center"/>
      <ns0:protection locked="0" hidden="0"/>
    </ns0:xf>
  </ns0:cellXfs>
  <ns0:cellStyles count="1">
    <ns0:cellStyle name="Normal" xfId="0"/>
  </ns0:cellStyles>
  <ns0:dxfs count="18"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ont>
        <ns0:color rgb="FF785300"/>
      </ns0:font>
      <ns0:fill>
        <ns0:patternFill>
          <ns0:bgColor rgb="FFFFF1CB"/>
        </ns0:patternFill>
      </ns0:fill>
    </ns0:dxf>
    <ns0:dxf>
      <ns0:font>
        <ns0:color rgb="FF9B2920"/>
      </ns0:font>
      <ns0:fill>
        <ns0:patternFill>
          <ns0:bgColor rgb="FFFCE3DE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  <ns0:dxf>
      <ns0:fill>
        <ns0:patternFill patternType="solid">
          <ns0:bgColor rgb="FFFFF1CB"/>
        </ns0:patternFill>
      </ns0:fill>
    </ns0:dxf>
  </ns0:dxf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d9ccdd3a1426a" /><Relationship Type="http://schemas.openxmlformats.org/officeDocument/2006/relationships/theme" Target="/xl/theme/theme1.xml" Id="R5ef9e18544294e2b" /><Relationship Type="http://schemas.openxmlformats.org/officeDocument/2006/relationships/sharedStrings" Target="/xl/sharedStrings.xml" Id="Radcb9d8dbdf34438" /><Relationship Type="http://schemas.openxmlformats.org/officeDocument/2006/relationships/worksheet" Target="/xl/worksheets/sheet1.xml" Id="Ra790fcff39084b1a" /><Relationship Type="http://schemas.openxmlformats.org/officeDocument/2006/relationships/worksheet" Target="/xl/worksheets/sheet2.xml" Id="R67c4e2dd8aaf4bae" /><Relationship Type="http://schemas.openxmlformats.org/officeDocument/2006/relationships/worksheet" Target="/xl/worksheets/sheet3.xml" Id="Rbee30fbd630a402e" /><Relationship Type="http://schemas.openxmlformats.org/officeDocument/2006/relationships/worksheet" Target="/xl/worksheets/sheet4.xml" Id="R26d2b98c0ed74e26" /><Relationship Type="http://schemas.openxmlformats.org/officeDocument/2006/relationships/worksheet" Target="/xl/worksheets/sheet5.xml" Id="R8efd4dd5ceea4a05" /><Relationship Type="http://schemas.openxmlformats.org/officeDocument/2006/relationships/worksheet" Target="/xl/worksheets/sheet6.xml" Id="R8f0c9cc1f5a94d61" /><Relationship Type="http://schemas.openxmlformats.org/officeDocument/2006/relationships/worksheet" Target="/xl/worksheets/sheet7.xml" Id="R44d077d3e5e948b8" /><Relationship Type="http://schemas.openxmlformats.org/officeDocument/2006/relationships/worksheet" Target="/xl/worksheets/sheet8.xml" Id="R1a0f16ab2cf24af3" /></Relationships>
</file>

<file path=xl/tables/table1.xml><?xml version="1.0" encoding="utf-8"?>
<ns0:table xmlns:ns0="http://schemas.openxmlformats.org/spreadsheetml/2006/main" id="7" name="AP18_Feiertagskalender" displayName="AP18_Feiertagskalender" ref="A6:N22" headerRowCount="1" totalsRowCount="0" totalsRowShown="0">
  <ns0:autoFilter ref="A6:N22"/>
  <ns0:tableColumns count="14">
    <ns0:tableColumn id="1" name="Datum"/>
    <ns0:tableColumn id="2" name="Wochentag"/>
    <ns0:tableColumn id="3" name="Gemeinwesen"/>
    <ns0:tableColumn id="4" name="Geltungsbereich"/>
    <ns0:tableColumn id="5" name="Feiertag"/>
    <ns0:tableColumn id="6" name="Französisch"/>
    <ns0:tableColumn id="7" name="Rechtskategorie"/>
    <ns0:tableColumn id="8" name="Fachstatus"/>
    <ns0:tableColumn id="9" name="Regel-ID"/>
    <ns0:tableColumn id="10" name="Quellen-ID"/>
    <ns0:tableColumn id="11" name="Fundstelle"/>
    <ns0:tableColumn id="12" name="Abdeckung"/>
    <ns0:tableColumn id="13" name="Italienisch"/>
    <ns0:tableColumn id="14" name="Rumantsch Grischun"/>
  </ns0:tableColumns>
  <ns0:tableStyleInfo name="TableStyleLight1" showFirstColumn="0" showLastColumn="0" showRowStripes="1" showColumnStripes="0"/>
</ns0:table>
</file>

<file path=xl/tables/table2.xml><?xml version="1.0" encoding="utf-8"?>
<ns0:table xmlns:ns0="http://schemas.openxmlformats.org/spreadsheetml/2006/main" id="1" name="AP18_Gemeinwesen" displayName="AP18_Gemeinwesen" ref="A6:I33" headerRowCount="1" totalsRowCount="0" totalsRowShown="0">
  <ns0:autoFilter ref="A6:I33"/>
  <ns0:tableColumns count="9">
    <ns0:tableColumn id="1" name="Code"/>
    <ns0:tableColumn id="2" name="Deutsch"/>
    <ns0:tableColumn id="3" name="Französisch"/>
    <ns0:tableColumn id="4" name="Übergeordnet"/>
    <ns0:tableColumn id="5" name="Erfassungsstand"/>
    <ns0:tableColumn id="6" name="Fachstatus"/>
    <ns0:tableColumn id="7" name="Amtliche Feiertagsquelle"/>
    <ns0:tableColumn id="8" name="Italienisch"/>
    <ns0:tableColumn id="9" name="Rumantsch Grischun"/>
  </ns0:tableColumns>
  <ns0:tableStyleInfo name="TableStyleLight1" showFirstColumn="0" showLastColumn="0" showRowStripes="1" showColumnStripes="0"/>
</ns0:table>
</file>

<file path=xl/tables/table3.xml><?xml version="1.0" encoding="utf-8"?>
<ns0:table xmlns:ns0="http://schemas.openxmlformats.org/spreadsheetml/2006/main" id="2" name="AP18_Feiertagsregeln" displayName="AP18_Feiertagsregeln" ref="A6:Z21" headerRowCount="1" totalsRowCount="0" totalsRowShown="0">
  <ns0:autoFilter ref="A6:Z21"/>
  <ns0:tableColumns count="26">
    <ns0:tableColumn id="1" name="Regel-ID"/>
    <ns0:tableColumn id="2" name="Gemeinwesen"/>
    <ns0:tableColumn id="3" name="Geltungs-ID"/>
    <ns0:tableColumn id="4" name="Deutsch"/>
    <ns0:tableColumn id="5" name="Französisch"/>
    <ns0:tableColumn id="6" name="Rechtskategorie"/>
    <ns0:tableColumn id="7" name="Regeltyp"/>
    <ns0:tableColumn id="8" name="Monat"/>
    <ns0:tableColumn id="9" name="Tag"/>
    <ns0:tableColumn id="10" name="Osterversatz"/>
    <ns0:tableColumn id="11" name="ISO-Wochentag"/>
    <ns0:tableColumn id="12" name="Vorkommen"/>
    <ns0:tableColumn id="13" name="Gültig ab"/>
    <ns0:tableColumn id="14" name="Gültig bis"/>
    <ns0:tableColumn id="15" name="Priorität"/>
    <ns0:tableColumn id="16" name="Fachstatus"/>
    <ns0:tableColumn id="17" name="Freigabebasis"/>
    <ns0:tableColumn id="18" name="Wirkung"/>
    <ns0:tableColumn id="19" name="Zielregel"/>
    <ns0:tableColumn id="20" name="Exportklasse"/>
    <ns0:tableColumn id="21" name="Rohdatum"/>
    <ns0:tableColumn id="22" name="Datum im Geltungszeitraum"/>
    <ns0:tableColumn id="23" name="Quellen-ID"/>
    <ns0:tableColumn id="24" name="Fundstelle"/>
    <ns0:tableColumn id="25" name="Italienisch"/>
    <ns0:tableColumn id="26" name="Rumantsch Grischun"/>
  </ns0:tableColumns>
  <ns0:tableStyleInfo name="TableStyleLight1" showFirstColumn="0" showLastColumn="0" showRowStripes="1" showColumnStripes="0"/>
</ns0:table>
</file>

<file path=xl/tables/table4.xml><?xml version="1.0" encoding="utf-8"?>
<ns0:table xmlns:ns0="http://schemas.openxmlformats.org/spreadsheetml/2006/main" id="3" name="AP18_Geltungsbereiche" displayName="AP18_Geltungsbereiche" ref="A6:L11" headerRowCount="1" totalsRowCount="0" totalsRowShown="0">
  <ns0:autoFilter ref="A6:L11"/>
  <ns0:tableColumns count="12">
    <ns0:tableColumn id="1" name="Geltungs-ID"/>
    <ns0:tableColumn id="2" name="Gemeinwesen"/>
    <ns0:tableColumn id="3" name="Gebiet"/>
    <ns0:tableColumn id="4" name="Gebietstyp"/>
    <ns0:tableColumn id="5" name="Umfang / Grenze"/>
    <ns0:tableColumn id="6" name="Quellen-ID"/>
    <ns0:tableColumn id="7" name="Fundstelle"/>
    <ns0:tableColumn id="8" name="Fachstatus"/>
    <ns0:tableColumn id="9" name="Daten ab"/>
    <ns0:tableColumn id="10" name="Daten bis"/>
    <ns0:tableColumn id="11" name="Italienisch"/>
    <ns0:tableColumn id="12" name="Rumantsch Grischun"/>
  </ns0:tableColumns>
  <ns0:tableStyleInfo name="TableStyleLight1" showFirstColumn="0" showLastColumn="0" showRowStripes="1" showColumnStripes="0"/>
</ns0:table>
</file>

<file path=xl/tables/table5.xml><?xml version="1.0" encoding="utf-8"?>
<x:table xmlns:x="http://schemas.openxmlformats.org/spreadsheetml/2006/main" id="4" name="AP18_Rechtsquellen" displayName="AP18_Rechtsquellen" ref="A6:K11" headerRowCount="1" totalsRowCount="0" totalsRowShown="0">
  <x:autoFilter ref="A6:K11"/>
  <x:tableColumns count="11">
    <x:tableColumn id="1" name="Quellen-ID"/>
    <x:tableColumn id="2" name="Gemeinwesen"/>
    <x:tableColumn id="3" name="Erlass / Quelle"/>
    <x:tableColumn id="4" name="Fundstelle"/>
    <x:tableColumn id="5" name="Amtlicher Link"/>
    <x:tableColumn id="6" name="Fassungsstand"/>
    <x:tableColumn id="7" name="Abgerufen"/>
    <x:tableColumn id="8" name="Prüfhinweis"/>
    <x:tableColumn id="9" name="Fachstatus"/>
    <x:tableColumn id="10" name="Frühere Freigabebasis"/>
    <x:tableColumn id="11" name="URL (Original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AP18_Verfahrensbezug" displayName="AP18_Verfahrensbezug" ref="A6:H10" headerRowCount="1" totalsRowCount="0" totalsRowShown="0">
  <x:autoFilter ref="A6:H10"/>
  <x:tableColumns count="8">
    <x:tableColumn id="1" name="Zuordnungs-ID"/>
    <x:tableColumn id="2" name="Geltungs-ID"/>
    <x:tableColumn id="3" name="Rechtskategorie"/>
    <x:tableColumn id="4" name="Anwendungsbereich"/>
    <x:tableColumn id="5" name="Wirkung / Grenze"/>
    <x:tableColumn id="6" name="Norm / Referenz"/>
    <x:tableColumn id="7" name="Fachstatus"/>
    <x:tableColumn id="8" name="Freigabebasi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AP18_Quellenprufung" displayName="AP18_Quellenprufung" ref="A6:K10" headerRowCount="1" totalsRowCount="0" totalsRowShown="0">
  <x:autoFilter ref="A6:K10"/>
  <x:tableColumns count="11">
    <x:tableColumn id="1" name="Prüf-ID"/>
    <x:tableColumn id="2" name="Quellen-ID"/>
    <x:tableColumn id="3" name="Auslöser"/>
    <x:tableColumn id="4" name="Datum"/>
    <x:tableColumn id="5" name="Ergebnis"/>
    <x:tableColumn id="6" name="Vergleichsbasis"/>
    <x:tableColumn id="7" name="Befund"/>
    <x:tableColumn id="8" name="Ereignisstatus"/>
    <x:tableColumn id="9" name="Fachverantwortung"/>
    <x:tableColumn id="10" name="Arbeitsinstrument"/>
    <x:tableColumn id="11" name="Nächster Schrit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012bed9d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92b8a397e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b3cd1dad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63abf19104c21" /></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5.xml" Id="Rd26ebe63f2594f1b" /><ns0:Relationship Id="ap18Hyperlink1" Type="http://schemas.openxmlformats.org/officeDocument/2006/relationships/hyperlink" Target="https://www.fedlex.admin.ch/eli/cc/1994/1340_1340_1340/de" TargetMode="External" /><ns0:Relationship Id="ap18Hyperlink2" Type="http://schemas.openxmlformats.org/officeDocument/2006/relationships/hyperlink" Target="https://www.belex.sites.be.ch/app/de/texts_of_law/555.1" TargetMode="External" /><ns0:Relationship Id="ap18Hyperlink3" Type="http://schemas.openxmlformats.org/officeDocument/2006/relationships/hyperlink" Target="https://gesetzessammlungen.ag.ch/app/de/texts_of_law/961.200" TargetMode="External" /><ns0:Relationship Id="ap18Hyperlink4" Type="http://schemas.openxmlformats.org/officeDocument/2006/relationships/hyperlink" Target="https://gesetzessammlungen.ag.ch/app/de/texts_of_law/221.200" TargetMode="External" /><ns0:Relationship Id="ap18Hyperlink5" Type="http://schemas.openxmlformats.org/officeDocument/2006/relationships/hyperlink" Target="https://www.bj.admin.ch/dam/bj/de/data/publiservice/service/zivilprozessrecht/hinweise-kant-feiertage-d.pdf.download.pdf/hinweise-kant-feiertage-d.pdf" TargetMode="External" /></ns0: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0b41eeba08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029f2f441fb" /></Relationships>
</file>

<file path=xl/worksheets/sheet1.xml><?xml version="1.0" encoding="utf-8"?>
<ns0:worksheet xmlns:ns0="http://schemas.openxmlformats.org/spreadsheetml/2006/main">
  <ns0:sheetPr>
    <ns0:tabColor rgb="FF122C40"/>
  </ns0:sheetPr>
  <ns0:sheetViews>
    <ns0:sheetView showGridLines="0" workbookViewId="0"/>
  </ns0:sheetViews>
  <ns0:sheetFormatPr defaultRowHeight="15"/>
  <ns0:cols>
    <ns0:col min="1" max="1" width="27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  <ns0:c r="H1" s="60"/>
    </ns0:row>
    <ns0:row r="2" ht="24" customHeight="1">
      <ns0:c r="A2" s="61" t="str">
        <ns0:v>STEIMER Feiertagsgrundlage Schweiz</ns0:v>
      </ns0:c>
      <ns0:c r="B2" s="60"/>
      <ns0:c r="C2" s="60"/>
      <ns0:c r="D2" s="60"/>
      <ns0:c r="E2" s="60"/>
      <ns0:c r="F2" s="60"/>
      <ns0:c r="G2" s="60"/>
      <ns0:c r="H2" s="60"/>
    </ns0:row>
    <ns0:row r="3" ht="24" customHeight="1">
      <ns0:c r="A3" s="62"/>
      <ns0:c r="B3" s="62"/>
      <ns0:c r="C3" s="62"/>
      <ns0:c r="D3" s="62"/>
      <ns0:c r="E3" s="62"/>
      <ns0:c r="F3" s="62"/>
      <ns0:c r="G3" s="62"/>
      <ns0:c r="H3" s="62"/>
    </ns0:row>
    <ns0:row r="4" ht="24" customHeight="1">
      <ns0:c r="A4" s="60" t="str">
        <ns0:v>Kalenderjahr</ns0:v>
      </ns0:c>
      <ns0:c r="B4" s="63" t="n">
        <ns0:v>2027</ns0:v>
      </ns0:c>
      <ns0:c r="C4" s="60"/>
      <ns0:c r="D4" s="60" t="str">
        <ns0:v>Prüfzeitraum 2026–2028</ns0:v>
      </ns0:c>
      <ns0:c r="E4" s="60"/>
      <ns0:c r="F4" s="60"/>
      <ns0:c r="G4" s="60"/>
      <ns0:c r="H4" s="60"/>
    </ns0:row>
    <ns0:row r="5" ht="24" customHeight="1">
      <ns0:c r="A5" s="60"/>
      <ns0:c r="B5" s="60"/>
      <ns0:c r="C5" s="60"/>
      <ns0:c r="D5" s="60"/>
      <ns0:c r="E5" s="60"/>
      <ns0:c r="F5" s="60"/>
      <ns0:c r="G5" s="60"/>
      <ns0:c r="H5" s="60"/>
    </ns0:row>
    <ns0:row r="6" ht="24" customHeight="1">
      <ns0:c r="A6" s="64" t="str">
        <ns0:v>AP18A · V0.2 mit Sprachfeldern IT / Rumantsch Grischun</ns0:v>
      </ns0:c>
      <ns0:c r="B6" s="60"/>
      <ns0:c r="C6" s="60"/>
      <ns0:c r="D6" s="60"/>
      <ns0:c r="E6" s="60"/>
      <ns0:c r="F6" s="60"/>
      <ns0:c r="G6" s="60"/>
      <ns0:c r="H6" s="60"/>
    </ns0:row>
    <ns0:row r="7" ht="24" customHeight="1">
      <ns0:c r="A7" s="60"/>
      <ns0:c r="B7" s="60"/>
      <ns0:c r="C7" s="60"/>
      <ns0:c r="D7" s="60"/>
      <ns0:c r="E7" s="60"/>
      <ns0:c r="F7" s="60"/>
      <ns0:c r="G7" s="60"/>
      <ns0:c r="H7" s="60"/>
    </ns0:row>
    <ns0:row r="8" ht="25" customHeight="1">
      <ns0:c r="A8" s="60" t="str">
        <ns0:v>Bund und alle 26 Kantone sind inventarisiert. 24 Kantone sind noch nicht erhoben.</ns0:v>
      </ns0:c>
      <ns0:c r="B8" s="60"/>
      <ns0:c r="C8" s="60"/>
      <ns0:c r="D8" s="60"/>
      <ns0:c r="E8" s="60"/>
      <ns0:c r="F8" s="60"/>
      <ns0:c r="G8" s="60"/>
      <ns0:c r="H8" s="60"/>
    </ns0:row>
    <ns0:row r="9" ht="25" customHeight="1">
      <ns0:c r="A9" s="60" t="str">
        <ns0:v>Ausgelieferter Stand: unveränderte Feiertagsregeln des freigegebenen MVP-0.3-Bestands.</ns0:v>
      </ns0:c>
      <ns0:c r="B9" s="60"/>
      <ns0:c r="C9" s="60"/>
      <ns0:c r="D9" s="60"/>
      <ns0:c r="E9" s="60"/>
      <ns0:c r="F9" s="60"/>
      <ns0:c r="G9" s="60"/>
      <ns0:c r="H9" s="60"/>
    </ns0:row>
    <ns0:row r="10" ht="25" customHeight="1">
      <ns0:c r="A10" s="60" t="str">
        <ns0:v>Aargau: drei Beispieldaten, keine vollständige Feiertagsliste und keine Fristenfreigabe.</ns0:v>
      </ns0:c>
      <ns0:c r="B10" s="60"/>
      <ns0:c r="C10" s="60"/>
      <ns0:c r="D10" s="60"/>
      <ns0:c r="E10" s="60"/>
      <ns0:c r="F10" s="60"/>
      <ns0:c r="G10" s="60"/>
      <ns0:c r="H10" s="60"/>
    </ns0:row>
    <ns0:row r="11" ht="25" customHeight="1">
      <ns0:c r="A11" s="60" t="str">
        <ns0:v>Gelbes Feld: Jahr ändern. Die Datumswerte werden in Excel neu berechnet.</ns0:v>
      </ns0:c>
      <ns0:c r="B11" s="60"/>
      <ns0:c r="C11" s="60"/>
      <ns0:c r="D11" s="60"/>
      <ns0:c r="E11" s="60"/>
      <ns0:c r="F11" s="60"/>
      <ns0:c r="G11" s="60"/>
      <ns0:c r="H11" s="60"/>
    </ns0:row>
    <ns0:row r="12" ht="25" customHeight="1">
      <ns0:c r="A12" s="60" t="str">
        <ns0:v>Im Feiertagskalender nach Gemeinwesen, Geltungsbereich oder Status filtern.</ns0:v>
      </ns0:c>
      <ns0:c r="B12" s="60"/>
      <ns0:c r="C12" s="60"/>
      <ns0:c r="D12" s="60"/>
      <ns0:c r="E12" s="60"/>
      <ns0:c r="F12" s="60"/>
      <ns0:c r="G12" s="60"/>
      <ns0:c r="H12" s="60"/>
    </ns0:row>
    <ns0:row r="13" ht="25" customHeight="1">
      <ns0:c r="A13" s="60" t="str">
        <ns0:v>Jede Regeländerung verlangt Fachstatus open und neue Prüfung. Alte Freigabe gilt nicht weiter.</ns0:v>
      </ns0:c>
      <ns0:c r="B13" s="60"/>
      <ns0:c r="C13" s="60"/>
      <ns0:c r="D13" s="60"/>
      <ns0:c r="E13" s="60"/>
      <ns0:c r="F13" s="60"/>
      <ns0:c r="G13" s="60"/>
      <ns0:c r="H13" s="60"/>
    </ns0:row>
    <ns0:row r="14" ht="25" customHeight="1">
      <ns0:c r="A14" s="60" t="str">
        <ns0:v>approved bezeichnet nur die angegebene frühere Fachfreigabe, nicht diese Arbeitsmappe.</ns0:v>
      </ns0:c>
      <ns0:c r="B14" s="60"/>
      <ns0:c r="C14" s="60"/>
      <ns0:c r="D14" s="60"/>
      <ns0:c r="E14" s="60"/>
      <ns0:c r="F14" s="60"/>
      <ns0:c r="G14" s="60"/>
      <ns0:c r="H14" s="60"/>
    </ns0:row>
    <ns0:row r="15" ht="25" customHeight="1">
      <ns0:c r="A15" s="60" t="str">
        <ns0:v>Quellenprüfung und Datenrelease bleiben getrennt. Neue Prüfereignisse sind candidate.</ns0:v>
      </ns0:c>
      <ns0:c r="B15" s="60"/>
      <ns0:c r="C15" s="60"/>
      <ns0:c r="D15" s="60"/>
      <ns0:c r="E15" s="60"/>
      <ns0:c r="F15" s="60"/>
      <ns0:c r="G15" s="60"/>
      <ns0:c r="H15" s="60"/>
    </ns0:row>
    <ns0:row r="16" ht="25" customHeight="1">
      <ns0:c r="A16" s="60" t="str">
        <ns0:v>Keine Makros, externen Datenverbindungen oder automatische Datenaktivierung.</ns0:v>
      </ns0:c>
      <ns0:c r="B16" s="60"/>
      <ns0:c r="C16" s="60"/>
      <ns0:c r="D16" s="60"/>
      <ns0:c r="E16" s="60"/>
      <ns0:c r="F16" s="60"/>
      <ns0:c r="G16" s="60"/>
      <ns0:c r="H16" s="60"/>
    </ns0:row>
    <ns0:row r="17" ht="25" customHeight="1">
      <ns0:c r="A17" s="60" t="str">
        <ns0:v>Sonntage gelten separat. Die Ansicht enthält benannte Feiertage, nicht jeden Sonntag.</ns0:v>
      </ns0:c>
      <ns0:c r="B17" s="60"/>
      <ns0:c r="C17" s="60"/>
      <ns0:c r="D17" s="60"/>
      <ns0:c r="E17" s="60"/>
      <ns0:c r="F17" s="60"/>
      <ns0:c r="G17" s="60"/>
      <ns0:c r="H17" s="60"/>
    </ns0:row>
    <ns0:row r="18" ht="25" customHeight="1">
      <ns0:c r="A18" s="60" t="str">
        <ns0:v>Gerichtsferien bleiben unverändert in der bestehenden Kalenderkomponente.</ns0:v>
      </ns0:c>
      <ns0:c r="B18" s="60"/>
      <ns0:c r="C18" s="60"/>
      <ns0:c r="D18" s="60"/>
      <ns0:c r="E18" s="60"/>
      <ns0:c r="F18" s="60"/>
      <ns0:c r="G18" s="60"/>
      <ns0:c r="H18" s="60"/>
    </ns0:row>
    <ns0:row r="19" ht="25" customHeight="1">
      <ns0:c r="A19" s="60" t="str">
        <ns0:v>Fehlende Kantonsdaten bedeuten nicht, dass dort keine Feiertage bestehen.</ns0:v>
      </ns0:c>
      <ns0:c r="B19" s="60"/>
      <ns0:c r="C19" s="60"/>
      <ns0:c r="D19" s="60"/>
      <ns0:c r="E19" s="60"/>
      <ns0:c r="F19" s="60"/>
      <ns0:c r="G19" s="60"/>
      <ns0:c r="H19" s="60"/>
    </ns0:row>
    <ns0:row r="20" ht="25" customHeight="1">
      <ns0:c r="A20" s="60" t="str">
        <ns0:v>Kalender-App und Feiertagskarte gehören nicht zu AP18.</ns0:v>
      </ns0:c>
      <ns0:c r="B20" s="60"/>
      <ns0:c r="C20" s="60"/>
      <ns0:c r="D20" s="60"/>
      <ns0:c r="E20" s="60"/>
      <ns0:c r="F20" s="60"/>
      <ns0:c r="G20" s="60"/>
      <ns0:c r="H20" s="60"/>
    </ns0:row>
    <ns0:row r="21" ht="24" customHeight="1">
      <ns0:c r="A21" s="60"/>
      <ns0:c r="B21" s="60"/>
      <ns0:c r="C21" s="60"/>
      <ns0:c r="D21" s="60"/>
      <ns0:c r="E21" s="60"/>
      <ns0:c r="F21" s="60"/>
      <ns0:c r="G21" s="60"/>
      <ns0:c r="H21" s="60"/>
    </ns0:row>
    <ns0:row r="22" ht="24" customHeight="1">
      <ns0:c r="A22" s="60"/>
      <ns0:c r="B22" s="60"/>
      <ns0:c r="C22" s="60"/>
      <ns0:c r="D22" s="60"/>
      <ns0:c r="E22" s="60"/>
      <ns0:c r="F22" s="60"/>
      <ns0:c r="G22" s="60"/>
      <ns0:c r="H22" s="60"/>
    </ns0:row>
    <ns0:row r="23" ht="24" customHeight="1">
      <ns0:c r="A23" s="65" t="str">
        <ns0:v>Kontrolle</ns0:v>
      </ns0:c>
      <ns0:c r="B23" s="65" t="str">
        <ns0:v>Anzahl</ns0:v>
      </ns0:c>
      <ns0:c r="C23" s="60"/>
      <ns0:c r="D23" s="60"/>
      <ns0:c r="E23" s="60"/>
      <ns0:c r="F23" s="60"/>
      <ns0:c r="G23" s="60"/>
      <ns0:c r="H23" s="60"/>
    </ns0:row>
    <ns0:row r="24" ht="24" customHeight="1">
      <ns0:c r="A24" s="60" t="str">
        <ns0:v>Gemeinwesen</ns0:v>
      </ns0:c>
      <ns0:c r="B24" s="66" t="n">
        <ns0:f>COUNTA('Gemeinwesen'!$A$7:$A$33)</ns0:f>
        <ns0:v>27</ns0:v>
      </ns0:c>
      <ns0:c r="C24" s="60"/>
      <ns0:c r="D24" s="60" t="str">
        <ns0:v>Stand: 13. September 2026</ns0:v>
      </ns0:c>
      <ns0:c r="E24" s="60"/>
      <ns0:c r="F24" s="60"/>
      <ns0:c r="G24" s="60"/>
      <ns0:c r="H24" s="60"/>
    </ns0:row>
    <ns0:row r="25" ht="24" customHeight="1">
      <ns0:c r="A25" s="60" t="str">
        <ns0:v>Referenz-Feiertagsregeln</ns0:v>
      </ns0:c>
      <ns0:c r="B25" s="66" t="n">
        <ns0:f>COUNTIFS('Feiertagsregeln'!$P$7:$P$21,"approved")</ns0:f>
        <ns0:v>12</ns0:v>
      </ns0:c>
      <ns0:c r="C25" s="60"/>
      <ns0:c r="D25" s="60" t="str">
        <ns0:v>Fachverantwortung: David Steimer</ns0:v>
      </ns0:c>
      <ns0:c r="E25" s="60"/>
      <ns0:c r="F25" s="60"/>
      <ns0:c r="G25" s="60"/>
      <ns0:c r="H25" s="60"/>
    </ns0:row>
    <ns0:row r="26" ht="24" customHeight="1">
      <ns0:c r="A26" s="60" t="str">
        <ns0:v>Offene AG-Beispiele</ns0:v>
      </ns0:c>
      <ns0:c r="B26" s="66" t="n">
        <ns0:f>COUNTIFS('Feiertagsregeln'!$P$7:$P$21,"open")</ns0:f>
        <ns0:v>3</ns0:v>
      </ns0:c>
      <ns0:c r="C26" s="60"/>
      <ns0:c r="D26" s="60" t="str">
        <ns0:v>Nächste Jahresprüfung: spätestens 15.11.2027</ns0:v>
      </ns0:c>
      <ns0:c r="E26" s="60"/>
      <ns0:c r="F26" s="60"/>
      <ns0:c r="G26" s="60"/>
      <ns0:c r="H26" s="60"/>
    </ns0:row>
    <ns0:row r="27" ht="24" customHeight="1">
      <ns0:c r="A27" s="60"/>
      <ns0:c r="B27" s="60"/>
      <ns0:c r="C27" s="60"/>
      <ns0:c r="D27" s="60"/>
      <ns0:c r="E27" s="60"/>
      <ns0:c r="F27" s="60"/>
      <ns0:c r="G27" s="60"/>
      <ns0:c r="H27" s="60"/>
    </ns0:row>
    <ns0:row r="28" ht="24" customHeight="1">
      <ns0:c r="A28" s="60"/>
      <ns0:c r="B28" s="60"/>
      <ns0:c r="C28" s="60"/>
      <ns0:c r="D28" s="60"/>
      <ns0:c r="E28" s="60"/>
      <ns0:c r="F28" s="60"/>
      <ns0:c r="G28" s="60"/>
      <ns0:c r="H28" s="60"/>
    </ns0:row>
    <ns0:row r="29" ht="24" customHeight="1">
      <ns0:c r="A29" s="60" t="str">
        <ns0:v>Pflege: Regeln und Quellen über stabile IDs verknüpfen. Keine Zeilennummer als Identität.</ns0:v>
      </ns0:c>
      <ns0:c r="B29" s="60"/>
      <ns0:c r="C29" s="60"/>
      <ns0:c r="D29" s="60"/>
      <ns0:c r="E29" s="60"/>
      <ns0:c r="F29" s="60"/>
      <ns0:c r="G29" s="60"/>
      <ns0:c r="H29" s="60"/>
    </ns0:row>
    <ns0:row r="30" ht="24" customHeight="1">
      <ns0:c r="A30" s="60" t="str">
        <ns0:v>AP18A bildet den Pilot ab. Suppress/Replace, Import und Kandidatenexport folgen separat.</ns0:v>
      </ns0:c>
      <ns0:c r="B30" s="60"/>
      <ns0:c r="C30" s="60"/>
      <ns0:c r="D30" s="60"/>
      <ns0:c r="E30" s="60"/>
      <ns0:c r="F30" s="60"/>
      <ns0:c r="G30" s="60"/>
      <ns0:c r="H30" s="60"/>
    </ns0:row>
    <ns0:row r="31" ht="24" customHeight="1">
      <ns0:c r="A31" s="60" t="str">
        <ns0:v>Der Stand enthält keine neue juristische Freigabe und verändert keine Installation.</ns0:v>
      </ns0:c>
      <ns0:c r="B31" s="60"/>
      <ns0:c r="C31" s="60"/>
      <ns0:c r="D31" s="60"/>
      <ns0:c r="E31" s="60"/>
      <ns0:c r="F31" s="60"/>
      <ns0:c r="G31" s="60"/>
      <ns0:c r="H31" s="60"/>
    </ns0:row>
    <ns0:row r="32" ht="24" customHeight="1">
      <ns0:c r="A32" s="60" t="str">
        <ns0:v>Gebiets- und Zuordnungsänderungen brauchen eine Neugenerierung des Kalenders.</ns0:v>
      </ns0:c>
      <ns0:c r="B32" s="60"/>
      <ns0:c r="C32" s="60"/>
      <ns0:c r="D32" s="60"/>
      <ns0:c r="E32" s="60"/>
      <ns0:c r="F32" s="60"/>
      <ns0:c r="G32" s="60"/>
      <ns0:c r="H32" s="60"/>
    </ns0:row>
    <ns0:row r="33" ht="24" customHeight="1">
      <ns0:c r="A33" s="60" t="str">
        <ns0:v>Formeln und Referenzzeilen sind geschützt. Blattschutz ohne Passwort aufhebbar.</ns0:v>
      </ns0:c>
      <ns0:c r="B33" s="60"/>
      <ns0:c r="C33" s="60"/>
      <ns0:c r="D33" s="60"/>
      <ns0:c r="E33" s="60"/>
      <ns0:c r="F33" s="60"/>
      <ns0:c r="G33" s="60"/>
      <ns0:c r="H33" s="60"/>
    </ns0:row>
    <ns0:row r="34" ht="24" customHeight="1">
      <ns0:c r="A34" s="60" t="str">
        <ns0:v>IT und Rumantsch Grischun: gelbe Sprachfelder noch zu erfassen, keine Übersetzungsfreigabe.</ns0:v>
      </ns0:c>
      <ns0:c r="B34" s="60"/>
      <ns0:c r="C34" s="60"/>
      <ns0:c r="D34" s="60"/>
      <ns0:c r="E34" s="60"/>
      <ns0:c r="F34" s="60"/>
      <ns0:c r="G34" s="60"/>
      <ns0:c r="H34" s="60"/>
    </ns0:row>
    <ns0:row r="35" ht="24" customHeight="1">
      <ns0:c r="A35" s="60" t="str">
        <ns0:v>Zusätzliche Sprachen nur in der Arbeitsmappe. App und Laufzeitdaten bleiben unverändert.</ns0:v>
      </ns0:c>
      <ns0:c r="B35" s="60"/>
      <ns0:c r="C35" s="60"/>
      <ns0:c r="D35" s="60"/>
      <ns0:c r="E35" s="60"/>
      <ns0:c r="F35" s="60"/>
      <ns0:c r="G35" s="60"/>
      <ns0:c r="H35" s="60"/>
    </ns0:row>
    <ns0:row r="36" ht="24" customHeight="1">
      <ns0:c r="A36" s="60" t="str">
        <ns0:v>Excel-Interaktion V0.1 durch David Steimer bestätigt. V0.2 enthält ergänzte Sprachfelder.</ns0:v>
      </ns0:c>
      <ns0:c r="B36" s="60"/>
      <ns0:c r="C36" s="60"/>
      <ns0:c r="D36" s="60"/>
      <ns0:c r="E36" s="60"/>
      <ns0:c r="F36" s="60"/>
      <ns0:c r="G36" s="60"/>
      <ns0:c r="H36" s="60"/>
    </ns0:row>
  </ns0:sheetData>
  <ns0:sheetProtection sheet="1" objects="1" scenarios="1" autoFilter="0" sort="0" selectLockedCells="0" selectUnlockedCells="0"/>
  <ns0:dataValidations count="1">
    <ns0:dataValidation type="whole" operator="between" sqref="B4">
      <ns0:formula1>2026</ns0:formula1>
      <ns0:formula2>2028</ns0:formula2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2F6F73"/>
  </ns0:sheetPr>
  <ns0:sheetViews>
    <ns0:sheetView showGridLines="0" workbookViewId="0">
      <ns0:pane xSplit="1" ySplit="6" topLeftCell="B7" activePane="bottomRigh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38" hidden="0" customWidth="1"/>
    <ns0:col min="5" max="5" width="40" hidden="0" customWidth="1"/>
    <ns0:col min="6" max="6" width="34" hidden="0" customWidth="1"/>
    <ns0:col min="7" max="7" width="29" hidden="0" customWidth="1"/>
    <ns0:col min="8" max="8" width="17" hidden="0" customWidth="1"/>
    <ns0:col min="9" max="9" width="43" hidden="0" customWidth="1"/>
    <ns0:col min="10" max="10" width="43" hidden="0" customWidth="1"/>
    <ns0:col min="11" max="11" width="35" hidden="0" customWidth="1"/>
    <ns0:col min="12" max="12" width="29" hidden="0" customWidth="1"/>
    <ns0:col min="13" max="13" width="32" hidden="0" customWidth="1"/>
    <ns0:col min="14" max="14" width="32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  <ns0:c r="H1" s="60"/>
      <ns0:c r="I1" s="60"/>
      <ns0:c r="J1" s="60"/>
      <ns0:c r="K1" s="60"/>
      <ns0:c r="L1" s="60"/>
    </ns0:row>
    <ns0:row r="2" ht="24" customHeight="1">
      <ns0:c r="A2" s="61" t="str">
        <ns0:v>Generierter Feiertagskalender</ns0:v>
      </ns0:c>
      <ns0:c r="B2" s="60"/>
      <ns0:c r="C2" s="60"/>
      <ns0:c r="D2" s="60"/>
      <ns0:c r="E2" s="60"/>
      <ns0:c r="F2" s="60"/>
      <ns0:c r="G2" s="60"/>
      <ns0:c r="H2" s="60"/>
      <ns0:c r="I2" s="60"/>
      <ns0:c r="J2" s="60"/>
      <ns0:c r="K2" s="60"/>
      <ns0:c r="L2" s="60"/>
    </ns0:row>
    <ns0:row r="3" ht="24" customHeight="1">
      <ns0:c r="A3" s="62"/>
      <ns0:c r="B3" s="62"/>
      <ns0:c r="C3" s="62"/>
      <ns0:c r="D3" s="62"/>
      <ns0:c r="E3" s="62"/>
      <ns0:c r="F3" s="62"/>
      <ns0:c r="G3" s="62"/>
      <ns0:c r="H3" s="62"/>
      <ns0:c r="I3" s="62"/>
      <ns0:c r="J3" s="62"/>
      <ns0:c r="K3" s="62"/>
      <ns0:c r="L3" s="62"/>
    </ns0:row>
    <ns0:row r="4" ht="24" customHeight="1">
      <ns0:c r="A4" s="67" t="str">
        <ns0:v>Jahr auf Übersicht ändern. Filter nach Gebiet und Kategorie. AG zeigt nur Einzelbeispiele. Nicht erhobene Kantone haben keine Ergebniszeilen.</ns0:v>
      </ns0:c>
      <ns0:c r="B4" s="60"/>
      <ns0:c r="C4" s="60"/>
      <ns0:c r="D4" s="60"/>
      <ns0:c r="E4" s="60"/>
      <ns0:c r="F4" s="60"/>
      <ns0:c r="G4" s="60"/>
      <ns0:c r="H4" s="60"/>
      <ns0:c r="I4" s="60"/>
      <ns0:c r="J4" s="60"/>
      <ns0:c r="K4" s="60"/>
      <ns0:c r="L4" s="60"/>
    </ns0:row>
    <ns0:row r="5" ht="24" customHeight="1">
      <ns0:c r="A5" s="60"/>
      <ns0:c r="B5" s="60"/>
      <ns0:c r="C5" s="60"/>
      <ns0:c r="D5" s="60"/>
      <ns0:c r="E5" s="60"/>
      <ns0:c r="F5" s="60"/>
      <ns0:c r="G5" s="60"/>
      <ns0:c r="H5" s="60"/>
      <ns0:c r="I5" s="60"/>
      <ns0:c r="J5" s="60"/>
      <ns0:c r="K5" s="60"/>
      <ns0:c r="L5" s="60"/>
    </ns0:row>
    <ns0:row r="6" ht="42" customHeight="1">
      <ns0:c r="A6" s="68" t="str">
        <ns0:v>Datum</ns0:v>
      </ns0:c>
      <ns0:c r="B6" s="68" t="str">
        <ns0:v>Wochentag</ns0:v>
      </ns0:c>
      <ns0:c r="C6" s="68" t="str">
        <ns0:v>Gemeinwesen</ns0:v>
      </ns0:c>
      <ns0:c r="D6" s="68" t="str">
        <ns0:v>Geltungsbereich</ns0:v>
      </ns0:c>
      <ns0:c r="E6" s="68" t="str">
        <ns0:v>Feiertag</ns0:v>
      </ns0:c>
      <ns0:c r="F6" s="68" t="str">
        <ns0:v>Französisch</ns0:v>
      </ns0:c>
      <ns0:c r="G6" s="68" t="str">
        <ns0:v>Rechtskategorie</ns0:v>
      </ns0:c>
      <ns0:c r="H6" s="68" t="str">
        <ns0:v>Fachstatus</ns0:v>
      </ns0:c>
      <ns0:c r="I6" s="68" t="str">
        <ns0:v>Regel-ID</ns0:v>
      </ns0:c>
      <ns0:c r="J6" s="68" t="str">
        <ns0:v>Quellen-ID</ns0:v>
      </ns0:c>
      <ns0:c r="K6" s="68" t="str">
        <ns0:v>Fundstelle</ns0:v>
      </ns0:c>
      <ns0:c r="L6" s="68" t="str">
        <ns0:v>Abdeckung</ns0:v>
      </ns0:c>
      <ns0:c r="M6" s="69" t="str">
        <ns0:v>Italienisch</ns0:v>
      </ns0:c>
      <ns0:c r="N6" s="69" t="str">
        <ns0:v>Rumantsch Grischun</ns0:v>
      </ns0:c>
    </ns0:row>
    <ns0:row r="7" ht="38" customHeight="1">
      <ns0:c r="A7" s="70" t="n">
        <ns0:f>INDEX('Feiertagsregeln'!$V$7:$V$21,MATCH($I7,'Feiertagsregeln'!$A$7:$A$21,0))</ns0:f>
        <ns0:v>46600</ns0:v>
      </ns0:c>
      <ns0:c r="B7" s="71" t="str">
        <ns0:f>IF(ISNUMBER(A7),CHOOSE(WEEKDAY(A7,2),"Montag","Dienstag","Mittwoch","Donnerstag","Freitag","Samstag","Sonntag"),"n.a.")</ns0:f>
        <ns0:v>Sonntag</ns0:v>
      </ns0:c>
      <ns0:c r="C7" s="71" t="str">
        <ns0:v>CH</ns0:v>
      </ns0:c>
      <ns0:c r="D7" s="71" t="str">
        <ns0:v>Bundesgebiet</ns0:v>
      </ns0:c>
      <ns0:c r="E7" s="71" t="str">
        <ns0:f>INDEX('Feiertagsregeln'!$D$7:$D$21,MATCH($I7,'Feiertagsregeln'!$A$7:$A$21,0))</ns0:f>
        <ns0:v>Bundesfeiertag</ns0:v>
      </ns0:c>
      <ns0:c r="F7" s="71" t="str">
        <ns0:f>INDEX('Feiertagsregeln'!$E$7:$E$21,MATCH($I7,'Feiertagsregeln'!$A$7:$A$21,0))</ns0:f>
        <ns0:v>Fête nationale</ns0:v>
      </ns0:c>
      <ns0:c r="G7" s="71" t="str">
        <ns0:f>INDEX('Feiertagsregeln'!$F$7:$F$21,MATCH($I7,'Feiertagsregeln'!$A$7:$A$21,0))</ns0:f>
        <ns0:v>publicHoliday</ns0:v>
      </ns0:c>
      <ns0:c r="H7" s="71" t="str">
        <ns0:f>INDEX('Feiertagsregeln'!$P$7:$P$21,MATCH($I7,'Feiertagsregeln'!$A$7:$A$21,0))</ns0:f>
        <ns0:v>approved</ns0:v>
      </ns0:c>
      <ns0:c r="I7" s="71" t="str">
        <ns0:v>CH-CAL-HOL-NATIONAL-DAY</ns0:v>
      </ns0:c>
      <ns0:c r="J7" s="71" t="str">
        <ns0:f>INDEX('Feiertagsregeln'!$W$7:$W$21,MATCH($I7,'Feiertagsregeln'!$A$7:$A$21,0))</ns0:f>
        <ns0:v>SRC-BUNDESFEIERTAG-19940701</ns0:v>
      </ns0:c>
      <ns0:c r="K7" s="71" t="str">
        <ns0:f>INDEX('Feiertagsregeln'!$X$7:$X$21,MATCH($I7,'Feiertagsregeln'!$A$7:$A$21,0))</ns0:f>
        <ns0:v>Art. 1</ns0:v>
      </ns0:c>
      <ns0:c r="L7" s="71" t="str">
        <ns0:v>Nur Bundesfeiertag</ns0:v>
      </ns0:c>
      <ns0:c r="M7" s="72" t="str">
        <ns0:f>IF(INDEX('Feiertagsregeln'!$Y$7:$Y$21,MATCH($I7,'Feiertagsregeln'!$A$7:$A$21,0))="","Noch zu erfassen",INDEX('Feiertagsregeln'!$Y$7:$Y$21,MATCH($I7,'Feiertagsregeln'!$A$7:$A$21,0)))</ns0:f>
        <ns0:v>Noch zu erfassen</ns0:v>
      </ns0:c>
      <ns0:c r="N7" s="72" t="str">
        <ns0:f>IF(INDEX('Feiertagsregeln'!$Z$7:$Z$21,MATCH($I7,'Feiertagsregeln'!$A$7:$A$21,0))="","Noch zu erfassen",INDEX('Feiertagsregeln'!$Z$7:$Z$21,MATCH($I7,'Feiertagsregeln'!$A$7:$A$21,0)))</ns0:f>
        <ns0:v>Noch zu erfassen</ns0:v>
      </ns0:c>
    </ns0:row>
    <ns0:row r="8" ht="38" customHeight="1">
      <ns0:c r="A8" s="73" t="n">
        <ns0:f>INDEX('Feiertagsregeln'!$V$7:$V$21,MATCH($I8,'Feiertagsregeln'!$A$7:$A$21,0))</ns0:f>
        <ns0:v>46600</ns0:v>
      </ns0:c>
      <ns0:c r="B8" s="74" t="str">
        <ns0:f>IF(ISNUMBER(A8),CHOOSE(WEEKDAY(A8,2),"Montag","Dienstag","Mittwoch","Donnerstag","Freitag","Samstag","Sonntag"),"n.a.")</ns0:f>
        <ns0:v>Sonntag</ns0:v>
      </ns0:c>
      <ns0:c r="C8" s="74" t="str">
        <ns0:v>CH-BE</ns0:v>
      </ns0:c>
      <ns0:c r="D8" s="74" t="str">
        <ns0:v>Kanton Bern</ns0:v>
      </ns0:c>
      <ns0:c r="E8" s="74" t="str">
        <ns0:f>INDEX('Feiertagsregeln'!$D$7:$D$21,MATCH($I8,'Feiertagsregeln'!$A$7:$A$21,0))</ns0:f>
        <ns0:v>Bundesfeiertag</ns0:v>
      </ns0:c>
      <ns0:c r="F8" s="74" t="str">
        <ns0:f>INDEX('Feiertagsregeln'!$E$7:$E$21,MATCH($I8,'Feiertagsregeln'!$A$7:$A$21,0))</ns0:f>
        <ns0:v>Fête nationale</ns0:v>
      </ns0:c>
      <ns0:c r="G8" s="74" t="str">
        <ns0:f>INDEX('Feiertagsregeln'!$F$7:$F$21,MATCH($I8,'Feiertagsregeln'!$A$7:$A$21,0))</ns0:f>
        <ns0:v>publicHoliday</ns0:v>
      </ns0:c>
      <ns0:c r="H8" s="74" t="str">
        <ns0:f>INDEX('Feiertagsregeln'!$P$7:$P$21,MATCH($I8,'Feiertagsregeln'!$A$7:$A$21,0))</ns0:f>
        <ns0:v>approved</ns0:v>
      </ns0:c>
      <ns0:c r="I8" s="74" t="str">
        <ns0:v>CH-CAL-HOL-NATIONAL-DAY</ns0:v>
      </ns0:c>
      <ns0:c r="J8" s="74" t="str">
        <ns0:f>INDEX('Feiertagsregeln'!$W$7:$W$21,MATCH($I8,'Feiertagsregeln'!$A$7:$A$21,0))</ns0:f>
        <ns0:v>SRC-BUNDESFEIERTAG-19940701</ns0:v>
      </ns0:c>
      <ns0:c r="K8" s="74" t="str">
        <ns0:f>INDEX('Feiertagsregeln'!$X$7:$X$21,MATCH($I8,'Feiertagsregeln'!$A$7:$A$21,0))</ns0:f>
        <ns0:v>Art. 1</ns0:v>
      </ns0:c>
      <ns0:c r="L8" s="74" t="str">
        <ns0:v>Referenzbestand</ns0:v>
      </ns0:c>
      <ns0:c r="M8" s="75" t="str">
        <ns0:f>IF(INDEX('Feiertagsregeln'!$Y$7:$Y$21,MATCH($I8,'Feiertagsregeln'!$A$7:$A$21,0))="","Noch zu erfassen",INDEX('Feiertagsregeln'!$Y$7:$Y$21,MATCH($I8,'Feiertagsregeln'!$A$7:$A$21,0)))</ns0:f>
        <ns0:v>Noch zu erfassen</ns0:v>
      </ns0:c>
      <ns0:c r="N8" s="75" t="str">
        <ns0:f>IF(INDEX('Feiertagsregeln'!$Z$7:$Z$21,MATCH($I8,'Feiertagsregeln'!$A$7:$A$21,0))="","Noch zu erfassen",INDEX('Feiertagsregeln'!$Z$7:$Z$21,MATCH($I8,'Feiertagsregeln'!$A$7:$A$21,0)))</ns0:f>
        <ns0:v>Noch zu erfassen</ns0:v>
      </ns0:c>
    </ns0:row>
    <ns0:row r="9" ht="38" customHeight="1">
      <ns0:c r="A9" s="70" t="n">
        <ns0:f>INDEX('Feiertagsregeln'!$V$7:$V$21,MATCH($I9,'Feiertagsregeln'!$A$7:$A$21,0))</ns0:f>
        <ns0:v>46388</ns0:v>
      </ns0:c>
      <ns0:c r="B9" s="71" t="str">
        <ns0:f>IF(ISNUMBER(A9),CHOOSE(WEEKDAY(A9,2),"Montag","Dienstag","Mittwoch","Donnerstag","Freitag","Samstag","Sonntag"),"n.a.")</ns0:f>
        <ns0:v>Freitag</ns0:v>
      </ns0:c>
      <ns0:c r="C9" s="71" t="str">
        <ns0:v>CH-BE</ns0:v>
      </ns0:c>
      <ns0:c r="D9" s="71" t="str">
        <ns0:v>Kanton Bern</ns0:v>
      </ns0:c>
      <ns0:c r="E9" s="71" t="str">
        <ns0:f>INDEX('Feiertagsregeln'!$D$7:$D$21,MATCH($I9,'Feiertagsregeln'!$A$7:$A$21,0))</ns0:f>
        <ns0:v>Neujahr</ns0:v>
      </ns0:c>
      <ns0:c r="F9" s="71" t="str">
        <ns0:f>INDEX('Feiertagsregeln'!$E$7:$E$21,MATCH($I9,'Feiertagsregeln'!$A$7:$A$21,0))</ns0:f>
        <ns0:v>Nouvel An</ns0:v>
      </ns0:c>
      <ns0:c r="G9" s="71" t="str">
        <ns0:f>INDEX('Feiertagsregeln'!$F$7:$F$21,MATCH($I9,'Feiertagsregeln'!$A$7:$A$21,0))</ns0:f>
        <ns0:v>publicHoliday</ns0:v>
      </ns0:c>
      <ns0:c r="H9" s="71" t="str">
        <ns0:f>INDEX('Feiertagsregeln'!$P$7:$P$21,MATCH($I9,'Feiertagsregeln'!$A$7:$A$21,0))</ns0:f>
        <ns0:v>approved</ns0:v>
      </ns0:c>
      <ns0:c r="I9" s="71" t="str">
        <ns0:v>BE-CAL-HOL-NEW-YEAR</ns0:v>
      </ns0:c>
      <ns0:c r="J9" s="71" t="str">
        <ns0:f>INDEX('Feiertagsregeln'!$W$7:$W$21,MATCH($I9,'Feiertagsregeln'!$A$7:$A$21,0))</ns0:f>
        <ns0:v>SRC-FRG-BE-20210401</ns0:v>
      </ns0:c>
      <ns0:c r="K9" s="71" t="str">
        <ns0:f>INDEX('Feiertagsregeln'!$X$7:$X$21,MATCH($I9,'Feiertagsregeln'!$A$7:$A$21,0))</ns0:f>
        <ns0:v>Art. 2 Abs. 1 Bst. c</ns0:v>
      </ns0:c>
      <ns0:c r="L9" s="71" t="str">
        <ns0:v>Referenzbestand</ns0:v>
      </ns0:c>
      <ns0:c r="M9" s="72" t="str">
        <ns0:f>IF(INDEX('Feiertagsregeln'!$Y$7:$Y$21,MATCH($I9,'Feiertagsregeln'!$A$7:$A$21,0))="","Noch zu erfassen",INDEX('Feiertagsregeln'!$Y$7:$Y$21,MATCH($I9,'Feiertagsregeln'!$A$7:$A$21,0)))</ns0:f>
        <ns0:v>Noch zu erfassen</ns0:v>
      </ns0:c>
      <ns0:c r="N9" s="72" t="str">
        <ns0:f>IF(INDEX('Feiertagsregeln'!$Z$7:$Z$21,MATCH($I9,'Feiertagsregeln'!$A$7:$A$21,0))="","Noch zu erfassen",INDEX('Feiertagsregeln'!$Z$7:$Z$21,MATCH($I9,'Feiertagsregeln'!$A$7:$A$21,0)))</ns0:f>
        <ns0:v>Noch zu erfassen</ns0:v>
      </ns0:c>
    </ns0:row>
    <ns0:row r="10" ht="38" customHeight="1">
      <ns0:c r="A10" s="73" t="n">
        <ns0:f>INDEX('Feiertagsregeln'!$V$7:$V$21,MATCH($I10,'Feiertagsregeln'!$A$7:$A$21,0))</ns0:f>
        <ns0:v>46389</ns0:v>
      </ns0:c>
      <ns0:c r="B10" s="74" t="str">
        <ns0:f>IF(ISNUMBER(A10),CHOOSE(WEEKDAY(A10,2),"Montag","Dienstag","Mittwoch","Donnerstag","Freitag","Samstag","Sonntag"),"n.a.")</ns0:f>
        <ns0:v>Samstag</ns0:v>
      </ns0:c>
      <ns0:c r="C10" s="74" t="str">
        <ns0:v>CH-BE</ns0:v>
      </ns0:c>
      <ns0:c r="D10" s="74" t="str">
        <ns0:v>Kanton Bern</ns0:v>
      </ns0:c>
      <ns0:c r="E10" s="74" t="str">
        <ns0:f>INDEX('Feiertagsregeln'!$D$7:$D$21,MATCH($I10,'Feiertagsregeln'!$A$7:$A$21,0))</ns0:f>
        <ns0:v>Berchtoldstag</ns0:v>
      </ns0:c>
      <ns0:c r="F10" s="74" t="str">
        <ns0:f>INDEX('Feiertagsregeln'!$E$7:$E$21,MATCH($I10,'Feiertagsregeln'!$A$7:$A$21,0))</ns0:f>
        <ns0:v>Saint-Berchtold</ns0:v>
      </ns0:c>
      <ns0:c r="G10" s="74" t="str">
        <ns0:f>INDEX('Feiertagsregeln'!$F$7:$F$21,MATCH($I10,'Feiertagsregeln'!$A$7:$A$21,0))</ns0:f>
        <ns0:v>publicHoliday</ns0:v>
      </ns0:c>
      <ns0:c r="H10" s="74" t="str">
        <ns0:f>INDEX('Feiertagsregeln'!$P$7:$P$21,MATCH($I10,'Feiertagsregeln'!$A$7:$A$21,0))</ns0:f>
        <ns0:v>approved</ns0:v>
      </ns0:c>
      <ns0:c r="I10" s="74" t="str">
        <ns0:v>BE-CAL-HOL-BERCHTOLD-DAY</ns0:v>
      </ns0:c>
      <ns0:c r="J10" s="74" t="str">
        <ns0:f>INDEX('Feiertagsregeln'!$W$7:$W$21,MATCH($I10,'Feiertagsregeln'!$A$7:$A$21,0))</ns0:f>
        <ns0:v>SRC-FRG-BE-20210401</ns0:v>
      </ns0:c>
      <ns0:c r="K10" s="74" t="str">
        <ns0:f>INDEX('Feiertagsregeln'!$X$7:$X$21,MATCH($I10,'Feiertagsregeln'!$A$7:$A$21,0))</ns0:f>
        <ns0:v>Art. 2 Abs. 1 Bst. c</ns0:v>
      </ns0:c>
      <ns0:c r="L10" s="74" t="str">
        <ns0:v>Referenzbestand</ns0:v>
      </ns0:c>
      <ns0:c r="M10" s="75" t="str">
        <ns0:f>IF(INDEX('Feiertagsregeln'!$Y$7:$Y$21,MATCH($I10,'Feiertagsregeln'!$A$7:$A$21,0))="","Noch zu erfassen",INDEX('Feiertagsregeln'!$Y$7:$Y$21,MATCH($I10,'Feiertagsregeln'!$A$7:$A$21,0)))</ns0:f>
        <ns0:v>Noch zu erfassen</ns0:v>
      </ns0:c>
      <ns0:c r="N10" s="75" t="str">
        <ns0:f>IF(INDEX('Feiertagsregeln'!$Z$7:$Z$21,MATCH($I10,'Feiertagsregeln'!$A$7:$A$21,0))="","Noch zu erfassen",INDEX('Feiertagsregeln'!$Z$7:$Z$21,MATCH($I10,'Feiertagsregeln'!$A$7:$A$21,0)))</ns0:f>
        <ns0:v>Noch zu erfassen</ns0:v>
      </ns0:c>
    </ns0:row>
    <ns0:row r="11" ht="38" customHeight="1">
      <ns0:c r="A11" s="70" t="n">
        <ns0:f>INDEX('Feiertagsregeln'!$V$7:$V$21,MATCH($I11,'Feiertagsregeln'!$A$7:$A$21,0))</ns0:f>
        <ns0:v>46472</ns0:v>
      </ns0:c>
      <ns0:c r="B11" s="71" t="str">
        <ns0:f>IF(ISNUMBER(A11),CHOOSE(WEEKDAY(A11,2),"Montag","Dienstag","Mittwoch","Donnerstag","Freitag","Samstag","Sonntag"),"n.a.")</ns0:f>
        <ns0:v>Freitag</ns0:v>
      </ns0:c>
      <ns0:c r="C11" s="71" t="str">
        <ns0:v>CH-BE</ns0:v>
      </ns0:c>
      <ns0:c r="D11" s="71" t="str">
        <ns0:v>Kanton Bern</ns0:v>
      </ns0:c>
      <ns0:c r="E11" s="71" t="str">
        <ns0:f>INDEX('Feiertagsregeln'!$D$7:$D$21,MATCH($I11,'Feiertagsregeln'!$A$7:$A$21,0))</ns0:f>
        <ns0:v>Karfreitag</ns0:v>
      </ns0:c>
      <ns0:c r="F11" s="71" t="str">
        <ns0:f>INDEX('Feiertagsregeln'!$E$7:$E$21,MATCH($I11,'Feiertagsregeln'!$A$7:$A$21,0))</ns0:f>
        <ns0:v>Vendredi saint</ns0:v>
      </ns0:c>
      <ns0:c r="G11" s="71" t="str">
        <ns0:f>INDEX('Feiertagsregeln'!$F$7:$F$21,MATCH($I11,'Feiertagsregeln'!$A$7:$A$21,0))</ns0:f>
        <ns0:v>publicHoliday</ns0:v>
      </ns0:c>
      <ns0:c r="H11" s="71" t="str">
        <ns0:f>INDEX('Feiertagsregeln'!$P$7:$P$21,MATCH($I11,'Feiertagsregeln'!$A$7:$A$21,0))</ns0:f>
        <ns0:v>approved</ns0:v>
      </ns0:c>
      <ns0:c r="I11" s="71" t="str">
        <ns0:v>BE-CAL-HOL-GOOD-FRIDAY</ns0:v>
      </ns0:c>
      <ns0:c r="J11" s="71" t="str">
        <ns0:f>INDEX('Feiertagsregeln'!$W$7:$W$21,MATCH($I11,'Feiertagsregeln'!$A$7:$A$21,0))</ns0:f>
        <ns0:v>SRC-FRG-BE-20210401</ns0:v>
      </ns0:c>
      <ns0:c r="K11" s="71" t="str">
        <ns0:f>INDEX('Feiertagsregeln'!$X$7:$X$21,MATCH($I11,'Feiertagsregeln'!$A$7:$A$21,0))</ns0:f>
        <ns0:v>Art. 2 Abs. 1 Bst. b</ns0:v>
      </ns0:c>
      <ns0:c r="L11" s="71" t="str">
        <ns0:v>Referenzbestand</ns0:v>
      </ns0:c>
      <ns0:c r="M11" s="72" t="str">
        <ns0:f>IF(INDEX('Feiertagsregeln'!$Y$7:$Y$21,MATCH($I11,'Feiertagsregeln'!$A$7:$A$21,0))="","Noch zu erfassen",INDEX('Feiertagsregeln'!$Y$7:$Y$21,MATCH($I11,'Feiertagsregeln'!$A$7:$A$21,0)))</ns0:f>
        <ns0:v>Noch zu erfassen</ns0:v>
      </ns0:c>
      <ns0:c r="N11" s="72" t="str">
        <ns0:f>IF(INDEX('Feiertagsregeln'!$Z$7:$Z$21,MATCH($I11,'Feiertagsregeln'!$A$7:$A$21,0))="","Noch zu erfassen",INDEX('Feiertagsregeln'!$Z$7:$Z$21,MATCH($I11,'Feiertagsregeln'!$A$7:$A$21,0)))</ns0:f>
        <ns0:v>Noch zu erfassen</ns0:v>
      </ns0:c>
    </ns0:row>
    <ns0:row r="12" ht="38" customHeight="1">
      <ns0:c r="A12" s="73" t="n">
        <ns0:f>INDEX('Feiertagsregeln'!$V$7:$V$21,MATCH($I12,'Feiertagsregeln'!$A$7:$A$21,0))</ns0:f>
        <ns0:v>46474</ns0:v>
      </ns0:c>
      <ns0:c r="B12" s="74" t="str">
        <ns0:f>IF(ISNUMBER(A12),CHOOSE(WEEKDAY(A12,2),"Montag","Dienstag","Mittwoch","Donnerstag","Freitag","Samstag","Sonntag"),"n.a.")</ns0:f>
        <ns0:v>Sonntag</ns0:v>
      </ns0:c>
      <ns0:c r="C12" s="74" t="str">
        <ns0:v>CH-BE</ns0:v>
      </ns0:c>
      <ns0:c r="D12" s="74" t="str">
        <ns0:v>Kanton Bern</ns0:v>
      </ns0:c>
      <ns0:c r="E12" s="74" t="str">
        <ns0:f>INDEX('Feiertagsregeln'!$D$7:$D$21,MATCH($I12,'Feiertagsregeln'!$A$7:$A$21,0))</ns0:f>
        <ns0:v>Ostern</ns0:v>
      </ns0:c>
      <ns0:c r="F12" s="74" t="str">
        <ns0:f>INDEX('Feiertagsregeln'!$E$7:$E$21,MATCH($I12,'Feiertagsregeln'!$A$7:$A$21,0))</ns0:f>
        <ns0:v>Pâques</ns0:v>
      </ns0:c>
      <ns0:c r="G12" s="74" t="str">
        <ns0:f>INDEX('Feiertagsregeln'!$F$7:$F$21,MATCH($I12,'Feiertagsregeln'!$A$7:$A$21,0))</ns0:f>
        <ns0:v>publicHoliday</ns0:v>
      </ns0:c>
      <ns0:c r="H12" s="74" t="str">
        <ns0:f>INDEX('Feiertagsregeln'!$P$7:$P$21,MATCH($I12,'Feiertagsregeln'!$A$7:$A$21,0))</ns0:f>
        <ns0:v>approved</ns0:v>
      </ns0:c>
      <ns0:c r="I12" s="74" t="str">
        <ns0:v>BE-CAL-HOL-EASTER</ns0:v>
      </ns0:c>
      <ns0:c r="J12" s="74" t="str">
        <ns0:f>INDEX('Feiertagsregeln'!$W$7:$W$21,MATCH($I12,'Feiertagsregeln'!$A$7:$A$21,0))</ns0:f>
        <ns0:v>SRC-FRG-BE-20210401</ns0:v>
      </ns0:c>
      <ns0:c r="K12" s="74" t="str">
        <ns0:f>INDEX('Feiertagsregeln'!$X$7:$X$21,MATCH($I12,'Feiertagsregeln'!$A$7:$A$21,0))</ns0:f>
        <ns0:v>Art. 2 Abs. 1 Bst. b</ns0:v>
      </ns0:c>
      <ns0:c r="L12" s="74" t="str">
        <ns0:v>Referenzbestand</ns0:v>
      </ns0:c>
      <ns0:c r="M12" s="75" t="str">
        <ns0:f>IF(INDEX('Feiertagsregeln'!$Y$7:$Y$21,MATCH($I12,'Feiertagsregeln'!$A$7:$A$21,0))="","Noch zu erfassen",INDEX('Feiertagsregeln'!$Y$7:$Y$21,MATCH($I12,'Feiertagsregeln'!$A$7:$A$21,0)))</ns0:f>
        <ns0:v>Noch zu erfassen</ns0:v>
      </ns0:c>
      <ns0:c r="N12" s="75" t="str">
        <ns0:f>IF(INDEX('Feiertagsregeln'!$Z$7:$Z$21,MATCH($I12,'Feiertagsregeln'!$A$7:$A$21,0))="","Noch zu erfassen",INDEX('Feiertagsregeln'!$Z$7:$Z$21,MATCH($I12,'Feiertagsregeln'!$A$7:$A$21,0)))</ns0:f>
        <ns0:v>Noch zu erfassen</ns0:v>
      </ns0:c>
    </ns0:row>
    <ns0:row r="13" ht="38" customHeight="1">
      <ns0:c r="A13" s="70" t="n">
        <ns0:f>INDEX('Feiertagsregeln'!$V$7:$V$21,MATCH($I13,'Feiertagsregeln'!$A$7:$A$21,0))</ns0:f>
        <ns0:v>46475</ns0:v>
      </ns0:c>
      <ns0:c r="B13" s="71" t="str">
        <ns0:f>IF(ISNUMBER(A13),CHOOSE(WEEKDAY(A13,2),"Montag","Dienstag","Mittwoch","Donnerstag","Freitag","Samstag","Sonntag"),"n.a.")</ns0:f>
        <ns0:v>Montag</ns0:v>
      </ns0:c>
      <ns0:c r="C13" s="71" t="str">
        <ns0:v>CH-BE</ns0:v>
      </ns0:c>
      <ns0:c r="D13" s="71" t="str">
        <ns0:v>Kanton Bern</ns0:v>
      </ns0:c>
      <ns0:c r="E13" s="71" t="str">
        <ns0:f>INDEX('Feiertagsregeln'!$D$7:$D$21,MATCH($I13,'Feiertagsregeln'!$A$7:$A$21,0))</ns0:f>
        <ns0:v>Ostermontag</ns0:v>
      </ns0:c>
      <ns0:c r="F13" s="71" t="str">
        <ns0:f>INDEX('Feiertagsregeln'!$E$7:$E$21,MATCH($I13,'Feiertagsregeln'!$A$7:$A$21,0))</ns0:f>
        <ns0:v>Lundi de Pâques</ns0:v>
      </ns0:c>
      <ns0:c r="G13" s="71" t="str">
        <ns0:f>INDEX('Feiertagsregeln'!$F$7:$F$21,MATCH($I13,'Feiertagsregeln'!$A$7:$A$21,0))</ns0:f>
        <ns0:v>publicHoliday</ns0:v>
      </ns0:c>
      <ns0:c r="H13" s="71" t="str">
        <ns0:f>INDEX('Feiertagsregeln'!$P$7:$P$21,MATCH($I13,'Feiertagsregeln'!$A$7:$A$21,0))</ns0:f>
        <ns0:v>approved</ns0:v>
      </ns0:c>
      <ns0:c r="I13" s="71" t="str">
        <ns0:v>BE-CAL-HOL-EASTER-MONDAY</ns0:v>
      </ns0:c>
      <ns0:c r="J13" s="71" t="str">
        <ns0:f>INDEX('Feiertagsregeln'!$W$7:$W$21,MATCH($I13,'Feiertagsregeln'!$A$7:$A$21,0))</ns0:f>
        <ns0:v>SRC-FRG-BE-20210401</ns0:v>
      </ns0:c>
      <ns0:c r="K13" s="71" t="str">
        <ns0:f>INDEX('Feiertagsregeln'!$X$7:$X$21,MATCH($I13,'Feiertagsregeln'!$A$7:$A$21,0))</ns0:f>
        <ns0:v>Art. 2 Abs. 1 Bst. c</ns0:v>
      </ns0:c>
      <ns0:c r="L13" s="71" t="str">
        <ns0:v>Referenzbestand</ns0:v>
      </ns0:c>
      <ns0:c r="M13" s="72" t="str">
        <ns0:f>IF(INDEX('Feiertagsregeln'!$Y$7:$Y$21,MATCH($I13,'Feiertagsregeln'!$A$7:$A$21,0))="","Noch zu erfassen",INDEX('Feiertagsregeln'!$Y$7:$Y$21,MATCH($I13,'Feiertagsregeln'!$A$7:$A$21,0)))</ns0:f>
        <ns0:v>Noch zu erfassen</ns0:v>
      </ns0:c>
      <ns0:c r="N13" s="72" t="str">
        <ns0:f>IF(INDEX('Feiertagsregeln'!$Z$7:$Z$21,MATCH($I13,'Feiertagsregeln'!$A$7:$A$21,0))="","Noch zu erfassen",INDEX('Feiertagsregeln'!$Z$7:$Z$21,MATCH($I13,'Feiertagsregeln'!$A$7:$A$21,0)))</ns0:f>
        <ns0:v>Noch zu erfassen</ns0:v>
      </ns0:c>
    </ns0:row>
    <ns0:row r="14" ht="38" customHeight="1">
      <ns0:c r="A14" s="73" t="n">
        <ns0:f>INDEX('Feiertagsregeln'!$V$7:$V$21,MATCH($I14,'Feiertagsregeln'!$A$7:$A$21,0))</ns0:f>
        <ns0:v>46513</ns0:v>
      </ns0:c>
      <ns0:c r="B14" s="74" t="str">
        <ns0:f>IF(ISNUMBER(A14),CHOOSE(WEEKDAY(A14,2),"Montag","Dienstag","Mittwoch","Donnerstag","Freitag","Samstag","Sonntag"),"n.a.")</ns0:f>
        <ns0:v>Donnerstag</ns0:v>
      </ns0:c>
      <ns0:c r="C14" s="74" t="str">
        <ns0:v>CH-BE</ns0:v>
      </ns0:c>
      <ns0:c r="D14" s="74" t="str">
        <ns0:v>Kanton Bern</ns0:v>
      </ns0:c>
      <ns0:c r="E14" s="74" t="str">
        <ns0:f>INDEX('Feiertagsregeln'!$D$7:$D$21,MATCH($I14,'Feiertagsregeln'!$A$7:$A$21,0))</ns0:f>
        <ns0:v>Auffahrt</ns0:v>
      </ns0:c>
      <ns0:c r="F14" s="74" t="str">
        <ns0:f>INDEX('Feiertagsregeln'!$E$7:$E$21,MATCH($I14,'Feiertagsregeln'!$A$7:$A$21,0))</ns0:f>
        <ns0:v>Ascension</ns0:v>
      </ns0:c>
      <ns0:c r="G14" s="74" t="str">
        <ns0:f>INDEX('Feiertagsregeln'!$F$7:$F$21,MATCH($I14,'Feiertagsregeln'!$A$7:$A$21,0))</ns0:f>
        <ns0:v>publicHoliday</ns0:v>
      </ns0:c>
      <ns0:c r="H14" s="74" t="str">
        <ns0:f>INDEX('Feiertagsregeln'!$P$7:$P$21,MATCH($I14,'Feiertagsregeln'!$A$7:$A$21,0))</ns0:f>
        <ns0:v>approved</ns0:v>
      </ns0:c>
      <ns0:c r="I14" s="74" t="str">
        <ns0:v>BE-CAL-HOL-ASCENSION</ns0:v>
      </ns0:c>
      <ns0:c r="J14" s="74" t="str">
        <ns0:f>INDEX('Feiertagsregeln'!$W$7:$W$21,MATCH($I14,'Feiertagsregeln'!$A$7:$A$21,0))</ns0:f>
        <ns0:v>SRC-FRG-BE-20210401</ns0:v>
      </ns0:c>
      <ns0:c r="K14" s="74" t="str">
        <ns0:f>INDEX('Feiertagsregeln'!$X$7:$X$21,MATCH($I14,'Feiertagsregeln'!$A$7:$A$21,0))</ns0:f>
        <ns0:v>Art. 2 Abs. 1 Bst. b</ns0:v>
      </ns0:c>
      <ns0:c r="L14" s="74" t="str">
        <ns0:v>Referenzbestand</ns0:v>
      </ns0:c>
      <ns0:c r="M14" s="75" t="str">
        <ns0:f>IF(INDEX('Feiertagsregeln'!$Y$7:$Y$21,MATCH($I14,'Feiertagsregeln'!$A$7:$A$21,0))="","Noch zu erfassen",INDEX('Feiertagsregeln'!$Y$7:$Y$21,MATCH($I14,'Feiertagsregeln'!$A$7:$A$21,0)))</ns0:f>
        <ns0:v>Noch zu erfassen</ns0:v>
      </ns0:c>
      <ns0:c r="N14" s="75" t="str">
        <ns0:f>IF(INDEX('Feiertagsregeln'!$Z$7:$Z$21,MATCH($I14,'Feiertagsregeln'!$A$7:$A$21,0))="","Noch zu erfassen",INDEX('Feiertagsregeln'!$Z$7:$Z$21,MATCH($I14,'Feiertagsregeln'!$A$7:$A$21,0)))</ns0:f>
        <ns0:v>Noch zu erfassen</ns0:v>
      </ns0:c>
    </ns0:row>
    <ns0:row r="15" ht="38" customHeight="1">
      <ns0:c r="A15" s="70" t="n">
        <ns0:f>INDEX('Feiertagsregeln'!$V$7:$V$21,MATCH($I15,'Feiertagsregeln'!$A$7:$A$21,0))</ns0:f>
        <ns0:v>46523</ns0:v>
      </ns0:c>
      <ns0:c r="B15" s="71" t="str">
        <ns0:f>IF(ISNUMBER(A15),CHOOSE(WEEKDAY(A15,2),"Montag","Dienstag","Mittwoch","Donnerstag","Freitag","Samstag","Sonntag"),"n.a.")</ns0:f>
        <ns0:v>Sonntag</ns0:v>
      </ns0:c>
      <ns0:c r="C15" s="71" t="str">
        <ns0:v>CH-BE</ns0:v>
      </ns0:c>
      <ns0:c r="D15" s="71" t="str">
        <ns0:v>Kanton Bern</ns0:v>
      </ns0:c>
      <ns0:c r="E15" s="71" t="str">
        <ns0:f>INDEX('Feiertagsregeln'!$D$7:$D$21,MATCH($I15,'Feiertagsregeln'!$A$7:$A$21,0))</ns0:f>
        <ns0:v>Pfingsten</ns0:v>
      </ns0:c>
      <ns0:c r="F15" s="71" t="str">
        <ns0:f>INDEX('Feiertagsregeln'!$E$7:$E$21,MATCH($I15,'Feiertagsregeln'!$A$7:$A$21,0))</ns0:f>
        <ns0:v>Pentecôte</ns0:v>
      </ns0:c>
      <ns0:c r="G15" s="71" t="str">
        <ns0:f>INDEX('Feiertagsregeln'!$F$7:$F$21,MATCH($I15,'Feiertagsregeln'!$A$7:$A$21,0))</ns0:f>
        <ns0:v>publicHoliday</ns0:v>
      </ns0:c>
      <ns0:c r="H15" s="71" t="str">
        <ns0:f>INDEX('Feiertagsregeln'!$P$7:$P$21,MATCH($I15,'Feiertagsregeln'!$A$7:$A$21,0))</ns0:f>
        <ns0:v>approved</ns0:v>
      </ns0:c>
      <ns0:c r="I15" s="71" t="str">
        <ns0:v>BE-CAL-HOL-PENTECOST</ns0:v>
      </ns0:c>
      <ns0:c r="J15" s="71" t="str">
        <ns0:f>INDEX('Feiertagsregeln'!$W$7:$W$21,MATCH($I15,'Feiertagsregeln'!$A$7:$A$21,0))</ns0:f>
        <ns0:v>SRC-FRG-BE-20210401</ns0:v>
      </ns0:c>
      <ns0:c r="K15" s="71" t="str">
        <ns0:f>INDEX('Feiertagsregeln'!$X$7:$X$21,MATCH($I15,'Feiertagsregeln'!$A$7:$A$21,0))</ns0:f>
        <ns0:v>Art. 2 Abs. 1 Bst. b</ns0:v>
      </ns0:c>
      <ns0:c r="L15" s="71" t="str">
        <ns0:v>Referenzbestand</ns0:v>
      </ns0:c>
      <ns0:c r="M15" s="72" t="str">
        <ns0:f>IF(INDEX('Feiertagsregeln'!$Y$7:$Y$21,MATCH($I15,'Feiertagsregeln'!$A$7:$A$21,0))="","Noch zu erfassen",INDEX('Feiertagsregeln'!$Y$7:$Y$21,MATCH($I15,'Feiertagsregeln'!$A$7:$A$21,0)))</ns0:f>
        <ns0:v>Noch zu erfassen</ns0:v>
      </ns0:c>
      <ns0:c r="N15" s="72" t="str">
        <ns0:f>IF(INDEX('Feiertagsregeln'!$Z$7:$Z$21,MATCH($I15,'Feiertagsregeln'!$A$7:$A$21,0))="","Noch zu erfassen",INDEX('Feiertagsregeln'!$Z$7:$Z$21,MATCH($I15,'Feiertagsregeln'!$A$7:$A$21,0)))</ns0:f>
        <ns0:v>Noch zu erfassen</ns0:v>
      </ns0:c>
    </ns0:row>
    <ns0:row r="16" ht="38" customHeight="1">
      <ns0:c r="A16" s="73" t="n">
        <ns0:f>INDEX('Feiertagsregeln'!$V$7:$V$21,MATCH($I16,'Feiertagsregeln'!$A$7:$A$21,0))</ns0:f>
        <ns0:v>46524</ns0:v>
      </ns0:c>
      <ns0:c r="B16" s="74" t="str">
        <ns0:f>IF(ISNUMBER(A16),CHOOSE(WEEKDAY(A16,2),"Montag","Dienstag","Mittwoch","Donnerstag","Freitag","Samstag","Sonntag"),"n.a.")</ns0:f>
        <ns0:v>Montag</ns0:v>
      </ns0:c>
      <ns0:c r="C16" s="74" t="str">
        <ns0:v>CH-BE</ns0:v>
      </ns0:c>
      <ns0:c r="D16" s="74" t="str">
        <ns0:v>Kanton Bern</ns0:v>
      </ns0:c>
      <ns0:c r="E16" s="74" t="str">
        <ns0:f>INDEX('Feiertagsregeln'!$D$7:$D$21,MATCH($I16,'Feiertagsregeln'!$A$7:$A$21,0))</ns0:f>
        <ns0:v>Pfingstmontag</ns0:v>
      </ns0:c>
      <ns0:c r="F16" s="74" t="str">
        <ns0:f>INDEX('Feiertagsregeln'!$E$7:$E$21,MATCH($I16,'Feiertagsregeln'!$A$7:$A$21,0))</ns0:f>
        <ns0:v>Lundi de Pentecôte</ns0:v>
      </ns0:c>
      <ns0:c r="G16" s="74" t="str">
        <ns0:f>INDEX('Feiertagsregeln'!$F$7:$F$21,MATCH($I16,'Feiertagsregeln'!$A$7:$A$21,0))</ns0:f>
        <ns0:v>publicHoliday</ns0:v>
      </ns0:c>
      <ns0:c r="H16" s="74" t="str">
        <ns0:f>INDEX('Feiertagsregeln'!$P$7:$P$21,MATCH($I16,'Feiertagsregeln'!$A$7:$A$21,0))</ns0:f>
        <ns0:v>approved</ns0:v>
      </ns0:c>
      <ns0:c r="I16" s="74" t="str">
        <ns0:v>BE-CAL-HOL-WHIT-MONDAY</ns0:v>
      </ns0:c>
      <ns0:c r="J16" s="74" t="str">
        <ns0:f>INDEX('Feiertagsregeln'!$W$7:$W$21,MATCH($I16,'Feiertagsregeln'!$A$7:$A$21,0))</ns0:f>
        <ns0:v>SRC-FRG-BE-20210401</ns0:v>
      </ns0:c>
      <ns0:c r="K16" s="74" t="str">
        <ns0:f>INDEX('Feiertagsregeln'!$X$7:$X$21,MATCH($I16,'Feiertagsregeln'!$A$7:$A$21,0))</ns0:f>
        <ns0:v>Art. 2 Abs. 1 Bst. c</ns0:v>
      </ns0:c>
      <ns0:c r="L16" s="74" t="str">
        <ns0:v>Referenzbestand</ns0:v>
      </ns0:c>
      <ns0:c r="M16" s="75" t="str">
        <ns0:f>IF(INDEX('Feiertagsregeln'!$Y$7:$Y$21,MATCH($I16,'Feiertagsregeln'!$A$7:$A$21,0))="","Noch zu erfassen",INDEX('Feiertagsregeln'!$Y$7:$Y$21,MATCH($I16,'Feiertagsregeln'!$A$7:$A$21,0)))</ns0:f>
        <ns0:v>Noch zu erfassen</ns0:v>
      </ns0:c>
      <ns0:c r="N16" s="75" t="str">
        <ns0:f>IF(INDEX('Feiertagsregeln'!$Z$7:$Z$21,MATCH($I16,'Feiertagsregeln'!$A$7:$A$21,0))="","Noch zu erfassen",INDEX('Feiertagsregeln'!$Z$7:$Z$21,MATCH($I16,'Feiertagsregeln'!$A$7:$A$21,0)))</ns0:f>
        <ns0:v>Noch zu erfassen</ns0:v>
      </ns0:c>
    </ns0:row>
    <ns0:row r="17" ht="38" customHeight="1">
      <ns0:c r="A17" s="70" t="n">
        <ns0:f>INDEX('Feiertagsregeln'!$V$7:$V$21,MATCH($I17,'Feiertagsregeln'!$A$7:$A$21,0))</ns0:f>
        <ns0:v>46649</ns0:v>
      </ns0:c>
      <ns0:c r="B17" s="71" t="str">
        <ns0:f>IF(ISNUMBER(A17),CHOOSE(WEEKDAY(A17,2),"Montag","Dienstag","Mittwoch","Donnerstag","Freitag","Samstag","Sonntag"),"n.a.")</ns0:f>
        <ns0:v>Sonntag</ns0:v>
      </ns0:c>
      <ns0:c r="C17" s="71" t="str">
        <ns0:v>CH-BE</ns0:v>
      </ns0:c>
      <ns0:c r="D17" s="71" t="str">
        <ns0:v>Kanton Bern</ns0:v>
      </ns0:c>
      <ns0:c r="E17" s="71" t="str">
        <ns0:f>INDEX('Feiertagsregeln'!$D$7:$D$21,MATCH($I17,'Feiertagsregeln'!$A$7:$A$21,0))</ns0:f>
        <ns0:v>Eidgenössischer Dank-, Buss- und Bettag</ns0:v>
      </ns0:c>
      <ns0:c r="F17" s="71" t="str">
        <ns0:f>INDEX('Feiertagsregeln'!$E$7:$E$21,MATCH($I17,'Feiertagsregeln'!$A$7:$A$21,0))</ns0:f>
        <ns0:v>Jeûne fédéral</ns0:v>
      </ns0:c>
      <ns0:c r="G17" s="71" t="str">
        <ns0:f>INDEX('Feiertagsregeln'!$F$7:$F$21,MATCH($I17,'Feiertagsregeln'!$A$7:$A$21,0))</ns0:f>
        <ns0:v>publicHoliday</ns0:v>
      </ns0:c>
      <ns0:c r="H17" s="71" t="str">
        <ns0:f>INDEX('Feiertagsregeln'!$P$7:$P$21,MATCH($I17,'Feiertagsregeln'!$A$7:$A$21,0))</ns0:f>
        <ns0:v>approved</ns0:v>
      </ns0:c>
      <ns0:c r="I17" s="71" t="str">
        <ns0:v>BE-CAL-HOL-FEDERAL-FAST</ns0:v>
      </ns0:c>
      <ns0:c r="J17" s="71" t="str">
        <ns0:f>INDEX('Feiertagsregeln'!$W$7:$W$21,MATCH($I17,'Feiertagsregeln'!$A$7:$A$21,0))</ns0:f>
        <ns0:v>SRC-FRG-BE-20210401</ns0:v>
      </ns0:c>
      <ns0:c r="K17" s="71" t="str">
        <ns0:f>INDEX('Feiertagsregeln'!$X$7:$X$21,MATCH($I17,'Feiertagsregeln'!$A$7:$A$21,0))</ns0:f>
        <ns0:v>Art. 2 Abs. 1 Bst. b</ns0:v>
      </ns0:c>
      <ns0:c r="L17" s="71" t="str">
        <ns0:v>Referenzbestand</ns0:v>
      </ns0:c>
      <ns0:c r="M17" s="72" t="str">
        <ns0:f>IF(INDEX('Feiertagsregeln'!$Y$7:$Y$21,MATCH($I17,'Feiertagsregeln'!$A$7:$A$21,0))="","Noch zu erfassen",INDEX('Feiertagsregeln'!$Y$7:$Y$21,MATCH($I17,'Feiertagsregeln'!$A$7:$A$21,0)))</ns0:f>
        <ns0:v>Noch zu erfassen</ns0:v>
      </ns0:c>
      <ns0:c r="N17" s="72" t="str">
        <ns0:f>IF(INDEX('Feiertagsregeln'!$Z$7:$Z$21,MATCH($I17,'Feiertagsregeln'!$A$7:$A$21,0))="","Noch zu erfassen",INDEX('Feiertagsregeln'!$Z$7:$Z$21,MATCH($I17,'Feiertagsregeln'!$A$7:$A$21,0)))</ns0:f>
        <ns0:v>Noch zu erfassen</ns0:v>
      </ns0:c>
    </ns0:row>
    <ns0:row r="18" ht="38" customHeight="1">
      <ns0:c r="A18" s="73" t="n">
        <ns0:f>INDEX('Feiertagsregeln'!$V$7:$V$21,MATCH($I18,'Feiertagsregeln'!$A$7:$A$21,0))</ns0:f>
        <ns0:v>46746</ns0:v>
      </ns0:c>
      <ns0:c r="B18" s="74" t="str">
        <ns0:f>IF(ISNUMBER(A18),CHOOSE(WEEKDAY(A18,2),"Montag","Dienstag","Mittwoch","Donnerstag","Freitag","Samstag","Sonntag"),"n.a.")</ns0:f>
        <ns0:v>Samstag</ns0:v>
      </ns0:c>
      <ns0:c r="C18" s="74" t="str">
        <ns0:v>CH-BE</ns0:v>
      </ns0:c>
      <ns0:c r="D18" s="74" t="str">
        <ns0:v>Kanton Bern</ns0:v>
      </ns0:c>
      <ns0:c r="E18" s="74" t="str">
        <ns0:f>INDEX('Feiertagsregeln'!$D$7:$D$21,MATCH($I18,'Feiertagsregeln'!$A$7:$A$21,0))</ns0:f>
        <ns0:v>Weihnachten</ns0:v>
      </ns0:c>
      <ns0:c r="F18" s="74" t="str">
        <ns0:f>INDEX('Feiertagsregeln'!$E$7:$E$21,MATCH($I18,'Feiertagsregeln'!$A$7:$A$21,0))</ns0:f>
        <ns0:v>Noël</ns0:v>
      </ns0:c>
      <ns0:c r="G18" s="74" t="str">
        <ns0:f>INDEX('Feiertagsregeln'!$F$7:$F$21,MATCH($I18,'Feiertagsregeln'!$A$7:$A$21,0))</ns0:f>
        <ns0:v>publicHoliday</ns0:v>
      </ns0:c>
      <ns0:c r="H18" s="74" t="str">
        <ns0:f>INDEX('Feiertagsregeln'!$P$7:$P$21,MATCH($I18,'Feiertagsregeln'!$A$7:$A$21,0))</ns0:f>
        <ns0:v>approved</ns0:v>
      </ns0:c>
      <ns0:c r="I18" s="74" t="str">
        <ns0:v>BE-CAL-HOL-CHRISTMAS</ns0:v>
      </ns0:c>
      <ns0:c r="J18" s="74" t="str">
        <ns0:f>INDEX('Feiertagsregeln'!$W$7:$W$21,MATCH($I18,'Feiertagsregeln'!$A$7:$A$21,0))</ns0:f>
        <ns0:v>SRC-FRG-BE-20210401</ns0:v>
      </ns0:c>
      <ns0:c r="K18" s="74" t="str">
        <ns0:f>INDEX('Feiertagsregeln'!$X$7:$X$21,MATCH($I18,'Feiertagsregeln'!$A$7:$A$21,0))</ns0:f>
        <ns0:v>Art. 2 Abs. 1 Bst. b</ns0:v>
      </ns0:c>
      <ns0:c r="L18" s="74" t="str">
        <ns0:v>Referenzbestand</ns0:v>
      </ns0:c>
      <ns0:c r="M18" s="75" t="str">
        <ns0:f>IF(INDEX('Feiertagsregeln'!$Y$7:$Y$21,MATCH($I18,'Feiertagsregeln'!$A$7:$A$21,0))="","Noch zu erfassen",INDEX('Feiertagsregeln'!$Y$7:$Y$21,MATCH($I18,'Feiertagsregeln'!$A$7:$A$21,0)))</ns0:f>
        <ns0:v>Noch zu erfassen</ns0:v>
      </ns0:c>
      <ns0:c r="N18" s="75" t="str">
        <ns0:f>IF(INDEX('Feiertagsregeln'!$Z$7:$Z$21,MATCH($I18,'Feiertagsregeln'!$A$7:$A$21,0))="","Noch zu erfassen",INDEX('Feiertagsregeln'!$Z$7:$Z$21,MATCH($I18,'Feiertagsregeln'!$A$7:$A$21,0)))</ns0:f>
        <ns0:v>Noch zu erfassen</ns0:v>
      </ns0:c>
    </ns0:row>
    <ns0:row r="19" ht="38" customHeight="1">
      <ns0:c r="A19" s="70" t="n">
        <ns0:f>INDEX('Feiertagsregeln'!$V$7:$V$21,MATCH($I19,'Feiertagsregeln'!$A$7:$A$21,0))</ns0:f>
        <ns0:v>46747</ns0:v>
      </ns0:c>
      <ns0:c r="B19" s="71" t="str">
        <ns0:f>IF(ISNUMBER(A19),CHOOSE(WEEKDAY(A19,2),"Montag","Dienstag","Mittwoch","Donnerstag","Freitag","Samstag","Sonntag"),"n.a.")</ns0:f>
        <ns0:v>Sonntag</ns0:v>
      </ns0:c>
      <ns0:c r="C19" s="71" t="str">
        <ns0:v>CH-BE</ns0:v>
      </ns0:c>
      <ns0:c r="D19" s="71" t="str">
        <ns0:v>Kanton Bern</ns0:v>
      </ns0:c>
      <ns0:c r="E19" s="71" t="str">
        <ns0:f>INDEX('Feiertagsregeln'!$D$7:$D$21,MATCH($I19,'Feiertagsregeln'!$A$7:$A$21,0))</ns0:f>
        <ns0:v>Stephanstag</ns0:v>
      </ns0:c>
      <ns0:c r="F19" s="71" t="str">
        <ns0:f>INDEX('Feiertagsregeln'!$E$7:$E$21,MATCH($I19,'Feiertagsregeln'!$A$7:$A$21,0))</ns0:f>
        <ns0:v>Saint-Étienne</ns0:v>
      </ns0:c>
      <ns0:c r="G19" s="71" t="str">
        <ns0:f>INDEX('Feiertagsregeln'!$F$7:$F$21,MATCH($I19,'Feiertagsregeln'!$A$7:$A$21,0))</ns0:f>
        <ns0:v>publicHoliday</ns0:v>
      </ns0:c>
      <ns0:c r="H19" s="71" t="str">
        <ns0:f>INDEX('Feiertagsregeln'!$P$7:$P$21,MATCH($I19,'Feiertagsregeln'!$A$7:$A$21,0))</ns0:f>
        <ns0:v>approved</ns0:v>
      </ns0:c>
      <ns0:c r="I19" s="71" t="str">
        <ns0:v>BE-CAL-HOL-ST-STEPHEN</ns0:v>
      </ns0:c>
      <ns0:c r="J19" s="71" t="str">
        <ns0:f>INDEX('Feiertagsregeln'!$W$7:$W$21,MATCH($I19,'Feiertagsregeln'!$A$7:$A$21,0))</ns0:f>
        <ns0:v>SRC-FRG-BE-20210401</ns0:v>
      </ns0:c>
      <ns0:c r="K19" s="71" t="str">
        <ns0:f>INDEX('Feiertagsregeln'!$X$7:$X$21,MATCH($I19,'Feiertagsregeln'!$A$7:$A$21,0))</ns0:f>
        <ns0:v>Art. 2 Abs. 1 Bst. c</ns0:v>
      </ns0:c>
      <ns0:c r="L19" s="71" t="str">
        <ns0:v>Referenzbestand</ns0:v>
      </ns0:c>
      <ns0:c r="M19" s="72" t="str">
        <ns0:f>IF(INDEX('Feiertagsregeln'!$Y$7:$Y$21,MATCH($I19,'Feiertagsregeln'!$A$7:$A$21,0))="","Noch zu erfassen",INDEX('Feiertagsregeln'!$Y$7:$Y$21,MATCH($I19,'Feiertagsregeln'!$A$7:$A$21,0)))</ns0:f>
        <ns0:v>Noch zu erfassen</ns0:v>
      </ns0:c>
      <ns0:c r="N19" s="72" t="str">
        <ns0:f>IF(INDEX('Feiertagsregeln'!$Z$7:$Z$21,MATCH($I19,'Feiertagsregeln'!$A$7:$A$21,0))="","Noch zu erfassen",INDEX('Feiertagsregeln'!$Z$7:$Z$21,MATCH($I19,'Feiertagsregeln'!$A$7:$A$21,0)))</ns0:f>
        <ns0:v>Noch zu erfassen</ns0:v>
      </ns0:c>
    </ns0:row>
    <ns0:row r="20" ht="38" customHeight="1">
      <ns0:c r="A20" s="73" t="n">
        <ns0:f>INDEX('Feiertagsregeln'!$V$7:$V$21,MATCH($I20,'Feiertagsregeln'!$A$7:$A$21,0))</ns0:f>
        <ns0:v>46534</ns0:v>
      </ns0:c>
      <ns0:c r="B20" s="74" t="str">
        <ns0:f>IF(ISNUMBER(A20),CHOOSE(WEEKDAY(A20,2),"Montag","Dienstag","Mittwoch","Donnerstag","Freitag","Samstag","Sonntag"),"n.a.")</ns0:f>
        <ns0:v>Donnerstag</ns0:v>
      </ns0:c>
      <ns0:c r="C20" s="74" t="str">
        <ns0:v>CH-AG</ns0:v>
      </ns0:c>
      <ns0:c r="D20" s="74" t="str">
        <ns0:v>Bezirk Baden ohne Bergdietikon</ns0:v>
      </ns0:c>
      <ns0:c r="E20" s="74" t="str">
        <ns0:f>INDEX('Feiertagsregeln'!$D$7:$D$21,MATCH($I20,'Feiertagsregeln'!$A$7:$A$21,0))</ns0:f>
        <ns0:v>Fronleichnam</ns0:v>
      </ns0:c>
      <ns0:c r="F20" s="74" t="str">
        <ns0:f>INDEX('Feiertagsregeln'!$E$7:$E$21,MATCH($I20,'Feiertagsregeln'!$A$7:$A$21,0))</ns0:f>
        <ns0:v>Fête-Dieu</ns0:v>
      </ns0:c>
      <ns0:c r="G20" s="74" t="str">
        <ns0:f>INDEX('Feiertagsregeln'!$F$7:$F$21,MATCH($I20,'Feiertagsregeln'!$A$7:$A$21,0))</ns0:f>
        <ns0:v>labourLawHoliday</ns0:v>
      </ns0:c>
      <ns0:c r="H20" s="74" t="str">
        <ns0:f>INDEX('Feiertagsregeln'!$P$7:$P$21,MATCH($I20,'Feiertagsregeln'!$A$7:$A$21,0))</ns0:f>
        <ns0:v>open</ns0:v>
      </ns0:c>
      <ns0:c r="I20" s="74" t="str">
        <ns0:v>AG-WORK-HOL-CORPUS-CHRISTI</ns0:v>
      </ns0:c>
      <ns0:c r="J20" s="74" t="str">
        <ns0:f>INDEX('Feiertagsregeln'!$W$7:$W$21,MATCH($I20,'Feiertagsregeln'!$A$7:$A$21,0))</ns0:f>
        <ns0:v>SRC-AG-EGARR-20250901</ns0:v>
      </ns0:c>
      <ns0:c r="K20" s="74" t="str">
        <ns0:f>INDEX('Feiertagsregeln'!$X$7:$X$21,MATCH($I20,'Feiertagsregeln'!$A$7:$A$21,0))</ns0:f>
        <ns0:v>§ 6 Abs. 1 Bst. b Ziff. 2</ns0:v>
      </ns0:c>
      <ns0:c r="L20" s="74" t="str">
        <ns0:v>Teilumfang, offen</ns0:v>
      </ns0:c>
      <ns0:c r="M20" s="75" t="str">
        <ns0:f>IF(INDEX('Feiertagsregeln'!$Y$7:$Y$21,MATCH($I20,'Feiertagsregeln'!$A$7:$A$21,0))="","Noch zu erfassen",INDEX('Feiertagsregeln'!$Y$7:$Y$21,MATCH($I20,'Feiertagsregeln'!$A$7:$A$21,0)))</ns0:f>
        <ns0:v>Noch zu erfassen</ns0:v>
      </ns0:c>
      <ns0:c r="N20" s="75" t="str">
        <ns0:f>IF(INDEX('Feiertagsregeln'!$Z$7:$Z$21,MATCH($I20,'Feiertagsregeln'!$A$7:$A$21,0))="","Noch zu erfassen",INDEX('Feiertagsregeln'!$Z$7:$Z$21,MATCH($I20,'Feiertagsregeln'!$A$7:$A$21,0)))</ns0:f>
        <ns0:v>Noch zu erfassen</ns0:v>
      </ns0:c>
    </ns0:row>
    <ns0:row r="21" ht="38" customHeight="1">
      <ns0:c r="A21" s="70" t="n">
        <ns0:f>INDEX('Feiertagsregeln'!$V$7:$V$21,MATCH($I21,'Feiertagsregeln'!$A$7:$A$21,0))</ns0:f>
        <ns0:v>46389</ns0:v>
      </ns0:c>
      <ns0:c r="B21" s="71" t="str">
        <ns0:f>IF(ISNUMBER(A21),CHOOSE(WEEKDAY(A21,2),"Montag","Dienstag","Mittwoch","Donnerstag","Freitag","Samstag","Sonntag"),"n.a.")</ns0:f>
        <ns0:v>Samstag</ns0:v>
      </ns0:c>
      <ns0:c r="C21" s="71" t="str">
        <ns0:v>CH-AG</ns0:v>
      </ns0:c>
      <ns0:c r="D21" s="71" t="str">
        <ns0:v>Gemeinde Bergdietikon</ns0:v>
      </ns0:c>
      <ns0:c r="E21" s="71" t="str">
        <ns0:f>INDEX('Feiertagsregeln'!$D$7:$D$21,MATCH($I21,'Feiertagsregeln'!$A$7:$A$21,0))</ns0:f>
        <ns0:v>Berchtoldstag</ns0:v>
      </ns0:c>
      <ns0:c r="F21" s="71" t="str">
        <ns0:f>INDEX('Feiertagsregeln'!$E$7:$E$21,MATCH($I21,'Feiertagsregeln'!$A$7:$A$21,0))</ns0:f>
        <ns0:v>Saint-Berchtold</ns0:v>
      </ns0:c>
      <ns0:c r="G21" s="71" t="str">
        <ns0:f>INDEX('Feiertagsregeln'!$F$7:$F$21,MATCH($I21,'Feiertagsregeln'!$A$7:$A$21,0))</ns0:f>
        <ns0:v>labourLawHoliday</ns0:v>
      </ns0:c>
      <ns0:c r="H21" s="71" t="str">
        <ns0:f>INDEX('Feiertagsregeln'!$P$7:$P$21,MATCH($I21,'Feiertagsregeln'!$A$7:$A$21,0))</ns0:f>
        <ns0:v>open</ns0:v>
      </ns0:c>
      <ns0:c r="I21" s="71" t="str">
        <ns0:v>AG-WORK-HOL-BERCHTOLD</ns0:v>
      </ns0:c>
      <ns0:c r="J21" s="71" t="str">
        <ns0:f>INDEX('Feiertagsregeln'!$W$7:$W$21,MATCH($I21,'Feiertagsregeln'!$A$7:$A$21,0))</ns0:f>
        <ns0:v>SRC-AG-EGARR-20250901</ns0:v>
      </ns0:c>
      <ns0:c r="K21" s="71" t="str">
        <ns0:f>INDEX('Feiertagsregeln'!$X$7:$X$21,MATCH($I21,'Feiertagsregeln'!$A$7:$A$21,0))</ns0:f>
        <ns0:v>§ 6 Abs. 1 Bst. b Ziff. 1</ns0:v>
      </ns0:c>
      <ns0:c r="L21" s="71" t="str">
        <ns0:v>Teilumfang, offen</ns0:v>
      </ns0:c>
      <ns0:c r="M21" s="72" t="str">
        <ns0:f>IF(INDEX('Feiertagsregeln'!$Y$7:$Y$21,MATCH($I21,'Feiertagsregeln'!$A$7:$A$21,0))="","Noch zu erfassen",INDEX('Feiertagsregeln'!$Y$7:$Y$21,MATCH($I21,'Feiertagsregeln'!$A$7:$A$21,0)))</ns0:f>
        <ns0:v>Noch zu erfassen</ns0:v>
      </ns0:c>
      <ns0:c r="N21" s="72" t="str">
        <ns0:f>IF(INDEX('Feiertagsregeln'!$Z$7:$Z$21,MATCH($I21,'Feiertagsregeln'!$A$7:$A$21,0))="","Noch zu erfassen",INDEX('Feiertagsregeln'!$Z$7:$Z$21,MATCH($I21,'Feiertagsregeln'!$A$7:$A$21,0)))</ns0:f>
        <ns0:v>Noch zu erfassen</ns0:v>
      </ns0:c>
    </ns0:row>
    <ns0:row r="22" ht="38" customHeight="1">
      <ns0:c r="A22" s="73" t="n">
        <ns0:f>INDEX('Feiertagsregeln'!$V$7:$V$21,MATCH($I22,'Feiertagsregeln'!$A$7:$A$21,0))</ns0:f>
        <ns0:v>46692</ns0:v>
      </ns0:c>
      <ns0:c r="B22" s="74" t="str">
        <ns0:f>IF(ISNUMBER(A22),CHOOSE(WEEKDAY(A22,2),"Montag","Dienstag","Mittwoch","Donnerstag","Freitag","Samstag","Sonntag"),"n.a.")</ns0:f>
        <ns0:v>Montag</ns0:v>
      </ns0:c>
      <ns0:c r="C22" s="74" t="str">
        <ns0:v>CH-AG</ns0:v>
      </ns0:c>
      <ns0:c r="D22" s="74" t="str">
        <ns0:v>Aargau, prozessuale Zuordnung</ns0:v>
      </ns0:c>
      <ns0:c r="E22" s="74" t="str">
        <ns0:f>INDEX('Feiertagsregeln'!$D$7:$D$21,MATCH($I22,'Feiertagsregeln'!$A$7:$A$21,0))</ns0:f>
        <ns0:v>Allerheiligen</ns0:v>
      </ns0:c>
      <ns0:c r="F22" s="74" t="str">
        <ns0:f>INDEX('Feiertagsregeln'!$E$7:$E$21,MATCH($I22,'Feiertagsregeln'!$A$7:$A$21,0))</ns0:f>
        <ns0:v>Toussaint</ns0:v>
      </ns0:c>
      <ns0:c r="G22" s="74" t="str">
        <ns0:f>INDEX('Feiertagsregeln'!$F$7:$F$21,MATCH($I22,'Feiertagsregeln'!$A$7:$A$21,0))</ns0:f>
        <ns0:v>proceduralEquivalentDay</ns0:v>
      </ns0:c>
      <ns0:c r="H22" s="74" t="str">
        <ns0:f>INDEX('Feiertagsregeln'!$P$7:$P$21,MATCH($I22,'Feiertagsregeln'!$A$7:$A$21,0))</ns0:f>
        <ns0:v>open</ns0:v>
      </ns0:c>
      <ns0:c r="I22" s="74" t="str">
        <ns0:v>AG-PROC-DAY-ALL-SAINTS</ns0:v>
      </ns0:c>
      <ns0:c r="J22" s="74" t="str">
        <ns0:f>INDEX('Feiertagsregeln'!$W$7:$W$21,MATCH($I22,'Feiertagsregeln'!$A$7:$A$21,0))</ns0:f>
        <ns0:v>SRC-AG-EGZPO</ns0:v>
      </ns0:c>
      <ns0:c r="K22" s="74" t="str">
        <ns0:f>INDEX('Feiertagsregeln'!$X$7:$X$21,MATCH($I22,'Feiertagsregeln'!$A$7:$A$21,0))</ns0:f>
        <ns0:v>§ 21</ns0:v>
      </ns0:c>
      <ns0:c r="L22" s="74" t="str">
        <ns0:v>Teilumfang, offen</ns0:v>
      </ns0:c>
      <ns0:c r="M22" s="75" t="str">
        <ns0:f>IF(INDEX('Feiertagsregeln'!$Y$7:$Y$21,MATCH($I22,'Feiertagsregeln'!$A$7:$A$21,0))="","Noch zu erfassen",INDEX('Feiertagsregeln'!$Y$7:$Y$21,MATCH($I22,'Feiertagsregeln'!$A$7:$A$21,0)))</ns0:f>
        <ns0:v>Noch zu erfassen</ns0:v>
      </ns0:c>
      <ns0:c r="N22" s="75" t="str">
        <ns0:f>IF(INDEX('Feiertagsregeln'!$Z$7:$Z$21,MATCH($I22,'Feiertagsregeln'!$A$7:$A$21,0))="","Noch zu erfassen",INDEX('Feiertagsregeln'!$Z$7:$Z$21,MATCH($I22,'Feiertagsregeln'!$A$7:$A$21,0)))</ns0:f>
        <ns0:v>Noch zu erfassen</ns0:v>
      </ns0:c>
    </ns0:row>
    <ns0:row r="23" ht="24" customHeight="1">
      <ns0:c r="A23" s="60"/>
      <ns0:c r="B23" s="60"/>
      <ns0:c r="C23" s="60"/>
      <ns0:c r="D23" s="60"/>
      <ns0:c r="E23" s="60"/>
      <ns0:c r="F23" s="60"/>
      <ns0:c r="G23" s="60"/>
      <ns0:c r="H23" s="60"/>
      <ns0:c r="I23" s="60"/>
      <ns0:c r="J23" s="60"/>
      <ns0:c r="K23" s="60"/>
      <ns0:c r="L23" s="60"/>
    </ns0:row>
    <ns0:row r="24" ht="24" customHeight="1">
      <ns0:c r="A24" s="60"/>
      <ns0:c r="B24" s="60"/>
      <ns0:c r="C24" s="60"/>
      <ns0:c r="D24" s="60"/>
      <ns0:c r="E24" s="60"/>
      <ns0:c r="F24" s="60"/>
      <ns0:c r="G24" s="60"/>
      <ns0:c r="H24" s="60"/>
      <ns0:c r="I24" s="60"/>
      <ns0:c r="J24" s="60"/>
      <ns0:c r="K24" s="60"/>
      <ns0:c r="L24" s="60"/>
    </ns0:row>
    <ns0:row r="25" ht="24" customHeight="1">
      <ns0:c r="A25" s="60"/>
      <ns0:c r="B25" s="60"/>
      <ns0:c r="C25" s="60"/>
      <ns0:c r="D25" s="60"/>
      <ns0:c r="E25" s="60"/>
      <ns0:c r="F25" s="60"/>
      <ns0:c r="G25" s="60"/>
      <ns0:c r="H25" s="60"/>
      <ns0:c r="I25" s="60"/>
      <ns0:c r="J25" s="60"/>
      <ns0:c r="K25" s="60"/>
      <ns0:c r="L25" s="60"/>
    </ns0:row>
    <ns0:row r="26" ht="24" customHeight="1">
      <ns0:c r="A26" s="60"/>
      <ns0:c r="B26" s="60"/>
      <ns0:c r="C26" s="60"/>
      <ns0:c r="D26" s="60"/>
      <ns0:c r="E26" s="60"/>
      <ns0:c r="F26" s="60"/>
      <ns0:c r="G26" s="60"/>
      <ns0:c r="H26" s="60"/>
      <ns0:c r="I26" s="60"/>
      <ns0:c r="J26" s="60"/>
      <ns0:c r="K26" s="60"/>
      <ns0:c r="L26" s="60"/>
    </ns0:row>
    <ns0:row r="27" ht="24" customHeight="1">
      <ns0:c r="A27" s="60"/>
      <ns0:c r="B27" s="60"/>
      <ns0:c r="C27" s="60"/>
      <ns0:c r="D27" s="60"/>
      <ns0:c r="E27" s="60"/>
      <ns0:c r="F27" s="60"/>
      <ns0:c r="G27" s="60"/>
      <ns0:c r="H27" s="60"/>
      <ns0:c r="I27" s="60"/>
      <ns0:c r="J27" s="60"/>
      <ns0:c r="K27" s="60"/>
      <ns0:c r="L27" s="60"/>
    </ns0:row>
    <ns0:row r="28" ht="24" customHeight="1">
      <ns0:c r="A28" s="60"/>
      <ns0:c r="B28" s="60"/>
      <ns0:c r="C28" s="60"/>
      <ns0:c r="D28" s="60"/>
      <ns0:c r="E28" s="60"/>
      <ns0:c r="F28" s="60"/>
      <ns0:c r="G28" s="60"/>
      <ns0:c r="H28" s="60"/>
      <ns0:c r="I28" s="60"/>
      <ns0:c r="J28" s="60"/>
      <ns0:c r="K28" s="60"/>
      <ns0:c r="L28" s="60"/>
    </ns0:row>
    <ns0:row r="29" ht="24" customHeight="1">
      <ns0:c r="A29" s="60"/>
      <ns0:c r="B29" s="60"/>
      <ns0:c r="C29" s="60"/>
      <ns0:c r="D29" s="60"/>
      <ns0:c r="E29" s="60"/>
      <ns0:c r="F29" s="60"/>
      <ns0:c r="G29" s="60"/>
      <ns0:c r="H29" s="60"/>
      <ns0:c r="I29" s="60"/>
      <ns0:c r="J29" s="60"/>
      <ns0:c r="K29" s="60"/>
      <ns0:c r="L29" s="60"/>
    </ns0:row>
    <ns0:row r="30" ht="24" customHeight="1">
      <ns0:c r="A30" s="60"/>
      <ns0:c r="B30" s="60"/>
      <ns0:c r="C30" s="60"/>
      <ns0:c r="D30" s="60"/>
      <ns0:c r="E30" s="60"/>
      <ns0:c r="F30" s="60"/>
      <ns0:c r="G30" s="60"/>
      <ns0:c r="H30" s="60"/>
      <ns0:c r="I30" s="60"/>
      <ns0:c r="J30" s="60"/>
      <ns0:c r="K30" s="60"/>
      <ns0:c r="L30" s="60"/>
    </ns0:row>
    <ns0:row r="31" ht="24" customHeight="1">
      <ns0:c r="A31" s="60"/>
      <ns0:c r="B31" s="60"/>
      <ns0:c r="C31" s="60"/>
      <ns0:c r="D31" s="60"/>
      <ns0:c r="E31" s="60"/>
      <ns0:c r="F31" s="60"/>
      <ns0:c r="G31" s="60"/>
      <ns0:c r="H31" s="60"/>
      <ns0:c r="I31" s="60"/>
      <ns0:c r="J31" s="60"/>
      <ns0:c r="K31" s="60"/>
      <ns0:c r="L31" s="60"/>
    </ns0:row>
    <ns0:row r="32" ht="24" customHeight="1">
      <ns0:c r="A32" s="60"/>
      <ns0:c r="B32" s="60"/>
      <ns0:c r="C32" s="60"/>
      <ns0:c r="D32" s="60"/>
      <ns0:c r="E32" s="60"/>
      <ns0:c r="F32" s="60"/>
      <ns0:c r="G32" s="60"/>
      <ns0:c r="H32" s="60"/>
      <ns0:c r="I32" s="60"/>
      <ns0:c r="J32" s="60"/>
      <ns0:c r="K32" s="60"/>
      <ns0:c r="L32" s="60"/>
    </ns0:row>
  </ns0:sheetData>
  <ns0:sheetProtection sheet="1" objects="1" scenarios="1" autoFilter="0" sort="0" selectLockedCells="0" selectUnlockedCells="0"/>
  <ns0:conditionalFormatting sqref="H7:H22">
    <ns0:cfRule type="containsText" dxfId="10" priority="1" operator="containsText" text="open"/>
    <ns0:cfRule type="containsText" dxfId="11" priority="2" operator="containsText" text="blocked"/>
  </ns0:conditionalFormatting>
  <ns0:dataValidations count="1">
    <ns0:dataValidation type="list" sqref="H7:H22">
      <ns0:formula1>"approved,open,blocked"</ns0:formula1>
    </ns0:dataValidation>
  </ns0:dataValidations>
  <ns0:pageMargins left="0.7" right="0.7" top="0.75" bottom="0.75" header="0.3" footer="0.3"/>
  <ns0:tableParts count="1">
    <ns0:tablePart ns1:id="R30d012bed9d140cd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6" topLeftCell="B7" activePane="bottomRight" state="frozen"/>
    </ns0:sheetView>
  </ns0:sheetViews>
  <ns0:sheetFormatPr defaultRowHeight="15"/>
  <ns0:cols>
    <ns0:col min="1" max="1" width="15" hidden="0" customWidth="1"/>
    <ns0:col min="2" max="2" width="28" hidden="0" customWidth="1"/>
    <ns0:col min="3" max="3" width="31" hidden="0" customWidth="1"/>
    <ns0:col min="4" max="4" width="15" hidden="0" customWidth="1"/>
    <ns0:col min="5" max="5" width="30" hidden="0" customWidth="1"/>
    <ns0:col min="6" max="6" width="16" hidden="0" customWidth="1"/>
    <ns0:col min="7" max="7" width="64" hidden="0" customWidth="1"/>
    <ns0:col min="8" max="8" width="32" hidden="0" customWidth="1"/>
    <ns0:col min="9" max="9" width="32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</ns0:row>
    <ns0:row r="2" ht="24" customHeight="1">
      <ns0:c r="A2" s="61" t="str">
        <ns0:v>Gemeinwesen und Bearbeitungsstand</ns0:v>
      </ns0:c>
      <ns0:c r="B2" s="60"/>
      <ns0:c r="C2" s="60"/>
      <ns0:c r="D2" s="60"/>
      <ns0:c r="E2" s="60"/>
      <ns0:c r="F2" s="60"/>
      <ns0:c r="G2" s="60"/>
    </ns0:row>
    <ns0:row r="3" ht="24" customHeight="1">
      <ns0:c r="A3" s="62"/>
      <ns0:c r="B3" s="62"/>
      <ns0:c r="C3" s="62"/>
      <ns0:c r="D3" s="62"/>
      <ns0:c r="E3" s="62"/>
      <ns0:c r="F3" s="62"/>
      <ns0:c r="G3" s="62"/>
    </ns0:row>
    <ns0:row r="4" ht="24" customHeight="1">
      <ns0:c r="A4" s="67" t="str">
        <ns0:v>Erfassungsstand und fachliche Freigabe sind getrennt. Leere Quellen sind noch zu erheben.</ns0:v>
      </ns0:c>
      <ns0:c r="B4" s="60"/>
      <ns0:c r="C4" s="60"/>
      <ns0:c r="D4" s="60"/>
      <ns0:c r="E4" s="60"/>
      <ns0:c r="F4" s="60"/>
      <ns0:c r="G4" s="60"/>
    </ns0:row>
    <ns0:row r="5" ht="24" customHeight="1">
      <ns0:c r="A5" s="60"/>
      <ns0:c r="B5" s="60"/>
      <ns0:c r="C5" s="60"/>
      <ns0:c r="D5" s="60"/>
      <ns0:c r="E5" s="60"/>
      <ns0:c r="F5" s="60"/>
      <ns0:c r="G5" s="60"/>
    </ns0:row>
    <ns0:row r="6" ht="42" customHeight="1">
      <ns0:c r="A6" s="68" t="str">
        <ns0:v>Code</ns0:v>
      </ns0:c>
      <ns0:c r="B6" s="68" t="str">
        <ns0:v>Deutsch</ns0:v>
      </ns0:c>
      <ns0:c r="C6" s="68" t="str">
        <ns0:v>Französisch</ns0:v>
      </ns0:c>
      <ns0:c r="D6" s="68" t="str">
        <ns0:v>Übergeordnet</ns0:v>
      </ns0:c>
      <ns0:c r="E6" s="68" t="str">
        <ns0:v>Erfassungsstand</ns0:v>
      </ns0:c>
      <ns0:c r="F6" s="68" t="str">
        <ns0:v>Fachstatus</ns0:v>
      </ns0:c>
      <ns0:c r="G6" s="68" t="str">
        <ns0:v>Amtliche Feiertagsquelle</ns0:v>
      </ns0:c>
      <ns0:c r="H6" s="69" t="str">
        <ns0:v>Italienisch</ns0:v>
      </ns0:c>
      <ns0:c r="I6" s="69" t="str">
        <ns0:v>Rumantsch Grischun</ns0:v>
      </ns0:c>
    </ns0:row>
    <ns0:row r="7" ht="38" customHeight="1">
      <ns0:c r="A7" s="71" t="str">
        <ns0:v>CH</ns0:v>
      </ns0:c>
      <ns0:c r="B7" s="76" t="str">
        <ns0:v>Bund</ns0:v>
      </ns0:c>
      <ns0:c r="C7" s="76" t="str">
        <ns0:v>Confédération</ns0:v>
      </ns0:c>
      <ns0:c r="D7" s="76"/>
      <ns0:c r="E7" s="76" t="str">
        <ns0:v>Referenzpilot</ns0:v>
      </ns0:c>
      <ns0:c r="F7" s="76" t="str">
        <ns0:v>approved</ns0:v>
      </ns0:c>
      <ns0:c r="G7" s="76" t="str">
        <ns0:v>https://www.fedlex.admin.ch/eli/cc/1994/1340_1340_1340/de</ns0:v>
      </ns0:c>
      <ns0:c r="H7" s="77" t="str"/>
      <ns0:c r="I7" s="77" t="str"/>
    </ns0:row>
    <ns0:row r="8" ht="38" customHeight="1">
      <ns0:c r="A8" s="74" t="str">
        <ns0:v>CH-ZH</ns0:v>
      </ns0:c>
      <ns0:c r="B8" s="78" t="str">
        <ns0:v>Zürich</ns0:v>
      </ns0:c>
      <ns0:c r="C8" s="78" t="str">
        <ns0:v>Zurich</ns0:v>
      </ns0:c>
      <ns0:c r="D8" s="78" t="str">
        <ns0:v>CH</ns0:v>
      </ns0:c>
      <ns0:c r="E8" s="78" t="str">
        <ns0:v>Nicht erhoben</ns0:v>
      </ns0:c>
      <ns0:c r="F8" s="78" t="str">
        <ns0:v>open</ns0:v>
      </ns0:c>
      <ns0:c r="G8" s="78" t="str">
        <ns0:v>Noch zu erheben</ns0:v>
      </ns0:c>
      <ns0:c r="H8" s="79" t="str"/>
      <ns0:c r="I8" s="79" t="str"/>
    </ns0:row>
    <ns0:row r="9" ht="38" customHeight="1">
      <ns0:c r="A9" s="71" t="str">
        <ns0:v>CH-BE</ns0:v>
      </ns0:c>
      <ns0:c r="B9" s="76" t="str">
        <ns0:v>Bern</ns0:v>
      </ns0:c>
      <ns0:c r="C9" s="76" t="str">
        <ns0:v>Berne</ns0:v>
      </ns0:c>
      <ns0:c r="D9" s="76" t="str">
        <ns0:v>CH</ns0:v>
      </ns0:c>
      <ns0:c r="E9" s="76" t="str">
        <ns0:v>Referenzpilot</ns0:v>
      </ns0:c>
      <ns0:c r="F9" s="76" t="str">
        <ns0:v>approved</ns0:v>
      </ns0:c>
      <ns0:c r="G9" s="76" t="str">
        <ns0:v>https://www.belex.sites.be.ch/app/de/texts_of_law/555.1</ns0:v>
      </ns0:c>
      <ns0:c r="H9" s="77" t="str"/>
      <ns0:c r="I9" s="77" t="str"/>
    </ns0:row>
    <ns0:row r="10" ht="38" customHeight="1">
      <ns0:c r="A10" s="74" t="str">
        <ns0:v>CH-LU</ns0:v>
      </ns0:c>
      <ns0:c r="B10" s="78" t="str">
        <ns0:v>Luzern</ns0:v>
      </ns0:c>
      <ns0:c r="C10" s="78" t="str">
        <ns0:v>Lucerne</ns0:v>
      </ns0:c>
      <ns0:c r="D10" s="78" t="str">
        <ns0:v>CH</ns0:v>
      </ns0:c>
      <ns0:c r="E10" s="78" t="str">
        <ns0:v>Nicht erhoben</ns0:v>
      </ns0:c>
      <ns0:c r="F10" s="78" t="str">
        <ns0:v>open</ns0:v>
      </ns0:c>
      <ns0:c r="G10" s="78" t="str">
        <ns0:v>Noch zu erheben</ns0:v>
      </ns0:c>
      <ns0:c r="H10" s="79" t="str"/>
      <ns0:c r="I10" s="79" t="str"/>
    </ns0:row>
    <ns0:row r="11" ht="38" customHeight="1">
      <ns0:c r="A11" s="71" t="str">
        <ns0:v>CH-UR</ns0:v>
      </ns0:c>
      <ns0:c r="B11" s="76" t="str">
        <ns0:v>Uri</ns0:v>
      </ns0:c>
      <ns0:c r="C11" s="76" t="str">
        <ns0:v>Uri</ns0:v>
      </ns0:c>
      <ns0:c r="D11" s="76" t="str">
        <ns0:v>CH</ns0:v>
      </ns0:c>
      <ns0:c r="E11" s="76" t="str">
        <ns0:v>Nicht erhoben</ns0:v>
      </ns0:c>
      <ns0:c r="F11" s="76" t="str">
        <ns0:v>open</ns0:v>
      </ns0:c>
      <ns0:c r="G11" s="76" t="str">
        <ns0:v>Noch zu erheben</ns0:v>
      </ns0:c>
      <ns0:c r="H11" s="77" t="str"/>
      <ns0:c r="I11" s="77" t="str"/>
    </ns0:row>
    <ns0:row r="12" ht="38" customHeight="1">
      <ns0:c r="A12" s="74" t="str">
        <ns0:v>CH-SZ</ns0:v>
      </ns0:c>
      <ns0:c r="B12" s="78" t="str">
        <ns0:v>Schwyz</ns0:v>
      </ns0:c>
      <ns0:c r="C12" s="78" t="str">
        <ns0:v>Schwytz</ns0:v>
      </ns0:c>
      <ns0:c r="D12" s="78" t="str">
        <ns0:v>CH</ns0:v>
      </ns0:c>
      <ns0:c r="E12" s="78" t="str">
        <ns0:v>Nicht erhoben</ns0:v>
      </ns0:c>
      <ns0:c r="F12" s="78" t="str">
        <ns0:v>open</ns0:v>
      </ns0:c>
      <ns0:c r="G12" s="78" t="str">
        <ns0:v>Noch zu erheben</ns0:v>
      </ns0:c>
      <ns0:c r="H12" s="79" t="str"/>
      <ns0:c r="I12" s="79" t="str"/>
    </ns0:row>
    <ns0:row r="13" ht="38" customHeight="1">
      <ns0:c r="A13" s="71" t="str">
        <ns0:v>CH-OW</ns0:v>
      </ns0:c>
      <ns0:c r="B13" s="76" t="str">
        <ns0:v>Obwalden</ns0:v>
      </ns0:c>
      <ns0:c r="C13" s="76" t="str">
        <ns0:v>Obwald</ns0:v>
      </ns0:c>
      <ns0:c r="D13" s="76" t="str">
        <ns0:v>CH</ns0:v>
      </ns0:c>
      <ns0:c r="E13" s="76" t="str">
        <ns0:v>Nicht erhoben</ns0:v>
      </ns0:c>
      <ns0:c r="F13" s="76" t="str">
        <ns0:v>open</ns0:v>
      </ns0:c>
      <ns0:c r="G13" s="76" t="str">
        <ns0:v>Noch zu erheben</ns0:v>
      </ns0:c>
      <ns0:c r="H13" s="77" t="str"/>
      <ns0:c r="I13" s="77" t="str"/>
    </ns0:row>
    <ns0:row r="14" ht="38" customHeight="1">
      <ns0:c r="A14" s="74" t="str">
        <ns0:v>CH-NW</ns0:v>
      </ns0:c>
      <ns0:c r="B14" s="78" t="str">
        <ns0:v>Nidwalden</ns0:v>
      </ns0:c>
      <ns0:c r="C14" s="78" t="str">
        <ns0:v>Nidwald</ns0:v>
      </ns0:c>
      <ns0:c r="D14" s="78" t="str">
        <ns0:v>CH</ns0:v>
      </ns0:c>
      <ns0:c r="E14" s="78" t="str">
        <ns0:v>Nicht erhoben</ns0:v>
      </ns0:c>
      <ns0:c r="F14" s="78" t="str">
        <ns0:v>open</ns0:v>
      </ns0:c>
      <ns0:c r="G14" s="78" t="str">
        <ns0:v>Noch zu erheben</ns0:v>
      </ns0:c>
      <ns0:c r="H14" s="79" t="str"/>
      <ns0:c r="I14" s="79" t="str"/>
    </ns0:row>
    <ns0:row r="15" ht="38" customHeight="1">
      <ns0:c r="A15" s="71" t="str">
        <ns0:v>CH-GL</ns0:v>
      </ns0:c>
      <ns0:c r="B15" s="76" t="str">
        <ns0:v>Glarus</ns0:v>
      </ns0:c>
      <ns0:c r="C15" s="76" t="str">
        <ns0:v>Glaris</ns0:v>
      </ns0:c>
      <ns0:c r="D15" s="76" t="str">
        <ns0:v>CH</ns0:v>
      </ns0:c>
      <ns0:c r="E15" s="76" t="str">
        <ns0:v>Nicht erhoben</ns0:v>
      </ns0:c>
      <ns0:c r="F15" s="76" t="str">
        <ns0:v>open</ns0:v>
      </ns0:c>
      <ns0:c r="G15" s="76" t="str">
        <ns0:v>Noch zu erheben</ns0:v>
      </ns0:c>
      <ns0:c r="H15" s="77" t="str"/>
      <ns0:c r="I15" s="77" t="str"/>
    </ns0:row>
    <ns0:row r="16" ht="38" customHeight="1">
      <ns0:c r="A16" s="74" t="str">
        <ns0:v>CH-ZG</ns0:v>
      </ns0:c>
      <ns0:c r="B16" s="78" t="str">
        <ns0:v>Zug</ns0:v>
      </ns0:c>
      <ns0:c r="C16" s="78" t="str">
        <ns0:v>Zoug</ns0:v>
      </ns0:c>
      <ns0:c r="D16" s="78" t="str">
        <ns0:v>CH</ns0:v>
      </ns0:c>
      <ns0:c r="E16" s="78" t="str">
        <ns0:v>Nicht erhoben</ns0:v>
      </ns0:c>
      <ns0:c r="F16" s="78" t="str">
        <ns0:v>open</ns0:v>
      </ns0:c>
      <ns0:c r="G16" s="78" t="str">
        <ns0:v>Noch zu erheben</ns0:v>
      </ns0:c>
      <ns0:c r="H16" s="79" t="str"/>
      <ns0:c r="I16" s="79" t="str"/>
    </ns0:row>
    <ns0:row r="17" ht="38" customHeight="1">
      <ns0:c r="A17" s="71" t="str">
        <ns0:v>CH-FR</ns0:v>
      </ns0:c>
      <ns0:c r="B17" s="76" t="str">
        <ns0:v>Freiburg</ns0:v>
      </ns0:c>
      <ns0:c r="C17" s="76" t="str">
        <ns0:v>Fribourg</ns0:v>
      </ns0:c>
      <ns0:c r="D17" s="76" t="str">
        <ns0:v>CH</ns0:v>
      </ns0:c>
      <ns0:c r="E17" s="76" t="str">
        <ns0:v>Nicht erhoben</ns0:v>
      </ns0:c>
      <ns0:c r="F17" s="76" t="str">
        <ns0:v>open</ns0:v>
      </ns0:c>
      <ns0:c r="G17" s="76" t="str">
        <ns0:v>Noch zu erheben</ns0:v>
      </ns0:c>
      <ns0:c r="H17" s="77" t="str"/>
      <ns0:c r="I17" s="77" t="str"/>
    </ns0:row>
    <ns0:row r="18" ht="38" customHeight="1">
      <ns0:c r="A18" s="74" t="str">
        <ns0:v>CH-SO</ns0:v>
      </ns0:c>
      <ns0:c r="B18" s="78" t="str">
        <ns0:v>Solothurn</ns0:v>
      </ns0:c>
      <ns0:c r="C18" s="78" t="str">
        <ns0:v>Soleure</ns0:v>
      </ns0:c>
      <ns0:c r="D18" s="78" t="str">
        <ns0:v>CH</ns0:v>
      </ns0:c>
      <ns0:c r="E18" s="78" t="str">
        <ns0:v>Nicht erhoben</ns0:v>
      </ns0:c>
      <ns0:c r="F18" s="78" t="str">
        <ns0:v>open</ns0:v>
      </ns0:c>
      <ns0:c r="G18" s="78" t="str">
        <ns0:v>Noch zu erheben</ns0:v>
      </ns0:c>
      <ns0:c r="H18" s="79" t="str"/>
      <ns0:c r="I18" s="79" t="str"/>
    </ns0:row>
    <ns0:row r="19" ht="38" customHeight="1">
      <ns0:c r="A19" s="71" t="str">
        <ns0:v>CH-BS</ns0:v>
      </ns0:c>
      <ns0:c r="B19" s="76" t="str">
        <ns0:v>Basel-Stadt</ns0:v>
      </ns0:c>
      <ns0:c r="C19" s="76" t="str">
        <ns0:v>Bâle-Ville</ns0:v>
      </ns0:c>
      <ns0:c r="D19" s="76" t="str">
        <ns0:v>CH</ns0:v>
      </ns0:c>
      <ns0:c r="E19" s="76" t="str">
        <ns0:v>Nicht erhoben</ns0:v>
      </ns0:c>
      <ns0:c r="F19" s="76" t="str">
        <ns0:v>open</ns0:v>
      </ns0:c>
      <ns0:c r="G19" s="76" t="str">
        <ns0:v>Noch zu erheben</ns0:v>
      </ns0:c>
      <ns0:c r="H19" s="77" t="str"/>
      <ns0:c r="I19" s="77" t="str"/>
    </ns0:row>
    <ns0:row r="20" ht="38" customHeight="1">
      <ns0:c r="A20" s="74" t="str">
        <ns0:v>CH-BL</ns0:v>
      </ns0:c>
      <ns0:c r="B20" s="78" t="str">
        <ns0:v>Basel-Landschaft</ns0:v>
      </ns0:c>
      <ns0:c r="C20" s="78" t="str">
        <ns0:v>Bâle-Campagne</ns0:v>
      </ns0:c>
      <ns0:c r="D20" s="78" t="str">
        <ns0:v>CH</ns0:v>
      </ns0:c>
      <ns0:c r="E20" s="78" t="str">
        <ns0:v>Nicht erhoben</ns0:v>
      </ns0:c>
      <ns0:c r="F20" s="78" t="str">
        <ns0:v>open</ns0:v>
      </ns0:c>
      <ns0:c r="G20" s="78" t="str">
        <ns0:v>Noch zu erheben</ns0:v>
      </ns0:c>
      <ns0:c r="H20" s="79" t="str"/>
      <ns0:c r="I20" s="79" t="str"/>
    </ns0:row>
    <ns0:row r="21" ht="38" customHeight="1">
      <ns0:c r="A21" s="71" t="str">
        <ns0:v>CH-SH</ns0:v>
      </ns0:c>
      <ns0:c r="B21" s="76" t="str">
        <ns0:v>Schaffhausen</ns0:v>
      </ns0:c>
      <ns0:c r="C21" s="76" t="str">
        <ns0:v>Schaffhouse</ns0:v>
      </ns0:c>
      <ns0:c r="D21" s="76" t="str">
        <ns0:v>CH</ns0:v>
      </ns0:c>
      <ns0:c r="E21" s="76" t="str">
        <ns0:v>Nicht erhoben</ns0:v>
      </ns0:c>
      <ns0:c r="F21" s="76" t="str">
        <ns0:v>open</ns0:v>
      </ns0:c>
      <ns0:c r="G21" s="76" t="str">
        <ns0:v>Noch zu erheben</ns0:v>
      </ns0:c>
      <ns0:c r="H21" s="77" t="str"/>
      <ns0:c r="I21" s="77" t="str"/>
    </ns0:row>
    <ns0:row r="22" ht="38" customHeight="1">
      <ns0:c r="A22" s="74" t="str">
        <ns0:v>CH-AR</ns0:v>
      </ns0:c>
      <ns0:c r="B22" s="78" t="str">
        <ns0:v>Appenzell Ausserrhoden</ns0:v>
      </ns0:c>
      <ns0:c r="C22" s="78" t="str">
        <ns0:v>Appenzell Rhodes-Extérieures</ns0:v>
      </ns0:c>
      <ns0:c r="D22" s="78" t="str">
        <ns0:v>CH</ns0:v>
      </ns0:c>
      <ns0:c r="E22" s="78" t="str">
        <ns0:v>Nicht erhoben</ns0:v>
      </ns0:c>
      <ns0:c r="F22" s="78" t="str">
        <ns0:v>open</ns0:v>
      </ns0:c>
      <ns0:c r="G22" s="78" t="str">
        <ns0:v>Noch zu erheben</ns0:v>
      </ns0:c>
      <ns0:c r="H22" s="79" t="str"/>
      <ns0:c r="I22" s="79" t="str"/>
    </ns0:row>
    <ns0:row r="23" ht="38" customHeight="1">
      <ns0:c r="A23" s="71" t="str">
        <ns0:v>CH-AI</ns0:v>
      </ns0:c>
      <ns0:c r="B23" s="76" t="str">
        <ns0:v>Appenzell Innerrhoden</ns0:v>
      </ns0:c>
      <ns0:c r="C23" s="76" t="str">
        <ns0:v>Appenzell Rhodes-Intérieures</ns0:v>
      </ns0:c>
      <ns0:c r="D23" s="76" t="str">
        <ns0:v>CH</ns0:v>
      </ns0:c>
      <ns0:c r="E23" s="76" t="str">
        <ns0:v>Nicht erhoben</ns0:v>
      </ns0:c>
      <ns0:c r="F23" s="76" t="str">
        <ns0:v>open</ns0:v>
      </ns0:c>
      <ns0:c r="G23" s="76" t="str">
        <ns0:v>Noch zu erheben</ns0:v>
      </ns0:c>
      <ns0:c r="H23" s="77" t="str"/>
      <ns0:c r="I23" s="77" t="str"/>
    </ns0:row>
    <ns0:row r="24" ht="38" customHeight="1">
      <ns0:c r="A24" s="74" t="str">
        <ns0:v>CH-SG</ns0:v>
      </ns0:c>
      <ns0:c r="B24" s="78" t="str">
        <ns0:v>St. Gallen</ns0:v>
      </ns0:c>
      <ns0:c r="C24" s="78" t="str">
        <ns0:v>Saint-Gall</ns0:v>
      </ns0:c>
      <ns0:c r="D24" s="78" t="str">
        <ns0:v>CH</ns0:v>
      </ns0:c>
      <ns0:c r="E24" s="78" t="str">
        <ns0:v>Nicht erhoben</ns0:v>
      </ns0:c>
      <ns0:c r="F24" s="78" t="str">
        <ns0:v>open</ns0:v>
      </ns0:c>
      <ns0:c r="G24" s="78" t="str">
        <ns0:v>Noch zu erheben</ns0:v>
      </ns0:c>
      <ns0:c r="H24" s="79" t="str"/>
      <ns0:c r="I24" s="79" t="str"/>
    </ns0:row>
    <ns0:row r="25" ht="38" customHeight="1">
      <ns0:c r="A25" s="71" t="str">
        <ns0:v>CH-GR</ns0:v>
      </ns0:c>
      <ns0:c r="B25" s="76" t="str">
        <ns0:v>Graubünden</ns0:v>
      </ns0:c>
      <ns0:c r="C25" s="76" t="str">
        <ns0:v>Grisons</ns0:v>
      </ns0:c>
      <ns0:c r="D25" s="76" t="str">
        <ns0:v>CH</ns0:v>
      </ns0:c>
      <ns0:c r="E25" s="76" t="str">
        <ns0:v>Nicht erhoben</ns0:v>
      </ns0:c>
      <ns0:c r="F25" s="76" t="str">
        <ns0:v>open</ns0:v>
      </ns0:c>
      <ns0:c r="G25" s="76" t="str">
        <ns0:v>Noch zu erheben</ns0:v>
      </ns0:c>
      <ns0:c r="H25" s="77" t="str"/>
      <ns0:c r="I25" s="77" t="str"/>
    </ns0:row>
    <ns0:row r="26" ht="38" customHeight="1">
      <ns0:c r="A26" s="74" t="str">
        <ns0:v>CH-AG</ns0:v>
      </ns0:c>
      <ns0:c r="B26" s="78" t="str">
        <ns0:v>Aargau</ns0:v>
      </ns0:c>
      <ns0:c r="C26" s="78" t="str">
        <ns0:v>Argovie</ns0:v>
      </ns0:c>
      <ns0:c r="D26" s="78" t="str">
        <ns0:v>CH</ns0:v>
      </ns0:c>
      <ns0:c r="E26" s="78" t="str">
        <ns0:v>Strukturpilot, Teilumfang</ns0:v>
      </ns0:c>
      <ns0:c r="F26" s="78" t="str">
        <ns0:v>open</ns0:v>
      </ns0:c>
      <ns0:c r="G26" s="78" t="str">
        <ns0:v>https://gesetzessammlungen.ag.ch/app/de/texts_of_law/961.200</ns0:v>
      </ns0:c>
      <ns0:c r="H26" s="79" t="str"/>
      <ns0:c r="I26" s="79" t="str"/>
    </ns0:row>
    <ns0:row r="27" ht="38" customHeight="1">
      <ns0:c r="A27" s="71" t="str">
        <ns0:v>CH-TG</ns0:v>
      </ns0:c>
      <ns0:c r="B27" s="76" t="str">
        <ns0:v>Thurgau</ns0:v>
      </ns0:c>
      <ns0:c r="C27" s="76" t="str">
        <ns0:v>Thurgovie</ns0:v>
      </ns0:c>
      <ns0:c r="D27" s="76" t="str">
        <ns0:v>CH</ns0:v>
      </ns0:c>
      <ns0:c r="E27" s="76" t="str">
        <ns0:v>Nicht erhoben</ns0:v>
      </ns0:c>
      <ns0:c r="F27" s="76" t="str">
        <ns0:v>open</ns0:v>
      </ns0:c>
      <ns0:c r="G27" s="76" t="str">
        <ns0:v>Noch zu erheben</ns0:v>
      </ns0:c>
      <ns0:c r="H27" s="77" t="str"/>
      <ns0:c r="I27" s="77" t="str"/>
    </ns0:row>
    <ns0:row r="28" ht="38" customHeight="1">
      <ns0:c r="A28" s="74" t="str">
        <ns0:v>CH-TI</ns0:v>
      </ns0:c>
      <ns0:c r="B28" s="78" t="str">
        <ns0:v>Tessin</ns0:v>
      </ns0:c>
      <ns0:c r="C28" s="78" t="str">
        <ns0:v>Tessin</ns0:v>
      </ns0:c>
      <ns0:c r="D28" s="78" t="str">
        <ns0:v>CH</ns0:v>
      </ns0:c>
      <ns0:c r="E28" s="78" t="str">
        <ns0:v>Nicht erhoben</ns0:v>
      </ns0:c>
      <ns0:c r="F28" s="78" t="str">
        <ns0:v>open</ns0:v>
      </ns0:c>
      <ns0:c r="G28" s="78" t="str">
        <ns0:v>Noch zu erheben</ns0:v>
      </ns0:c>
      <ns0:c r="H28" s="79" t="str"/>
      <ns0:c r="I28" s="79" t="str"/>
    </ns0:row>
    <ns0:row r="29" ht="38" customHeight="1">
      <ns0:c r="A29" s="71" t="str">
        <ns0:v>CH-VD</ns0:v>
      </ns0:c>
      <ns0:c r="B29" s="76" t="str">
        <ns0:v>Waadt</ns0:v>
      </ns0:c>
      <ns0:c r="C29" s="76" t="str">
        <ns0:v>Vaud</ns0:v>
      </ns0:c>
      <ns0:c r="D29" s="76" t="str">
        <ns0:v>CH</ns0:v>
      </ns0:c>
      <ns0:c r="E29" s="76" t="str">
        <ns0:v>Nicht erhoben</ns0:v>
      </ns0:c>
      <ns0:c r="F29" s="76" t="str">
        <ns0:v>open</ns0:v>
      </ns0:c>
      <ns0:c r="G29" s="76" t="str">
        <ns0:v>Noch zu erheben</ns0:v>
      </ns0:c>
      <ns0:c r="H29" s="77" t="str"/>
      <ns0:c r="I29" s="77" t="str"/>
    </ns0:row>
    <ns0:row r="30" ht="38" customHeight="1">
      <ns0:c r="A30" s="74" t="str">
        <ns0:v>CH-VS</ns0:v>
      </ns0:c>
      <ns0:c r="B30" s="78" t="str">
        <ns0:v>Wallis</ns0:v>
      </ns0:c>
      <ns0:c r="C30" s="78" t="str">
        <ns0:v>Valais</ns0:v>
      </ns0:c>
      <ns0:c r="D30" s="78" t="str">
        <ns0:v>CH</ns0:v>
      </ns0:c>
      <ns0:c r="E30" s="78" t="str">
        <ns0:v>Nicht erhoben</ns0:v>
      </ns0:c>
      <ns0:c r="F30" s="78" t="str">
        <ns0:v>open</ns0:v>
      </ns0:c>
      <ns0:c r="G30" s="78" t="str">
        <ns0:v>Noch zu erheben</ns0:v>
      </ns0:c>
      <ns0:c r="H30" s="79" t="str"/>
      <ns0:c r="I30" s="79" t="str"/>
    </ns0:row>
    <ns0:row r="31" ht="38" customHeight="1">
      <ns0:c r="A31" s="71" t="str">
        <ns0:v>CH-NE</ns0:v>
      </ns0:c>
      <ns0:c r="B31" s="76" t="str">
        <ns0:v>Neuenburg</ns0:v>
      </ns0:c>
      <ns0:c r="C31" s="76" t="str">
        <ns0:v>Neuchâtel</ns0:v>
      </ns0:c>
      <ns0:c r="D31" s="76" t="str">
        <ns0:v>CH</ns0:v>
      </ns0:c>
      <ns0:c r="E31" s="76" t="str">
        <ns0:v>Nicht erhoben</ns0:v>
      </ns0:c>
      <ns0:c r="F31" s="76" t="str">
        <ns0:v>open</ns0:v>
      </ns0:c>
      <ns0:c r="G31" s="76" t="str">
        <ns0:v>Noch zu erheben</ns0:v>
      </ns0:c>
      <ns0:c r="H31" s="77" t="str"/>
      <ns0:c r="I31" s="77" t="str"/>
    </ns0:row>
    <ns0:row r="32" ht="38" customHeight="1">
      <ns0:c r="A32" s="74" t="str">
        <ns0:v>CH-GE</ns0:v>
      </ns0:c>
      <ns0:c r="B32" s="78" t="str">
        <ns0:v>Genf</ns0:v>
      </ns0:c>
      <ns0:c r="C32" s="78" t="str">
        <ns0:v>Genève</ns0:v>
      </ns0:c>
      <ns0:c r="D32" s="78" t="str">
        <ns0:v>CH</ns0:v>
      </ns0:c>
      <ns0:c r="E32" s="78" t="str">
        <ns0:v>Nicht erhoben</ns0:v>
      </ns0:c>
      <ns0:c r="F32" s="78" t="str">
        <ns0:v>open</ns0:v>
      </ns0:c>
      <ns0:c r="G32" s="78" t="str">
        <ns0:v>Noch zu erheben</ns0:v>
      </ns0:c>
      <ns0:c r="H32" s="79" t="str"/>
      <ns0:c r="I32" s="79" t="str"/>
    </ns0:row>
    <ns0:row r="33" ht="38" customHeight="1">
      <ns0:c r="A33" s="71" t="str">
        <ns0:v>CH-JU</ns0:v>
      </ns0:c>
      <ns0:c r="B33" s="76" t="str">
        <ns0:v>Jura</ns0:v>
      </ns0:c>
      <ns0:c r="C33" s="76" t="str">
        <ns0:v>Jura</ns0:v>
      </ns0:c>
      <ns0:c r="D33" s="76" t="str">
        <ns0:v>CH</ns0:v>
      </ns0:c>
      <ns0:c r="E33" s="76" t="str">
        <ns0:v>Nicht erhoben</ns0:v>
      </ns0:c>
      <ns0:c r="F33" s="76" t="str">
        <ns0:v>open</ns0:v>
      </ns0:c>
      <ns0:c r="G33" s="76" t="str">
        <ns0:v>Noch zu erheben</ns0:v>
      </ns0:c>
      <ns0:c r="H33" s="77" t="str"/>
      <ns0:c r="I33" s="77" t="str"/>
    </ns0:row>
  </ns0:sheetData>
  <ns0:sheetProtection sheet="1" objects="1" scenarios="1" autoFilter="0" sort="0" selectLockedCells="0" selectUnlockedCells="0"/>
  <ns0:conditionalFormatting sqref="F7:F33">
    <ns0:cfRule type="containsText" dxfId="0" priority="1" operator="containsText" text="open"/>
    <ns0:cfRule type="containsText" dxfId="1" priority="2" operator="containsText" text="blocked"/>
  </ns0:conditionalFormatting>
  <ns0:conditionalFormatting sqref="H7:H33">
    <ns0:cfRule type="containsBlanks" dxfId="12" priority="3"/>
  </ns0:conditionalFormatting>
  <ns0:conditionalFormatting sqref="I7:I33">
    <ns0:cfRule type="containsBlanks" dxfId="13" priority="4"/>
  </ns0:conditionalFormatting>
  <ns0:dataValidations count="1">
    <ns0:dataValidation type="list" sqref="F7:F33">
      <ns0:formula1>"approved,open,blocked"</ns0:formula1>
    </ns0:dataValidation>
  </ns0:dataValidations>
  <ns0:pageMargins left="0.7" right="0.7" top="0.75" bottom="0.75" header="0.3" footer="0.3"/>
  <ns0:tableParts count="1">
    <ns0:tablePart ns1:id="R31792b8a397e425f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6" topLeftCell="B7" activePane="bottomRight" state="frozen"/>
    </ns0:sheetView>
  </ns0:sheetViews>
  <ns0:sheetFormatPr defaultRowHeight="15"/>
  <ns0:cols>
    <ns0:col min="1" max="1" width="42" hidden="0" customWidth="1"/>
    <ns0:col min="2" max="2" width="16" hidden="0" customWidth="1"/>
    <ns0:col min="3" max="3" width="31" hidden="0" customWidth="1"/>
    <ns0:col min="4" max="4" width="35" hidden="0" customWidth="1"/>
    <ns0:col min="5" max="5" width="32" hidden="0" customWidth="1"/>
    <ns0:col min="6" max="6" width="27" hidden="0" customWidth="1"/>
    <ns0:col min="7" max="7" width="27" hidden="0" customWidth="1"/>
    <ns0:col min="8" max="8" width="10" hidden="0" customWidth="1"/>
    <ns0:col min="9" max="9" width="10" hidden="0" customWidth="1"/>
    <ns0:col min="10" max="10" width="13" hidden="0" customWidth="1"/>
    <ns0:col min="11" max="11" width="14" hidden="0" customWidth="1"/>
    <ns0:col min="12" max="12" width="13" hidden="0" customWidth="1"/>
    <ns0:col min="13" max="13" width="16" hidden="0" customWidth="1"/>
    <ns0:col min="14" max="14" width="16" hidden="0" customWidth="1"/>
    <ns0:col min="15" max="15" width="12" hidden="0" customWidth="1"/>
    <ns0:col min="16" max="16" width="15" hidden="0" customWidth="1"/>
    <ns0:col min="17" max="17" width="41" hidden="0" customWidth="1"/>
    <ns0:col min="18" max="18" width="13" hidden="0" customWidth="1"/>
    <ns0:col min="19" max="19" width="24" hidden="0" customWidth="1"/>
    <ns0:col min="20" max="20" width="24" hidden="0" customWidth="1"/>
    <ns0:col min="21" max="21" width="17" hidden="0" customWidth="1"/>
    <ns0:col min="22" max="22" width="24" hidden="0" customWidth="1"/>
    <ns0:col min="23" max="23" width="42" hidden="0" customWidth="1"/>
    <ns0:col min="24" max="24" width="32" hidden="0" customWidth="1"/>
    <ns0:col min="27" max="27" width="22" hidden="0" customWidth="1"/>
    <ns0:col min="28" max="28" width="18" hidden="0" customWidth="1"/>
    <ns0:col min="25" max="25" width="32" hidden="0" customWidth="1"/>
    <ns0:col min="26" max="26" width="32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  <ns0:c r="H1" s="60"/>
      <ns0:c r="I1" s="60"/>
      <ns0:c r="J1" s="60"/>
      <ns0:c r="K1" s="60"/>
      <ns0:c r="L1" s="60"/>
      <ns0:c r="M1" s="60"/>
      <ns0:c r="N1" s="60"/>
      <ns0:c r="O1" s="60"/>
      <ns0:c r="P1" s="60"/>
      <ns0:c r="Q1" s="60"/>
      <ns0:c r="R1" s="60"/>
      <ns0:c r="S1" s="60"/>
      <ns0:c r="T1" s="60"/>
      <ns0:c r="U1" s="60"/>
      <ns0:c r="V1" s="60"/>
      <ns0:c r="W1" s="60"/>
      <ns0:c r="X1" s="60"/>
    </ns0:row>
    <ns0:row r="2" ht="24" customHeight="1">
      <ns0:c r="A2" s="61" t="str">
        <ns0:v>Feiertagsregeln und Berechnung</ns0:v>
      </ns0:c>
      <ns0:c r="B2" s="60"/>
      <ns0:c r="C2" s="60"/>
      <ns0:c r="D2" s="60"/>
      <ns0:c r="E2" s="60"/>
      <ns0:c r="F2" s="60"/>
      <ns0:c r="G2" s="60"/>
      <ns0:c r="H2" s="60"/>
      <ns0:c r="I2" s="60"/>
      <ns0:c r="J2" s="60"/>
      <ns0:c r="K2" s="60"/>
      <ns0:c r="L2" s="60"/>
      <ns0:c r="M2" s="60"/>
      <ns0:c r="N2" s="60"/>
      <ns0:c r="O2" s="60"/>
      <ns0:c r="P2" s="60"/>
      <ns0:c r="Q2" s="60"/>
      <ns0:c r="R2" s="60"/>
      <ns0:c r="S2" s="60"/>
      <ns0:c r="T2" s="60"/>
      <ns0:c r="U2" s="60"/>
      <ns0:c r="V2" s="60"/>
      <ns0:c r="W2" s="60"/>
      <ns0:c r="X2" s="60"/>
    </ns0:row>
    <ns0:row r="3" ht="24" customHeight="1">
      <ns0:c r="A3" s="62"/>
      <ns0:c r="B3" s="62"/>
      <ns0:c r="C3" s="62"/>
      <ns0:c r="D3" s="62"/>
      <ns0:c r="E3" s="62"/>
      <ns0:c r="F3" s="62"/>
      <ns0:c r="G3" s="62"/>
      <ns0:c r="H3" s="62"/>
      <ns0:c r="I3" s="62"/>
      <ns0:c r="J3" s="62"/>
      <ns0:c r="K3" s="62"/>
      <ns0:c r="L3" s="62"/>
      <ns0:c r="M3" s="62"/>
      <ns0:c r="N3" s="62"/>
      <ns0:c r="O3" s="62"/>
      <ns0:c r="P3" s="62"/>
      <ns0:c r="Q3" s="62"/>
      <ns0:c r="R3" s="62"/>
      <ns0:c r="S3" s="62"/>
      <ns0:c r="T3" s="62"/>
      <ns0:c r="U3" s="62"/>
      <ns0:c r="V3" s="62"/>
      <ns0:c r="W3" s="62"/>
      <ns0:c r="X3" s="62"/>
    </ns0:row>
    <ns0:row r="4" ht="24" customHeight="1">
      <ns0:c r="A4" s="67" t="str">
        <ns0:v>Rechtskategorie und Geltungsbereich sind Pflicht. Datum und Gültigkeit rechts werden aus dem Kalenderjahr berechnet.</ns0:v>
      </ns0:c>
      <ns0:c r="B4" s="60"/>
      <ns0:c r="C4" s="60"/>
      <ns0:c r="D4" s="60"/>
      <ns0:c r="E4" s="60"/>
      <ns0:c r="F4" s="60"/>
      <ns0:c r="G4" s="60"/>
      <ns0:c r="H4" s="60"/>
      <ns0:c r="I4" s="60"/>
      <ns0:c r="J4" s="60"/>
      <ns0:c r="K4" s="60"/>
      <ns0:c r="L4" s="60"/>
      <ns0:c r="M4" s="60"/>
      <ns0:c r="N4" s="60"/>
      <ns0:c r="O4" s="60"/>
      <ns0:c r="P4" s="60"/>
      <ns0:c r="Q4" s="60"/>
      <ns0:c r="R4" s="60"/>
      <ns0:c r="S4" s="60"/>
      <ns0:c r="T4" s="60"/>
      <ns0:c r="U4" s="60"/>
      <ns0:c r="V4" s="60"/>
      <ns0:c r="W4" s="60"/>
      <ns0:c r="X4" s="60"/>
    </ns0:row>
    <ns0:row r="5" ht="24" customHeight="1">
      <ns0:c r="A5" s="60"/>
      <ns0:c r="B5" s="60"/>
      <ns0:c r="C5" s="60"/>
      <ns0:c r="D5" s="60"/>
      <ns0:c r="E5" s="60"/>
      <ns0:c r="F5" s="60"/>
      <ns0:c r="G5" s="60"/>
      <ns0:c r="H5" s="60"/>
      <ns0:c r="I5" s="60"/>
      <ns0:c r="J5" s="60"/>
      <ns0:c r="K5" s="60"/>
      <ns0:c r="L5" s="60"/>
      <ns0:c r="M5" s="60"/>
      <ns0:c r="N5" s="60"/>
      <ns0:c r="O5" s="60"/>
      <ns0:c r="P5" s="60"/>
      <ns0:c r="Q5" s="60"/>
      <ns0:c r="R5" s="60"/>
      <ns0:c r="S5" s="60"/>
      <ns0:c r="T5" s="60"/>
      <ns0:c r="U5" s="60"/>
      <ns0:c r="V5" s="60"/>
      <ns0:c r="W5" s="60"/>
      <ns0:c r="X5" s="60"/>
    </ns0:row>
    <ns0:row r="6" ht="42" customHeight="1">
      <ns0:c r="A6" s="68" t="str">
        <ns0:v>Regel-ID</ns0:v>
      </ns0:c>
      <ns0:c r="B6" s="68" t="str">
        <ns0:v>Gemeinwesen</ns0:v>
      </ns0:c>
      <ns0:c r="C6" s="68" t="str">
        <ns0:v>Geltungs-ID</ns0:v>
      </ns0:c>
      <ns0:c r="D6" s="68" t="str">
        <ns0:v>Deutsch</ns0:v>
      </ns0:c>
      <ns0:c r="E6" s="68" t="str">
        <ns0:v>Französisch</ns0:v>
      </ns0:c>
      <ns0:c r="F6" s="68" t="str">
        <ns0:v>Rechtskategorie</ns0:v>
      </ns0:c>
      <ns0:c r="G6" s="68" t="str">
        <ns0:v>Regeltyp</ns0:v>
      </ns0:c>
      <ns0:c r="H6" s="68" t="str">
        <ns0:v>Monat</ns0:v>
      </ns0:c>
      <ns0:c r="I6" s="68" t="str">
        <ns0:v>Tag</ns0:v>
      </ns0:c>
      <ns0:c r="J6" s="68" t="str">
        <ns0:v>Osterversatz</ns0:v>
      </ns0:c>
      <ns0:c r="K6" s="68" t="str">
        <ns0:v>ISO-Wochentag</ns0:v>
      </ns0:c>
      <ns0:c r="L6" s="68" t="str">
        <ns0:v>Vorkommen</ns0:v>
      </ns0:c>
      <ns0:c r="M6" s="68" t="str">
        <ns0:v>Gültig ab</ns0:v>
      </ns0:c>
      <ns0:c r="N6" s="68" t="str">
        <ns0:v>Gültig bis</ns0:v>
      </ns0:c>
      <ns0:c r="O6" s="68" t="str">
        <ns0:v>Priorität</ns0:v>
      </ns0:c>
      <ns0:c r="P6" s="68" t="str">
        <ns0:v>Fachstatus</ns0:v>
      </ns0:c>
      <ns0:c r="Q6" s="68" t="str">
        <ns0:v>Freigabebasis</ns0:v>
      </ns0:c>
      <ns0:c r="R6" s="68" t="str">
        <ns0:v>Wirkung</ns0:v>
      </ns0:c>
      <ns0:c r="S6" s="68" t="str">
        <ns0:v>Zielregel</ns0:v>
      </ns0:c>
      <ns0:c r="T6" s="68" t="str">
        <ns0:v>Exportklasse</ns0:v>
      </ns0:c>
      <ns0:c r="U6" s="68" t="str">
        <ns0:v>Rohdatum</ns0:v>
      </ns0:c>
      <ns0:c r="V6" s="68" t="str">
        <ns0:v>Datum im Geltungszeitraum</ns0:v>
      </ns0:c>
      <ns0:c r="W6" s="68" t="str">
        <ns0:v>Quellen-ID</ns0:v>
      </ns0:c>
      <ns0:c r="X6" s="68" t="str">
        <ns0:v>Fundstelle</ns0:v>
      </ns0:c>
      <ns0:c r="Y6" s="69" t="str">
        <ns0:v>Italienisch</ns0:v>
      </ns0:c>
      <ns0:c r="Z6" s="69" t="str">
        <ns0:v>Rumantsch Grischun</ns0:v>
      </ns0:c>
      <ns0:c r="AA6" s="80" t="str">
        <ns0:v>Osterrechnung</ns0:v>
      </ns0:c>
      <ns0:c r="AB6" s="80" t="str">
        <ns0:v>Wert</ns0:v>
      </ns0:c>
    </ns0:row>
    <ns0:row r="7" ht="38" customHeight="1">
      <ns0:c r="A7" s="71" t="str">
        <ns0:v>CH-CAL-HOL-NATIONAL-DAY</ns0:v>
      </ns0:c>
      <ns0:c r="B7" s="71" t="str">
        <ns0:v>CH</ns0:v>
      </ns0:c>
      <ns0:c r="C7" s="71" t="str">
        <ns0:v>CH-ALL</ns0:v>
      </ns0:c>
      <ns0:c r="D7" s="71" t="str">
        <ns0:v>Bundesfeiertag</ns0:v>
      </ns0:c>
      <ns0:c r="E7" s="71" t="str">
        <ns0:v>Fête nationale</ns0:v>
      </ns0:c>
      <ns0:c r="F7" s="71" t="str">
        <ns0:v>publicHoliday</ns0:v>
      </ns0:c>
      <ns0:c r="G7" s="71" t="str">
        <ns0:v>fixedMonthDay</ns0:v>
      </ns0:c>
      <ns0:c r="H7" s="81" t="n">
        <ns0:v>8</ns0:v>
      </ns0:c>
      <ns0:c r="I7" s="81" t="n">
        <ns0:v>1</ns0:v>
      </ns0:c>
      <ns0:c r="J7" s="71"/>
      <ns0:c r="K7" s="71"/>
      <ns0:c r="L7" s="71"/>
      <ns0:c r="M7" s="70" t="n">
        <ns0:v>34516</ns0:v>
      </ns0:c>
      <ns0:c r="N7" s="70"/>
      <ns0:c r="O7" s="71" t="n">
        <ns0:v>100</ns0:v>
      </ns0:c>
      <ns0:c r="P7" s="71" t="str">
        <ns0:v>approved</ns0:v>
      </ns0:c>
      <ns0:c r="Q7" s="71" t="str">
        <ns0:v>2026-08-31-mvp-03-approved.1</ns0:v>
      </ns0:c>
      <ns0:c r="R7" s="71" t="str">
        <ns0:v>add</ns0:v>
      </ns0:c>
      <ns0:c r="S7" s="71"/>
      <ns0:c r="T7" s="71" t="str">
        <ns0:v>referenceOnly</ns0:v>
      </ns0:c>
      <ns0:c r="U7" s="70" t="n">
        <ns0:f>IF(AND(ISNUMBER('Übersicht'!$B$4),'Übersicht'!$B$4=INT('Übersicht'!$B$4),'Übersicht'!$B$4&gt;=2026,'Übersicht'!$B$4&lt;=2028),IF(G7="fixedMonthDay",IF(AND(ISNUMBER(H7),ISNUMBER(I7),H7=INT(H7),I7=INT(I7),MONTH(DATE('Übersicht'!$B$4,H7,I7))=H7,DAY(DATE('Übersicht'!$B$4,H7,I7))=I7),DATE('Übersicht'!$B$4,H7,I7),NA()),IF(G7="easterOffsetDays",IF(AND(ISNUMBER(J7),J7=INT(J7),ABS(J7)&lt;=366),$AB$23+J7,NA()),IF(G7="nthWeekdayOfMonth",IF(AND(ISNUMBER(H7),ISNUMBER(K7),ISNUMBER(L7),H7=INT(H7),K7=INT(K7),L7=INT(L7),H7&gt;=1,H7&lt;=12,K7&gt;=1,K7&lt;=7,L7&gt;=1,L7&lt;=5,MONTH(DATE('Übersicht'!$B$4,H7,1)+MOD(K7-WEEKDAY(DATE('Übersicht'!$B$4,H7,1),2),7)+7*(L7-1))=H7),DATE('Übersicht'!$B$4,H7,1)+MOD(K7-WEEKDAY(DATE('Übersicht'!$B$4,H7,1),2),7)+7*(L7-1),NA()),NA()))),NA())</ns0:f>
        <ns0:v>46600</ns0:v>
      </ns0:c>
      <ns0:c r="V7" s="70" t="n">
        <ns0:f>IF(AND(U7&gt;=M7,OR(N7="",U7&lt;=N7)),U7,"Ausserhalb Geltung")</ns0:f>
        <ns0:v>46600</ns0:v>
      </ns0:c>
      <ns0:c r="W7" s="71" t="str">
        <ns0:v>SRC-BUNDESFEIERTAG-19940701</ns0:v>
      </ns0:c>
      <ns0:c r="X7" s="71" t="str">
        <ns0:v>Art. 1</ns0:v>
      </ns0:c>
      <ns0:c r="Y7" s="77" t="str"/>
      <ns0:c r="Z7" s="77" t="str"/>
      <ns0:c r="AA7" s="82" t="str">
        <ns0:v>Jahr</ns0:v>
      </ns0:c>
      <ns0:c r="AB7" s="82" t="n">
        <ns0:f>'Übersicht'!$B$4</ns0:f>
        <ns0:v>2027</ns0:v>
      </ns0:c>
    </ns0:row>
    <ns0:row r="8" ht="38" customHeight="1">
      <ns0:c r="A8" s="74" t="str">
        <ns0:v>BE-CAL-HOL-NEW-YEAR</ns0:v>
      </ns0:c>
      <ns0:c r="B8" s="74" t="str">
        <ns0:v>CH-BE</ns0:v>
      </ns0:c>
      <ns0:c r="C8" s="74" t="str">
        <ns0:v>BE-ALL</ns0:v>
      </ns0:c>
      <ns0:c r="D8" s="74" t="str">
        <ns0:v>Neujahr</ns0:v>
      </ns0:c>
      <ns0:c r="E8" s="74" t="str">
        <ns0:v>Nouvel An</ns0:v>
      </ns0:c>
      <ns0:c r="F8" s="74" t="str">
        <ns0:v>publicHoliday</ns0:v>
      </ns0:c>
      <ns0:c r="G8" s="74" t="str">
        <ns0:v>fixedMonthDay</ns0:v>
      </ns0:c>
      <ns0:c r="H8" s="83" t="n">
        <ns0:v>1</ns0:v>
      </ns0:c>
      <ns0:c r="I8" s="83" t="n">
        <ns0:v>1</ns0:v>
      </ns0:c>
      <ns0:c r="J8" s="74"/>
      <ns0:c r="K8" s="74"/>
      <ns0:c r="L8" s="74"/>
      <ns0:c r="M8" s="73" t="n">
        <ns0:v>46023</ns0:v>
      </ns0:c>
      <ns0:c r="N8" s="73"/>
      <ns0:c r="O8" s="74" t="n">
        <ns0:v>100</ns0:v>
      </ns0:c>
      <ns0:c r="P8" s="74" t="str">
        <ns0:v>approved</ns0:v>
      </ns0:c>
      <ns0:c r="Q8" s="74" t="str">
        <ns0:v>2026-08-31-mvp-03-approved.1</ns0:v>
      </ns0:c>
      <ns0:c r="R8" s="74" t="str">
        <ns0:v>add</ns0:v>
      </ns0:c>
      <ns0:c r="S8" s="74"/>
      <ns0:c r="T8" s="74" t="str">
        <ns0:v>referenceOnly</ns0:v>
      </ns0:c>
      <ns0:c r="U8" s="73" t="n">
        <ns0:f>IF(AND(ISNUMBER('Übersicht'!$B$4),'Übersicht'!$B$4=INT('Übersicht'!$B$4),'Übersicht'!$B$4&gt;=2026,'Übersicht'!$B$4&lt;=2028),IF(G8="fixedMonthDay",IF(AND(ISNUMBER(H8),ISNUMBER(I8),H8=INT(H8),I8=INT(I8),MONTH(DATE('Übersicht'!$B$4,H8,I8))=H8,DAY(DATE('Übersicht'!$B$4,H8,I8))=I8),DATE('Übersicht'!$B$4,H8,I8),NA()),IF(G8="easterOffsetDays",IF(AND(ISNUMBER(J8),J8=INT(J8),ABS(J8)&lt;=366),$AB$23+J8,NA()),IF(G8="nthWeekdayOfMonth",IF(AND(ISNUMBER(H8),ISNUMBER(K8),ISNUMBER(L8),H8=INT(H8),K8=INT(K8),L8=INT(L8),H8&gt;=1,H8&lt;=12,K8&gt;=1,K8&lt;=7,L8&gt;=1,L8&lt;=5,MONTH(DATE('Übersicht'!$B$4,H8,1)+MOD(K8-WEEKDAY(DATE('Übersicht'!$B$4,H8,1),2),7)+7*(L8-1))=H8),DATE('Übersicht'!$B$4,H8,1)+MOD(K8-WEEKDAY(DATE('Übersicht'!$B$4,H8,1),2),7)+7*(L8-1),NA()),NA()))),NA())</ns0:f>
        <ns0:v>46388</ns0:v>
      </ns0:c>
      <ns0:c r="V8" s="73" t="n">
        <ns0:f>IF(AND(U8&gt;=M8,OR(N8="",U8&lt;=N8)),U8,"Ausserhalb Geltung")</ns0:f>
        <ns0:v>46388</ns0:v>
      </ns0:c>
      <ns0:c r="W8" s="74" t="str">
        <ns0:v>SRC-FRG-BE-20210401</ns0:v>
      </ns0:c>
      <ns0:c r="X8" s="74" t="str">
        <ns0:v>Art. 2 Abs. 1 Bst. c</ns0:v>
      </ns0:c>
      <ns0:c r="Y8" s="79" t="str"/>
      <ns0:c r="Z8" s="79" t="str"/>
      <ns0:c r="AA8" s="82" t="str">
        <ns0:v>a</ns0:v>
      </ns0:c>
      <ns0:c r="AB8" s="82" t="n">
        <ns0:f>MOD(AB7,19)</ns0:f>
        <ns0:v>13</ns0:v>
      </ns0:c>
    </ns0:row>
    <ns0:row r="9" ht="38" customHeight="1">
      <ns0:c r="A9" s="71" t="str">
        <ns0:v>BE-CAL-HOL-BERCHTOLD-DAY</ns0:v>
      </ns0:c>
      <ns0:c r="B9" s="71" t="str">
        <ns0:v>CH-BE</ns0:v>
      </ns0:c>
      <ns0:c r="C9" s="71" t="str">
        <ns0:v>BE-ALL</ns0:v>
      </ns0:c>
      <ns0:c r="D9" s="71" t="str">
        <ns0:v>Berchtoldstag</ns0:v>
      </ns0:c>
      <ns0:c r="E9" s="71" t="str">
        <ns0:v>Saint-Berchtold</ns0:v>
      </ns0:c>
      <ns0:c r="F9" s="71" t="str">
        <ns0:v>publicHoliday</ns0:v>
      </ns0:c>
      <ns0:c r="G9" s="71" t="str">
        <ns0:v>fixedMonthDay</ns0:v>
      </ns0:c>
      <ns0:c r="H9" s="81" t="n">
        <ns0:v>1</ns0:v>
      </ns0:c>
      <ns0:c r="I9" s="81" t="n">
        <ns0:v>2</ns0:v>
      </ns0:c>
      <ns0:c r="J9" s="71"/>
      <ns0:c r="K9" s="71"/>
      <ns0:c r="L9" s="71"/>
      <ns0:c r="M9" s="70" t="n">
        <ns0:v>46023</ns0:v>
      </ns0:c>
      <ns0:c r="N9" s="70"/>
      <ns0:c r="O9" s="71" t="n">
        <ns0:v>100</ns0:v>
      </ns0:c>
      <ns0:c r="P9" s="71" t="str">
        <ns0:v>approved</ns0:v>
      </ns0:c>
      <ns0:c r="Q9" s="71" t="str">
        <ns0:v>2026-08-31-mvp-03-approved.1</ns0:v>
      </ns0:c>
      <ns0:c r="R9" s="71" t="str">
        <ns0:v>add</ns0:v>
      </ns0:c>
      <ns0:c r="S9" s="71"/>
      <ns0:c r="T9" s="71" t="str">
        <ns0:v>referenceOnly</ns0:v>
      </ns0:c>
      <ns0:c r="U9" s="70" t="n">
        <ns0:f>IF(AND(ISNUMBER('Übersicht'!$B$4),'Übersicht'!$B$4=INT('Übersicht'!$B$4),'Übersicht'!$B$4&gt;=2026,'Übersicht'!$B$4&lt;=2028),IF(G9="fixedMonthDay",IF(AND(ISNUMBER(H9),ISNUMBER(I9),H9=INT(H9),I9=INT(I9),MONTH(DATE('Übersicht'!$B$4,H9,I9))=H9,DAY(DATE('Übersicht'!$B$4,H9,I9))=I9),DATE('Übersicht'!$B$4,H9,I9),NA()),IF(G9="easterOffsetDays",IF(AND(ISNUMBER(J9),J9=INT(J9),ABS(J9)&lt;=366),$AB$23+J9,NA()),IF(G9="nthWeekdayOfMonth",IF(AND(ISNUMBER(H9),ISNUMBER(K9),ISNUMBER(L9),H9=INT(H9),K9=INT(K9),L9=INT(L9),H9&gt;=1,H9&lt;=12,K9&gt;=1,K9&lt;=7,L9&gt;=1,L9&lt;=5,MONTH(DATE('Übersicht'!$B$4,H9,1)+MOD(K9-WEEKDAY(DATE('Übersicht'!$B$4,H9,1),2),7)+7*(L9-1))=H9),DATE('Übersicht'!$B$4,H9,1)+MOD(K9-WEEKDAY(DATE('Übersicht'!$B$4,H9,1),2),7)+7*(L9-1),NA()),NA()))),NA())</ns0:f>
        <ns0:v>46389</ns0:v>
      </ns0:c>
      <ns0:c r="V9" s="70" t="n">
        <ns0:f>IF(AND(U9&gt;=M9,OR(N9="",U9&lt;=N9)),U9,"Ausserhalb Geltung")</ns0:f>
        <ns0:v>46389</ns0:v>
      </ns0:c>
      <ns0:c r="W9" s="71" t="str">
        <ns0:v>SRC-FRG-BE-20210401</ns0:v>
      </ns0:c>
      <ns0:c r="X9" s="71" t="str">
        <ns0:v>Art. 2 Abs. 1 Bst. c</ns0:v>
      </ns0:c>
      <ns0:c r="Y9" s="77" t="str"/>
      <ns0:c r="Z9" s="77" t="str"/>
      <ns0:c r="AA9" s="82" t="str">
        <ns0:v>b</ns0:v>
      </ns0:c>
      <ns0:c r="AB9" s="82" t="n">
        <ns0:f>INT(AB7/100)</ns0:f>
        <ns0:v>20</ns0:v>
      </ns0:c>
    </ns0:row>
    <ns0:row r="10" ht="38" customHeight="1">
      <ns0:c r="A10" s="74" t="str">
        <ns0:v>BE-CAL-HOL-GOOD-FRIDAY</ns0:v>
      </ns0:c>
      <ns0:c r="B10" s="74" t="str">
        <ns0:v>CH-BE</ns0:v>
      </ns0:c>
      <ns0:c r="C10" s="74" t="str">
        <ns0:v>BE-ALL</ns0:v>
      </ns0:c>
      <ns0:c r="D10" s="74" t="str">
        <ns0:v>Karfreitag</ns0:v>
      </ns0:c>
      <ns0:c r="E10" s="74" t="str">
        <ns0:v>Vendredi saint</ns0:v>
      </ns0:c>
      <ns0:c r="F10" s="74" t="str">
        <ns0:v>publicHoliday</ns0:v>
      </ns0:c>
      <ns0:c r="G10" s="74" t="str">
        <ns0:v>easterOffsetDays</ns0:v>
      </ns0:c>
      <ns0:c r="H10" s="83"/>
      <ns0:c r="I10" s="83"/>
      <ns0:c r="J10" s="74" t="n">
        <ns0:v>-2</ns0:v>
      </ns0:c>
      <ns0:c r="K10" s="74"/>
      <ns0:c r="L10" s="74"/>
      <ns0:c r="M10" s="73" t="n">
        <ns0:v>46023</ns0:v>
      </ns0:c>
      <ns0:c r="N10" s="73"/>
      <ns0:c r="O10" s="74" t="n">
        <ns0:v>100</ns0:v>
      </ns0:c>
      <ns0:c r="P10" s="74" t="str">
        <ns0:v>approved</ns0:v>
      </ns0:c>
      <ns0:c r="Q10" s="74" t="str">
        <ns0:v>2026-08-31-mvp-03-approved.1</ns0:v>
      </ns0:c>
      <ns0:c r="R10" s="74" t="str">
        <ns0:v>add</ns0:v>
      </ns0:c>
      <ns0:c r="S10" s="74"/>
      <ns0:c r="T10" s="74" t="str">
        <ns0:v>referenceOnly</ns0:v>
      </ns0:c>
      <ns0:c r="U10" s="73" t="n">
        <ns0:f>IF(AND(ISNUMBER('Übersicht'!$B$4),'Übersicht'!$B$4=INT('Übersicht'!$B$4),'Übersicht'!$B$4&gt;=2026,'Übersicht'!$B$4&lt;=2028),IF(G10="fixedMonthDay",IF(AND(ISNUMBER(H10),ISNUMBER(I10),H10=INT(H10),I10=INT(I10),MONTH(DATE('Übersicht'!$B$4,H10,I10))=H10,DAY(DATE('Übersicht'!$B$4,H10,I10))=I10),DATE('Übersicht'!$B$4,H10,I10),NA()),IF(G10="easterOffsetDays",IF(AND(ISNUMBER(J10),J10=INT(J10),ABS(J10)&lt;=366),$AB$23+J10,NA()),IF(G10="nthWeekdayOfMonth",IF(AND(ISNUMBER(H10),ISNUMBER(K10),ISNUMBER(L10),H10=INT(H10),K10=INT(K10),L10=INT(L10),H10&gt;=1,H10&lt;=12,K10&gt;=1,K10&lt;=7,L10&gt;=1,L10&lt;=5,MONTH(DATE('Übersicht'!$B$4,H10,1)+MOD(K10-WEEKDAY(DATE('Übersicht'!$B$4,H10,1),2),7)+7*(L10-1))=H10),DATE('Übersicht'!$B$4,H10,1)+MOD(K10-WEEKDAY(DATE('Übersicht'!$B$4,H10,1),2),7)+7*(L10-1),NA()),NA()))),NA())</ns0:f>
        <ns0:v>46472</ns0:v>
      </ns0:c>
      <ns0:c r="V10" s="73" t="n">
        <ns0:f>IF(AND(U10&gt;=M10,OR(N10="",U10&lt;=N10)),U10,"Ausserhalb Geltung")</ns0:f>
        <ns0:v>46472</ns0:v>
      </ns0:c>
      <ns0:c r="W10" s="74" t="str">
        <ns0:v>SRC-FRG-BE-20210401</ns0:v>
      </ns0:c>
      <ns0:c r="X10" s="74" t="str">
        <ns0:v>Art. 2 Abs. 1 Bst. b</ns0:v>
      </ns0:c>
      <ns0:c r="Y10" s="79" t="str"/>
      <ns0:c r="Z10" s="79" t="str"/>
      <ns0:c r="AA10" s="82" t="str">
        <ns0:v>c</ns0:v>
      </ns0:c>
      <ns0:c r="AB10" s="82" t="n">
        <ns0:f>MOD(AB7,100)</ns0:f>
        <ns0:v>27</ns0:v>
      </ns0:c>
    </ns0:row>
    <ns0:row r="11" ht="38" customHeight="1">
      <ns0:c r="A11" s="71" t="str">
        <ns0:v>BE-CAL-HOL-EASTER</ns0:v>
      </ns0:c>
      <ns0:c r="B11" s="71" t="str">
        <ns0:v>CH-BE</ns0:v>
      </ns0:c>
      <ns0:c r="C11" s="71" t="str">
        <ns0:v>BE-ALL</ns0:v>
      </ns0:c>
      <ns0:c r="D11" s="71" t="str">
        <ns0:v>Ostern</ns0:v>
      </ns0:c>
      <ns0:c r="E11" s="71" t="str">
        <ns0:v>Pâques</ns0:v>
      </ns0:c>
      <ns0:c r="F11" s="71" t="str">
        <ns0:v>publicHoliday</ns0:v>
      </ns0:c>
      <ns0:c r="G11" s="71" t="str">
        <ns0:v>easterOffsetDays</ns0:v>
      </ns0:c>
      <ns0:c r="H11" s="81"/>
      <ns0:c r="I11" s="81"/>
      <ns0:c r="J11" s="71" t="n">
        <ns0:v>0</ns0:v>
      </ns0:c>
      <ns0:c r="K11" s="71"/>
      <ns0:c r="L11" s="71"/>
      <ns0:c r="M11" s="70" t="n">
        <ns0:v>46023</ns0:v>
      </ns0:c>
      <ns0:c r="N11" s="70"/>
      <ns0:c r="O11" s="71" t="n">
        <ns0:v>100</ns0:v>
      </ns0:c>
      <ns0:c r="P11" s="71" t="str">
        <ns0:v>approved</ns0:v>
      </ns0:c>
      <ns0:c r="Q11" s="71" t="str">
        <ns0:v>2026-08-31-mvp-03-approved.1</ns0:v>
      </ns0:c>
      <ns0:c r="R11" s="71" t="str">
        <ns0:v>add</ns0:v>
      </ns0:c>
      <ns0:c r="S11" s="71"/>
      <ns0:c r="T11" s="71" t="str">
        <ns0:v>referenceOnly</ns0:v>
      </ns0:c>
      <ns0:c r="U11" s="70" t="n">
        <ns0:f>IF(AND(ISNUMBER('Übersicht'!$B$4),'Übersicht'!$B$4=INT('Übersicht'!$B$4),'Übersicht'!$B$4&gt;=2026,'Übersicht'!$B$4&lt;=2028),IF(G11="fixedMonthDay",IF(AND(ISNUMBER(H11),ISNUMBER(I11),H11=INT(H11),I11=INT(I11),MONTH(DATE('Übersicht'!$B$4,H11,I11))=H11,DAY(DATE('Übersicht'!$B$4,H11,I11))=I11),DATE('Übersicht'!$B$4,H11,I11),NA()),IF(G11="easterOffsetDays",IF(AND(ISNUMBER(J11),J11=INT(J11),ABS(J11)&lt;=366),$AB$23+J11,NA()),IF(G11="nthWeekdayOfMonth",IF(AND(ISNUMBER(H11),ISNUMBER(K11),ISNUMBER(L11),H11=INT(H11),K11=INT(K11),L11=INT(L11),H11&gt;=1,H11&lt;=12,K11&gt;=1,K11&lt;=7,L11&gt;=1,L11&lt;=5,MONTH(DATE('Übersicht'!$B$4,H11,1)+MOD(K11-WEEKDAY(DATE('Übersicht'!$B$4,H11,1),2),7)+7*(L11-1))=H11),DATE('Übersicht'!$B$4,H11,1)+MOD(K11-WEEKDAY(DATE('Übersicht'!$B$4,H11,1),2),7)+7*(L11-1),NA()),NA()))),NA())</ns0:f>
        <ns0:v>46474</ns0:v>
      </ns0:c>
      <ns0:c r="V11" s="70" t="n">
        <ns0:f>IF(AND(U11&gt;=M11,OR(N11="",U11&lt;=N11)),U11,"Ausserhalb Geltung")</ns0:f>
        <ns0:v>46474</ns0:v>
      </ns0:c>
      <ns0:c r="W11" s="71" t="str">
        <ns0:v>SRC-FRG-BE-20210401</ns0:v>
      </ns0:c>
      <ns0:c r="X11" s="71" t="str">
        <ns0:v>Art. 2 Abs. 1 Bst. b</ns0:v>
      </ns0:c>
      <ns0:c r="Y11" s="77" t="str"/>
      <ns0:c r="Z11" s="77" t="str"/>
      <ns0:c r="AA11" s="82" t="str">
        <ns0:v>d</ns0:v>
      </ns0:c>
      <ns0:c r="AB11" s="82" t="n">
        <ns0:f>INT(AB9/4)</ns0:f>
        <ns0:v>5</ns0:v>
      </ns0:c>
    </ns0:row>
    <ns0:row r="12" ht="38" customHeight="1">
      <ns0:c r="A12" s="74" t="str">
        <ns0:v>BE-CAL-HOL-EASTER-MONDAY</ns0:v>
      </ns0:c>
      <ns0:c r="B12" s="74" t="str">
        <ns0:v>CH-BE</ns0:v>
      </ns0:c>
      <ns0:c r="C12" s="74" t="str">
        <ns0:v>BE-ALL</ns0:v>
      </ns0:c>
      <ns0:c r="D12" s="74" t="str">
        <ns0:v>Ostermontag</ns0:v>
      </ns0:c>
      <ns0:c r="E12" s="74" t="str">
        <ns0:v>Lundi de Pâques</ns0:v>
      </ns0:c>
      <ns0:c r="F12" s="74" t="str">
        <ns0:v>publicHoliday</ns0:v>
      </ns0:c>
      <ns0:c r="G12" s="74" t="str">
        <ns0:v>easterOffsetDays</ns0:v>
      </ns0:c>
      <ns0:c r="H12" s="83"/>
      <ns0:c r="I12" s="83"/>
      <ns0:c r="J12" s="74" t="n">
        <ns0:v>1</ns0:v>
      </ns0:c>
      <ns0:c r="K12" s="74"/>
      <ns0:c r="L12" s="74"/>
      <ns0:c r="M12" s="73" t="n">
        <ns0:v>46023</ns0:v>
      </ns0:c>
      <ns0:c r="N12" s="73"/>
      <ns0:c r="O12" s="74" t="n">
        <ns0:v>100</ns0:v>
      </ns0:c>
      <ns0:c r="P12" s="74" t="str">
        <ns0:v>approved</ns0:v>
      </ns0:c>
      <ns0:c r="Q12" s="74" t="str">
        <ns0:v>2026-08-31-mvp-03-approved.1</ns0:v>
      </ns0:c>
      <ns0:c r="R12" s="74" t="str">
        <ns0:v>add</ns0:v>
      </ns0:c>
      <ns0:c r="S12" s="74"/>
      <ns0:c r="T12" s="74" t="str">
        <ns0:v>referenceOnly</ns0:v>
      </ns0:c>
      <ns0:c r="U12" s="73" t="n">
        <ns0:f>IF(AND(ISNUMBER('Übersicht'!$B$4),'Übersicht'!$B$4=INT('Übersicht'!$B$4),'Übersicht'!$B$4&gt;=2026,'Übersicht'!$B$4&lt;=2028),IF(G12="fixedMonthDay",IF(AND(ISNUMBER(H12),ISNUMBER(I12),H12=INT(H12),I12=INT(I12),MONTH(DATE('Übersicht'!$B$4,H12,I12))=H12,DAY(DATE('Übersicht'!$B$4,H12,I12))=I12),DATE('Übersicht'!$B$4,H12,I12),NA()),IF(G12="easterOffsetDays",IF(AND(ISNUMBER(J12),J12=INT(J12),ABS(J12)&lt;=366),$AB$23+J12,NA()),IF(G12="nthWeekdayOfMonth",IF(AND(ISNUMBER(H12),ISNUMBER(K12),ISNUMBER(L12),H12=INT(H12),K12=INT(K12),L12=INT(L12),H12&gt;=1,H12&lt;=12,K12&gt;=1,K12&lt;=7,L12&gt;=1,L12&lt;=5,MONTH(DATE('Übersicht'!$B$4,H12,1)+MOD(K12-WEEKDAY(DATE('Übersicht'!$B$4,H12,1),2),7)+7*(L12-1))=H12),DATE('Übersicht'!$B$4,H12,1)+MOD(K12-WEEKDAY(DATE('Übersicht'!$B$4,H12,1),2),7)+7*(L12-1),NA()),NA()))),NA())</ns0:f>
        <ns0:v>46475</ns0:v>
      </ns0:c>
      <ns0:c r="V12" s="73" t="n">
        <ns0:f>IF(AND(U12&gt;=M12,OR(N12="",U12&lt;=N12)),U12,"Ausserhalb Geltung")</ns0:f>
        <ns0:v>46475</ns0:v>
      </ns0:c>
      <ns0:c r="W12" s="74" t="str">
        <ns0:v>SRC-FRG-BE-20210401</ns0:v>
      </ns0:c>
      <ns0:c r="X12" s="74" t="str">
        <ns0:v>Art. 2 Abs. 1 Bst. c</ns0:v>
      </ns0:c>
      <ns0:c r="Y12" s="79" t="str"/>
      <ns0:c r="Z12" s="79" t="str"/>
      <ns0:c r="AA12" s="82" t="str">
        <ns0:v>e</ns0:v>
      </ns0:c>
      <ns0:c r="AB12" s="82" t="n">
        <ns0:f>MOD(AB9,4)</ns0:f>
        <ns0:v>0</ns0:v>
      </ns0:c>
    </ns0:row>
    <ns0:row r="13" ht="38" customHeight="1">
      <ns0:c r="A13" s="71" t="str">
        <ns0:v>BE-CAL-HOL-ASCENSION</ns0:v>
      </ns0:c>
      <ns0:c r="B13" s="71" t="str">
        <ns0:v>CH-BE</ns0:v>
      </ns0:c>
      <ns0:c r="C13" s="71" t="str">
        <ns0:v>BE-ALL</ns0:v>
      </ns0:c>
      <ns0:c r="D13" s="71" t="str">
        <ns0:v>Auffahrt</ns0:v>
      </ns0:c>
      <ns0:c r="E13" s="71" t="str">
        <ns0:v>Ascension</ns0:v>
      </ns0:c>
      <ns0:c r="F13" s="71" t="str">
        <ns0:v>publicHoliday</ns0:v>
      </ns0:c>
      <ns0:c r="G13" s="71" t="str">
        <ns0:v>easterOffsetDays</ns0:v>
      </ns0:c>
      <ns0:c r="H13" s="81"/>
      <ns0:c r="I13" s="81"/>
      <ns0:c r="J13" s="71" t="n">
        <ns0:v>39</ns0:v>
      </ns0:c>
      <ns0:c r="K13" s="71"/>
      <ns0:c r="L13" s="71"/>
      <ns0:c r="M13" s="70" t="n">
        <ns0:v>46023</ns0:v>
      </ns0:c>
      <ns0:c r="N13" s="70"/>
      <ns0:c r="O13" s="71" t="n">
        <ns0:v>100</ns0:v>
      </ns0:c>
      <ns0:c r="P13" s="71" t="str">
        <ns0:v>approved</ns0:v>
      </ns0:c>
      <ns0:c r="Q13" s="71" t="str">
        <ns0:v>2026-08-31-mvp-03-approved.1</ns0:v>
      </ns0:c>
      <ns0:c r="R13" s="71" t="str">
        <ns0:v>add</ns0:v>
      </ns0:c>
      <ns0:c r="S13" s="71"/>
      <ns0:c r="T13" s="71" t="str">
        <ns0:v>referenceOnly</ns0:v>
      </ns0:c>
      <ns0:c r="U13" s="70" t="n">
        <ns0:f>IF(AND(ISNUMBER('Übersicht'!$B$4),'Übersicht'!$B$4=INT('Übersicht'!$B$4),'Übersicht'!$B$4&gt;=2026,'Übersicht'!$B$4&lt;=2028),IF(G13="fixedMonthDay",IF(AND(ISNUMBER(H13),ISNUMBER(I13),H13=INT(H13),I13=INT(I13),MONTH(DATE('Übersicht'!$B$4,H13,I13))=H13,DAY(DATE('Übersicht'!$B$4,H13,I13))=I13),DATE('Übersicht'!$B$4,H13,I13),NA()),IF(G13="easterOffsetDays",IF(AND(ISNUMBER(J13),J13=INT(J13),ABS(J13)&lt;=366),$AB$23+J13,NA()),IF(G13="nthWeekdayOfMonth",IF(AND(ISNUMBER(H13),ISNUMBER(K13),ISNUMBER(L13),H13=INT(H13),K13=INT(K13),L13=INT(L13),H13&gt;=1,H13&lt;=12,K13&gt;=1,K13&lt;=7,L13&gt;=1,L13&lt;=5,MONTH(DATE('Übersicht'!$B$4,H13,1)+MOD(K13-WEEKDAY(DATE('Übersicht'!$B$4,H13,1),2),7)+7*(L13-1))=H13),DATE('Übersicht'!$B$4,H13,1)+MOD(K13-WEEKDAY(DATE('Übersicht'!$B$4,H13,1),2),7)+7*(L13-1),NA()),NA()))),NA())</ns0:f>
        <ns0:v>46513</ns0:v>
      </ns0:c>
      <ns0:c r="V13" s="70" t="n">
        <ns0:f>IF(AND(U13&gt;=M13,OR(N13="",U13&lt;=N13)),U13,"Ausserhalb Geltung")</ns0:f>
        <ns0:v>46513</ns0:v>
      </ns0:c>
      <ns0:c r="W13" s="71" t="str">
        <ns0:v>SRC-FRG-BE-20210401</ns0:v>
      </ns0:c>
      <ns0:c r="X13" s="71" t="str">
        <ns0:v>Art. 2 Abs. 1 Bst. b</ns0:v>
      </ns0:c>
      <ns0:c r="Y13" s="77" t="str"/>
      <ns0:c r="Z13" s="77" t="str"/>
      <ns0:c r="AA13" s="82" t="str">
        <ns0:v>f</ns0:v>
      </ns0:c>
      <ns0:c r="AB13" s="82" t="n">
        <ns0:f>INT((AB9+8)/25)</ns0:f>
        <ns0:v>1</ns0:v>
      </ns0:c>
    </ns0:row>
    <ns0:row r="14" ht="38" customHeight="1">
      <ns0:c r="A14" s="74" t="str">
        <ns0:v>BE-CAL-HOL-PENTECOST</ns0:v>
      </ns0:c>
      <ns0:c r="B14" s="74" t="str">
        <ns0:v>CH-BE</ns0:v>
      </ns0:c>
      <ns0:c r="C14" s="74" t="str">
        <ns0:v>BE-ALL</ns0:v>
      </ns0:c>
      <ns0:c r="D14" s="74" t="str">
        <ns0:v>Pfingsten</ns0:v>
      </ns0:c>
      <ns0:c r="E14" s="74" t="str">
        <ns0:v>Pentecôte</ns0:v>
      </ns0:c>
      <ns0:c r="F14" s="74" t="str">
        <ns0:v>publicHoliday</ns0:v>
      </ns0:c>
      <ns0:c r="G14" s="74" t="str">
        <ns0:v>easterOffsetDays</ns0:v>
      </ns0:c>
      <ns0:c r="H14" s="83"/>
      <ns0:c r="I14" s="83"/>
      <ns0:c r="J14" s="74" t="n">
        <ns0:v>49</ns0:v>
      </ns0:c>
      <ns0:c r="K14" s="74"/>
      <ns0:c r="L14" s="74"/>
      <ns0:c r="M14" s="73" t="n">
        <ns0:v>46023</ns0:v>
      </ns0:c>
      <ns0:c r="N14" s="73"/>
      <ns0:c r="O14" s="74" t="n">
        <ns0:v>100</ns0:v>
      </ns0:c>
      <ns0:c r="P14" s="74" t="str">
        <ns0:v>approved</ns0:v>
      </ns0:c>
      <ns0:c r="Q14" s="74" t="str">
        <ns0:v>2026-08-31-mvp-03-approved.1</ns0:v>
      </ns0:c>
      <ns0:c r="R14" s="74" t="str">
        <ns0:v>add</ns0:v>
      </ns0:c>
      <ns0:c r="S14" s="74"/>
      <ns0:c r="T14" s="74" t="str">
        <ns0:v>referenceOnly</ns0:v>
      </ns0:c>
      <ns0:c r="U14" s="73" t="n">
        <ns0:f>IF(AND(ISNUMBER('Übersicht'!$B$4),'Übersicht'!$B$4=INT('Übersicht'!$B$4),'Übersicht'!$B$4&gt;=2026,'Übersicht'!$B$4&lt;=2028),IF(G14="fixedMonthDay",IF(AND(ISNUMBER(H14),ISNUMBER(I14),H14=INT(H14),I14=INT(I14),MONTH(DATE('Übersicht'!$B$4,H14,I14))=H14,DAY(DATE('Übersicht'!$B$4,H14,I14))=I14),DATE('Übersicht'!$B$4,H14,I14),NA()),IF(G14="easterOffsetDays",IF(AND(ISNUMBER(J14),J14=INT(J14),ABS(J14)&lt;=366),$AB$23+J14,NA()),IF(G14="nthWeekdayOfMonth",IF(AND(ISNUMBER(H14),ISNUMBER(K14),ISNUMBER(L14),H14=INT(H14),K14=INT(K14),L14=INT(L14),H14&gt;=1,H14&lt;=12,K14&gt;=1,K14&lt;=7,L14&gt;=1,L14&lt;=5,MONTH(DATE('Übersicht'!$B$4,H14,1)+MOD(K14-WEEKDAY(DATE('Übersicht'!$B$4,H14,1),2),7)+7*(L14-1))=H14),DATE('Übersicht'!$B$4,H14,1)+MOD(K14-WEEKDAY(DATE('Übersicht'!$B$4,H14,1),2),7)+7*(L14-1),NA()),NA()))),NA())</ns0:f>
        <ns0:v>46523</ns0:v>
      </ns0:c>
      <ns0:c r="V14" s="73" t="n">
        <ns0:f>IF(AND(U14&gt;=M14,OR(N14="",U14&lt;=N14)),U14,"Ausserhalb Geltung")</ns0:f>
        <ns0:v>46523</ns0:v>
      </ns0:c>
      <ns0:c r="W14" s="74" t="str">
        <ns0:v>SRC-FRG-BE-20210401</ns0:v>
      </ns0:c>
      <ns0:c r="X14" s="74" t="str">
        <ns0:v>Art. 2 Abs. 1 Bst. b</ns0:v>
      </ns0:c>
      <ns0:c r="Y14" s="79" t="str"/>
      <ns0:c r="Z14" s="79" t="str"/>
      <ns0:c r="AA14" s="82" t="str">
        <ns0:v>g</ns0:v>
      </ns0:c>
      <ns0:c r="AB14" s="82" t="n">
        <ns0:f>INT((AB9-AB13+1)/3)</ns0:f>
        <ns0:v>6</ns0:v>
      </ns0:c>
    </ns0:row>
    <ns0:row r="15" ht="38" customHeight="1">
      <ns0:c r="A15" s="71" t="str">
        <ns0:v>BE-CAL-HOL-WHIT-MONDAY</ns0:v>
      </ns0:c>
      <ns0:c r="B15" s="71" t="str">
        <ns0:v>CH-BE</ns0:v>
      </ns0:c>
      <ns0:c r="C15" s="71" t="str">
        <ns0:v>BE-ALL</ns0:v>
      </ns0:c>
      <ns0:c r="D15" s="71" t="str">
        <ns0:v>Pfingstmontag</ns0:v>
      </ns0:c>
      <ns0:c r="E15" s="71" t="str">
        <ns0:v>Lundi de Pentecôte</ns0:v>
      </ns0:c>
      <ns0:c r="F15" s="71" t="str">
        <ns0:v>publicHoliday</ns0:v>
      </ns0:c>
      <ns0:c r="G15" s="71" t="str">
        <ns0:v>easterOffsetDays</ns0:v>
      </ns0:c>
      <ns0:c r="H15" s="81"/>
      <ns0:c r="I15" s="81"/>
      <ns0:c r="J15" s="71" t="n">
        <ns0:v>50</ns0:v>
      </ns0:c>
      <ns0:c r="K15" s="71"/>
      <ns0:c r="L15" s="71"/>
      <ns0:c r="M15" s="70" t="n">
        <ns0:v>46023</ns0:v>
      </ns0:c>
      <ns0:c r="N15" s="70"/>
      <ns0:c r="O15" s="71" t="n">
        <ns0:v>100</ns0:v>
      </ns0:c>
      <ns0:c r="P15" s="71" t="str">
        <ns0:v>approved</ns0:v>
      </ns0:c>
      <ns0:c r="Q15" s="71" t="str">
        <ns0:v>2026-08-31-mvp-03-approved.1</ns0:v>
      </ns0:c>
      <ns0:c r="R15" s="71" t="str">
        <ns0:v>add</ns0:v>
      </ns0:c>
      <ns0:c r="S15" s="71"/>
      <ns0:c r="T15" s="71" t="str">
        <ns0:v>referenceOnly</ns0:v>
      </ns0:c>
      <ns0:c r="U15" s="70" t="n">
        <ns0:f>IF(AND(ISNUMBER('Übersicht'!$B$4),'Übersicht'!$B$4=INT('Übersicht'!$B$4),'Übersicht'!$B$4&gt;=2026,'Übersicht'!$B$4&lt;=2028),IF(G15="fixedMonthDay",IF(AND(ISNUMBER(H15),ISNUMBER(I15),H15=INT(H15),I15=INT(I15),MONTH(DATE('Übersicht'!$B$4,H15,I15))=H15,DAY(DATE('Übersicht'!$B$4,H15,I15))=I15),DATE('Übersicht'!$B$4,H15,I15),NA()),IF(G15="easterOffsetDays",IF(AND(ISNUMBER(J15),J15=INT(J15),ABS(J15)&lt;=366),$AB$23+J15,NA()),IF(G15="nthWeekdayOfMonth",IF(AND(ISNUMBER(H15),ISNUMBER(K15),ISNUMBER(L15),H15=INT(H15),K15=INT(K15),L15=INT(L15),H15&gt;=1,H15&lt;=12,K15&gt;=1,K15&lt;=7,L15&gt;=1,L15&lt;=5,MONTH(DATE('Übersicht'!$B$4,H15,1)+MOD(K15-WEEKDAY(DATE('Übersicht'!$B$4,H15,1),2),7)+7*(L15-1))=H15),DATE('Übersicht'!$B$4,H15,1)+MOD(K15-WEEKDAY(DATE('Übersicht'!$B$4,H15,1),2),7)+7*(L15-1),NA()),NA()))),NA())</ns0:f>
        <ns0:v>46524</ns0:v>
      </ns0:c>
      <ns0:c r="V15" s="70" t="n">
        <ns0:f>IF(AND(U15&gt;=M15,OR(N15="",U15&lt;=N15)),U15,"Ausserhalb Geltung")</ns0:f>
        <ns0:v>46524</ns0:v>
      </ns0:c>
      <ns0:c r="W15" s="71" t="str">
        <ns0:v>SRC-FRG-BE-20210401</ns0:v>
      </ns0:c>
      <ns0:c r="X15" s="71" t="str">
        <ns0:v>Art. 2 Abs. 1 Bst. c</ns0:v>
      </ns0:c>
      <ns0:c r="Y15" s="77" t="str"/>
      <ns0:c r="Z15" s="77" t="str"/>
      <ns0:c r="AA15" s="82" t="str">
        <ns0:v>h</ns0:v>
      </ns0:c>
      <ns0:c r="AB15" s="82" t="n">
        <ns0:f>MOD(19*AB8+AB9-AB11-AB14+15,30)</ns0:f>
        <ns0:v>1</ns0:v>
      </ns0:c>
    </ns0:row>
    <ns0:row r="16" ht="38" customHeight="1">
      <ns0:c r="A16" s="74" t="str">
        <ns0:v>BE-CAL-HOL-FEDERAL-FAST</ns0:v>
      </ns0:c>
      <ns0:c r="B16" s="74" t="str">
        <ns0:v>CH-BE</ns0:v>
      </ns0:c>
      <ns0:c r="C16" s="74" t="str">
        <ns0:v>BE-ALL</ns0:v>
      </ns0:c>
      <ns0:c r="D16" s="74" t="str">
        <ns0:v>Eidgenössischer Dank-, Buss- und Bettag</ns0:v>
      </ns0:c>
      <ns0:c r="E16" s="74" t="str">
        <ns0:v>Jeûne fédéral</ns0:v>
      </ns0:c>
      <ns0:c r="F16" s="74" t="str">
        <ns0:v>publicHoliday</ns0:v>
      </ns0:c>
      <ns0:c r="G16" s="74" t="str">
        <ns0:v>nthWeekdayOfMonth</ns0:v>
      </ns0:c>
      <ns0:c r="H16" s="83" t="n">
        <ns0:v>9</ns0:v>
      </ns0:c>
      <ns0:c r="I16" s="83"/>
      <ns0:c r="J16" s="74"/>
      <ns0:c r="K16" s="74" t="n">
        <ns0:v>7</ns0:v>
      </ns0:c>
      <ns0:c r="L16" s="74" t="n">
        <ns0:v>3</ns0:v>
      </ns0:c>
      <ns0:c r="M16" s="73" t="n">
        <ns0:v>46023</ns0:v>
      </ns0:c>
      <ns0:c r="N16" s="73"/>
      <ns0:c r="O16" s="74" t="n">
        <ns0:v>100</ns0:v>
      </ns0:c>
      <ns0:c r="P16" s="74" t="str">
        <ns0:v>approved</ns0:v>
      </ns0:c>
      <ns0:c r="Q16" s="74" t="str">
        <ns0:v>2026-08-31-mvp-03-approved.1</ns0:v>
      </ns0:c>
      <ns0:c r="R16" s="74" t="str">
        <ns0:v>add</ns0:v>
      </ns0:c>
      <ns0:c r="S16" s="74"/>
      <ns0:c r="T16" s="74" t="str">
        <ns0:v>referenceOnly</ns0:v>
      </ns0:c>
      <ns0:c r="U16" s="73" t="n">
        <ns0:f>IF(AND(ISNUMBER('Übersicht'!$B$4),'Übersicht'!$B$4=INT('Übersicht'!$B$4),'Übersicht'!$B$4&gt;=2026,'Übersicht'!$B$4&lt;=2028),IF(G16="fixedMonthDay",IF(AND(ISNUMBER(H16),ISNUMBER(I16),H16=INT(H16),I16=INT(I16),MONTH(DATE('Übersicht'!$B$4,H16,I16))=H16,DAY(DATE('Übersicht'!$B$4,H16,I16))=I16),DATE('Übersicht'!$B$4,H16,I16),NA()),IF(G16="easterOffsetDays",IF(AND(ISNUMBER(J16),J16=INT(J16),ABS(J16)&lt;=366),$AB$23+J16,NA()),IF(G16="nthWeekdayOfMonth",IF(AND(ISNUMBER(H16),ISNUMBER(K16),ISNUMBER(L16),H16=INT(H16),K16=INT(K16),L16=INT(L16),H16&gt;=1,H16&lt;=12,K16&gt;=1,K16&lt;=7,L16&gt;=1,L16&lt;=5,MONTH(DATE('Übersicht'!$B$4,H16,1)+MOD(K16-WEEKDAY(DATE('Übersicht'!$B$4,H16,1),2),7)+7*(L16-1))=H16),DATE('Übersicht'!$B$4,H16,1)+MOD(K16-WEEKDAY(DATE('Übersicht'!$B$4,H16,1),2),7)+7*(L16-1),NA()),NA()))),NA())</ns0:f>
        <ns0:v>46649</ns0:v>
      </ns0:c>
      <ns0:c r="V16" s="73" t="n">
        <ns0:f>IF(AND(U16&gt;=M16,OR(N16="",U16&lt;=N16)),U16,"Ausserhalb Geltung")</ns0:f>
        <ns0:v>46649</ns0:v>
      </ns0:c>
      <ns0:c r="W16" s="74" t="str">
        <ns0:v>SRC-FRG-BE-20210401</ns0:v>
      </ns0:c>
      <ns0:c r="X16" s="74" t="str">
        <ns0:v>Art. 2 Abs. 1 Bst. b</ns0:v>
      </ns0:c>
      <ns0:c r="Y16" s="79" t="str"/>
      <ns0:c r="Z16" s="79" t="str"/>
      <ns0:c r="AA16" s="82" t="str">
        <ns0:v>i</ns0:v>
      </ns0:c>
      <ns0:c r="AB16" s="82" t="n">
        <ns0:f>INT(AB10/4)</ns0:f>
        <ns0:v>6</ns0:v>
      </ns0:c>
    </ns0:row>
    <ns0:row r="17" ht="38" customHeight="1">
      <ns0:c r="A17" s="71" t="str">
        <ns0:v>BE-CAL-HOL-CHRISTMAS</ns0:v>
      </ns0:c>
      <ns0:c r="B17" s="71" t="str">
        <ns0:v>CH-BE</ns0:v>
      </ns0:c>
      <ns0:c r="C17" s="71" t="str">
        <ns0:v>BE-ALL</ns0:v>
      </ns0:c>
      <ns0:c r="D17" s="71" t="str">
        <ns0:v>Weihnachten</ns0:v>
      </ns0:c>
      <ns0:c r="E17" s="71" t="str">
        <ns0:v>Noël</ns0:v>
      </ns0:c>
      <ns0:c r="F17" s="71" t="str">
        <ns0:v>publicHoliday</ns0:v>
      </ns0:c>
      <ns0:c r="G17" s="71" t="str">
        <ns0:v>fixedMonthDay</ns0:v>
      </ns0:c>
      <ns0:c r="H17" s="81" t="n">
        <ns0:v>12</ns0:v>
      </ns0:c>
      <ns0:c r="I17" s="81" t="n">
        <ns0:v>25</ns0:v>
      </ns0:c>
      <ns0:c r="J17" s="71"/>
      <ns0:c r="K17" s="71"/>
      <ns0:c r="L17" s="71"/>
      <ns0:c r="M17" s="70" t="n">
        <ns0:v>46023</ns0:v>
      </ns0:c>
      <ns0:c r="N17" s="70"/>
      <ns0:c r="O17" s="71" t="n">
        <ns0:v>100</ns0:v>
      </ns0:c>
      <ns0:c r="P17" s="71" t="str">
        <ns0:v>approved</ns0:v>
      </ns0:c>
      <ns0:c r="Q17" s="71" t="str">
        <ns0:v>2026-08-31-mvp-03-approved.1</ns0:v>
      </ns0:c>
      <ns0:c r="R17" s="71" t="str">
        <ns0:v>add</ns0:v>
      </ns0:c>
      <ns0:c r="S17" s="71"/>
      <ns0:c r="T17" s="71" t="str">
        <ns0:v>referenceOnly</ns0:v>
      </ns0:c>
      <ns0:c r="U17" s="70" t="n">
        <ns0:f>IF(AND(ISNUMBER('Übersicht'!$B$4),'Übersicht'!$B$4=INT('Übersicht'!$B$4),'Übersicht'!$B$4&gt;=2026,'Übersicht'!$B$4&lt;=2028),IF(G17="fixedMonthDay",IF(AND(ISNUMBER(H17),ISNUMBER(I17),H17=INT(H17),I17=INT(I17),MONTH(DATE('Übersicht'!$B$4,H17,I17))=H17,DAY(DATE('Übersicht'!$B$4,H17,I17))=I17),DATE('Übersicht'!$B$4,H17,I17),NA()),IF(G17="easterOffsetDays",IF(AND(ISNUMBER(J17),J17=INT(J17),ABS(J17)&lt;=366),$AB$23+J17,NA()),IF(G17="nthWeekdayOfMonth",IF(AND(ISNUMBER(H17),ISNUMBER(K17),ISNUMBER(L17),H17=INT(H17),K17=INT(K17),L17=INT(L17),H17&gt;=1,H17&lt;=12,K17&gt;=1,K17&lt;=7,L17&gt;=1,L17&lt;=5,MONTH(DATE('Übersicht'!$B$4,H17,1)+MOD(K17-WEEKDAY(DATE('Übersicht'!$B$4,H17,1),2),7)+7*(L17-1))=H17),DATE('Übersicht'!$B$4,H17,1)+MOD(K17-WEEKDAY(DATE('Übersicht'!$B$4,H17,1),2),7)+7*(L17-1),NA()),NA()))),NA())</ns0:f>
        <ns0:v>46746</ns0:v>
      </ns0:c>
      <ns0:c r="V17" s="70" t="n">
        <ns0:f>IF(AND(U17&gt;=M17,OR(N17="",U17&lt;=N17)),U17,"Ausserhalb Geltung")</ns0:f>
        <ns0:v>46746</ns0:v>
      </ns0:c>
      <ns0:c r="W17" s="71" t="str">
        <ns0:v>SRC-FRG-BE-20210401</ns0:v>
      </ns0:c>
      <ns0:c r="X17" s="71" t="str">
        <ns0:v>Art. 2 Abs. 1 Bst. b</ns0:v>
      </ns0:c>
      <ns0:c r="Y17" s="77" t="str"/>
      <ns0:c r="Z17" s="77" t="str"/>
      <ns0:c r="AA17" s="82" t="str">
        <ns0:v>k</ns0:v>
      </ns0:c>
      <ns0:c r="AB17" s="82" t="n">
        <ns0:f>MOD(AB10,4)</ns0:f>
        <ns0:v>3</ns0:v>
      </ns0:c>
    </ns0:row>
    <ns0:row r="18" ht="38" customHeight="1">
      <ns0:c r="A18" s="74" t="str">
        <ns0:v>BE-CAL-HOL-ST-STEPHEN</ns0:v>
      </ns0:c>
      <ns0:c r="B18" s="74" t="str">
        <ns0:v>CH-BE</ns0:v>
      </ns0:c>
      <ns0:c r="C18" s="74" t="str">
        <ns0:v>BE-ALL</ns0:v>
      </ns0:c>
      <ns0:c r="D18" s="74" t="str">
        <ns0:v>Stephanstag</ns0:v>
      </ns0:c>
      <ns0:c r="E18" s="74" t="str">
        <ns0:v>Saint-Étienne</ns0:v>
      </ns0:c>
      <ns0:c r="F18" s="74" t="str">
        <ns0:v>publicHoliday</ns0:v>
      </ns0:c>
      <ns0:c r="G18" s="74" t="str">
        <ns0:v>fixedMonthDay</ns0:v>
      </ns0:c>
      <ns0:c r="H18" s="83" t="n">
        <ns0:v>12</ns0:v>
      </ns0:c>
      <ns0:c r="I18" s="83" t="n">
        <ns0:v>26</ns0:v>
      </ns0:c>
      <ns0:c r="J18" s="74"/>
      <ns0:c r="K18" s="74"/>
      <ns0:c r="L18" s="74"/>
      <ns0:c r="M18" s="73" t="n">
        <ns0:v>46023</ns0:v>
      </ns0:c>
      <ns0:c r="N18" s="73"/>
      <ns0:c r="O18" s="74" t="n">
        <ns0:v>100</ns0:v>
      </ns0:c>
      <ns0:c r="P18" s="74" t="str">
        <ns0:v>approved</ns0:v>
      </ns0:c>
      <ns0:c r="Q18" s="74" t="str">
        <ns0:v>2026-08-31-mvp-03-approved.1</ns0:v>
      </ns0:c>
      <ns0:c r="R18" s="74" t="str">
        <ns0:v>add</ns0:v>
      </ns0:c>
      <ns0:c r="S18" s="74"/>
      <ns0:c r="T18" s="74" t="str">
        <ns0:v>referenceOnly</ns0:v>
      </ns0:c>
      <ns0:c r="U18" s="73" t="n">
        <ns0:f>IF(AND(ISNUMBER('Übersicht'!$B$4),'Übersicht'!$B$4=INT('Übersicht'!$B$4),'Übersicht'!$B$4&gt;=2026,'Übersicht'!$B$4&lt;=2028),IF(G18="fixedMonthDay",IF(AND(ISNUMBER(H18),ISNUMBER(I18),H18=INT(H18),I18=INT(I18),MONTH(DATE('Übersicht'!$B$4,H18,I18))=H18,DAY(DATE('Übersicht'!$B$4,H18,I18))=I18),DATE('Übersicht'!$B$4,H18,I18),NA()),IF(G18="easterOffsetDays",IF(AND(ISNUMBER(J18),J18=INT(J18),ABS(J18)&lt;=366),$AB$23+J18,NA()),IF(G18="nthWeekdayOfMonth",IF(AND(ISNUMBER(H18),ISNUMBER(K18),ISNUMBER(L18),H18=INT(H18),K18=INT(K18),L18=INT(L18),H18&gt;=1,H18&lt;=12,K18&gt;=1,K18&lt;=7,L18&gt;=1,L18&lt;=5,MONTH(DATE('Übersicht'!$B$4,H18,1)+MOD(K18-WEEKDAY(DATE('Übersicht'!$B$4,H18,1),2),7)+7*(L18-1))=H18),DATE('Übersicht'!$B$4,H18,1)+MOD(K18-WEEKDAY(DATE('Übersicht'!$B$4,H18,1),2),7)+7*(L18-1),NA()),NA()))),NA())</ns0:f>
        <ns0:v>46747</ns0:v>
      </ns0:c>
      <ns0:c r="V18" s="73" t="n">
        <ns0:f>IF(AND(U18&gt;=M18,OR(N18="",U18&lt;=N18)),U18,"Ausserhalb Geltung")</ns0:f>
        <ns0:v>46747</ns0:v>
      </ns0:c>
      <ns0:c r="W18" s="74" t="str">
        <ns0:v>SRC-FRG-BE-20210401</ns0:v>
      </ns0:c>
      <ns0:c r="X18" s="74" t="str">
        <ns0:v>Art. 2 Abs. 1 Bst. c</ns0:v>
      </ns0:c>
      <ns0:c r="Y18" s="79" t="str"/>
      <ns0:c r="Z18" s="79" t="str"/>
      <ns0:c r="AA18" s="82" t="str">
        <ns0:v>l</ns0:v>
      </ns0:c>
      <ns0:c r="AB18" s="82" t="n">
        <ns0:f>MOD(32+2*AB12+2*AB16-AB15-AB17,7)</ns0:f>
        <ns0:v>5</ns0:v>
      </ns0:c>
    </ns0:row>
    <ns0:row r="19" ht="38" customHeight="1">
      <ns0:c r="A19" s="71" t="str">
        <ns0:v>AG-WORK-HOL-CORPUS-CHRISTI</ns0:v>
      </ns0:c>
      <ns0:c r="B19" s="71" t="str">
        <ns0:v>CH-AG</ns0:v>
      </ns0:c>
      <ns0:c r="C19" s="71" t="str">
        <ns0:v>AG-ARG-BADEN</ns0:v>
      </ns0:c>
      <ns0:c r="D19" s="76" t="str">
        <ns0:v>Fronleichnam</ns0:v>
      </ns0:c>
      <ns0:c r="E19" s="76" t="str">
        <ns0:v>Fête-Dieu</ns0:v>
      </ns0:c>
      <ns0:c r="F19" s="71" t="str">
        <ns0:v>labourLawHoliday</ns0:v>
      </ns0:c>
      <ns0:c r="G19" s="71" t="str">
        <ns0:v>easterOffsetDays</ns0:v>
      </ns0:c>
      <ns0:c r="H19" s="84"/>
      <ns0:c r="I19" s="84"/>
      <ns0:c r="J19" s="76" t="n">
        <ns0:v>60</ns0:v>
      </ns0:c>
      <ns0:c r="K19" s="76"/>
      <ns0:c r="L19" s="76"/>
      <ns0:c r="M19" s="85" t="n">
        <ns0:v>46023</ns0:v>
      </ns0:c>
      <ns0:c r="N19" s="85"/>
      <ns0:c r="O19" s="76" t="n">
        <ns0:v>100</ns0:v>
      </ns0:c>
      <ns0:c r="P19" s="76" t="str">
        <ns0:v>open</ns0:v>
      </ns0:c>
      <ns0:c r="Q19" s="71"/>
      <ns0:c r="R19" s="71" t="str">
        <ns0:v>add</ns0:v>
      </ns0:c>
      <ns0:c r="S19" s="71"/>
      <ns0:c r="T19" s="71" t="str">
        <ns0:v>blockedScope</ns0:v>
      </ns0:c>
      <ns0:c r="U19" s="70" t="n">
        <ns0:f>IF(AND(ISNUMBER('Übersicht'!$B$4),'Übersicht'!$B$4=INT('Übersicht'!$B$4),'Übersicht'!$B$4&gt;=2026,'Übersicht'!$B$4&lt;=2028),IF(G19="fixedMonthDay",IF(AND(ISNUMBER(H19),ISNUMBER(I19),H19=INT(H19),I19=INT(I19),MONTH(DATE('Übersicht'!$B$4,H19,I19))=H19,DAY(DATE('Übersicht'!$B$4,H19,I19))=I19),DATE('Übersicht'!$B$4,H19,I19),NA()),IF(G19="easterOffsetDays",IF(AND(ISNUMBER(J19),J19=INT(J19),ABS(J19)&lt;=366),$AB$23+J19,NA()),IF(G19="nthWeekdayOfMonth",IF(AND(ISNUMBER(H19),ISNUMBER(K19),ISNUMBER(L19),H19=INT(H19),K19=INT(K19),L19=INT(L19),H19&gt;=1,H19&lt;=12,K19&gt;=1,K19&lt;=7,L19&gt;=1,L19&lt;=5,MONTH(DATE('Übersicht'!$B$4,H19,1)+MOD(K19-WEEKDAY(DATE('Übersicht'!$B$4,H19,1),2),7)+7*(L19-1))=H19),DATE('Übersicht'!$B$4,H19,1)+MOD(K19-WEEKDAY(DATE('Übersicht'!$B$4,H19,1),2),7)+7*(L19-1),NA()),NA()))),NA())</ns0:f>
        <ns0:v>46534</ns0:v>
      </ns0:c>
      <ns0:c r="V19" s="70" t="n">
        <ns0:f>IF(AND(U19&gt;=M19,OR(N19="",U19&lt;=N19)),U19,"Ausserhalb Geltung")</ns0:f>
        <ns0:v>46534</ns0:v>
      </ns0:c>
      <ns0:c r="W19" s="71" t="str">
        <ns0:v>SRC-AG-EGARR-20250901</ns0:v>
      </ns0:c>
      <ns0:c r="X19" s="71" t="str">
        <ns0:v>§ 6 Abs. 1 Bst. b Ziff. 2</ns0:v>
      </ns0:c>
      <ns0:c r="Y19" s="77" t="str"/>
      <ns0:c r="Z19" s="77" t="str"/>
      <ns0:c r="AA19" s="82" t="str">
        <ns0:v>m</ns0:v>
      </ns0:c>
      <ns0:c r="AB19" s="82" t="n">
        <ns0:f>INT((AB8+11*AB15+22*AB18)/451)</ns0:f>
        <ns0:v>0</ns0:v>
      </ns0:c>
    </ns0:row>
    <ns0:row r="20" ht="38" customHeight="1">
      <ns0:c r="A20" s="74" t="str">
        <ns0:v>AG-WORK-HOL-BERCHTOLD</ns0:v>
      </ns0:c>
      <ns0:c r="B20" s="74" t="str">
        <ns0:v>CH-AG</ns0:v>
      </ns0:c>
      <ns0:c r="C20" s="74" t="str">
        <ns0:v>AG-ARG-BERGDIETIKON</ns0:v>
      </ns0:c>
      <ns0:c r="D20" s="78" t="str">
        <ns0:v>Berchtoldstag</ns0:v>
      </ns0:c>
      <ns0:c r="E20" s="78" t="str">
        <ns0:v>Saint-Berchtold</ns0:v>
      </ns0:c>
      <ns0:c r="F20" s="74" t="str">
        <ns0:v>labourLawHoliday</ns0:v>
      </ns0:c>
      <ns0:c r="G20" s="74" t="str">
        <ns0:v>fixedMonthDay</ns0:v>
      </ns0:c>
      <ns0:c r="H20" s="86" t="n">
        <ns0:v>1</ns0:v>
      </ns0:c>
      <ns0:c r="I20" s="86" t="n">
        <ns0:v>2</ns0:v>
      </ns0:c>
      <ns0:c r="J20" s="78"/>
      <ns0:c r="K20" s="78"/>
      <ns0:c r="L20" s="78"/>
      <ns0:c r="M20" s="87" t="n">
        <ns0:v>46023</ns0:v>
      </ns0:c>
      <ns0:c r="N20" s="87"/>
      <ns0:c r="O20" s="78" t="n">
        <ns0:v>100</ns0:v>
      </ns0:c>
      <ns0:c r="P20" s="78" t="str">
        <ns0:v>open</ns0:v>
      </ns0:c>
      <ns0:c r="Q20" s="74"/>
      <ns0:c r="R20" s="74" t="str">
        <ns0:v>add</ns0:v>
      </ns0:c>
      <ns0:c r="S20" s="74"/>
      <ns0:c r="T20" s="74" t="str">
        <ns0:v>blockedScope</ns0:v>
      </ns0:c>
      <ns0:c r="U20" s="73" t="n">
        <ns0:f>IF(AND(ISNUMBER('Übersicht'!$B$4),'Übersicht'!$B$4=INT('Übersicht'!$B$4),'Übersicht'!$B$4&gt;=2026,'Übersicht'!$B$4&lt;=2028),IF(G20="fixedMonthDay",IF(AND(ISNUMBER(H20),ISNUMBER(I20),H20=INT(H20),I20=INT(I20),MONTH(DATE('Übersicht'!$B$4,H20,I20))=H20,DAY(DATE('Übersicht'!$B$4,H20,I20))=I20),DATE('Übersicht'!$B$4,H20,I20),NA()),IF(G20="easterOffsetDays",IF(AND(ISNUMBER(J20),J20=INT(J20),ABS(J20)&lt;=366),$AB$23+J20,NA()),IF(G20="nthWeekdayOfMonth",IF(AND(ISNUMBER(H20),ISNUMBER(K20),ISNUMBER(L20),H20=INT(H20),K20=INT(K20),L20=INT(L20),H20&gt;=1,H20&lt;=12,K20&gt;=1,K20&lt;=7,L20&gt;=1,L20&lt;=5,MONTH(DATE('Übersicht'!$B$4,H20,1)+MOD(K20-WEEKDAY(DATE('Übersicht'!$B$4,H20,1),2),7)+7*(L20-1))=H20),DATE('Übersicht'!$B$4,H20,1)+MOD(K20-WEEKDAY(DATE('Übersicht'!$B$4,H20,1),2),7)+7*(L20-1),NA()),NA()))),NA())</ns0:f>
        <ns0:v>46389</ns0:v>
      </ns0:c>
      <ns0:c r="V20" s="73" t="n">
        <ns0:f>IF(AND(U20&gt;=M20,OR(N20="",U20&lt;=N20)),U20,"Ausserhalb Geltung")</ns0:f>
        <ns0:v>46389</ns0:v>
      </ns0:c>
      <ns0:c r="W20" s="74" t="str">
        <ns0:v>SRC-AG-EGARR-20250901</ns0:v>
      </ns0:c>
      <ns0:c r="X20" s="74" t="str">
        <ns0:v>§ 6 Abs. 1 Bst. b Ziff. 1</ns0:v>
      </ns0:c>
      <ns0:c r="Y20" s="79" t="str"/>
      <ns0:c r="Z20" s="79" t="str"/>
      <ns0:c r="AA20" s="82" t="str">
        <ns0:v>n</ns0:v>
      </ns0:c>
      <ns0:c r="AB20" s="82" t="n">
        <ns0:f>AB15+AB18-7*AB19+114</ns0:f>
        <ns0:v>120</ns0:v>
      </ns0:c>
    </ns0:row>
    <ns0:row r="21" ht="38" customHeight="1">
      <ns0:c r="A21" s="71" t="str">
        <ns0:v>AG-PROC-DAY-ALL-SAINTS</ns0:v>
      </ns0:c>
      <ns0:c r="B21" s="71" t="str">
        <ns0:v>CH-AG</ns0:v>
      </ns0:c>
      <ns0:c r="C21" s="71" t="str">
        <ns0:v>AG-ZPO-ALL</ns0:v>
      </ns0:c>
      <ns0:c r="D21" s="76" t="str">
        <ns0:v>Allerheiligen</ns0:v>
      </ns0:c>
      <ns0:c r="E21" s="76" t="str">
        <ns0:v>Toussaint</ns0:v>
      </ns0:c>
      <ns0:c r="F21" s="71" t="str">
        <ns0:v>proceduralEquivalentDay</ns0:v>
      </ns0:c>
      <ns0:c r="G21" s="71" t="str">
        <ns0:v>fixedMonthDay</ns0:v>
      </ns0:c>
      <ns0:c r="H21" s="84" t="n">
        <ns0:v>11</ns0:v>
      </ns0:c>
      <ns0:c r="I21" s="84" t="n">
        <ns0:v>1</ns0:v>
      </ns0:c>
      <ns0:c r="J21" s="76"/>
      <ns0:c r="K21" s="76"/>
      <ns0:c r="L21" s="76"/>
      <ns0:c r="M21" s="85" t="n">
        <ns0:v>46023</ns0:v>
      </ns0:c>
      <ns0:c r="N21" s="85"/>
      <ns0:c r="O21" s="76" t="n">
        <ns0:v>100</ns0:v>
      </ns0:c>
      <ns0:c r="P21" s="76" t="str">
        <ns0:v>open</ns0:v>
      </ns0:c>
      <ns0:c r="Q21" s="71"/>
      <ns0:c r="R21" s="71" t="str">
        <ns0:v>add</ns0:v>
      </ns0:c>
      <ns0:c r="S21" s="71"/>
      <ns0:c r="T21" s="71" t="str">
        <ns0:v>blockedEffect</ns0:v>
      </ns0:c>
      <ns0:c r="U21" s="70" t="n">
        <ns0:f>IF(AND(ISNUMBER('Übersicht'!$B$4),'Übersicht'!$B$4=INT('Übersicht'!$B$4),'Übersicht'!$B$4&gt;=2026,'Übersicht'!$B$4&lt;=2028),IF(G21="fixedMonthDay",IF(AND(ISNUMBER(H21),ISNUMBER(I21),H21=INT(H21),I21=INT(I21),MONTH(DATE('Übersicht'!$B$4,H21,I21))=H21,DAY(DATE('Übersicht'!$B$4,H21,I21))=I21),DATE('Übersicht'!$B$4,H21,I21),NA()),IF(G21="easterOffsetDays",IF(AND(ISNUMBER(J21),J21=INT(J21),ABS(J21)&lt;=366),$AB$23+J21,NA()),IF(G21="nthWeekdayOfMonth",IF(AND(ISNUMBER(H21),ISNUMBER(K21),ISNUMBER(L21),H21=INT(H21),K21=INT(K21),L21=INT(L21),H21&gt;=1,H21&lt;=12,K21&gt;=1,K21&lt;=7,L21&gt;=1,L21&lt;=5,MONTH(DATE('Übersicht'!$B$4,H21,1)+MOD(K21-WEEKDAY(DATE('Übersicht'!$B$4,H21,1),2),7)+7*(L21-1))=H21),DATE('Übersicht'!$B$4,H21,1)+MOD(K21-WEEKDAY(DATE('Übersicht'!$B$4,H21,1),2),7)+7*(L21-1),NA()),NA()))),NA())</ns0:f>
        <ns0:v>46692</ns0:v>
      </ns0:c>
      <ns0:c r="V21" s="70" t="n">
        <ns0:f>IF(AND(U21&gt;=M21,OR(N21="",U21&lt;=N21)),U21,"Ausserhalb Geltung")</ns0:f>
        <ns0:v>46692</ns0:v>
      </ns0:c>
      <ns0:c r="W21" s="71" t="str">
        <ns0:v>SRC-AG-EGZPO</ns0:v>
      </ns0:c>
      <ns0:c r="X21" s="71" t="str">
        <ns0:v>§ 21</ns0:v>
      </ns0:c>
      <ns0:c r="Y21" s="77" t="str"/>
      <ns0:c r="Z21" s="77" t="str"/>
      <ns0:c r="AA21" s="82" t="str">
        <ns0:v>Ostermonat</ns0:v>
      </ns0:c>
      <ns0:c r="AB21" s="82" t="n">
        <ns0:f>INT(AB20/31)</ns0:f>
        <ns0:v>3</ns0:v>
      </ns0:c>
    </ns0:row>
    <ns0:row r="22" ht="24" customHeight="1">
      <ns0:c r="A22" s="60"/>
      <ns0:c r="B22" s="60"/>
      <ns0:c r="C22" s="60"/>
      <ns0:c r="D22" s="60"/>
      <ns0:c r="E22" s="60"/>
      <ns0:c r="F22" s="60"/>
      <ns0:c r="G22" s="60"/>
      <ns0:c r="H22" s="60"/>
      <ns0:c r="I22" s="60"/>
      <ns0:c r="J22" s="60"/>
      <ns0:c r="K22" s="60"/>
      <ns0:c r="L22" s="60"/>
      <ns0:c r="M22" s="60"/>
      <ns0:c r="N22" s="60"/>
      <ns0:c r="O22" s="60"/>
      <ns0:c r="P22" s="60"/>
      <ns0:c r="Q22" s="60"/>
      <ns0:c r="R22" s="60"/>
      <ns0:c r="S22" s="60"/>
      <ns0:c r="T22" s="60"/>
      <ns0:c r="U22" s="60"/>
      <ns0:c r="V22" s="60"/>
      <ns0:c r="W22" s="60"/>
      <ns0:c r="X22" s="60"/>
      <ns0:c r="AA22" s="82" t="str">
        <ns0:v>Ostertag</ns0:v>
      </ns0:c>
      <ns0:c r="AB22" s="82" t="n">
        <ns0:f>MOD(AB20,31)+1</ns0:f>
        <ns0:v>28</ns0:v>
      </ns0:c>
    </ns0:row>
    <ns0:row r="23" ht="24" customHeight="1">
      <ns0:c r="A23" s="60"/>
      <ns0:c r="B23" s="60"/>
      <ns0:c r="C23" s="60"/>
      <ns0:c r="D23" s="60"/>
      <ns0:c r="E23" s="60"/>
      <ns0:c r="F23" s="60"/>
      <ns0:c r="G23" s="60"/>
      <ns0:c r="H23" s="60"/>
      <ns0:c r="I23" s="60"/>
      <ns0:c r="J23" s="60"/>
      <ns0:c r="K23" s="60"/>
      <ns0:c r="L23" s="60"/>
      <ns0:c r="M23" s="60"/>
      <ns0:c r="N23" s="60"/>
      <ns0:c r="O23" s="60"/>
      <ns0:c r="P23" s="60"/>
      <ns0:c r="Q23" s="60"/>
      <ns0:c r="R23" s="60"/>
      <ns0:c r="S23" s="60"/>
      <ns0:c r="T23" s="60"/>
      <ns0:c r="U23" s="60"/>
      <ns0:c r="V23" s="60"/>
      <ns0:c r="W23" s="60"/>
      <ns0:c r="X23" s="60"/>
      <ns0:c r="AA23" s="82" t="str">
        <ns0:v>Ostersonntag</ns0:v>
      </ns0:c>
      <ns0:c r="AB23" s="88" t="n">
        <ns0:f>DATE(AB7,AB21,AB22)</ns0:f>
        <ns0:v>46474</ns0:v>
      </ns0:c>
    </ns0:row>
    <ns0:row r="24" ht="24" customHeight="1">
      <ns0:c r="A24" s="60"/>
      <ns0:c r="B24" s="60"/>
      <ns0:c r="C24" s="60"/>
      <ns0:c r="D24" s="60"/>
      <ns0:c r="E24" s="60"/>
      <ns0:c r="F24" s="60"/>
      <ns0:c r="G24" s="60"/>
      <ns0:c r="H24" s="60"/>
      <ns0:c r="I24" s="60"/>
      <ns0:c r="J24" s="60"/>
      <ns0:c r="K24" s="60"/>
      <ns0:c r="L24" s="60"/>
      <ns0:c r="M24" s="60"/>
      <ns0:c r="N24" s="60"/>
      <ns0:c r="O24" s="60"/>
      <ns0:c r="P24" s="60"/>
      <ns0:c r="Q24" s="60"/>
      <ns0:c r="R24" s="60"/>
      <ns0:c r="S24" s="60"/>
      <ns0:c r="T24" s="60"/>
      <ns0:c r="U24" s="60"/>
      <ns0:c r="V24" s="60"/>
      <ns0:c r="W24" s="60"/>
      <ns0:c r="X24" s="60"/>
    </ns0:row>
    <ns0:row r="25" ht="24" customHeight="1">
      <ns0:c r="A25" s="60"/>
      <ns0:c r="B25" s="60"/>
      <ns0:c r="C25" s="60"/>
      <ns0:c r="D25" s="60"/>
      <ns0:c r="E25" s="60"/>
      <ns0:c r="F25" s="60"/>
      <ns0:c r="G25" s="60"/>
      <ns0:c r="H25" s="60"/>
      <ns0:c r="I25" s="60"/>
      <ns0:c r="J25" s="60"/>
      <ns0:c r="K25" s="60"/>
      <ns0:c r="L25" s="60"/>
      <ns0:c r="M25" s="60"/>
      <ns0:c r="N25" s="60"/>
      <ns0:c r="O25" s="60"/>
      <ns0:c r="P25" s="60"/>
      <ns0:c r="Q25" s="60"/>
      <ns0:c r="R25" s="60"/>
      <ns0:c r="S25" s="60"/>
      <ns0:c r="T25" s="60"/>
      <ns0:c r="U25" s="60"/>
      <ns0:c r="V25" s="60"/>
      <ns0:c r="W25" s="60"/>
      <ns0:c r="X25" s="60"/>
    </ns0:row>
    <ns0:row r="26" ht="24" customHeight="1">
      <ns0:c r="A26" s="60"/>
      <ns0:c r="B26" s="60"/>
      <ns0:c r="C26" s="60"/>
      <ns0:c r="D26" s="60"/>
      <ns0:c r="E26" s="60"/>
      <ns0:c r="F26" s="60"/>
      <ns0:c r="G26" s="60"/>
      <ns0:c r="H26" s="60"/>
      <ns0:c r="I26" s="60"/>
      <ns0:c r="J26" s="60"/>
      <ns0:c r="K26" s="60"/>
      <ns0:c r="L26" s="60"/>
      <ns0:c r="M26" s="60"/>
      <ns0:c r="N26" s="60"/>
      <ns0:c r="O26" s="60"/>
      <ns0:c r="P26" s="60"/>
      <ns0:c r="Q26" s="60"/>
      <ns0:c r="R26" s="60"/>
      <ns0:c r="S26" s="60"/>
      <ns0:c r="T26" s="60"/>
      <ns0:c r="U26" s="60"/>
      <ns0:c r="V26" s="60"/>
      <ns0:c r="W26" s="60"/>
      <ns0:c r="X26" s="60"/>
    </ns0:row>
    <ns0:row r="27" ht="24" customHeight="1">
      <ns0:c r="A27" s="60"/>
      <ns0:c r="B27" s="60"/>
      <ns0:c r="C27" s="60"/>
      <ns0:c r="D27" s="60"/>
      <ns0:c r="E27" s="60"/>
      <ns0:c r="F27" s="60"/>
      <ns0:c r="G27" s="60"/>
      <ns0:c r="H27" s="60"/>
      <ns0:c r="I27" s="60"/>
      <ns0:c r="J27" s="60"/>
      <ns0:c r="K27" s="60"/>
      <ns0:c r="L27" s="60"/>
      <ns0:c r="M27" s="60"/>
      <ns0:c r="N27" s="60"/>
      <ns0:c r="O27" s="60"/>
      <ns0:c r="P27" s="60"/>
      <ns0:c r="Q27" s="60"/>
      <ns0:c r="R27" s="60"/>
      <ns0:c r="S27" s="60"/>
      <ns0:c r="T27" s="60"/>
      <ns0:c r="U27" s="60"/>
      <ns0:c r="V27" s="60"/>
      <ns0:c r="W27" s="60"/>
      <ns0:c r="X27" s="60"/>
    </ns0:row>
    <ns0:row r="28" ht="24" customHeight="1">
      <ns0:c r="A28" s="60"/>
      <ns0:c r="B28" s="60"/>
      <ns0:c r="C28" s="60"/>
      <ns0:c r="D28" s="60"/>
      <ns0:c r="E28" s="60"/>
      <ns0:c r="F28" s="60"/>
      <ns0:c r="G28" s="60"/>
      <ns0:c r="H28" s="60"/>
      <ns0:c r="I28" s="60"/>
      <ns0:c r="J28" s="60"/>
      <ns0:c r="K28" s="60"/>
      <ns0:c r="L28" s="60"/>
      <ns0:c r="M28" s="60"/>
      <ns0:c r="N28" s="60"/>
      <ns0:c r="O28" s="60"/>
      <ns0:c r="P28" s="60"/>
      <ns0:c r="Q28" s="60"/>
      <ns0:c r="R28" s="60"/>
      <ns0:c r="S28" s="60"/>
      <ns0:c r="T28" s="60"/>
      <ns0:c r="U28" s="60"/>
      <ns0:c r="V28" s="60"/>
      <ns0:c r="W28" s="60"/>
      <ns0:c r="X28" s="60"/>
    </ns0:row>
    <ns0:row r="29" ht="24" customHeight="1">
      <ns0:c r="A29" s="60"/>
      <ns0:c r="B29" s="60"/>
      <ns0:c r="C29" s="60"/>
      <ns0:c r="D29" s="60"/>
      <ns0:c r="E29" s="60"/>
      <ns0:c r="F29" s="60"/>
      <ns0:c r="G29" s="60"/>
      <ns0:c r="H29" s="60"/>
      <ns0:c r="I29" s="60"/>
      <ns0:c r="J29" s="60"/>
      <ns0:c r="K29" s="60"/>
      <ns0:c r="L29" s="60"/>
      <ns0:c r="M29" s="60"/>
      <ns0:c r="N29" s="60"/>
      <ns0:c r="O29" s="60"/>
      <ns0:c r="P29" s="60"/>
      <ns0:c r="Q29" s="60"/>
      <ns0:c r="R29" s="60"/>
      <ns0:c r="S29" s="60"/>
      <ns0:c r="T29" s="60"/>
      <ns0:c r="U29" s="60"/>
      <ns0:c r="V29" s="60"/>
      <ns0:c r="W29" s="60"/>
      <ns0:c r="X29" s="60"/>
    </ns0:row>
    <ns0:row r="30" ht="24" customHeight="1">
      <ns0:c r="A30" s="60"/>
      <ns0:c r="B30" s="60"/>
      <ns0:c r="C30" s="60"/>
      <ns0:c r="D30" s="60"/>
      <ns0:c r="E30" s="60"/>
      <ns0:c r="F30" s="60"/>
      <ns0:c r="G30" s="60"/>
      <ns0:c r="H30" s="60"/>
      <ns0:c r="I30" s="60"/>
      <ns0:c r="J30" s="60"/>
      <ns0:c r="K30" s="60"/>
      <ns0:c r="L30" s="60"/>
      <ns0:c r="M30" s="60"/>
      <ns0:c r="N30" s="60"/>
      <ns0:c r="O30" s="60"/>
      <ns0:c r="P30" s="60"/>
      <ns0:c r="Q30" s="60"/>
      <ns0:c r="R30" s="60"/>
      <ns0:c r="S30" s="60"/>
      <ns0:c r="T30" s="60"/>
      <ns0:c r="U30" s="60"/>
      <ns0:c r="V30" s="60"/>
      <ns0:c r="W30" s="60"/>
      <ns0:c r="X30" s="60"/>
    </ns0:row>
    <ns0:row r="31" ht="24" customHeight="1">
      <ns0:c r="A31" s="60"/>
      <ns0:c r="B31" s="60"/>
      <ns0:c r="C31" s="60"/>
      <ns0:c r="D31" s="60"/>
      <ns0:c r="E31" s="60"/>
      <ns0:c r="F31" s="60"/>
      <ns0:c r="G31" s="60"/>
      <ns0:c r="H31" s="60"/>
      <ns0:c r="I31" s="60"/>
      <ns0:c r="J31" s="60"/>
      <ns0:c r="K31" s="60"/>
      <ns0:c r="L31" s="60"/>
      <ns0:c r="M31" s="60"/>
      <ns0:c r="N31" s="60"/>
      <ns0:c r="O31" s="60"/>
      <ns0:c r="P31" s="60"/>
      <ns0:c r="Q31" s="60"/>
      <ns0:c r="R31" s="60"/>
      <ns0:c r="S31" s="60"/>
      <ns0:c r="T31" s="60"/>
      <ns0:c r="U31" s="60"/>
      <ns0:c r="V31" s="60"/>
      <ns0:c r="W31" s="60"/>
      <ns0:c r="X31" s="60"/>
    </ns0:row>
    <ns0:row r="32" ht="24" customHeight="1">
      <ns0:c r="A32" s="60"/>
      <ns0:c r="B32" s="60"/>
      <ns0:c r="C32" s="60"/>
      <ns0:c r="D32" s="60"/>
      <ns0:c r="E32" s="60"/>
      <ns0:c r="F32" s="60"/>
      <ns0:c r="G32" s="60"/>
      <ns0:c r="H32" s="60"/>
      <ns0:c r="I32" s="60"/>
      <ns0:c r="J32" s="60"/>
      <ns0:c r="K32" s="60"/>
      <ns0:c r="L32" s="60"/>
      <ns0:c r="M32" s="60"/>
      <ns0:c r="N32" s="60"/>
      <ns0:c r="O32" s="60"/>
      <ns0:c r="P32" s="60"/>
      <ns0:c r="Q32" s="60"/>
      <ns0:c r="R32" s="60"/>
      <ns0:c r="S32" s="60"/>
      <ns0:c r="T32" s="60"/>
      <ns0:c r="U32" s="60"/>
      <ns0:c r="V32" s="60"/>
      <ns0:c r="W32" s="60"/>
      <ns0:c r="X32" s="60"/>
    </ns0:row>
  </ns0:sheetData>
  <ns0:sheetProtection sheet="1" objects="1" scenarios="1" autoFilter="0" sort="0" selectLockedCells="0" selectUnlockedCells="0"/>
  <ns0:conditionalFormatting sqref="P7:P21">
    <ns0:cfRule type="containsText" dxfId="2" priority="1" operator="containsText" text="open"/>
    <ns0:cfRule type="containsText" dxfId="3" priority="2" operator="containsText" text="blocked"/>
  </ns0:conditionalFormatting>
  <ns0:conditionalFormatting sqref="Y7:Y21">
    <ns0:cfRule type="containsBlanks" dxfId="14" priority="3"/>
  </ns0:conditionalFormatting>
  <ns0:conditionalFormatting sqref="Z7:Z21">
    <ns0:cfRule type="containsBlanks" dxfId="15" priority="4"/>
  </ns0:conditionalFormatting>
  <ns0:dataValidations count="3">
    <ns0:dataValidation type="list" sqref="P7:P21">
      <ns0:formula1>"approved,open,blocked"</ns0:formula1>
    </ns0:dataValidation>
    <ns0:dataValidation type="list" sqref="G7:G21">
      <ns0:formula1>"fixedMonthDay,easterOffsetDays,nthWeekdayOfMonth"</ns0:formula1>
    </ns0:dataValidation>
    <ns0:dataValidation type="list" sqref="F7:F21">
      <ns0:formula1>"publicHoliday,labourLawHoliday,proceduralEquivalentDay"</ns0:formula1>
    </ns0:dataValidation>
  </ns0:dataValidations>
  <ns0:pageMargins left="0.7" right="0.7" top="0.75" bottom="0.75" header="0.3" footer="0.3"/>
  <ns0:tableParts count="1">
    <ns0:tablePart ns1:id="R0bab3cd1dad14de2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6" topLeftCell="B7" activePane="bottomRight" state="frozen"/>
    </ns0:sheetView>
  </ns0:sheetViews>
  <ns0:sheetFormatPr defaultRowHeight="15"/>
  <ns0:cols>
    <ns0:col min="1" max="1" width="31" hidden="0" customWidth="1"/>
    <ns0:col min="2" max="2" width="16" hidden="0" customWidth="1"/>
    <ns0:col min="3" max="3" width="38" hidden="0" customWidth="1"/>
    <ns0:col min="4" max="4" width="22" hidden="0" customWidth="1"/>
    <ns0:col min="5" max="5" width="62" hidden="0" customWidth="1"/>
    <ns0:col min="6" max="6" width="40" hidden="0" customWidth="1"/>
    <ns0:col min="7" max="7" width="35" hidden="0" customWidth="1"/>
    <ns0:col min="8" max="8" width="16" hidden="0" customWidth="1"/>
    <ns0:col min="9" max="9" width="16" hidden="0" customWidth="1"/>
    <ns0:col min="10" max="10" width="16" hidden="0" customWidth="1"/>
    <ns0:col min="11" max="11" width="32" hidden="0" customWidth="1"/>
    <ns0:col min="12" max="12" width="32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  <ns0:c r="H1" s="60"/>
      <ns0:c r="I1" s="60"/>
      <ns0:c r="J1" s="60"/>
    </ns0:row>
    <ns0:row r="2" ht="24" customHeight="1">
      <ns0:c r="A2" s="61" t="str">
        <ns0:v>Räumliche Geltungsbereiche</ns0:v>
      </ns0:c>
      <ns0:c r="B2" s="60"/>
      <ns0:c r="C2" s="60"/>
      <ns0:c r="D2" s="60"/>
      <ns0:c r="E2" s="60"/>
      <ns0:c r="F2" s="60"/>
      <ns0:c r="G2" s="60"/>
      <ns0:c r="H2" s="60"/>
      <ns0:c r="I2" s="60"/>
      <ns0:c r="J2" s="60"/>
    </ns0:row>
    <ns0:row r="3" ht="24" customHeight="1">
      <ns0:c r="A3" s="62"/>
      <ns0:c r="B3" s="62"/>
      <ns0:c r="C3" s="62"/>
      <ns0:c r="D3" s="62"/>
      <ns0:c r="E3" s="62"/>
      <ns0:c r="F3" s="62"/>
      <ns0:c r="G3" s="62"/>
      <ns0:c r="H3" s="62"/>
      <ns0:c r="I3" s="62"/>
      <ns0:c r="J3" s="62"/>
    </ns0:row>
    <ns0:row r="4" ht="24" customHeight="1">
      <ns0:c r="A4" s="67" t="str">
        <ns0:v>Gemeinden und Bezirke konkretisieren kantonales Recht. Keine Geodaten und kein eigenständiges kommunales Feiertagsrecht.</ns0:v>
      </ns0:c>
      <ns0:c r="B4" s="60"/>
      <ns0:c r="C4" s="60"/>
      <ns0:c r="D4" s="60"/>
      <ns0:c r="E4" s="60"/>
      <ns0:c r="F4" s="60"/>
      <ns0:c r="G4" s="60"/>
      <ns0:c r="H4" s="60"/>
      <ns0:c r="I4" s="60"/>
      <ns0:c r="J4" s="60"/>
    </ns0:row>
    <ns0:row r="5" ht="24" customHeight="1">
      <ns0:c r="A5" s="60"/>
      <ns0:c r="B5" s="60"/>
      <ns0:c r="C5" s="60"/>
      <ns0:c r="D5" s="60"/>
      <ns0:c r="E5" s="60"/>
      <ns0:c r="F5" s="60"/>
      <ns0:c r="G5" s="60"/>
      <ns0:c r="H5" s="60"/>
      <ns0:c r="I5" s="60"/>
      <ns0:c r="J5" s="60"/>
    </ns0:row>
    <ns0:row r="6" ht="42" customHeight="1">
      <ns0:c r="A6" s="68" t="str">
        <ns0:v>Geltungs-ID</ns0:v>
      </ns0:c>
      <ns0:c r="B6" s="68" t="str">
        <ns0:v>Gemeinwesen</ns0:v>
      </ns0:c>
      <ns0:c r="C6" s="68" t="str">
        <ns0:v>Gebiet</ns0:v>
      </ns0:c>
      <ns0:c r="D6" s="68" t="str">
        <ns0:v>Gebietstyp</ns0:v>
      </ns0:c>
      <ns0:c r="E6" s="68" t="str">
        <ns0:v>Umfang / Grenze</ns0:v>
      </ns0:c>
      <ns0:c r="F6" s="68" t="str">
        <ns0:v>Quellen-ID</ns0:v>
      </ns0:c>
      <ns0:c r="G6" s="68" t="str">
        <ns0:v>Fundstelle</ns0:v>
      </ns0:c>
      <ns0:c r="H6" s="68" t="str">
        <ns0:v>Fachstatus</ns0:v>
      </ns0:c>
      <ns0:c r="I6" s="68" t="str">
        <ns0:v>Daten ab</ns0:v>
      </ns0:c>
      <ns0:c r="J6" s="68" t="str">
        <ns0:v>Daten bis</ns0:v>
      </ns0:c>
      <ns0:c r="K6" s="69" t="str">
        <ns0:v>Italienisch</ns0:v>
      </ns0:c>
      <ns0:c r="L6" s="69" t="str">
        <ns0:v>Rumantsch Grischun</ns0:v>
      </ns0:c>
    </ns0:row>
    <ns0:row r="7" ht="38" customHeight="1">
      <ns0:c r="A7" s="71" t="str">
        <ns0:v>CH-ALL</ns0:v>
      </ns0:c>
      <ns0:c r="B7" s="71" t="str">
        <ns0:v>CH</ns0:v>
      </ns0:c>
      <ns0:c r="C7" s="71" t="str">
        <ns0:v>Bundesgebiet</ns0:v>
      </ns0:c>
      <ns0:c r="D7" s="71" t="str">
        <ns0:v>National</ns0:v>
      </ns0:c>
      <ns0:c r="E7" s="71" t="str">
        <ns0:v>Bundesgebiet</ns0:v>
      </ns0:c>
      <ns0:c r="F7" s="71" t="str">
        <ns0:v>SRC-BUNDESFEIERTAG-19940701</ns0:v>
      </ns0:c>
      <ns0:c r="G7" s="71" t="str">
        <ns0:v>Art. 1</ns0:v>
      </ns0:c>
      <ns0:c r="H7" s="71" t="str">
        <ns0:v>approved</ns0:v>
      </ns0:c>
      <ns0:c r="I7" s="70" t="n">
        <ns0:v>34516</ns0:v>
      </ns0:c>
      <ns0:c r="J7" s="70"/>
      <ns0:c r="K7" s="77" t="str"/>
      <ns0:c r="L7" s="77" t="str"/>
    </ns0:row>
    <ns0:row r="8" ht="38" customHeight="1">
      <ns0:c r="A8" s="74" t="str">
        <ns0:v>BE-ALL</ns0:v>
      </ns0:c>
      <ns0:c r="B8" s="74" t="str">
        <ns0:v>CH-BE</ns0:v>
      </ns0:c>
      <ns0:c r="C8" s="74" t="str">
        <ns0:v>Kanton Bern</ns0:v>
      </ns0:c>
      <ns0:c r="D8" s="74" t="str">
        <ns0:v>Kanton</ns0:v>
      </ns0:c>
      <ns0:c r="E8" s="74" t="str">
        <ns0:v>Gesamtes Kantonsgebiet</ns0:v>
      </ns0:c>
      <ns0:c r="F8" s="74" t="str">
        <ns0:v>SRC-FRG-BE-20210401</ns0:v>
      </ns0:c>
      <ns0:c r="G8" s="74" t="str">
        <ns0:v>Art. 2 Abs. 1</ns0:v>
      </ns0:c>
      <ns0:c r="H8" s="74" t="str">
        <ns0:v>approved</ns0:v>
      </ns0:c>
      <ns0:c r="I8" s="73" t="n">
        <ns0:v>46023</ns0:v>
      </ns0:c>
      <ns0:c r="J8" s="73"/>
      <ns0:c r="K8" s="79" t="str"/>
      <ns0:c r="L8" s="79" t="str"/>
    </ns0:row>
    <ns0:row r="9" ht="38" customHeight="1">
      <ns0:c r="A9" s="71" t="str">
        <ns0:v>AG-ARG-BADEN</ns0:v>
      </ns0:c>
      <ns0:c r="B9" s="71" t="str">
        <ns0:v>CH-AG</ns0:v>
      </ns0:c>
      <ns0:c r="C9" s="71" t="str">
        <ns0:v>Bezirk Baden ohne Bergdietikon</ns0:v>
      </ns0:c>
      <ns0:c r="D9" s="71" t="str">
        <ns0:v>Bezirksausnahme</ns0:v>
      </ns0:c>
      <ns0:c r="E9" s="71" t="str">
        <ns0:v>Nur § 6 Abs. 1 Bst. b Ziff. 2 EG ArR. Kein allgemeiner Fristenkalender.</ns0:v>
      </ns0:c>
      <ns0:c r="F9" s="71" t="str">
        <ns0:v>SRC-AG-EGARR-20250901</ns0:v>
      </ns0:c>
      <ns0:c r="G9" s="71" t="str">
        <ns0:v>§ 6 Abs. 1 Bst. b Ziff. 2</ns0:v>
      </ns0:c>
      <ns0:c r="H9" s="71" t="str">
        <ns0:v>open</ns0:v>
      </ns0:c>
      <ns0:c r="I9" s="70" t="n">
        <ns0:v>46023</ns0:v>
      </ns0:c>
      <ns0:c r="J9" s="70"/>
      <ns0:c r="K9" s="77" t="str"/>
      <ns0:c r="L9" s="77" t="str"/>
    </ns0:row>
    <ns0:row r="10" ht="38" customHeight="1">
      <ns0:c r="A10" s="74" t="str">
        <ns0:v>AG-ARG-BERGDIETIKON</ns0:v>
      </ns0:c>
      <ns0:c r="B10" s="74" t="str">
        <ns0:v>CH-AG</ns0:v>
      </ns0:c>
      <ns0:c r="C10" s="74" t="str">
        <ns0:v>Gemeinde Bergdietikon</ns0:v>
      </ns0:c>
      <ns0:c r="D10" s="74" t="str">
        <ns0:v>Gemeinde</ns0:v>
      </ns0:c>
      <ns0:c r="E10" s="74" t="str">
        <ns0:v>Nur § 6 Abs. 1 Bst. b Ziff. 1 EG ArR. Kantonale Rechtsgrundlage.</ns0:v>
      </ns0:c>
      <ns0:c r="F10" s="74" t="str">
        <ns0:v>SRC-AG-EGARR-20250901</ns0:v>
      </ns0:c>
      <ns0:c r="G10" s="74" t="str">
        <ns0:v>§ 6 Abs. 1 Bst. b Ziff. 1</ns0:v>
      </ns0:c>
      <ns0:c r="H10" s="74" t="str">
        <ns0:v>open</ns0:v>
      </ns0:c>
      <ns0:c r="I10" s="73" t="n">
        <ns0:v>46023</ns0:v>
      </ns0:c>
      <ns0:c r="J10" s="73"/>
      <ns0:c r="K10" s="79" t="str"/>
      <ns0:c r="L10" s="79" t="str"/>
    </ns0:row>
    <ns0:row r="11" ht="38" customHeight="1">
      <ns0:c r="A11" s="71" t="str">
        <ns0:v>AG-ZPO-ALL</ns0:v>
      </ns0:c>
      <ns0:c r="B11" s="71" t="str">
        <ns0:v>CH-AG</ns0:v>
      </ns0:c>
      <ns0:c r="C11" s="71" t="str">
        <ns0:v>Aargau, prozessuale Zuordnung</ns0:v>
      </ns0:c>
      <ns0:c r="D11" s="71" t="str">
        <ns0:v>Kanton</ns0:v>
      </ns0:c>
      <ns0:c r="E11" s="71" t="str">
        <ns0:v>§ 21 EG ZPO getrennt vom Arbeitsrecht. Anwendungszuordnung offen.</ns0:v>
      </ns0:c>
      <ns0:c r="F11" s="71" t="str">
        <ns0:v>SRC-AG-EGZPO</ns0:v>
      </ns0:c>
      <ns0:c r="G11" s="71" t="str">
        <ns0:v>§ 21</ns0:v>
      </ns0:c>
      <ns0:c r="H11" s="71" t="str">
        <ns0:v>open</ns0:v>
      </ns0:c>
      <ns0:c r="I11" s="70" t="n">
        <ns0:v>46023</ns0:v>
      </ns0:c>
      <ns0:c r="J11" s="70"/>
      <ns0:c r="K11" s="77" t="str"/>
      <ns0:c r="L11" s="77" t="str"/>
    </ns0:row>
    <ns0:row r="12" ht="24" customHeight="1">
      <ns0:c r="A12" s="60"/>
      <ns0:c r="B12" s="60"/>
      <ns0:c r="C12" s="60"/>
      <ns0:c r="D12" s="60"/>
      <ns0:c r="E12" s="60"/>
      <ns0:c r="F12" s="60"/>
      <ns0:c r="G12" s="60"/>
      <ns0:c r="H12" s="60"/>
      <ns0:c r="I12" s="60"/>
      <ns0:c r="J12" s="60"/>
    </ns0:row>
    <ns0:row r="13" ht="24" customHeight="1">
      <ns0:c r="A13" s="60"/>
      <ns0:c r="B13" s="60"/>
      <ns0:c r="C13" s="60"/>
      <ns0:c r="D13" s="60"/>
      <ns0:c r="E13" s="60"/>
      <ns0:c r="F13" s="60"/>
      <ns0:c r="G13" s="60"/>
      <ns0:c r="H13" s="60"/>
      <ns0:c r="I13" s="60"/>
      <ns0:c r="J13" s="60"/>
    </ns0:row>
    <ns0:row r="14" ht="24" customHeight="1">
      <ns0:c r="A14" s="60"/>
      <ns0:c r="B14" s="60"/>
      <ns0:c r="C14" s="60"/>
      <ns0:c r="D14" s="60"/>
      <ns0:c r="E14" s="60"/>
      <ns0:c r="F14" s="60"/>
      <ns0:c r="G14" s="60"/>
      <ns0:c r="H14" s="60"/>
      <ns0:c r="I14" s="60"/>
      <ns0:c r="J14" s="60"/>
    </ns0:row>
    <ns0:row r="15" ht="24" customHeight="1">
      <ns0:c r="A15" s="60"/>
      <ns0:c r="B15" s="60"/>
      <ns0:c r="C15" s="60"/>
      <ns0:c r="D15" s="60"/>
      <ns0:c r="E15" s="60"/>
      <ns0:c r="F15" s="60"/>
      <ns0:c r="G15" s="60"/>
      <ns0:c r="H15" s="60"/>
      <ns0:c r="I15" s="60"/>
      <ns0:c r="J15" s="60"/>
    </ns0:row>
    <ns0:row r="16" ht="24" customHeight="1">
      <ns0:c r="A16" s="60"/>
      <ns0:c r="B16" s="60"/>
      <ns0:c r="C16" s="60"/>
      <ns0:c r="D16" s="60"/>
      <ns0:c r="E16" s="60"/>
      <ns0:c r="F16" s="60"/>
      <ns0:c r="G16" s="60"/>
      <ns0:c r="H16" s="60"/>
      <ns0:c r="I16" s="60"/>
      <ns0:c r="J16" s="60"/>
    </ns0:row>
    <ns0:row r="17" ht="24" customHeight="1">
      <ns0:c r="A17" s="60"/>
      <ns0:c r="B17" s="60"/>
      <ns0:c r="C17" s="60"/>
      <ns0:c r="D17" s="60"/>
      <ns0:c r="E17" s="60"/>
      <ns0:c r="F17" s="60"/>
      <ns0:c r="G17" s="60"/>
      <ns0:c r="H17" s="60"/>
      <ns0:c r="I17" s="60"/>
      <ns0:c r="J17" s="60"/>
    </ns0:row>
    <ns0:row r="18" ht="24" customHeight="1">
      <ns0:c r="A18" s="60"/>
      <ns0:c r="B18" s="60"/>
      <ns0:c r="C18" s="60"/>
      <ns0:c r="D18" s="60"/>
      <ns0:c r="E18" s="60"/>
      <ns0:c r="F18" s="60"/>
      <ns0:c r="G18" s="60"/>
      <ns0:c r="H18" s="60"/>
      <ns0:c r="I18" s="60"/>
      <ns0:c r="J18" s="60"/>
    </ns0:row>
    <ns0:row r="19" ht="24" customHeight="1">
      <ns0:c r="A19" s="60"/>
      <ns0:c r="B19" s="60"/>
      <ns0:c r="C19" s="60"/>
      <ns0:c r="D19" s="60"/>
      <ns0:c r="E19" s="60"/>
      <ns0:c r="F19" s="60"/>
      <ns0:c r="G19" s="60"/>
      <ns0:c r="H19" s="60"/>
      <ns0:c r="I19" s="60"/>
      <ns0:c r="J19" s="60"/>
    </ns0:row>
    <ns0:row r="20" ht="24" customHeight="1">
      <ns0:c r="A20" s="60"/>
      <ns0:c r="B20" s="60"/>
      <ns0:c r="C20" s="60"/>
      <ns0:c r="D20" s="60"/>
      <ns0:c r="E20" s="60"/>
      <ns0:c r="F20" s="60"/>
      <ns0:c r="G20" s="60"/>
      <ns0:c r="H20" s="60"/>
      <ns0:c r="I20" s="60"/>
      <ns0:c r="J20" s="60"/>
    </ns0:row>
    <ns0:row r="21" ht="24" customHeight="1">
      <ns0:c r="A21" s="60"/>
      <ns0:c r="B21" s="60"/>
      <ns0:c r="C21" s="60"/>
      <ns0:c r="D21" s="60"/>
      <ns0:c r="E21" s="60"/>
      <ns0:c r="F21" s="60"/>
      <ns0:c r="G21" s="60"/>
      <ns0:c r="H21" s="60"/>
      <ns0:c r="I21" s="60"/>
      <ns0:c r="J21" s="60"/>
    </ns0:row>
    <ns0:row r="22" ht="24" customHeight="1">
      <ns0:c r="A22" s="60"/>
      <ns0:c r="B22" s="60"/>
      <ns0:c r="C22" s="60"/>
      <ns0:c r="D22" s="60"/>
      <ns0:c r="E22" s="60"/>
      <ns0:c r="F22" s="60"/>
      <ns0:c r="G22" s="60"/>
      <ns0:c r="H22" s="60"/>
      <ns0:c r="I22" s="60"/>
      <ns0:c r="J22" s="60"/>
    </ns0:row>
    <ns0:row r="23" ht="24" customHeight="1">
      <ns0:c r="A23" s="60"/>
      <ns0:c r="B23" s="60"/>
      <ns0:c r="C23" s="60"/>
      <ns0:c r="D23" s="60"/>
      <ns0:c r="E23" s="60"/>
      <ns0:c r="F23" s="60"/>
      <ns0:c r="G23" s="60"/>
      <ns0:c r="H23" s="60"/>
      <ns0:c r="I23" s="60"/>
      <ns0:c r="J23" s="60"/>
    </ns0:row>
    <ns0:row r="24" ht="24" customHeight="1">
      <ns0:c r="A24" s="60"/>
      <ns0:c r="B24" s="60"/>
      <ns0:c r="C24" s="60"/>
      <ns0:c r="D24" s="60"/>
      <ns0:c r="E24" s="60"/>
      <ns0:c r="F24" s="60"/>
      <ns0:c r="G24" s="60"/>
      <ns0:c r="H24" s="60"/>
      <ns0:c r="I24" s="60"/>
      <ns0:c r="J24" s="60"/>
    </ns0:row>
    <ns0:row r="25" ht="24" customHeight="1">
      <ns0:c r="A25" s="60"/>
      <ns0:c r="B25" s="60"/>
      <ns0:c r="C25" s="60"/>
      <ns0:c r="D25" s="60"/>
      <ns0:c r="E25" s="60"/>
      <ns0:c r="F25" s="60"/>
      <ns0:c r="G25" s="60"/>
      <ns0:c r="H25" s="60"/>
      <ns0:c r="I25" s="60"/>
      <ns0:c r="J25" s="60"/>
    </ns0:row>
    <ns0:row r="26" ht="24" customHeight="1">
      <ns0:c r="A26" s="60"/>
      <ns0:c r="B26" s="60"/>
      <ns0:c r="C26" s="60"/>
      <ns0:c r="D26" s="60"/>
      <ns0:c r="E26" s="60"/>
      <ns0:c r="F26" s="60"/>
      <ns0:c r="G26" s="60"/>
      <ns0:c r="H26" s="60"/>
      <ns0:c r="I26" s="60"/>
      <ns0:c r="J26" s="60"/>
    </ns0:row>
    <ns0:row r="27" ht="24" customHeight="1">
      <ns0:c r="A27" s="60"/>
      <ns0:c r="B27" s="60"/>
      <ns0:c r="C27" s="60"/>
      <ns0:c r="D27" s="60"/>
      <ns0:c r="E27" s="60"/>
      <ns0:c r="F27" s="60"/>
      <ns0:c r="G27" s="60"/>
      <ns0:c r="H27" s="60"/>
      <ns0:c r="I27" s="60"/>
      <ns0:c r="J27" s="60"/>
    </ns0:row>
    <ns0:row r="28" ht="24" customHeight="1">
      <ns0:c r="A28" s="60"/>
      <ns0:c r="B28" s="60"/>
      <ns0:c r="C28" s="60"/>
      <ns0:c r="D28" s="60"/>
      <ns0:c r="E28" s="60"/>
      <ns0:c r="F28" s="60"/>
      <ns0:c r="G28" s="60"/>
      <ns0:c r="H28" s="60"/>
      <ns0:c r="I28" s="60"/>
      <ns0:c r="J28" s="60"/>
    </ns0:row>
    <ns0:row r="29" ht="24" customHeight="1">
      <ns0:c r="A29" s="60"/>
      <ns0:c r="B29" s="60"/>
      <ns0:c r="C29" s="60"/>
      <ns0:c r="D29" s="60"/>
      <ns0:c r="E29" s="60"/>
      <ns0:c r="F29" s="60"/>
      <ns0:c r="G29" s="60"/>
      <ns0:c r="H29" s="60"/>
      <ns0:c r="I29" s="60"/>
      <ns0:c r="J29" s="60"/>
    </ns0:row>
    <ns0:row r="30" ht="24" customHeight="1">
      <ns0:c r="A30" s="60"/>
      <ns0:c r="B30" s="60"/>
      <ns0:c r="C30" s="60"/>
      <ns0:c r="D30" s="60"/>
      <ns0:c r="E30" s="60"/>
      <ns0:c r="F30" s="60"/>
      <ns0:c r="G30" s="60"/>
      <ns0:c r="H30" s="60"/>
      <ns0:c r="I30" s="60"/>
      <ns0:c r="J30" s="60"/>
    </ns0:row>
    <ns0:row r="31" ht="24" customHeight="1">
      <ns0:c r="A31" s="60"/>
      <ns0:c r="B31" s="60"/>
      <ns0:c r="C31" s="60"/>
      <ns0:c r="D31" s="60"/>
      <ns0:c r="E31" s="60"/>
      <ns0:c r="F31" s="60"/>
      <ns0:c r="G31" s="60"/>
      <ns0:c r="H31" s="60"/>
      <ns0:c r="I31" s="60"/>
      <ns0:c r="J31" s="60"/>
    </ns0:row>
    <ns0:row r="32" ht="24" customHeight="1">
      <ns0:c r="A32" s="60"/>
      <ns0:c r="B32" s="60"/>
      <ns0:c r="C32" s="60"/>
      <ns0:c r="D32" s="60"/>
      <ns0:c r="E32" s="60"/>
      <ns0:c r="F32" s="60"/>
      <ns0:c r="G32" s="60"/>
      <ns0:c r="H32" s="60"/>
      <ns0:c r="I32" s="60"/>
      <ns0:c r="J32" s="60"/>
    </ns0:row>
  </ns0:sheetData>
  <ns0:sheetProtection sheet="1" objects="1" scenarios="1" autoFilter="0" sort="0" selectLockedCells="0" selectUnlockedCells="0"/>
  <ns0:conditionalFormatting sqref="H7:H11">
    <ns0:cfRule type="containsText" dxfId="4" priority="1" operator="containsText" text="open"/>
    <ns0:cfRule type="containsText" dxfId="5" priority="2" operator="containsText" text="blocked"/>
  </ns0:conditionalFormatting>
  <ns0:conditionalFormatting sqref="K7:K11">
    <ns0:cfRule type="containsBlanks" dxfId="16" priority="3"/>
  </ns0:conditionalFormatting>
  <ns0:conditionalFormatting sqref="L7:L11">
    <ns0:cfRule type="containsBlanks" dxfId="17" priority="4"/>
  </ns0:conditionalFormatting>
  <ns0:dataValidations count="1">
    <ns0:dataValidation type="list" sqref="H7:H11">
      <ns0:formula1>"approved,open,blocked"</ns0:formula1>
    </ns0:dataValidation>
  </ns0:dataValidations>
  <ns0:pageMargins left="0.7" right="0.7" top="0.75" bottom="0.75" header="0.3" footer="0.3"/>
  <ns0:tableParts count="1">
    <ns0:tablePart ns1:id="R99563abf19104c2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6" topLeftCell="B7" activePane="bottomRight" state="frozen"/>
    </ns0:sheetView>
  </ns0:sheetViews>
  <ns0:sheetFormatPr defaultRowHeight="15"/>
  <ns0:cols>
    <ns0:col min="1" max="1" width="42" hidden="0" customWidth="1"/>
    <ns0:col min="2" max="2" width="16" hidden="0" customWidth="1"/>
    <ns0:col min="3" max="3" width="66" hidden="0" customWidth="1"/>
    <ns0:col min="4" max="4" width="39" hidden="0" customWidth="1"/>
    <ns0:col min="5" max="5" width="28" hidden="0" customWidth="1"/>
    <ns0:col min="6" max="6" width="17" hidden="0" customWidth="1"/>
    <ns0:col min="7" max="7" width="17" hidden="0" customWidth="1"/>
    <ns0:col min="8" max="8" width="59" hidden="0" customWidth="1"/>
    <ns0:col min="9" max="9" width="16" hidden="0" customWidth="1"/>
    <ns0:col min="10" max="10" width="41" hidden="0" customWidth="1"/>
    <ns0:col min="11" max="11" width="90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  <ns0:c r="H1" s="60"/>
      <ns0:c r="I1" s="60"/>
      <ns0:c r="J1" s="60"/>
      <ns0:c r="K1" s="60"/>
    </ns0:row>
    <ns0:row r="2" ht="24" customHeight="1">
      <ns0:c r="A2" s="61" t="str">
        <ns0:v>Rechtsgrundlagen und amtliche Quellen</ns0:v>
      </ns0:c>
      <ns0:c r="B2" s="60"/>
      <ns0:c r="C2" s="60"/>
      <ns0:c r="D2" s="60"/>
      <ns0:c r="E2" s="60"/>
      <ns0:c r="F2" s="60"/>
      <ns0:c r="G2" s="60"/>
      <ns0:c r="H2" s="60"/>
      <ns0:c r="I2" s="60"/>
      <ns0:c r="J2" s="60"/>
      <ns0:c r="K2" s="60"/>
    </ns0:row>
    <ns0:row r="3" ht="24" customHeight="1">
      <ns0:c r="A3" s="62"/>
      <ns0:c r="B3" s="62"/>
      <ns0:c r="C3" s="62"/>
      <ns0:c r="D3" s="62"/>
      <ns0:c r="E3" s="62"/>
      <ns0:c r="F3" s="62"/>
      <ns0:c r="G3" s="62"/>
      <ns0:c r="H3" s="62"/>
      <ns0:c r="I3" s="62"/>
      <ns0:c r="J3" s="62"/>
      <ns0:c r="K3" s="62"/>
    </ns0:row>
    <ns0:row r="4" ht="24" customHeight="1">
      <ns0:c r="A4" s="67" t="str">
        <ns0:v>Quellen-IDs sind stabil. Originalstand, Abruf und Fachfreigabe sind verschiedene Angaben.</ns0:v>
      </ns0:c>
      <ns0:c r="B4" s="60"/>
      <ns0:c r="C4" s="60"/>
      <ns0:c r="D4" s="60"/>
      <ns0:c r="E4" s="60"/>
      <ns0:c r="F4" s="60"/>
      <ns0:c r="G4" s="60"/>
      <ns0:c r="H4" s="60"/>
      <ns0:c r="I4" s="60"/>
      <ns0:c r="J4" s="60"/>
      <ns0:c r="K4" s="60"/>
    </ns0:row>
    <ns0:row r="5" ht="24" customHeight="1">
      <ns0:c r="A5" s="60"/>
      <ns0:c r="B5" s="60"/>
      <ns0:c r="C5" s="60"/>
      <ns0:c r="D5" s="60"/>
      <ns0:c r="E5" s="60"/>
      <ns0:c r="F5" s="60"/>
      <ns0:c r="G5" s="60"/>
      <ns0:c r="H5" s="60"/>
      <ns0:c r="I5" s="60"/>
      <ns0:c r="J5" s="60"/>
      <ns0:c r="K5" s="60"/>
    </ns0:row>
    <ns0:row r="6" ht="42" customHeight="1">
      <ns0:c r="A6" s="68" t="str">
        <ns0:v>Quellen-ID</ns0:v>
      </ns0:c>
      <ns0:c r="B6" s="68" t="str">
        <ns0:v>Gemeinwesen</ns0:v>
      </ns0:c>
      <ns0:c r="C6" s="68" t="str">
        <ns0:v>Erlass / Quelle</ns0:v>
      </ns0:c>
      <ns0:c r="D6" s="68" t="str">
        <ns0:v>Fundstelle</ns0:v>
      </ns0:c>
      <ns0:c r="E6" s="68" t="str">
        <ns0:v>Amtlicher Link</ns0:v>
      </ns0:c>
      <ns0:c r="F6" s="68" t="str">
        <ns0:v>Fassungsstand</ns0:v>
      </ns0:c>
      <ns0:c r="G6" s="68" t="str">
        <ns0:v>Abgerufen</ns0:v>
      </ns0:c>
      <ns0:c r="H6" s="68" t="str">
        <ns0:v>Prüfhinweis</ns0:v>
      </ns0:c>
      <ns0:c r="I6" s="68" t="str">
        <ns0:v>Fachstatus</ns0:v>
      </ns0:c>
      <ns0:c r="J6" s="68" t="str">
        <ns0:v>Frühere Freigabebasis</ns0:v>
      </ns0:c>
      <ns0:c r="K6" s="68" t="str">
        <ns0:v>URL (Original)</ns0:v>
      </ns0:c>
    </ns0:row>
    <ns0:row r="7" ht="38" customHeight="1">
      <ns0:c r="A7" s="71" t="str">
        <ns0:v>SRC-BUNDESFEIERTAG-19940701</ns0:v>
      </ns0:c>
      <ns0:c r="B7" s="71" t="str">
        <ns0:v>CH</ns0:v>
      </ns0:c>
      <ns0:c r="C7" s="71" t="str">
        <ns0:v>Verordnung über den Bundesfeiertag, SR 116</ns0:v>
      </ns0:c>
      <ns0:c r="D7" s="71" t="str">
        <ns0:v>SR 116, Art. 1</ns0:v>
      </ns0:c>
      <ns0:c r="E7" s="89" t="str">
        <ns0:v>Amtliche Quelle öffnen</ns0:v>
      </ns0:c>
      <ns0:c r="F7" s="70" t="n">
        <ns0:v>34516</ns0:v>
      </ns0:c>
      <ns0:c r="G7" s="70" t="n">
        <ns0:v>46278</ns0:v>
      </ns0:c>
      <ns0:c r="H7" s="71" t="str">
        <ns0:v>Originaltext geöffnet</ns0:v>
      </ns0:c>
      <ns0:c r="I7" s="71" t="str">
        <ns0:v>approved</ns0:v>
      </ns0:c>
      <ns0:c r="J7" s="71" t="str">
        <ns0:v>2026-08-31-mvp-03-approved.1</ns0:v>
      </ns0:c>
      <ns0:c r="K7" s="71" t="str">
        <ns0:v>https://www.fedlex.admin.ch/eli/cc/1994/1340_1340_1340/de</ns0:v>
      </ns0:c>
    </ns0:row>
    <ns0:row r="8" ht="38" customHeight="1">
      <ns0:c r="A8" s="74" t="str">
        <ns0:v>SRC-FRG-BE-20210401</ns0:v>
      </ns0:c>
      <ns0:c r="B8" s="74" t="str">
        <ns0:v>CH-BE</ns0:v>
      </ns0:c>
      <ns0:c r="C8" s="74" t="str">
        <ns0:v>Gesetz über die Ruhe an öffentlichen Feiertagen, BSG 555.1</ns0:v>
      </ns0:c>
      <ns0:c r="D8" s="74" t="str">
        <ns0:v>BSG 555.1, Art. 2</ns0:v>
      </ns0:c>
      <ns0:c r="E8" s="90" t="str">
        <ns0:v>Amtliche Quelle öffnen</ns0:v>
      </ns0:c>
      <ns0:c r="F8" s="73" t="n">
        <ns0:v>44287</ns0:v>
      </ns0:c>
      <ns0:c r="G8" s="73" t="n">
        <ns0:v>46278</ns0:v>
      </ns0:c>
      <ns0:c r="H8" s="74" t="str">
        <ns0:v>Originaltext geöffnet</ns0:v>
      </ns0:c>
      <ns0:c r="I8" s="74" t="str">
        <ns0:v>approved</ns0:v>
      </ns0:c>
      <ns0:c r="J8" s="74" t="str">
        <ns0:v>2026-08-31-mvp-03-approved.1</ns0:v>
      </ns0:c>
      <ns0:c r="K8" s="74" t="str">
        <ns0:v>https://www.belex.sites.be.ch/app/de/texts_of_law/555.1</ns0:v>
      </ns0:c>
    </ns0:row>
    <ns0:row r="9" ht="38" customHeight="1">
      <ns0:c r="A9" s="71" t="str">
        <ns0:v>SRC-AG-EGARR-20250901</ns0:v>
      </ns0:c>
      <ns0:c r="B9" s="76" t="str">
        <ns0:v>CH-AG</ns0:v>
      </ns0:c>
      <ns0:c r="C9" s="76" t="str">
        <ns0:v>Einführungsgesetz zum Arbeitsrecht</ns0:v>
      </ns0:c>
      <ns0:c r="D9" s="76" t="str">
        <ns0:v>SAR 961.200, § 6</ns0:v>
      </ns0:c>
      <ns0:c r="E9" s="89" t="str">
        <ns0:v>Amtliche Quelle öffnen</ns0:v>
      </ns0:c>
      <ns0:c r="F9" s="85" t="n">
        <ns0:v>45901</ns0:v>
      </ns0:c>
      <ns0:c r="G9" s="85" t="n">
        <ns0:v>46278</ns0:v>
      </ns0:c>
      <ns0:c r="H9" s="76" t="str">
        <ns0:v>Amtliche Fassung geprüft, Fachabnahme offen</ns0:v>
      </ns0:c>
      <ns0:c r="I9" s="76" t="str">
        <ns0:v>open</ns0:v>
      </ns0:c>
      <ns0:c r="J9" s="76"/>
      <ns0:c r="K9" s="71" t="str">
        <ns0:v>https://gesetzessammlungen.ag.ch/app/de/texts_of_law/961.200</ns0:v>
      </ns0:c>
    </ns0:row>
    <ns0:row r="10" ht="38" customHeight="1">
      <ns0:c r="A10" s="74" t="str">
        <ns0:v>SRC-AG-EGZPO</ns0:v>
      </ns0:c>
      <ns0:c r="B10" s="78" t="str">
        <ns0:v>CH-AG</ns0:v>
      </ns0:c>
      <ns0:c r="C10" s="78" t="str">
        <ns0:v>Einführungsgesetz zur Schweizerischen Zivilprozessordnung</ns0:v>
      </ns0:c>
      <ns0:c r="D10" s="78" t="str">
        <ns0:v>SAR 221.200, § 21 Abs. 1</ns0:v>
      </ns0:c>
      <ns0:c r="E10" s="90" t="str">
        <ns0:v>Amtliche Quelle öffnen</ns0:v>
      </ns0:c>
      <ns0:c r="F10" s="87" t="n">
        <ns0:v>44562</ns0:v>
      </ns0:c>
      <ns0:c r="G10" s="87" t="n">
        <ns0:v>46278</ns0:v>
      </ns0:c>
      <ns0:c r="H10" s="78" t="str">
        <ns0:v>Verfahrensbezogene Abgrenzung, Fachabnahme offen</ns0:v>
      </ns0:c>
      <ns0:c r="I10" s="78" t="str">
        <ns0:v>open</ns0:v>
      </ns0:c>
      <ns0:c r="J10" s="78"/>
      <ns0:c r="K10" s="74" t="str">
        <ns0:v>https://gesetzessammlungen.ag.ch/app/de/texts_of_law/221.200</ns0:v>
      </ns0:c>
    </ns0:row>
    <ns0:row r="11" ht="38" customHeight="1">
      <ns0:c r="A11" s="71" t="str">
        <ns0:v>SRC-BJ-FRISTENHINWEISE-20121217</ns0:v>
      </ns0:c>
      <ns0:c r="B11" s="76" t="str">
        <ns0:v>CH</ns0:v>
      </ns0:c>
      <ns0:c r="C11" s="76" t="str">
        <ns0:v>Hinweise zum Verzeichnis gesetzlicher Feiertage und gleichgestellter Tage</ns0:v>
      </ns0:c>
      <ns0:c r="D11" s="76" t="str">
        <ns0:v>Ziff. 1–3, Stand 17.12.2012</ns0:v>
      </ns0:c>
      <ns0:c r="E11" s="89" t="str">
        <ns0:v>Amtliche Quelle öffnen</ns0:v>
      </ns0:c>
      <ns0:c r="F11" s="85" t="n">
        <ns0:v>41260</ns0:v>
      </ns0:c>
      <ns0:c r="G11" s="85" t="n">
        <ns0:v>46278</ns0:v>
      </ns0:c>
      <ns0:c r="H11" s="76" t="str">
        <ns0:v>Methodische Abgrenzung, keine aktuelle Feiertagsvollerhebung</ns0:v>
      </ns0:c>
      <ns0:c r="I11" s="76" t="str">
        <ns0:v>open</ns0:v>
      </ns0:c>
      <ns0:c r="J11" s="76"/>
      <ns0:c r="K11" s="71" t="str">
        <ns0:v>https://www.bj.admin.ch/dam/bj/de/data/publiservice/service/zivilprozessrecht/hinweise-kant-feiertage-d.pdf.download.pdf/hinweise-kant-feiertage-d.pdf</ns0:v>
      </ns0:c>
    </ns0:row>
    <ns0:row r="12" ht="24" customHeight="1">
      <ns0:c r="A12" s="60"/>
      <ns0:c r="B12" s="91"/>
      <ns0:c r="C12" s="91"/>
      <ns0:c r="D12" s="91"/>
      <ns0:c r="E12" s="60"/>
      <ns0:c r="F12" s="91"/>
      <ns0:c r="G12" s="91"/>
      <ns0:c r="H12" s="91"/>
      <ns0:c r="I12" s="91"/>
      <ns0:c r="J12" s="91"/>
      <ns0:c r="K12" s="60"/>
    </ns0:row>
    <ns0:row r="13" ht="24" customHeight="1">
      <ns0:c r="A13" s="60"/>
      <ns0:c r="B13" s="91"/>
      <ns0:c r="C13" s="91"/>
      <ns0:c r="D13" s="91"/>
      <ns0:c r="E13" s="60"/>
      <ns0:c r="F13" s="91"/>
      <ns0:c r="G13" s="91"/>
      <ns0:c r="H13" s="91"/>
      <ns0:c r="I13" s="91"/>
      <ns0:c r="J13" s="91"/>
      <ns0:c r="K13" s="60"/>
    </ns0:row>
    <ns0:row r="14" ht="24" customHeight="1">
      <ns0:c r="A14" s="60"/>
      <ns0:c r="B14" s="91"/>
      <ns0:c r="C14" s="91"/>
      <ns0:c r="D14" s="91"/>
      <ns0:c r="E14" s="60"/>
      <ns0:c r="F14" s="91"/>
      <ns0:c r="G14" s="91"/>
      <ns0:c r="H14" s="91"/>
      <ns0:c r="I14" s="91"/>
      <ns0:c r="J14" s="91"/>
      <ns0:c r="K14" s="60"/>
    </ns0:row>
    <ns0:row r="15" ht="24" customHeight="1">
      <ns0:c r="A15" s="60"/>
      <ns0:c r="B15" s="91"/>
      <ns0:c r="C15" s="91"/>
      <ns0:c r="D15" s="91"/>
      <ns0:c r="E15" s="60"/>
      <ns0:c r="F15" s="91"/>
      <ns0:c r="G15" s="91"/>
      <ns0:c r="H15" s="91"/>
      <ns0:c r="I15" s="91"/>
      <ns0:c r="J15" s="91"/>
      <ns0:c r="K15" s="60"/>
    </ns0:row>
    <ns0:row r="16" ht="24" customHeight="1">
      <ns0:c r="A16" s="60"/>
      <ns0:c r="B16" s="91"/>
      <ns0:c r="C16" s="91"/>
      <ns0:c r="D16" s="91"/>
      <ns0:c r="E16" s="60"/>
      <ns0:c r="F16" s="91"/>
      <ns0:c r="G16" s="91"/>
      <ns0:c r="H16" s="91"/>
      <ns0:c r="I16" s="91"/>
      <ns0:c r="J16" s="91"/>
      <ns0:c r="K16" s="60"/>
    </ns0:row>
    <ns0:row r="17" ht="24" customHeight="1">
      <ns0:c r="A17" s="60"/>
      <ns0:c r="B17" s="91"/>
      <ns0:c r="C17" s="91"/>
      <ns0:c r="D17" s="91"/>
      <ns0:c r="E17" s="60"/>
      <ns0:c r="F17" s="91"/>
      <ns0:c r="G17" s="91"/>
      <ns0:c r="H17" s="91"/>
      <ns0:c r="I17" s="91"/>
      <ns0:c r="J17" s="91"/>
      <ns0:c r="K17" s="60"/>
    </ns0:row>
    <ns0:row r="18" ht="24" customHeight="1">
      <ns0:c r="A18" s="60"/>
      <ns0:c r="B18" s="91"/>
      <ns0:c r="C18" s="91"/>
      <ns0:c r="D18" s="91"/>
      <ns0:c r="E18" s="60"/>
      <ns0:c r="F18" s="91"/>
      <ns0:c r="G18" s="91"/>
      <ns0:c r="H18" s="91"/>
      <ns0:c r="I18" s="91"/>
      <ns0:c r="J18" s="91"/>
      <ns0:c r="K18" s="60"/>
    </ns0:row>
    <ns0:row r="19" ht="24" customHeight="1">
      <ns0:c r="A19" s="60"/>
      <ns0:c r="B19" s="91"/>
      <ns0:c r="C19" s="91"/>
      <ns0:c r="D19" s="91"/>
      <ns0:c r="E19" s="60"/>
      <ns0:c r="F19" s="91"/>
      <ns0:c r="G19" s="91"/>
      <ns0:c r="H19" s="91"/>
      <ns0:c r="I19" s="91"/>
      <ns0:c r="J19" s="91"/>
      <ns0:c r="K19" s="60"/>
    </ns0:row>
    <ns0:row r="20" ht="24" customHeight="1">
      <ns0:c r="A20" s="60"/>
      <ns0:c r="B20" s="91"/>
      <ns0:c r="C20" s="91"/>
      <ns0:c r="D20" s="91"/>
      <ns0:c r="E20" s="60"/>
      <ns0:c r="F20" s="91"/>
      <ns0:c r="G20" s="91"/>
      <ns0:c r="H20" s="91"/>
      <ns0:c r="I20" s="91"/>
      <ns0:c r="J20" s="91"/>
      <ns0:c r="K20" s="60"/>
    </ns0:row>
    <ns0:row r="21" ht="24" customHeight="1">
      <ns0:c r="A21" s="60"/>
      <ns0:c r="B21" s="91"/>
      <ns0:c r="C21" s="91"/>
      <ns0:c r="D21" s="91"/>
      <ns0:c r="E21" s="60"/>
      <ns0:c r="F21" s="91"/>
      <ns0:c r="G21" s="91"/>
      <ns0:c r="H21" s="91"/>
      <ns0:c r="I21" s="91"/>
      <ns0:c r="J21" s="91"/>
      <ns0:c r="K21" s="60"/>
    </ns0:row>
    <ns0:row r="22" ht="24" customHeight="1">
      <ns0:c r="A22" s="60"/>
      <ns0:c r="B22" s="91"/>
      <ns0:c r="C22" s="91"/>
      <ns0:c r="D22" s="91"/>
      <ns0:c r="E22" s="60"/>
      <ns0:c r="F22" s="91"/>
      <ns0:c r="G22" s="91"/>
      <ns0:c r="H22" s="91"/>
      <ns0:c r="I22" s="91"/>
      <ns0:c r="J22" s="91"/>
      <ns0:c r="K22" s="60"/>
    </ns0:row>
    <ns0:row r="23" ht="24" customHeight="1">
      <ns0:c r="A23" s="60"/>
      <ns0:c r="B23" s="91"/>
      <ns0:c r="C23" s="91"/>
      <ns0:c r="D23" s="91"/>
      <ns0:c r="E23" s="60"/>
      <ns0:c r="F23" s="91"/>
      <ns0:c r="G23" s="91"/>
      <ns0:c r="H23" s="91"/>
      <ns0:c r="I23" s="91"/>
      <ns0:c r="J23" s="91"/>
      <ns0:c r="K23" s="60"/>
    </ns0:row>
    <ns0:row r="24" ht="24" customHeight="1">
      <ns0:c r="A24" s="60"/>
      <ns0:c r="B24" s="91"/>
      <ns0:c r="C24" s="91"/>
      <ns0:c r="D24" s="91"/>
      <ns0:c r="E24" s="60"/>
      <ns0:c r="F24" s="91"/>
      <ns0:c r="G24" s="91"/>
      <ns0:c r="H24" s="91"/>
      <ns0:c r="I24" s="91"/>
      <ns0:c r="J24" s="91"/>
      <ns0:c r="K24" s="60"/>
    </ns0:row>
    <ns0:row r="25" ht="24" customHeight="1">
      <ns0:c r="A25" s="60"/>
      <ns0:c r="B25" s="91"/>
      <ns0:c r="C25" s="91"/>
      <ns0:c r="D25" s="91"/>
      <ns0:c r="E25" s="60"/>
      <ns0:c r="F25" s="91"/>
      <ns0:c r="G25" s="91"/>
      <ns0:c r="H25" s="91"/>
      <ns0:c r="I25" s="91"/>
      <ns0:c r="J25" s="91"/>
      <ns0:c r="K25" s="60"/>
    </ns0:row>
    <ns0:row r="26" ht="24" customHeight="1">
      <ns0:c r="A26" s="60"/>
      <ns0:c r="B26" s="91"/>
      <ns0:c r="C26" s="91"/>
      <ns0:c r="D26" s="91"/>
      <ns0:c r="E26" s="60"/>
      <ns0:c r="F26" s="91"/>
      <ns0:c r="G26" s="91"/>
      <ns0:c r="H26" s="91"/>
      <ns0:c r="I26" s="91"/>
      <ns0:c r="J26" s="91"/>
      <ns0:c r="K26" s="60"/>
    </ns0:row>
    <ns0:row r="27" ht="24" customHeight="1">
      <ns0:c r="A27" s="60"/>
      <ns0:c r="B27" s="91"/>
      <ns0:c r="C27" s="91"/>
      <ns0:c r="D27" s="91"/>
      <ns0:c r="E27" s="60"/>
      <ns0:c r="F27" s="91"/>
      <ns0:c r="G27" s="91"/>
      <ns0:c r="H27" s="91"/>
      <ns0:c r="I27" s="91"/>
      <ns0:c r="J27" s="91"/>
      <ns0:c r="K27" s="60"/>
    </ns0:row>
    <ns0:row r="28" ht="24" customHeight="1">
      <ns0:c r="A28" s="60"/>
      <ns0:c r="B28" s="91"/>
      <ns0:c r="C28" s="91"/>
      <ns0:c r="D28" s="91"/>
      <ns0:c r="E28" s="60"/>
      <ns0:c r="F28" s="91"/>
      <ns0:c r="G28" s="91"/>
      <ns0:c r="H28" s="91"/>
      <ns0:c r="I28" s="91"/>
      <ns0:c r="J28" s="91"/>
      <ns0:c r="K28" s="60"/>
    </ns0:row>
    <ns0:row r="29" ht="24" customHeight="1">
      <ns0:c r="A29" s="60"/>
      <ns0:c r="B29" s="91"/>
      <ns0:c r="C29" s="91"/>
      <ns0:c r="D29" s="91"/>
      <ns0:c r="E29" s="60"/>
      <ns0:c r="F29" s="91"/>
      <ns0:c r="G29" s="91"/>
      <ns0:c r="H29" s="91"/>
      <ns0:c r="I29" s="91"/>
      <ns0:c r="J29" s="91"/>
      <ns0:c r="K29" s="60"/>
    </ns0:row>
    <ns0:row r="30" ht="24" customHeight="1">
      <ns0:c r="A30" s="60"/>
      <ns0:c r="B30" s="91"/>
      <ns0:c r="C30" s="91"/>
      <ns0:c r="D30" s="91"/>
      <ns0:c r="E30" s="60"/>
      <ns0:c r="F30" s="91"/>
      <ns0:c r="G30" s="91"/>
      <ns0:c r="H30" s="91"/>
      <ns0:c r="I30" s="91"/>
      <ns0:c r="J30" s="91"/>
      <ns0:c r="K30" s="60"/>
    </ns0:row>
    <ns0:row r="31" ht="24" customHeight="1">
      <ns0:c r="A31" s="60"/>
      <ns0:c r="B31" s="91"/>
      <ns0:c r="C31" s="91"/>
      <ns0:c r="D31" s="91"/>
      <ns0:c r="E31" s="60"/>
      <ns0:c r="F31" s="91"/>
      <ns0:c r="G31" s="91"/>
      <ns0:c r="H31" s="91"/>
      <ns0:c r="I31" s="91"/>
      <ns0:c r="J31" s="91"/>
      <ns0:c r="K31" s="60"/>
    </ns0:row>
    <ns0:row r="32" ht="24" customHeight="1">
      <ns0:c r="A32" s="60"/>
      <ns0:c r="B32" s="91"/>
      <ns0:c r="C32" s="91"/>
      <ns0:c r="D32" s="91"/>
      <ns0:c r="E32" s="60"/>
      <ns0:c r="F32" s="91"/>
      <ns0:c r="G32" s="91"/>
      <ns0:c r="H32" s="91"/>
      <ns0:c r="I32" s="91"/>
      <ns0:c r="J32" s="91"/>
      <ns0:c r="K32" s="60"/>
    </ns0:row>
  </ns0:sheetData>
  <ns0:sheetProtection sheet="1" objects="1" scenarios="1" autoFilter="0" sort="0" selectLockedCells="0" selectUnlockedCells="0"/>
  <ns0:conditionalFormatting sqref="I7:I11">
    <ns0:cfRule type="containsText" dxfId="6" priority="1" operator="containsText" text="open"/>
    <ns0:cfRule type="containsText" dxfId="7" priority="2" operator="containsText" text="blocked"/>
  </ns0:conditionalFormatting>
  <ns0:dataValidations count="1">
    <ns0:dataValidation type="list" sqref="I7:I11">
      <ns0:formula1>"approved,open,blocked"</ns0:formula1>
    </ns0:dataValidation>
  </ns0:dataValidations>
  <ns0:hyperlinks>
    <ns0:hyperlink ref="E7" ns1:id="ap18Hyperlink1"/>
    <ns0:hyperlink ref="E8" ns1:id="ap18Hyperlink2"/>
    <ns0:hyperlink ref="E9" ns1:id="ap18Hyperlink3"/>
    <ns0:hyperlink ref="E10" ns1:id="ap18Hyperlink4"/>
    <ns0:hyperlink ref="E11" ns1:id="ap18Hyperlink5"/>
  </ns0:hyperlinks>
  <ns0:pageMargins left="0.7" right="0.7" top="0.75" bottom="0.75" header="0.3" footer="0.3"/>
  <ns0:tableParts count="1">
    <ns0:tablePart ns1:id="Rd26ebe63f2594f1b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6" topLeftCell="B7" activePane="bottomRight" state="frozen"/>
    </ns0:sheetView>
  </ns0:sheetViews>
  <ns0:sheetFormatPr defaultRowHeight="15"/>
  <ns0:cols>
    <ns0:col min="1" max="1" width="28" hidden="0" customWidth="1"/>
    <ns0:col min="2" max="2" width="31" hidden="0" customWidth="1"/>
    <ns0:col min="3" max="3" width="29" hidden="0" customWidth="1"/>
    <ns0:col min="4" max="4" width="42" hidden="0" customWidth="1"/>
    <ns0:col min="5" max="5" width="65" hidden="0" customWidth="1"/>
    <ns0:col min="6" max="6" width="49" hidden="0" customWidth="1"/>
    <ns0:col min="7" max="7" width="16" hidden="0" customWidth="1"/>
    <ns0:col min="8" max="8" width="41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  <ns0:c r="H1" s="60"/>
    </ns0:row>
    <ns0:row r="2" ht="24" customHeight="1">
      <ns0:c r="A2" s="61" t="str">
        <ns0:v>Sachliche und verfahrensrechtliche Zuordnung</ns0:v>
      </ns0:c>
      <ns0:c r="B2" s="60"/>
      <ns0:c r="C2" s="60"/>
      <ns0:c r="D2" s="60"/>
      <ns0:c r="E2" s="60"/>
      <ns0:c r="F2" s="60"/>
      <ns0:c r="G2" s="60"/>
      <ns0:c r="H2" s="60"/>
    </ns0:row>
    <ns0:row r="3" ht="24" customHeight="1">
      <ns0:c r="A3" s="62"/>
      <ns0:c r="B3" s="62"/>
      <ns0:c r="C3" s="62"/>
      <ns0:c r="D3" s="62"/>
      <ns0:c r="E3" s="62"/>
      <ns0:c r="F3" s="62"/>
      <ns0:c r="G3" s="62"/>
      <ns0:c r="H3" s="62"/>
    </ns0:row>
    <ns0:row r="4" ht="24" customHeight="1">
      <ns0:c r="A4" s="67" t="str">
        <ns0:v>Ein arbeitsrechtlicher Feiertag ist nicht automatisch ein prozessualer Fristenverlängerungstag.</ns0:v>
      </ns0:c>
      <ns0:c r="B4" s="60"/>
      <ns0:c r="C4" s="60"/>
      <ns0:c r="D4" s="60"/>
      <ns0:c r="E4" s="60"/>
      <ns0:c r="F4" s="60"/>
      <ns0:c r="G4" s="60"/>
      <ns0:c r="H4" s="60"/>
    </ns0:row>
    <ns0:row r="5" ht="24" customHeight="1">
      <ns0:c r="A5" s="60"/>
      <ns0:c r="B5" s="60"/>
      <ns0:c r="C5" s="60"/>
      <ns0:c r="D5" s="60"/>
      <ns0:c r="E5" s="60"/>
      <ns0:c r="F5" s="60"/>
      <ns0:c r="G5" s="60"/>
      <ns0:c r="H5" s="60"/>
    </ns0:row>
    <ns0:row r="6" ht="42" customHeight="1">
      <ns0:c r="A6" s="68" t="str">
        <ns0:v>Zuordnungs-ID</ns0:v>
      </ns0:c>
      <ns0:c r="B6" s="68" t="str">
        <ns0:v>Geltungs-ID</ns0:v>
      </ns0:c>
      <ns0:c r="C6" s="68" t="str">
        <ns0:v>Rechtskategorie</ns0:v>
      </ns0:c>
      <ns0:c r="D6" s="68" t="str">
        <ns0:v>Anwendungsbereich</ns0:v>
      </ns0:c>
      <ns0:c r="E6" s="68" t="str">
        <ns0:v>Wirkung / Grenze</ns0:v>
      </ns0:c>
      <ns0:c r="F6" s="68" t="str">
        <ns0:v>Norm / Referenz</ns0:v>
      </ns0:c>
      <ns0:c r="G6" s="68" t="str">
        <ns0:v>Fachstatus</ns0:v>
      </ns0:c>
      <ns0:c r="H6" s="68" t="str">
        <ns0:v>Freigabebasis</ns0:v>
      </ns0:c>
    </ns0:row>
    <ns0:row r="7" ht="38" customHeight="1">
      <ns0:c r="A7" s="71" t="str">
        <ns0:v>MAP-BE-PARITY</ns0:v>
      </ns0:c>
      <ns0:c r="B7" s="71" t="str">
        <ns0:v>BE-ALL</ns0:v>
      </ns0:c>
      <ns0:c r="C7" s="71" t="str">
        <ns0:v>publicHoliday</ns0:v>
      </ns0:c>
      <ns0:c r="D7" s="71" t="str">
        <ns0:v>MVP-0.3-Referenzprofile</ns0:v>
      </ns0:c>
      <ns0:c r="E7" s="71" t="str">
        <ns0:v>Bestehende Anknüpfung unverändert, keine neue Profilfreigabe</ns0:v>
      </ns0:c>
      <ns0:c r="F7" s="71" t="str">
        <ns0:v>Referenzrelease / jeweiliges Rechtsprofil</ns0:v>
      </ns0:c>
      <ns0:c r="G7" s="71" t="str">
        <ns0:v>approved</ns0:v>
      </ns0:c>
      <ns0:c r="H7" s="71" t="str">
        <ns0:v>2026-08-31-mvp-03-approved.1</ns0:v>
      </ns0:c>
    </ns0:row>
    <ns0:row r="8" ht="38" customHeight="1">
      <ns0:c r="A8" s="74" t="str">
        <ns0:v>MAP-CH-PARITY</ns0:v>
      </ns0:c>
      <ns0:c r="B8" s="74" t="str">
        <ns0:v>CH-ALL</ns0:v>
      </ns0:c>
      <ns0:c r="C8" s="74" t="str">
        <ns0:v>publicHoliday</ns0:v>
      </ns0:c>
      <ns0:c r="D8" s="74" t="str">
        <ns0:v>MVP-0.3-Referenzprofile</ns0:v>
      </ns0:c>
      <ns0:c r="E8" s="74" t="str">
        <ns0:v>Nur Bundesfeiertag vererben, keine kantonale Vollständigkeit ableiten</ns0:v>
      </ns0:c>
      <ns0:c r="F8" s="74" t="str">
        <ns0:v>SR 116 Art. 1 / Referenzrelease</ns0:v>
      </ns0:c>
      <ns0:c r="G8" s="74" t="str">
        <ns0:v>approved</ns0:v>
      </ns0:c>
      <ns0:c r="H8" s="74" t="str">
        <ns0:v>2026-08-31-mvp-03-approved.1</ns0:v>
      </ns0:c>
    </ns0:row>
    <ns0:row r="9" ht="38" customHeight="1">
      <ns0:c r="A9" s="71" t="str">
        <ns0:v>MAP-AG-LABOUR</ns0:v>
      </ns0:c>
      <ns0:c r="B9" s="71" t="str">
        <ns0:v>AG-ARG-BADEN</ns0:v>
      </ns0:c>
      <ns0:c r="C9" s="71" t="str">
        <ns0:v>labourLawHoliday</ns0:v>
      </ns0:c>
      <ns0:c r="D9" s="71" t="str">
        <ns0:v>Arbeitsrecht, nicht pauschal Fristenrecht</ns0:v>
      </ns0:c>
      <ns0:c r="E9" s="71" t="str">
        <ns0:v>Keine automatische Übernahme in Fristenrechner</ns0:v>
      </ns0:c>
      <ns0:c r="F9" s="71" t="str">
        <ns0:v>SAR 961.200 § 6 Abs. 1 Bst. b</ns0:v>
      </ns0:c>
      <ns0:c r="G9" s="71" t="str">
        <ns0:v>blocked</ns0:v>
      </ns0:c>
      <ns0:c r="H9" s="71"/>
    </ns0:row>
    <ns0:row r="10" ht="38" customHeight="1">
      <ns0:c r="A10" s="74" t="str">
        <ns0:v>MAP-AG-ZPO</ns0:v>
      </ns0:c>
      <ns0:c r="B10" s="74" t="str">
        <ns0:v>AG-ZPO-ALL</ns0:v>
      </ns0:c>
      <ns0:c r="C10" s="74" t="str">
        <ns0:v>proceduralEquivalentDay</ns0:v>
      </ns0:c>
      <ns0:c r="D10" s="74" t="str">
        <ns0:v>EG ZPO / konkrete Bundesprofile noch prüfen</ns0:v>
      </ns0:c>
      <ns0:c r="E10" s="74" t="str">
        <ns0:v>Genaue Verfahrensanknüpfung vor Export fachlich abnehmen</ns0:v>
      </ns0:c>
      <ns0:c r="F10" s="74" t="str">
        <ns0:v>SAR 221.200 § 21</ns0:v>
      </ns0:c>
      <ns0:c r="G10" s="74" t="str">
        <ns0:v>open</ns0:v>
      </ns0:c>
      <ns0:c r="H10" s="74"/>
    </ns0:row>
    <ns0:row r="11" ht="24" customHeight="1">
      <ns0:c r="A11" s="60"/>
      <ns0:c r="B11" s="60"/>
      <ns0:c r="C11" s="60"/>
      <ns0:c r="D11" s="60"/>
      <ns0:c r="E11" s="60"/>
      <ns0:c r="F11" s="60"/>
      <ns0:c r="G11" s="60"/>
      <ns0:c r="H11" s="60"/>
    </ns0:row>
    <ns0:row r="12" ht="24" customHeight="1">
      <ns0:c r="A12" s="60"/>
      <ns0:c r="B12" s="60"/>
      <ns0:c r="C12" s="60"/>
      <ns0:c r="D12" s="60"/>
      <ns0:c r="E12" s="60"/>
      <ns0:c r="F12" s="60"/>
      <ns0:c r="G12" s="60"/>
      <ns0:c r="H12" s="60"/>
    </ns0:row>
    <ns0:row r="13" ht="24" customHeight="1">
      <ns0:c r="A13" s="60"/>
      <ns0:c r="B13" s="60"/>
      <ns0:c r="C13" s="60"/>
      <ns0:c r="D13" s="60"/>
      <ns0:c r="E13" s="60"/>
      <ns0:c r="F13" s="60"/>
      <ns0:c r="G13" s="60"/>
      <ns0:c r="H13" s="60"/>
    </ns0:row>
    <ns0:row r="14" ht="24" customHeight="1">
      <ns0:c r="A14" s="60"/>
      <ns0:c r="B14" s="60"/>
      <ns0:c r="C14" s="60"/>
      <ns0:c r="D14" s="60"/>
      <ns0:c r="E14" s="60"/>
      <ns0:c r="F14" s="60"/>
      <ns0:c r="G14" s="60"/>
      <ns0:c r="H14" s="60"/>
    </ns0:row>
    <ns0:row r="15" ht="24" customHeight="1">
      <ns0:c r="A15" s="60"/>
      <ns0:c r="B15" s="60"/>
      <ns0:c r="C15" s="60"/>
      <ns0:c r="D15" s="60"/>
      <ns0:c r="E15" s="60"/>
      <ns0:c r="F15" s="60"/>
      <ns0:c r="G15" s="60"/>
      <ns0:c r="H15" s="60"/>
    </ns0:row>
    <ns0:row r="16" ht="24" customHeight="1">
      <ns0:c r="A16" s="60"/>
      <ns0:c r="B16" s="60"/>
      <ns0:c r="C16" s="60"/>
      <ns0:c r="D16" s="60"/>
      <ns0:c r="E16" s="60"/>
      <ns0:c r="F16" s="60"/>
      <ns0:c r="G16" s="60"/>
      <ns0:c r="H16" s="60"/>
    </ns0:row>
    <ns0:row r="17" ht="24" customHeight="1">
      <ns0:c r="A17" s="60"/>
      <ns0:c r="B17" s="60"/>
      <ns0:c r="C17" s="60"/>
      <ns0:c r="D17" s="60"/>
      <ns0:c r="E17" s="60"/>
      <ns0:c r="F17" s="60"/>
      <ns0:c r="G17" s="60"/>
      <ns0:c r="H17" s="60"/>
    </ns0:row>
    <ns0:row r="18" ht="24" customHeight="1">
      <ns0:c r="A18" s="60"/>
      <ns0:c r="B18" s="60"/>
      <ns0:c r="C18" s="60"/>
      <ns0:c r="D18" s="60"/>
      <ns0:c r="E18" s="60"/>
      <ns0:c r="F18" s="60"/>
      <ns0:c r="G18" s="60"/>
      <ns0:c r="H18" s="60"/>
    </ns0:row>
    <ns0:row r="19" ht="24" customHeight="1">
      <ns0:c r="A19" s="60"/>
      <ns0:c r="B19" s="60"/>
      <ns0:c r="C19" s="60"/>
      <ns0:c r="D19" s="60"/>
      <ns0:c r="E19" s="60"/>
      <ns0:c r="F19" s="60"/>
      <ns0:c r="G19" s="60"/>
      <ns0:c r="H19" s="60"/>
    </ns0:row>
    <ns0:row r="20" ht="24" customHeight="1">
      <ns0:c r="A20" s="60"/>
      <ns0:c r="B20" s="60"/>
      <ns0:c r="C20" s="60"/>
      <ns0:c r="D20" s="60"/>
      <ns0:c r="E20" s="60"/>
      <ns0:c r="F20" s="60"/>
      <ns0:c r="G20" s="60"/>
      <ns0:c r="H20" s="60"/>
    </ns0:row>
    <ns0:row r="21" ht="24" customHeight="1">
      <ns0:c r="A21" s="60"/>
      <ns0:c r="B21" s="60"/>
      <ns0:c r="C21" s="60"/>
      <ns0:c r="D21" s="60"/>
      <ns0:c r="E21" s="60"/>
      <ns0:c r="F21" s="60"/>
      <ns0:c r="G21" s="60"/>
      <ns0:c r="H21" s="60"/>
    </ns0:row>
    <ns0:row r="22" ht="24" customHeight="1">
      <ns0:c r="A22" s="60"/>
      <ns0:c r="B22" s="60"/>
      <ns0:c r="C22" s="60"/>
      <ns0:c r="D22" s="60"/>
      <ns0:c r="E22" s="60"/>
      <ns0:c r="F22" s="60"/>
      <ns0:c r="G22" s="60"/>
      <ns0:c r="H22" s="60"/>
    </ns0:row>
    <ns0:row r="23" ht="24" customHeight="1">
      <ns0:c r="A23" s="60"/>
      <ns0:c r="B23" s="60"/>
      <ns0:c r="C23" s="60"/>
      <ns0:c r="D23" s="60"/>
      <ns0:c r="E23" s="60"/>
      <ns0:c r="F23" s="60"/>
      <ns0:c r="G23" s="60"/>
      <ns0:c r="H23" s="60"/>
    </ns0:row>
    <ns0:row r="24" ht="24" customHeight="1">
      <ns0:c r="A24" s="60"/>
      <ns0:c r="B24" s="60"/>
      <ns0:c r="C24" s="60"/>
      <ns0:c r="D24" s="60"/>
      <ns0:c r="E24" s="60"/>
      <ns0:c r="F24" s="60"/>
      <ns0:c r="G24" s="60"/>
      <ns0:c r="H24" s="60"/>
    </ns0:row>
    <ns0:row r="25" ht="24" customHeight="1">
      <ns0:c r="A25" s="60"/>
      <ns0:c r="B25" s="60"/>
      <ns0:c r="C25" s="60"/>
      <ns0:c r="D25" s="60"/>
      <ns0:c r="E25" s="60"/>
      <ns0:c r="F25" s="60"/>
      <ns0:c r="G25" s="60"/>
      <ns0:c r="H25" s="60"/>
    </ns0:row>
    <ns0:row r="26" ht="24" customHeight="1">
      <ns0:c r="A26" s="60"/>
      <ns0:c r="B26" s="60"/>
      <ns0:c r="C26" s="60"/>
      <ns0:c r="D26" s="60"/>
      <ns0:c r="E26" s="60"/>
      <ns0:c r="F26" s="60"/>
      <ns0:c r="G26" s="60"/>
      <ns0:c r="H26" s="60"/>
    </ns0:row>
    <ns0:row r="27" ht="24" customHeight="1">
      <ns0:c r="A27" s="60"/>
      <ns0:c r="B27" s="60"/>
      <ns0:c r="C27" s="60"/>
      <ns0:c r="D27" s="60"/>
      <ns0:c r="E27" s="60"/>
      <ns0:c r="F27" s="60"/>
      <ns0:c r="G27" s="60"/>
      <ns0:c r="H27" s="60"/>
    </ns0:row>
    <ns0:row r="28" ht="24" customHeight="1">
      <ns0:c r="A28" s="60"/>
      <ns0:c r="B28" s="60"/>
      <ns0:c r="C28" s="60"/>
      <ns0:c r="D28" s="60"/>
      <ns0:c r="E28" s="60"/>
      <ns0:c r="F28" s="60"/>
      <ns0:c r="G28" s="60"/>
      <ns0:c r="H28" s="60"/>
    </ns0:row>
    <ns0:row r="29" ht="24" customHeight="1">
      <ns0:c r="A29" s="60"/>
      <ns0:c r="B29" s="60"/>
      <ns0:c r="C29" s="60"/>
      <ns0:c r="D29" s="60"/>
      <ns0:c r="E29" s="60"/>
      <ns0:c r="F29" s="60"/>
      <ns0:c r="G29" s="60"/>
      <ns0:c r="H29" s="60"/>
    </ns0:row>
    <ns0:row r="30" ht="24" customHeight="1">
      <ns0:c r="A30" s="60"/>
      <ns0:c r="B30" s="60"/>
      <ns0:c r="C30" s="60"/>
      <ns0:c r="D30" s="60"/>
      <ns0:c r="E30" s="60"/>
      <ns0:c r="F30" s="60"/>
      <ns0:c r="G30" s="60"/>
      <ns0:c r="H30" s="60"/>
    </ns0:row>
    <ns0:row r="31" ht="24" customHeight="1">
      <ns0:c r="A31" s="60"/>
      <ns0:c r="B31" s="60"/>
      <ns0:c r="C31" s="60"/>
      <ns0:c r="D31" s="60"/>
      <ns0:c r="E31" s="60"/>
      <ns0:c r="F31" s="60"/>
      <ns0:c r="G31" s="60"/>
      <ns0:c r="H31" s="60"/>
    </ns0:row>
    <ns0:row r="32" ht="24" customHeight="1">
      <ns0:c r="A32" s="60"/>
      <ns0:c r="B32" s="60"/>
      <ns0:c r="C32" s="60"/>
      <ns0:c r="D32" s="60"/>
      <ns0:c r="E32" s="60"/>
      <ns0:c r="F32" s="60"/>
      <ns0:c r="G32" s="60"/>
      <ns0:c r="H32" s="60"/>
    </ns0:row>
  </ns0:sheetData>
  <ns0:sheetProtection sheet="1" objects="1" scenarios="1" autoFilter="0" sort="0" selectLockedCells="0" selectUnlockedCells="0"/>
  <ns0:conditionalFormatting sqref="G7:G10">
    <ns0:cfRule type="containsText" dxfId="8" priority="1" operator="containsText" text="open"/>
    <ns0:cfRule type="containsText" dxfId="9" priority="2" operator="containsText" text="blocked"/>
  </ns0:conditionalFormatting>
  <ns0:dataValidations count="1">
    <ns0:dataValidation type="list" sqref="G7:G10">
      <ns0:formula1>"approved,open,blocked"</ns0:formula1>
    </ns0:dataValidation>
  </ns0:dataValidations>
  <ns0:pageMargins left="0.7" right="0.7" top="0.75" bottom="0.75" header="0.3" footer="0.3"/>
  <ns0:tableParts count="1">
    <ns0:tablePart ns1:id="R530b41eeba0841d4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6" topLeftCell="B7" activePane="bottomRight" state="frozen"/>
    </ns0:sheetView>
  </ns0:sheetViews>
  <ns0:sheetFormatPr defaultRowHeight="15"/>
  <ns0:cols>
    <ns0:col min="1" max="1" width="30" hidden="0" customWidth="1"/>
    <ns0:col min="2" max="2" width="42" hidden="0" customWidth="1"/>
    <ns0:col min="3" max="3" width="17" hidden="0" customWidth="1"/>
    <ns0:col min="4" max="4" width="17" hidden="0" customWidth="1"/>
    <ns0:col min="5" max="5" width="18" hidden="0" customWidth="1"/>
    <ns0:col min="6" max="6" width="41" hidden="0" customWidth="1"/>
    <ns0:col min="7" max="7" width="65" hidden="0" customWidth="1"/>
    <ns0:col min="8" max="8" width="18" hidden="0" customWidth="1"/>
    <ns0:col min="9" max="9" width="25" hidden="0" customWidth="1"/>
    <ns0:col min="10" max="10" width="20" hidden="0" customWidth="1"/>
    <ns0:col min="11" max="11" width="47" hidden="0" customWidth="1"/>
  </ns0:cols>
  <ns0:sheetData>
    <ns0:row r="1" ht="24" customHeight="1">
      <ns0:c r="A1" s="60"/>
      <ns0:c r="B1" s="60"/>
      <ns0:c r="C1" s="60"/>
      <ns0:c r="D1" s="60"/>
      <ns0:c r="E1" s="60"/>
      <ns0:c r="F1" s="60"/>
      <ns0:c r="G1" s="60"/>
      <ns0:c r="H1" s="60"/>
      <ns0:c r="I1" s="60"/>
      <ns0:c r="J1" s="60"/>
      <ns0:c r="K1" s="60"/>
    </ns0:row>
    <ns0:row r="2" ht="24" customHeight="1">
      <ns0:c r="A2" s="61" t="str">
        <ns0:v>Quellenprüfung nach AP13</ns0:v>
      </ns0:c>
      <ns0:c r="B2" s="60"/>
      <ns0:c r="C2" s="60"/>
      <ns0:c r="D2" s="60"/>
      <ns0:c r="E2" s="60"/>
      <ns0:c r="F2" s="60"/>
      <ns0:c r="G2" s="60"/>
      <ns0:c r="H2" s="60"/>
      <ns0:c r="I2" s="60"/>
      <ns0:c r="J2" s="60"/>
      <ns0:c r="K2" s="60"/>
    </ns0:row>
    <ns0:row r="3" ht="24" customHeight="1">
      <ns0:c r="A3" s="62"/>
      <ns0:c r="B3" s="62"/>
      <ns0:c r="C3" s="62"/>
      <ns0:c r="D3" s="62"/>
      <ns0:c r="E3" s="62"/>
      <ns0:c r="F3" s="62"/>
      <ns0:c r="G3" s="62"/>
      <ns0:c r="H3" s="62"/>
      <ns0:c r="I3" s="62"/>
      <ns0:c r="J3" s="62"/>
      <ns0:c r="K3" s="62"/>
    </ns0:row>
    <ns0:row r="4" ht="24" customHeight="1">
      <ns0:c r="A4" s="67" t="str">
        <ns0:v>Vorbereitete Prüfnotizen, keine Erweiterung des freigegebenen append-only-Protokolls.</ns0:v>
      </ns0:c>
      <ns0:c r="B4" s="60"/>
      <ns0:c r="C4" s="60"/>
      <ns0:c r="D4" s="60"/>
      <ns0:c r="E4" s="60"/>
      <ns0:c r="F4" s="60"/>
      <ns0:c r="G4" s="60"/>
      <ns0:c r="H4" s="60"/>
      <ns0:c r="I4" s="60"/>
      <ns0:c r="J4" s="60"/>
      <ns0:c r="K4" s="60"/>
    </ns0:row>
    <ns0:row r="5" ht="24" customHeight="1">
      <ns0:c r="A5" s="60"/>
      <ns0:c r="B5" s="60"/>
      <ns0:c r="C5" s="60"/>
      <ns0:c r="D5" s="60"/>
      <ns0:c r="E5" s="60"/>
      <ns0:c r="F5" s="60"/>
      <ns0:c r="G5" s="60"/>
      <ns0:c r="H5" s="60"/>
      <ns0:c r="I5" s="60"/>
      <ns0:c r="J5" s="60"/>
      <ns0:c r="K5" s="60"/>
    </ns0:row>
    <ns0:row r="6" ht="42" customHeight="1">
      <ns0:c r="A6" s="68" t="str">
        <ns0:v>Prüf-ID</ns0:v>
      </ns0:c>
      <ns0:c r="B6" s="68" t="str">
        <ns0:v>Quellen-ID</ns0:v>
      </ns0:c>
      <ns0:c r="C6" s="68" t="str">
        <ns0:v>Auslöser</ns0:v>
      </ns0:c>
      <ns0:c r="D6" s="68" t="str">
        <ns0:v>Datum</ns0:v>
      </ns0:c>
      <ns0:c r="E6" s="68" t="str">
        <ns0:v>Ergebnis</ns0:v>
      </ns0:c>
      <ns0:c r="F6" s="68" t="str">
        <ns0:v>Vergleichsbasis</ns0:v>
      </ns0:c>
      <ns0:c r="G6" s="68" t="str">
        <ns0:v>Befund</ns0:v>
      </ns0:c>
      <ns0:c r="H6" s="68" t="str">
        <ns0:v>Ereignisstatus</ns0:v>
      </ns0:c>
      <ns0:c r="I6" s="68" t="str">
        <ns0:v>Fachverantwortung</ns0:v>
      </ns0:c>
      <ns0:c r="J6" s="68" t="str">
        <ns0:v>Arbeitsinstrument</ns0:v>
      </ns0:c>
      <ns0:c r="K6" s="68" t="str">
        <ns0:v>Nächster Schritt</ns0:v>
      </ns0:c>
    </ns0:row>
    <ns0:row r="7" ht="38" customHeight="1">
      <ns0:c r="A7" s="71" t="str">
        <ns0:v>AP18A-20260913-CH</ns0:v>
      </ns0:c>
      <ns0:c r="B7" s="76" t="str">
        <ns0:v>SRC-BUNDESFEIERTAG-19940701</ns0:v>
      </ns0:c>
      <ns0:c r="C7" s="76" t="str">
        <ns0:v>newScope</ns0:v>
      </ns0:c>
      <ns0:c r="D7" s="85" t="n">
        <ns0:v>46278</ns0:v>
      </ns0:c>
      <ns0:c r="E7" s="76" t="str">
        <ns0:v>unchanged</ns0:v>
      </ns0:c>
      <ns0:c r="F7" s="76" t="str">
        <ns0:v>2026-08-31-mvp-03-approved.1</ns0:v>
      </ns0:c>
      <ns0:c r="G7" s="76" t="str">
        <ns0:v>Art. 1 und aktuelle Fassung im Original verglichen</ns0:v>
      </ns0:c>
      <ns0:c r="H7" s="76" t="str">
        <ns0:v>candidate</ns0:v>
      </ns0:c>
      <ns0:c r="I7" s="76" t="str">
        <ns0:v>David Steimer</ns0:v>
      </ns0:c>
      <ns0:c r="J7" s="76" t="str">
        <ns0:v>Codex</ns0:v>
      </ns0:c>
      <ns0:c r="K7" s="76" t="str">
        <ns0:v>Prüfereignis fachlich abnehmen</ns0:v>
      </ns0:c>
    </ns0:row>
    <ns0:row r="8" ht="38" customHeight="1">
      <ns0:c r="A8" s="74" t="str">
        <ns0:v>AP18A-20260913-BE</ns0:v>
      </ns0:c>
      <ns0:c r="B8" s="78" t="str">
        <ns0:v>SRC-FRG-BE-20210401</ns0:v>
      </ns0:c>
      <ns0:c r="C8" s="78" t="str">
        <ns0:v>newScope</ns0:v>
      </ns0:c>
      <ns0:c r="D8" s="87" t="n">
        <ns0:v>46278</ns0:v>
      </ns0:c>
      <ns0:c r="E8" s="78" t="str">
        <ns0:v>unchanged</ns0:v>
      </ns0:c>
      <ns0:c r="F8" s="78" t="str">
        <ns0:v>2026-08-31-mvp-03-approved.1</ns0:v>
      </ns0:c>
      <ns0:c r="G8" s="78" t="str">
        <ns0:v>Art. 2 und aktuelle Fassung im Original verglichen</ns0:v>
      </ns0:c>
      <ns0:c r="H8" s="78" t="str">
        <ns0:v>candidate</ns0:v>
      </ns0:c>
      <ns0:c r="I8" s="78" t="str">
        <ns0:v>David Steimer</ns0:v>
      </ns0:c>
      <ns0:c r="J8" s="78" t="str">
        <ns0:v>Codex</ns0:v>
      </ns0:c>
      <ns0:c r="K8" s="78" t="str">
        <ns0:v>Prüfereignis fachlich abnehmen</ns0:v>
      </ns0:c>
    </ns0:row>
    <ns0:row r="9" ht="38" customHeight="1">
      <ns0:c r="A9" s="71" t="str">
        <ns0:v>AP18A-20260913-AG</ns0:v>
      </ns0:c>
      <ns0:c r="B9" s="76" t="str">
        <ns0:v>SRC-AG-EGARR-20250901</ns0:v>
      </ns0:c>
      <ns0:c r="C9" s="76" t="str">
        <ns0:v>newScope</ns0:v>
      </ns0:c>
      <ns0:c r="D9" s="85" t="n">
        <ns0:v>46278</ns0:v>
      </ns0:c>
      <ns0:c r="E9" s="76" t="str">
        <ns0:v>unclear</ns0:v>
      </ns0:c>
      <ns0:c r="F9" s="76"/>
      <ns0:c r="G9" s="76" t="str">
        <ns0:v>Regionale Arbeitsfeiertage sind kein generischer Fristenkalender</ns0:v>
      </ns0:c>
      <ns0:c r="H9" s="76" t="str">
        <ns0:v>candidate</ns0:v>
      </ns0:c>
      <ns0:c r="I9" s="76" t="str">
        <ns0:v>David Steimer</ns0:v>
      </ns0:c>
      <ns0:c r="J9" s="76" t="str">
        <ns0:v>Codex</ns0:v>
      </ns0:c>
      <ns0:c r="K9" s="76" t="str">
        <ns0:v>AG-Fristenanknüpfung separat prüfen</ns0:v>
      </ns0:c>
    </ns0:row>
    <ns0:row r="10" ht="38" customHeight="1">
      <ns0:c r="A10" s="74" t="str">
        <ns0:v>AP18A-20260913-AG-ZPO</ns0:v>
      </ns0:c>
      <ns0:c r="B10" s="78" t="str">
        <ns0:v>SRC-AG-EGZPO</ns0:v>
      </ns0:c>
      <ns0:c r="C10" s="78" t="str">
        <ns0:v>newScope</ns0:v>
      </ns0:c>
      <ns0:c r="D10" s="87" t="n">
        <ns0:v>46278</ns0:v>
      </ns0:c>
      <ns0:c r="E10" s="78" t="str">
        <ns0:v>unclear</ns0:v>
      </ns0:c>
      <ns0:c r="F10" s="78"/>
      <ns0:c r="G10" s="78" t="str">
        <ns0:v>Prozessuale Liste getrennt von regionalem Arbeitsrecht führen</ns0:v>
      </ns0:c>
      <ns0:c r="H10" s="78" t="str">
        <ns0:v>candidate</ns0:v>
      </ns0:c>
      <ns0:c r="I10" s="78" t="str">
        <ns0:v>David Steimer</ns0:v>
      </ns0:c>
      <ns0:c r="J10" s="78" t="str">
        <ns0:v>Codex</ns0:v>
      </ns0:c>
      <ns0:c r="K10" s="78" t="str">
        <ns0:v>Anwendungsbereich und Quellenstand abnehmen</ns0:v>
      </ns0:c>
    </ns0:row>
    <ns0:row r="11" ht="24" customHeight="1">
      <ns0:c r="A11" s="60"/>
      <ns0:c r="B11" s="91"/>
      <ns0:c r="C11" s="91"/>
      <ns0:c r="D11" s="91"/>
      <ns0:c r="E11" s="91"/>
      <ns0:c r="F11" s="91"/>
      <ns0:c r="G11" s="91"/>
      <ns0:c r="H11" s="91"/>
      <ns0:c r="I11" s="91"/>
      <ns0:c r="J11" s="91"/>
      <ns0:c r="K11" s="91"/>
    </ns0:row>
    <ns0:row r="12" ht="24" customHeight="1">
      <ns0:c r="A12" s="60"/>
      <ns0:c r="B12" s="91"/>
      <ns0:c r="C12" s="91"/>
      <ns0:c r="D12" s="91"/>
      <ns0:c r="E12" s="91"/>
      <ns0:c r="F12" s="91"/>
      <ns0:c r="G12" s="91"/>
      <ns0:c r="H12" s="91"/>
      <ns0:c r="I12" s="91"/>
      <ns0:c r="J12" s="91"/>
      <ns0:c r="K12" s="91"/>
    </ns0:row>
    <ns0:row r="13" ht="24" customHeight="1">
      <ns0:c r="A13" s="60"/>
      <ns0:c r="B13" s="91"/>
      <ns0:c r="C13" s="91"/>
      <ns0:c r="D13" s="91"/>
      <ns0:c r="E13" s="91"/>
      <ns0:c r="F13" s="91"/>
      <ns0:c r="G13" s="91"/>
      <ns0:c r="H13" s="91"/>
      <ns0:c r="I13" s="91"/>
      <ns0:c r="J13" s="91"/>
      <ns0:c r="K13" s="91"/>
    </ns0:row>
    <ns0:row r="14" ht="24" customHeight="1">
      <ns0:c r="A14" s="60"/>
      <ns0:c r="B14" s="91"/>
      <ns0:c r="C14" s="91"/>
      <ns0:c r="D14" s="91"/>
      <ns0:c r="E14" s="91"/>
      <ns0:c r="F14" s="91"/>
      <ns0:c r="G14" s="91"/>
      <ns0:c r="H14" s="91"/>
      <ns0:c r="I14" s="91"/>
      <ns0:c r="J14" s="91"/>
      <ns0:c r="K14" s="91"/>
    </ns0:row>
    <ns0:row r="15" ht="24" customHeight="1">
      <ns0:c r="A15" s="60"/>
      <ns0:c r="B15" s="91"/>
      <ns0:c r="C15" s="91"/>
      <ns0:c r="D15" s="91"/>
      <ns0:c r="E15" s="91"/>
      <ns0:c r="F15" s="91"/>
      <ns0:c r="G15" s="91"/>
      <ns0:c r="H15" s="91"/>
      <ns0:c r="I15" s="91"/>
      <ns0:c r="J15" s="91"/>
      <ns0:c r="K15" s="91"/>
    </ns0:row>
    <ns0:row r="16" ht="24" customHeight="1">
      <ns0:c r="A16" s="60"/>
      <ns0:c r="B16" s="91"/>
      <ns0:c r="C16" s="91"/>
      <ns0:c r="D16" s="91"/>
      <ns0:c r="E16" s="91"/>
      <ns0:c r="F16" s="91"/>
      <ns0:c r="G16" s="91"/>
      <ns0:c r="H16" s="91"/>
      <ns0:c r="I16" s="91"/>
      <ns0:c r="J16" s="91"/>
      <ns0:c r="K16" s="91"/>
    </ns0:row>
    <ns0:row r="17" ht="24" customHeight="1">
      <ns0:c r="A17" s="60"/>
      <ns0:c r="B17" s="91"/>
      <ns0:c r="C17" s="91"/>
      <ns0:c r="D17" s="91"/>
      <ns0:c r="E17" s="91"/>
      <ns0:c r="F17" s="91"/>
      <ns0:c r="G17" s="91"/>
      <ns0:c r="H17" s="91"/>
      <ns0:c r="I17" s="91"/>
      <ns0:c r="J17" s="91"/>
      <ns0:c r="K17" s="91"/>
    </ns0:row>
    <ns0:row r="18" ht="24" customHeight="1">
      <ns0:c r="A18" s="60"/>
      <ns0:c r="B18" s="91"/>
      <ns0:c r="C18" s="91"/>
      <ns0:c r="D18" s="91"/>
      <ns0:c r="E18" s="91"/>
      <ns0:c r="F18" s="91"/>
      <ns0:c r="G18" s="91"/>
      <ns0:c r="H18" s="91"/>
      <ns0:c r="I18" s="91"/>
      <ns0:c r="J18" s="91"/>
      <ns0:c r="K18" s="91"/>
    </ns0:row>
    <ns0:row r="19" ht="24" customHeight="1">
      <ns0:c r="A19" s="60"/>
      <ns0:c r="B19" s="91"/>
      <ns0:c r="C19" s="91"/>
      <ns0:c r="D19" s="91"/>
      <ns0:c r="E19" s="91"/>
      <ns0:c r="F19" s="91"/>
      <ns0:c r="G19" s="91"/>
      <ns0:c r="H19" s="91"/>
      <ns0:c r="I19" s="91"/>
      <ns0:c r="J19" s="91"/>
      <ns0:c r="K19" s="91"/>
    </ns0:row>
    <ns0:row r="20" ht="24" customHeight="1">
      <ns0:c r="A20" s="60"/>
      <ns0:c r="B20" s="91"/>
      <ns0:c r="C20" s="91"/>
      <ns0:c r="D20" s="91"/>
      <ns0:c r="E20" s="91"/>
      <ns0:c r="F20" s="91"/>
      <ns0:c r="G20" s="91"/>
      <ns0:c r="H20" s="91"/>
      <ns0:c r="I20" s="91"/>
      <ns0:c r="J20" s="91"/>
      <ns0:c r="K20" s="91"/>
    </ns0:row>
    <ns0:row r="21" ht="24" customHeight="1">
      <ns0:c r="A21" s="60"/>
      <ns0:c r="B21" s="91"/>
      <ns0:c r="C21" s="91"/>
      <ns0:c r="D21" s="91"/>
      <ns0:c r="E21" s="91"/>
      <ns0:c r="F21" s="91"/>
      <ns0:c r="G21" s="91"/>
      <ns0:c r="H21" s="91"/>
      <ns0:c r="I21" s="91"/>
      <ns0:c r="J21" s="91"/>
      <ns0:c r="K21" s="91"/>
    </ns0:row>
    <ns0:row r="22" ht="24" customHeight="1">
      <ns0:c r="A22" s="60"/>
      <ns0:c r="B22" s="91"/>
      <ns0:c r="C22" s="91"/>
      <ns0:c r="D22" s="91"/>
      <ns0:c r="E22" s="91"/>
      <ns0:c r="F22" s="91"/>
      <ns0:c r="G22" s="91"/>
      <ns0:c r="H22" s="91"/>
      <ns0:c r="I22" s="91"/>
      <ns0:c r="J22" s="91"/>
      <ns0:c r="K22" s="91"/>
    </ns0:row>
    <ns0:row r="23" ht="24" customHeight="1">
      <ns0:c r="A23" s="60"/>
      <ns0:c r="B23" s="91"/>
      <ns0:c r="C23" s="91"/>
      <ns0:c r="D23" s="91"/>
      <ns0:c r="E23" s="91"/>
      <ns0:c r="F23" s="91"/>
      <ns0:c r="G23" s="91"/>
      <ns0:c r="H23" s="91"/>
      <ns0:c r="I23" s="91"/>
      <ns0:c r="J23" s="91"/>
      <ns0:c r="K23" s="91"/>
    </ns0:row>
    <ns0:row r="24" ht="24" customHeight="1">
      <ns0:c r="A24" s="60"/>
      <ns0:c r="B24" s="91"/>
      <ns0:c r="C24" s="91"/>
      <ns0:c r="D24" s="91"/>
      <ns0:c r="E24" s="91"/>
      <ns0:c r="F24" s="91"/>
      <ns0:c r="G24" s="91"/>
      <ns0:c r="H24" s="91"/>
      <ns0:c r="I24" s="91"/>
      <ns0:c r="J24" s="91"/>
      <ns0:c r="K24" s="91"/>
    </ns0:row>
    <ns0:row r="25" ht="24" customHeight="1">
      <ns0:c r="A25" s="60"/>
      <ns0:c r="B25" s="91"/>
      <ns0:c r="C25" s="91"/>
      <ns0:c r="D25" s="91"/>
      <ns0:c r="E25" s="91"/>
      <ns0:c r="F25" s="91"/>
      <ns0:c r="G25" s="91"/>
      <ns0:c r="H25" s="91"/>
      <ns0:c r="I25" s="91"/>
      <ns0:c r="J25" s="91"/>
      <ns0:c r="K25" s="91"/>
    </ns0:row>
    <ns0:row r="26" ht="24" customHeight="1">
      <ns0:c r="A26" s="60"/>
      <ns0:c r="B26" s="91"/>
      <ns0:c r="C26" s="91"/>
      <ns0:c r="D26" s="91"/>
      <ns0:c r="E26" s="91"/>
      <ns0:c r="F26" s="91"/>
      <ns0:c r="G26" s="91"/>
      <ns0:c r="H26" s="91"/>
      <ns0:c r="I26" s="91"/>
      <ns0:c r="J26" s="91"/>
      <ns0:c r="K26" s="91"/>
    </ns0:row>
    <ns0:row r="27" ht="24" customHeight="1">
      <ns0:c r="A27" s="60"/>
      <ns0:c r="B27" s="91"/>
      <ns0:c r="C27" s="91"/>
      <ns0:c r="D27" s="91"/>
      <ns0:c r="E27" s="91"/>
      <ns0:c r="F27" s="91"/>
      <ns0:c r="G27" s="91"/>
      <ns0:c r="H27" s="91"/>
      <ns0:c r="I27" s="91"/>
      <ns0:c r="J27" s="91"/>
      <ns0:c r="K27" s="91"/>
    </ns0:row>
    <ns0:row r="28" ht="24" customHeight="1">
      <ns0:c r="A28" s="60"/>
      <ns0:c r="B28" s="91"/>
      <ns0:c r="C28" s="91"/>
      <ns0:c r="D28" s="91"/>
      <ns0:c r="E28" s="91"/>
      <ns0:c r="F28" s="91"/>
      <ns0:c r="G28" s="91"/>
      <ns0:c r="H28" s="91"/>
      <ns0:c r="I28" s="91"/>
      <ns0:c r="J28" s="91"/>
      <ns0:c r="K28" s="91"/>
    </ns0:row>
    <ns0:row r="29" ht="24" customHeight="1">
      <ns0:c r="A29" s="60"/>
      <ns0:c r="B29" s="91"/>
      <ns0:c r="C29" s="91"/>
      <ns0:c r="D29" s="91"/>
      <ns0:c r="E29" s="91"/>
      <ns0:c r="F29" s="91"/>
      <ns0:c r="G29" s="91"/>
      <ns0:c r="H29" s="91"/>
      <ns0:c r="I29" s="91"/>
      <ns0:c r="J29" s="91"/>
      <ns0:c r="K29" s="91"/>
    </ns0:row>
    <ns0:row r="30" ht="24" customHeight="1">
      <ns0:c r="A30" s="60"/>
      <ns0:c r="B30" s="91"/>
      <ns0:c r="C30" s="91"/>
      <ns0:c r="D30" s="91"/>
      <ns0:c r="E30" s="91"/>
      <ns0:c r="F30" s="91"/>
      <ns0:c r="G30" s="91"/>
      <ns0:c r="H30" s="91"/>
      <ns0:c r="I30" s="91"/>
      <ns0:c r="J30" s="91"/>
      <ns0:c r="K30" s="91"/>
    </ns0:row>
    <ns0:row r="31" ht="24" customHeight="1">
      <ns0:c r="A31" s="60"/>
      <ns0:c r="B31" s="91"/>
      <ns0:c r="C31" s="91"/>
      <ns0:c r="D31" s="91"/>
      <ns0:c r="E31" s="91"/>
      <ns0:c r="F31" s="91"/>
      <ns0:c r="G31" s="91"/>
      <ns0:c r="H31" s="91"/>
      <ns0:c r="I31" s="91"/>
      <ns0:c r="J31" s="91"/>
      <ns0:c r="K31" s="91"/>
    </ns0:row>
    <ns0:row r="32" ht="24" customHeight="1">
      <ns0:c r="A32" s="60"/>
      <ns0:c r="B32" s="91"/>
      <ns0:c r="C32" s="91"/>
      <ns0:c r="D32" s="91"/>
      <ns0:c r="E32" s="91"/>
      <ns0:c r="F32" s="91"/>
      <ns0:c r="G32" s="91"/>
      <ns0:c r="H32" s="91"/>
      <ns0:c r="I32" s="91"/>
      <ns0:c r="J32" s="91"/>
      <ns0:c r="K32" s="91"/>
    </ns0:row>
  </ns0:sheetData>
  <ns0:sheetProtection sheet="1" objects="1" scenarios="1" autoFilter="0" sort="0" selectLockedCells="0" selectUnlockedCells="0"/>
  <ns0:dataValidations count="2">
    <ns0:dataValidation type="list" sqref="E7:E10">
      <ns0:formula1>"unchanged,changed,unclear,unavailable"</ns0:formula1>
    </ns0:dataValidation>
    <ns0:dataValidation type="list" sqref="H7:H10">
      <ns0:formula1>"candidate,approved,withdrawn"</ns0:formula1>
    </ns0:dataValidation>
  </ns0:dataValidations>
  <ns0:pageMargins left="0.7" right="0.7" top="0.75" bottom="0.75" header="0.3" footer="0.3"/>
  <ns0:tableParts count="1">
    <ns0:tablePart ns1:id="R8780e029f2f441fb"/>
  </ns0:tableParts>
</ns0:worksheet>
</file>