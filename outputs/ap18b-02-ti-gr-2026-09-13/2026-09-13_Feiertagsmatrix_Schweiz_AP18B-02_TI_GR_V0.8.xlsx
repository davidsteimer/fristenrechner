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0be2010d1469e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Übersicht" sheetId="1" ns1:id="Ra790fcff39084b1a"/>
    <sheet name="Feiertagskalender" sheetId="2" ns1:id="R67c4e2dd8aaf4bae"/>
    <sheet name="Gemeinwesen" sheetId="3" ns1:id="Rbee30fbd630a402e"/>
    <sheet name="Feiertagsregeln" sheetId="4" ns1:id="R26d2b98c0ed74e26"/>
    <sheet name="Geltungsbereiche" sheetId="5" ns1:id="R8efd4dd5ceea4a05"/>
    <sheet name="Gebietszuordnungen" sheetId="9" ns1:id="ap18AreaSheet"/>
    <sheet name="Rechtsquellen" sheetId="6" ns1:id="R8f0c9cc1f5a94d61"/>
    <sheet name="Verfahrensbezug" sheetId="7" ns1:id="R44d077d3e5e948b8"/>
    <sheet name="Quellenprüfung" sheetId="8" ns1:id="R1a0f16ab2cf24af3"/>
  </sheet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2">
    <numFmt numFmtId="200" formatCode="0"/>
    <numFmt numFmtId="201" formatCode="dd&quot;.&quot;mm&quot;.&quot;yyyy"/>
  </numFmts>
  <fonts count="16">
    <font>
      <sz val="11"/>
      <name val="Carlito"/>
    </font>
    <font>
      <sz val="10"/>
      <color rgb="FF172126"/>
      <name val="Arial"/>
    </font>
    <font>
      <b/>
      <sz val="16"/>
      <color rgb="FF122C40"/>
      <name val="Arial"/>
    </font>
    <font>
      <b/>
      <sz val="10"/>
      <color rgb="FF122C40"/>
      <name val="Arial"/>
    </font>
    <font>
      <b/>
      <sz val="10"/>
      <color rgb="FFA6532D"/>
      <name val="Arial"/>
    </font>
    <font>
      <b/>
      <sz val="10"/>
      <color rgb="FFFFFFFF"/>
      <name val="Arial"/>
    </font>
    <font>
      <i/>
      <sz val="10"/>
      <color rgb="FF566168"/>
      <name val="Arial"/>
    </font>
    <font>
      <sz val="10"/>
      <color rgb="FF2F6F73"/>
      <name val="Arial"/>
    </font>
    <font>
      <sz val="11"/>
      <name val="Carlito"/>
    </font>
    <font>
      <sz val="10"/>
      <color rgb="FF172126"/>
      <name val="Arial"/>
    </font>
    <font>
      <b/>
      <sz val="16"/>
      <color rgb="FF122C40"/>
      <name val="Arial"/>
    </font>
    <font>
      <b/>
      <sz val="10"/>
      <color rgb="FF122C40"/>
      <name val="Arial"/>
    </font>
    <font>
      <b/>
      <sz val="10"/>
      <color rgb="FFA6532D"/>
      <name val="Arial"/>
    </font>
    <font>
      <b/>
      <sz val="10"/>
      <color rgb="FFFFFFFF"/>
      <name val="Arial"/>
    </font>
    <font>
      <i/>
      <sz val="10"/>
      <color rgb="FF566168"/>
      <name val="Arial"/>
    </font>
    <font>
      <sz val="10"/>
      <color rgb="FF2F6F73"/>
      <name val="Arial"/>
    </font>
  </fonts>
  <fills count="21">
    <fill>
      <patternFill patternType="none"/>
    </fill>
    <fill>
      <patternFill patternType="gray125"/>
    </fill>
    <fill>
      <patternFill patternType="solid">
        <fgColor rgb="FFFFF1CB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solid">
        <fgColor rgb="FFFFF1CB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</fills>
  <borders count="4">
    <border/>
    <border>
      <bottom style="thin">
        <color rgb="FFA6532D"/>
      </bottom>
    </border>
    <border/>
    <border>
      <bottom style="thin">
        <color rgb="FFA6532D"/>
      </bottom>
    </border>
  </borders>
  <cellStyleXfs count="2">
    <xf numFmtId="0" fontId="0" fillId="0" borderId="0"/>
    <xf numFmtId="0" fontId="8" fillId="9" borderId="2"/>
  </cellStyleXfs>
  <cellXfs count="20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vertical="center" wrapText="1"/>
    </xf>
    <xf numFmtId="200" fontId="1" fillId="5" borderId="0" xfId="0" applyNumberFormat="1" applyFont="1" applyFill="1" applyBorder="1" applyAlignment="1">
      <alignment vertical="center" wrapText="1"/>
    </xf>
    <xf numFmtId="201" fontId="1" fillId="4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/>
    <xf numFmtId="0" fontId="5" fillId="3" borderId="0" xfId="0" applyNumberFormat="1" applyFont="1" applyFill="1" applyBorder="1"/>
    <xf numFmtId="201" fontId="1" fillId="0" borderId="0" xfId="0" applyNumberFormat="1" applyFont="1" applyFill="1" applyBorder="1"/>
    <xf numFmtId="0" fontId="7" fillId="4" borderId="0" xfId="0" applyNumberFormat="1" applyFont="1" applyFill="1" applyBorder="1" applyAlignment="1">
      <alignment vertical="center" wrapText="1"/>
    </xf>
    <xf numFmtId="0" fontId="7" fillId="5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horizontal="center" vertical="center" wrapText="1"/>
    </xf>
    <xf numFmtId="201" fontId="1" fillId="4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/>
    <xf numFmtId="200" fontId="1" fillId="4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/>
    <xf numFmtId="200" fontId="1" fillId="5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vertical="center" wrapText="1"/>
    </xf>
    <xf numFmtId="201" fontId="1" fillId="4" borderId="0" xfId="0" applyNumberFormat="1" applyFont="1" applyFill="1" applyBorder="1" applyAlignment="1">
      <alignment vertical="center" wrapText="1"/>
    </xf>
    <xf numFmtId="200" fontId="1" fillId="5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201" fontId="1" fillId="0" borderId="0" xfId="0" applyNumberFormat="1" applyFont="1" applyFill="1" applyBorder="1"/>
    <xf numFmtId="0" fontId="7" fillId="4" borderId="0" xfId="0" applyNumberFormat="1" applyFont="1" applyFill="1" applyBorder="1" applyAlignment="1">
      <alignment vertical="center" wrapText="1"/>
    </xf>
    <xf numFmtId="0" fontId="7" fillId="5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  <xf numFmtId="0" fontId="1" fillId="6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1" fillId="7" borderId="0" xfId="0" applyNumberFormat="1" applyFont="1" applyFill="1" applyBorder="1" applyAlignment="1">
      <alignment horizontal="left" vertical="center" wrapText="1"/>
    </xf>
    <xf numFmtId="0" fontId="1" fillId="8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center"/>
      <protection locked="1" hidden="0"/>
    </xf>
    <xf numFmtId="0" fontId="2" fillId="0" borderId="0" xfId="0" applyNumberFormat="1" applyFont="1" applyFill="1" applyBorder="1" applyAlignment="1" applyProtection="1">
      <alignment vertical="center"/>
      <protection locked="1" hidden="0"/>
    </xf>
    <xf numFmtId="0" fontId="1" fillId="0" borderId="1" xfId="0" applyNumberFormat="1" applyFont="1" applyFill="1" applyBorder="1" applyAlignment="1" applyProtection="1">
      <alignment vertical="center"/>
      <protection locked="1" hidden="0"/>
    </xf>
    <xf numFmtId="0" fontId="3" fillId="2" borderId="0" xfId="0" applyNumberFormat="1" applyFont="1" applyFill="1" applyBorder="1" applyAlignment="1" applyProtection="1">
      <alignment horizontal="center" vertical="center"/>
      <protection locked="0" hidden="0"/>
    </xf>
    <xf numFmtId="0" fontId="4" fillId="0" borderId="0" xfId="0" applyNumberFormat="1" applyFont="1" applyFill="1" applyBorder="1" applyAlignment="1" applyProtection="1">
      <alignment vertical="center"/>
      <protection locked="1" hidden="0"/>
    </xf>
    <xf numFmtId="0" fontId="5" fillId="3" borderId="0" xfId="0" applyNumberFormat="1" applyFont="1" applyFill="1" applyBorder="1" applyAlignment="1" applyProtection="1">
      <alignment vertical="center"/>
      <protection locked="1" hidden="0"/>
    </xf>
    <xf numFmtId="200" fontId="1" fillId="0" borderId="0" xfId="0" applyNumberFormat="1" applyFont="1" applyFill="1" applyBorder="1" applyAlignment="1" applyProtection="1">
      <alignment vertical="center"/>
      <protection locked="1" hidden="0"/>
    </xf>
    <xf numFmtId="0" fontId="6" fillId="0" borderId="0" xfId="0" applyNumberFormat="1" applyFont="1" applyFill="1" applyBorder="1" applyAlignment="1" applyProtection="1">
      <alignment vertical="center"/>
      <protection locked="1" hidden="0"/>
    </xf>
    <xf numFmtId="0" fontId="5" fillId="3" borderId="0" xfId="0" applyNumberFormat="1" applyFont="1" applyFill="1" applyBorder="1" applyAlignment="1" applyProtection="1">
      <alignment horizontal="center" vertical="center" wrapText="1"/>
      <protection locked="1" hidden="0"/>
    </xf>
    <xf numFmtId="0" fontId="5" fillId="6" borderId="0" xfId="0" applyNumberFormat="1" applyFont="1" applyFill="1" applyBorder="1" applyAlignment="1" applyProtection="1">
      <alignment horizontal="center" vertical="center" wrapText="1"/>
      <protection locked="1" hidden="0"/>
    </xf>
    <xf numFmtId="201" fontId="1" fillId="4" borderId="0" xfId="0" applyNumberFormat="1" applyFont="1" applyFill="1" applyBorder="1" applyAlignment="1" applyProtection="1">
      <alignment vertical="center" wrapText="1"/>
      <protection locked="1" hidden="0"/>
    </xf>
    <xf numFmtId="0" fontId="1" fillId="4" borderId="0" xfId="0" applyNumberFormat="1" applyFont="1" applyFill="1" applyBorder="1" applyAlignment="1" applyProtection="1">
      <alignment vertical="center" wrapText="1"/>
      <protection locked="1" hidden="0"/>
    </xf>
    <xf numFmtId="0" fontId="1" fillId="7" borderId="0" xfId="0" applyNumberFormat="1" applyFont="1" applyFill="1" applyBorder="1" applyAlignment="1" applyProtection="1">
      <alignment horizontal="left" vertical="center" wrapText="1"/>
      <protection locked="1" hidden="0"/>
    </xf>
    <xf numFmtId="201" fontId="1" fillId="5" borderId="0" xfId="0" applyNumberFormat="1" applyFont="1" applyFill="1" applyBorder="1" applyAlignment="1" applyProtection="1">
      <alignment vertical="center" wrapText="1"/>
      <protection locked="1" hidden="0"/>
    </xf>
    <xf numFmtId="0" fontId="1" fillId="5" borderId="0" xfId="0" applyNumberFormat="1" applyFont="1" applyFill="1" applyBorder="1" applyAlignment="1" applyProtection="1">
      <alignment vertical="center" wrapText="1"/>
      <protection locked="1" hidden="0"/>
    </xf>
    <xf numFmtId="0" fontId="1" fillId="8" borderId="0" xfId="0" applyNumberFormat="1" applyFont="1" applyFill="1" applyBorder="1" applyAlignment="1" applyProtection="1">
      <alignment horizontal="left" vertical="center" wrapText="1"/>
      <protection locked="1" hidden="0"/>
    </xf>
    <xf numFmtId="0" fontId="1" fillId="4" borderId="0" xfId="0" applyNumberFormat="1" applyFont="1" applyFill="1" applyBorder="1" applyAlignment="1" applyProtection="1">
      <alignment vertical="center" wrapText="1"/>
      <protection locked="0" hidden="0"/>
    </xf>
    <xf numFmtId="0" fontId="1" fillId="7" borderId="0" xfId="0" applyNumberFormat="1" applyFont="1" applyFill="1" applyBorder="1" applyAlignment="1" applyProtection="1">
      <alignment horizontal="left" vertical="center" wrapText="1"/>
      <protection locked="0" hidden="0"/>
    </xf>
    <xf numFmtId="0" fontId="1" fillId="5" borderId="0" xfId="0" applyNumberFormat="1" applyFont="1" applyFill="1" applyBorder="1" applyAlignment="1" applyProtection="1">
      <alignment vertical="center" wrapText="1"/>
      <protection locked="0" hidden="0"/>
    </xf>
    <xf numFmtId="0" fontId="1" fillId="8" borderId="0" xfId="0" applyNumberFormat="1" applyFont="1" applyFill="1" applyBorder="1" applyAlignment="1" applyProtection="1">
      <alignment horizontal="left" vertical="center" wrapText="1"/>
      <protection locked="0" hidden="0"/>
    </xf>
    <xf numFmtId="0" fontId="5" fillId="3" borderId="0" xfId="0" applyNumberFormat="1" applyFont="1" applyFill="1" applyBorder="1" applyProtection="1">
      <protection locked="1" hidden="0"/>
    </xf>
    <xf numFmtId="200" fontId="1" fillId="4" borderId="0" xfId="0" applyNumberFormat="1" applyFont="1" applyFill="1" applyBorder="1" applyAlignment="1" applyProtection="1">
      <alignment vertical="center" wrapText="1"/>
      <protection locked="1" hidden="0"/>
    </xf>
    <xf numFmtId="0" fontId="1" fillId="0" borderId="0" xfId="0" applyNumberFormat="1" applyFont="1" applyFill="1" applyBorder="1" applyProtection="1">
      <protection locked="1" hidden="0"/>
    </xf>
    <xf numFmtId="200" fontId="1" fillId="5" borderId="0" xfId="0" applyNumberFormat="1" applyFont="1" applyFill="1" applyBorder="1" applyAlignment="1" applyProtection="1">
      <alignment vertical="center" wrapText="1"/>
      <protection locked="1" hidden="0"/>
    </xf>
    <xf numFmtId="200" fontId="1" fillId="4" borderId="0" xfId="0" applyNumberFormat="1" applyFont="1" applyFill="1" applyBorder="1" applyAlignment="1" applyProtection="1">
      <alignment vertical="center" wrapText="1"/>
      <protection locked="0" hidden="0"/>
    </xf>
    <xf numFmtId="201" fontId="1" fillId="4" borderId="0" xfId="0" applyNumberFormat="1" applyFont="1" applyFill="1" applyBorder="1" applyAlignment="1" applyProtection="1">
      <alignment vertical="center" wrapText="1"/>
      <protection locked="0" hidden="0"/>
    </xf>
    <xf numFmtId="200" fontId="1" fillId="5" borderId="0" xfId="0" applyNumberFormat="1" applyFont="1" applyFill="1" applyBorder="1" applyAlignment="1" applyProtection="1">
      <alignment vertical="center" wrapText="1"/>
      <protection locked="0" hidden="0"/>
    </xf>
    <xf numFmtId="201" fontId="1" fillId="5" borderId="0" xfId="0" applyNumberFormat="1" applyFont="1" applyFill="1" applyBorder="1" applyAlignment="1" applyProtection="1">
      <alignment vertical="center" wrapText="1"/>
      <protection locked="0" hidden="0"/>
    </xf>
    <xf numFmtId="201" fontId="1" fillId="0" borderId="0" xfId="0" applyNumberFormat="1" applyFont="1" applyFill="1" applyBorder="1" applyProtection="1">
      <protection locked="1" hidden="0"/>
    </xf>
    <xf numFmtId="0" fontId="7" fillId="4" borderId="0" xfId="0" applyNumberFormat="1" applyFont="1" applyFill="1" applyBorder="1" applyAlignment="1" applyProtection="1">
      <alignment vertical="center" wrapText="1"/>
      <protection locked="1" hidden="0"/>
    </xf>
    <xf numFmtId="0" fontId="7" fillId="5" borderId="0" xfId="0" applyNumberFormat="1" applyFont="1" applyFill="1" applyBorder="1" applyAlignment="1" applyProtection="1">
      <alignment vertical="center" wrapText="1"/>
      <protection locked="1" hidden="0"/>
    </xf>
    <xf numFmtId="0" fontId="1" fillId="0" borderId="0" xfId="0" applyNumberFormat="1" applyFont="1" applyFill="1" applyBorder="1" applyAlignment="1" applyProtection="1">
      <alignment vertical="center"/>
      <protection locked="0" hidden="0"/>
    </xf>
    <xf numFmtId="0" fontId="8" fillId="9" borderId="2" xfId="1"/>
    <xf numFmtId="0" fontId="9" fillId="9" borderId="2" xfId="1" applyNumberFormat="1" applyFont="1" applyFill="1" applyBorder="1"/>
    <xf numFmtId="0" fontId="9" fillId="9" borderId="2" xfId="1" applyNumberFormat="1" applyFont="1" applyFill="1" applyBorder="1" applyAlignment="1">
      <alignment vertical="center"/>
    </xf>
    <xf numFmtId="0" fontId="10" fillId="9" borderId="2" xfId="1" applyNumberFormat="1" applyFont="1" applyFill="1" applyBorder="1" applyAlignment="1">
      <alignment vertical="center"/>
    </xf>
    <xf numFmtId="0" fontId="9" fillId="9" borderId="3" xfId="1" applyNumberFormat="1" applyFont="1" applyFill="1" applyBorder="1" applyAlignment="1">
      <alignment vertical="center"/>
    </xf>
    <xf numFmtId="0" fontId="9" fillId="11" borderId="2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horizontal="center" vertical="center"/>
    </xf>
    <xf numFmtId="0" fontId="12" fillId="9" borderId="2" xfId="1" applyNumberFormat="1" applyFont="1" applyFill="1" applyBorder="1" applyAlignment="1">
      <alignment vertical="center"/>
    </xf>
    <xf numFmtId="0" fontId="9" fillId="12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/>
    </xf>
    <xf numFmtId="200" fontId="9" fillId="9" borderId="2" xfId="1" applyNumberFormat="1" applyFont="1" applyFill="1" applyBorder="1" applyAlignment="1">
      <alignment vertical="center"/>
    </xf>
    <xf numFmtId="0" fontId="14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 wrapText="1"/>
    </xf>
    <xf numFmtId="0" fontId="13" fillId="12" borderId="2" xfId="1" applyNumberFormat="1" applyFont="1" applyFill="1" applyBorder="1" applyAlignment="1">
      <alignment horizontal="center" vertical="center" wrapText="1"/>
    </xf>
    <xf numFmtId="0" fontId="9" fillId="9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200" fontId="9" fillId="13" borderId="2" xfId="1" applyNumberFormat="1" applyFont="1" applyFill="1" applyBorder="1" applyAlignment="1">
      <alignment vertical="center" wrapText="1"/>
    </xf>
    <xf numFmtId="200" fontId="9" fillId="14" borderId="2" xfId="1" applyNumberFormat="1" applyFont="1" applyFill="1" applyBorder="1" applyAlignment="1">
      <alignment vertical="center" wrapText="1"/>
    </xf>
    <xf numFmtId="201" fontId="9" fillId="13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0" fontId="9" fillId="12" borderId="2" xfId="1" applyNumberFormat="1" applyFont="1" applyFill="1" applyBorder="1"/>
    <xf numFmtId="0" fontId="13" fillId="12" borderId="2" xfId="1" applyNumberFormat="1" applyFont="1" applyFill="1" applyBorder="1"/>
    <xf numFmtId="201" fontId="9" fillId="9" borderId="2" xfId="1" applyNumberFormat="1" applyFont="1" applyFill="1" applyBorder="1"/>
    <xf numFmtId="0" fontId="15" fillId="13" borderId="2" xfId="1" applyNumberFormat="1" applyFont="1" applyFill="1" applyBorder="1" applyAlignment="1">
      <alignment vertical="center" wrapText="1"/>
    </xf>
    <xf numFmtId="0" fontId="15" fillId="14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>
      <alignment vertical="center"/>
    </xf>
    <xf numFmtId="0" fontId="10" fillId="9" borderId="2" xfId="1" applyNumberFormat="1" applyFont="1" applyFill="1" applyBorder="1" applyAlignment="1">
      <alignment vertical="center"/>
    </xf>
    <xf numFmtId="0" fontId="9" fillId="9" borderId="3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horizontal="center" vertical="center"/>
    </xf>
    <xf numFmtId="0" fontId="12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/>
    </xf>
    <xf numFmtId="200" fontId="9" fillId="9" borderId="2" xfId="1" applyNumberFormat="1" applyFont="1" applyFill="1" applyBorder="1" applyAlignment="1">
      <alignment vertical="center"/>
    </xf>
    <xf numFmtId="0" fontId="14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horizontal="center" vertical="center" wrapText="1"/>
    </xf>
    <xf numFmtId="201" fontId="9" fillId="13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13" fillId="12" borderId="2" xfId="1" applyNumberFormat="1" applyFont="1" applyFill="1" applyBorder="1"/>
    <xf numFmtId="200" fontId="9" fillId="13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/>
    <xf numFmtId="200" fontId="9" fillId="14" borderId="2" xfId="1" applyNumberFormat="1" applyFont="1" applyFill="1" applyBorder="1" applyAlignment="1">
      <alignment vertical="center" wrapText="1"/>
    </xf>
    <xf numFmtId="200" fontId="9" fillId="13" borderId="2" xfId="1" applyNumberFormat="1" applyFont="1" applyFill="1" applyBorder="1" applyAlignment="1">
      <alignment vertical="center" wrapText="1"/>
    </xf>
    <xf numFmtId="201" fontId="9" fillId="13" borderId="2" xfId="1" applyNumberFormat="1" applyFont="1" applyFill="1" applyBorder="1" applyAlignment="1">
      <alignment vertical="center" wrapText="1"/>
    </xf>
    <xf numFmtId="200" fontId="9" fillId="14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201" fontId="9" fillId="9" borderId="2" xfId="1" applyNumberFormat="1" applyFont="1" applyFill="1" applyBorder="1"/>
    <xf numFmtId="0" fontId="15" fillId="13" borderId="2" xfId="1" applyNumberFormat="1" applyFont="1" applyFill="1" applyBorder="1" applyAlignment="1">
      <alignment vertical="center" wrapText="1"/>
    </xf>
    <xf numFmtId="0" fontId="15" fillId="14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>
      <alignment vertical="center"/>
    </xf>
    <xf numFmtId="0" fontId="9" fillId="15" borderId="2" xfId="1" applyNumberFormat="1" applyFont="1" applyFill="1" applyBorder="1" applyAlignment="1">
      <alignment vertical="center" wrapText="1"/>
    </xf>
    <xf numFmtId="0" fontId="13" fillId="15" borderId="2" xfId="1" applyNumberFormat="1" applyFont="1" applyFill="1" applyBorder="1" applyAlignment="1">
      <alignment vertical="center" wrapText="1"/>
    </xf>
    <xf numFmtId="0" fontId="13" fillId="15" borderId="2" xfId="1" applyNumberFormat="1" applyFont="1" applyFill="1" applyBorder="1" applyAlignment="1">
      <alignment horizontal="center" vertical="center" wrapText="1"/>
    </xf>
    <xf numFmtId="0" fontId="9" fillId="9" borderId="2" xfId="1" applyNumberFormat="1" applyFont="1" applyFill="1" applyBorder="1" applyAlignment="1">
      <alignment horizontal="left" vertical="center" wrapText="1"/>
    </xf>
    <xf numFmtId="0" fontId="9" fillId="16" borderId="2" xfId="1" applyNumberFormat="1" applyFont="1" applyFill="1" applyBorder="1" applyAlignment="1">
      <alignment horizontal="left" vertical="center" wrapText="1"/>
    </xf>
    <xf numFmtId="0" fontId="9" fillId="17" borderId="2" xfId="1" applyNumberFormat="1" applyFont="1" applyFill="1" applyBorder="1" applyAlignment="1">
      <alignment horizontal="left" vertical="center" wrapText="1"/>
    </xf>
    <xf numFmtId="0" fontId="9" fillId="9" borderId="2" xfId="1" applyNumberFormat="1" applyFont="1" applyFill="1" applyBorder="1" applyAlignment="1">
      <alignment vertical="center"/>
    </xf>
    <xf numFmtId="0" fontId="10" fillId="9" borderId="2" xfId="1" applyNumberFormat="1" applyFont="1" applyFill="1" applyBorder="1" applyAlignment="1">
      <alignment vertical="center"/>
    </xf>
    <xf numFmtId="0" fontId="9" fillId="9" borderId="3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horizontal="center" vertical="center"/>
    </xf>
    <xf numFmtId="0" fontId="12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/>
    </xf>
    <xf numFmtId="200" fontId="9" fillId="9" borderId="2" xfId="1" applyNumberFormat="1" applyFont="1" applyFill="1" applyBorder="1" applyAlignment="1">
      <alignment vertical="center"/>
    </xf>
    <xf numFmtId="0" fontId="14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horizontal="center" vertical="center" wrapText="1"/>
    </xf>
    <xf numFmtId="0" fontId="13" fillId="15" borderId="2" xfId="1" applyNumberFormat="1" applyFont="1" applyFill="1" applyBorder="1" applyAlignment="1">
      <alignment horizontal="center" vertical="center" wrapText="1"/>
    </xf>
    <xf numFmtId="201" fontId="9" fillId="13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6" borderId="2" xfId="1" applyNumberFormat="1" applyFont="1" applyFill="1" applyBorder="1" applyAlignment="1">
      <alignment horizontal="left" vertical="center" wrapText="1"/>
    </xf>
    <xf numFmtId="201" fontId="9" fillId="14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9" fillId="17" borderId="2" xfId="1" applyNumberFormat="1" applyFont="1" applyFill="1" applyBorder="1" applyAlignment="1">
      <alignment horizontal="left"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6" borderId="2" xfId="1" applyNumberFormat="1" applyFont="1" applyFill="1" applyBorder="1" applyAlignment="1">
      <alignment horizontal="left"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9" fillId="17" borderId="2" xfId="1" applyNumberFormat="1" applyFont="1" applyFill="1" applyBorder="1" applyAlignment="1">
      <alignment horizontal="left" vertical="center" wrapText="1"/>
    </xf>
    <xf numFmtId="0" fontId="13" fillId="12" borderId="2" xfId="1" applyNumberFormat="1" applyFont="1" applyFill="1" applyBorder="1"/>
    <xf numFmtId="200" fontId="9" fillId="13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/>
    <xf numFmtId="200" fontId="9" fillId="14" borderId="2" xfId="1" applyNumberFormat="1" applyFont="1" applyFill="1" applyBorder="1" applyAlignment="1">
      <alignment vertical="center" wrapText="1"/>
    </xf>
    <xf numFmtId="200" fontId="9" fillId="13" borderId="2" xfId="1" applyNumberFormat="1" applyFont="1" applyFill="1" applyBorder="1" applyAlignment="1">
      <alignment vertical="center" wrapText="1"/>
    </xf>
    <xf numFmtId="201" fontId="9" fillId="13" borderId="2" xfId="1" applyNumberFormat="1" applyFont="1" applyFill="1" applyBorder="1" applyAlignment="1">
      <alignment vertical="center" wrapText="1"/>
    </xf>
    <xf numFmtId="200" fontId="9" fillId="14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201" fontId="9" fillId="9" borderId="2" xfId="1" applyNumberFormat="1" applyFont="1" applyFill="1" applyBorder="1"/>
    <xf numFmtId="0" fontId="15" fillId="13" borderId="2" xfId="1" applyNumberFormat="1" applyFont="1" applyFill="1" applyBorder="1" applyAlignment="1">
      <alignment vertical="center" wrapText="1"/>
    </xf>
    <xf numFmtId="0" fontId="15" fillId="14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>
      <alignment vertical="center"/>
    </xf>
    <xf numFmtId="0" fontId="9" fillId="18" borderId="2" xfId="1" applyNumberFormat="1" applyFont="1" applyFill="1" applyBorder="1" applyAlignment="1">
      <alignment vertical="center"/>
    </xf>
    <xf numFmtId="0" fontId="13" fillId="18" borderId="2" xfId="1" applyNumberFormat="1" applyFont="1" applyFill="1" applyBorder="1" applyAlignment="1">
      <alignment vertical="center"/>
    </xf>
    <xf numFmtId="0" fontId="13" fillId="18" borderId="2" xfId="1" applyNumberFormat="1" applyFont="1" applyFill="1" applyBorder="1" applyAlignment="1">
      <alignment vertical="center" wrapText="1"/>
    </xf>
    <xf numFmtId="0" fontId="13" fillId="18" borderId="2" xfId="1" applyNumberFormat="1" applyFont="1" applyFill="1" applyBorder="1" applyAlignment="1">
      <alignment horizontal="center" vertical="center" wrapText="1"/>
    </xf>
    <xf numFmtId="0" fontId="9" fillId="19" borderId="2" xfId="1" applyNumberFormat="1" applyFont="1" applyFill="1" applyBorder="1" applyAlignment="1">
      <alignment vertical="center" wrapText="1"/>
    </xf>
    <xf numFmtId="0" fontId="9" fillId="20" borderId="2" xfId="1" applyNumberFormat="1" applyFont="1" applyFill="1" applyBorder="1" applyAlignment="1">
      <alignment vertical="center" wrapText="1"/>
    </xf>
    <xf numFmtId="201" fontId="9" fillId="19" borderId="2" xfId="1" applyNumberFormat="1" applyFont="1" applyFill="1" applyBorder="1" applyAlignment="1">
      <alignment vertical="center" wrapText="1"/>
    </xf>
    <xf numFmtId="201" fontId="9" fillId="20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 applyProtection="1">
      <alignment vertical="center"/>
      <protection locked="1" hidden="0"/>
    </xf>
    <xf numFmtId="0" fontId="10" fillId="9" borderId="2" xfId="1" applyNumberFormat="1" applyFont="1" applyFill="1" applyBorder="1" applyAlignment="1" applyProtection="1">
      <alignment vertical="center"/>
      <protection locked="1" hidden="0"/>
    </xf>
    <xf numFmtId="0" fontId="9" fillId="9" borderId="3" xfId="1" applyNumberFormat="1" applyFont="1" applyFill="1" applyBorder="1" applyAlignment="1" applyProtection="1">
      <alignment vertical="center"/>
      <protection locked="1" hidden="0"/>
    </xf>
    <xf numFmtId="0" fontId="14" fillId="9" borderId="2" xfId="1" applyNumberFormat="1" applyFont="1" applyFill="1" applyBorder="1" applyAlignment="1" applyProtection="1">
      <alignment vertical="center"/>
      <protection locked="1" hidden="0"/>
    </xf>
    <xf numFmtId="0" fontId="13" fillId="18" borderId="2" xfId="1" applyNumberFormat="1" applyFont="1" applyFill="1" applyBorder="1" applyAlignment="1" applyProtection="1">
      <alignment horizontal="center" vertical="center" wrapText="1"/>
      <protection locked="1" hidden="0"/>
    </xf>
    <xf numFmtId="0" fontId="9" fillId="19" borderId="2" xfId="1" applyNumberFormat="1" applyFont="1" applyFill="1" applyBorder="1" applyAlignment="1" applyProtection="1">
      <alignment vertical="center" wrapText="1"/>
      <protection locked="0" hidden="0"/>
    </xf>
    <xf numFmtId="201" fontId="9" fillId="19" borderId="2" xfId="1" applyNumberFormat="1" applyFont="1" applyFill="1" applyBorder="1" applyAlignment="1" applyProtection="1">
      <alignment vertical="center" wrapText="1"/>
      <protection locked="0" hidden="0"/>
    </xf>
    <xf numFmtId="0" fontId="9" fillId="20" borderId="2" xfId="1" applyNumberFormat="1" applyFont="1" applyFill="1" applyBorder="1" applyAlignment="1" applyProtection="1">
      <alignment vertical="center" wrapText="1"/>
      <protection locked="0" hidden="0"/>
    </xf>
    <xf numFmtId="201" fontId="9" fillId="20" borderId="2" xfId="1" applyNumberFormat="1" applyFont="1" applyFill="1" applyBorder="1" applyAlignment="1" applyProtection="1">
      <alignment vertical="center" wrapText="1"/>
      <protection locked="0" hidden="0"/>
    </xf>
  </cellXfs>
  <cellStyles count="1">
    <cellStyle name="Normal" xfId="0"/>
  </cellStyles>
  <dxfs count="43"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ont>
        <color rgb="FF785300"/>
      </font>
      <fill>
        <patternFill patternType="solid">
          <bgColor rgb="FFFFF1CB"/>
        </patternFill>
      </fill>
    </dxf>
    <dxf>
      <font>
        <color rgb="FF9B2920"/>
      </font>
      <fill>
        <patternFill patternType="solid">
          <bgColor rgb="FFFCE3DE"/>
        </patternFill>
      </fill>
    </dxf>
  </dxfs>
</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086d9ccdd3a1426a" /><Relationship Type="http://schemas.openxmlformats.org/officeDocument/2006/relationships/theme" Target="/xl/theme/theme1.xml" Id="R5ef9e18544294e2b" /><Relationship Type="http://schemas.openxmlformats.org/officeDocument/2006/relationships/sharedStrings" Target="/xl/sharedStrings.xml" Id="Radcb9d8dbdf34438" /><Relationship Type="http://schemas.openxmlformats.org/officeDocument/2006/relationships/worksheet" Target="/xl/worksheets/sheet1.xml" Id="Ra790fcff39084b1a" /><Relationship Type="http://schemas.openxmlformats.org/officeDocument/2006/relationships/worksheet" Target="/xl/worksheets/sheet2.xml" Id="R67c4e2dd8aaf4bae" /><Relationship Type="http://schemas.openxmlformats.org/officeDocument/2006/relationships/worksheet" Target="/xl/worksheets/sheet3.xml" Id="Rbee30fbd630a402e" /><Relationship Type="http://schemas.openxmlformats.org/officeDocument/2006/relationships/worksheet" Target="/xl/worksheets/sheet4.xml" Id="R26d2b98c0ed74e26" /><Relationship Type="http://schemas.openxmlformats.org/officeDocument/2006/relationships/worksheet" Target="/xl/worksheets/sheet5.xml" Id="R8efd4dd5ceea4a05" /><Relationship Type="http://schemas.openxmlformats.org/officeDocument/2006/relationships/worksheet" Target="/xl/worksheets/sheet6.xml" Id="R8f0c9cc1f5a94d61" /><Relationship Type="http://schemas.openxmlformats.org/officeDocument/2006/relationships/worksheet" Target="/xl/worksheets/sheet7.xml" Id="R44d077d3e5e948b8" /><Relationship Type="http://schemas.openxmlformats.org/officeDocument/2006/relationships/worksheet" Target="/xl/worksheets/sheet8.xml" Id="R1a0f16ab2cf24af3" /><Relationship Id="ap18AreaSheet" Type="http://schemas.openxmlformats.org/officeDocument/2006/relationships/worksheet" Target="worksheets/sheet9.xml" /></Relationships>
</file>

<file path=xl/tables/table1.xml><?xml version="1.0" encoding="utf-8"?>
<table xmlns="http://schemas.openxmlformats.org/spreadsheetml/2006/main" id="7" name="AP18_Feiertagskalender" displayName="AP18_Feiertagskalender" ref="A6:N131" headerRowCount="1" totalsRowCount="0" totalsRowShown="0">
  <autoFilter ref="A6:N131"/>
  <tableColumns count="14">
    <tableColumn id="1" name="Datum"/>
    <tableColumn id="2" name="Wochentag"/>
    <tableColumn id="3" name="Gemeinwesen"/>
    <tableColumn id="4" name="Geltungsbereich"/>
    <tableColumn id="5" name="Feiertag"/>
    <tableColumn id="6" name="Französisch"/>
    <tableColumn id="13" name="Italienisch"/>
    <tableColumn id="14" name="Rumantsch Grischun"/>
    <tableColumn id="7" name="Rechtskategorie"/>
    <tableColumn id="8" name="Fachstatus"/>
    <tableColumn id="9" name="Regel-ID"/>
    <tableColumn id="10" name="Quellen-ID"/>
    <tableColumn id="11" name="Fundstelle"/>
    <tableColumn id="12" name="Abdeckung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AP18_Gemeinwesen" displayName="AP18_Gemeinwesen" ref="A6:I33" headerRowCount="1" totalsRowCount="0" totalsRowShown="0">
  <autoFilter ref="A6:I33"/>
  <tableColumns count="9">
    <tableColumn id="1" name="Code"/>
    <tableColumn id="2" name="Deutsch"/>
    <tableColumn id="3" name="Französisch"/>
    <tableColumn id="8" name="Italienisch"/>
    <tableColumn id="9" name="Rumantsch Grischun"/>
    <tableColumn id="4" name="Übergeordnet"/>
    <tableColumn id="5" name="Erfassungsstand"/>
    <tableColumn id="6" name="Fachstatus"/>
    <tableColumn id="7" name="Amtliche Feiertagsquell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AP18_Feiertagsregeln" displayName="AP18_Feiertagsregeln" ref="A6:Z122" headerRowCount="1" totalsRowCount="0" totalsRowShown="0">
  <autoFilter ref="A6:Z122"/>
  <tableColumns count="26">
    <tableColumn id="1" name="Regel-ID"/>
    <tableColumn id="2" name="Gemeinwesen"/>
    <tableColumn id="3" name="Geltungs-ID"/>
    <tableColumn id="4" name="Deutsch"/>
    <tableColumn id="5" name="Französisch"/>
    <tableColumn id="25" name="Italienisch"/>
    <tableColumn id="26" name="Rumantsch Grischun"/>
    <tableColumn id="6" name="Rechtskategorie"/>
    <tableColumn id="7" name="Regeltyp"/>
    <tableColumn id="8" name="Monat"/>
    <tableColumn id="9" name="Tag"/>
    <tableColumn id="10" name="Osterversatz"/>
    <tableColumn id="11" name="ISO-Wochentag"/>
    <tableColumn id="12" name="Vorkommen"/>
    <tableColumn id="13" name="Gültig ab"/>
    <tableColumn id="14" name="Gültig bis"/>
    <tableColumn id="15" name="Priorität"/>
    <tableColumn id="16" name="Fachstatus"/>
    <tableColumn id="17" name="Freigabebasis"/>
    <tableColumn id="18" name="Wirkung"/>
    <tableColumn id="19" name="Zielregel"/>
    <tableColumn id="20" name="Exportklasse"/>
    <tableColumn id="21" name="Rohdatum"/>
    <tableColumn id="22" name="Datum im Geltungszeitraum"/>
    <tableColumn id="23" name="Quellen-ID"/>
    <tableColumn id="24" name="Fundstell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AP18_Geltungsbereiche" displayName="AP18_Geltungsbereiche" ref="A6:M19" headerRowCount="1" totalsRowCount="0" totalsRowShown="0">
  <autoFilter ref="A6:M19"/>
  <tableColumns count="13">
    <tableColumn id="1" name="Geltungs-ID"/>
    <tableColumn id="2" name="Gemeinwesen"/>
    <tableColumn id="3" name="Gebiet"/>
    <tableColumn id="13" name="Französisch"/>
    <tableColumn id="11" name="Italienisch"/>
    <tableColumn id="12" name="Rumantsch Grischun"/>
    <tableColumn id="4" name="Gebietstyp"/>
    <tableColumn id="5" name="Umfang / Grenze"/>
    <tableColumn id="6" name="Quellen-ID"/>
    <tableColumn id="7" name="Fundstelle"/>
    <tableColumn id="8" name="Fachstatus"/>
    <tableColumn id="9" name="Daten ab"/>
    <tableColumn id="10" name="Daten bi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AP18_Rechtsquellen" displayName="AP18_Rechtsquellen" ref="A6:K23" headerRowCount="1" totalsRowCount="0" totalsRowShown="0">
  <autoFilter ref="A6:K23"/>
  <tableColumns count="11">
    <tableColumn id="1" name="Quellen-ID"/>
    <tableColumn id="2" name="Gemeinwesen"/>
    <tableColumn id="3" name="Erlass / Quelle"/>
    <tableColumn id="4" name="Fundstelle"/>
    <tableColumn id="5" name="Amtlicher Link"/>
    <tableColumn id="6" name="Fassungsstand"/>
    <tableColumn id="7" name="Abgerufen"/>
    <tableColumn id="8" name="Prüfhinweis"/>
    <tableColumn id="9" name="Fachstatus"/>
    <tableColumn id="10" name="Frühere Freigabebasis"/>
    <tableColumn id="11" name="URL (Original)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5" name="AP18_Verfahrensbezug" displayName="AP18_Verfahrensbezug" ref="A6:H24" headerRowCount="1" totalsRowCount="0" totalsRowShown="0">
  <autoFilter ref="A6:H24"/>
  <tableColumns count="8">
    <tableColumn id="1" name="Zuordnungs-ID"/>
    <tableColumn id="2" name="Geltungs-ID"/>
    <tableColumn id="3" name="Rechtskategorie"/>
    <tableColumn id="4" name="Anwendungsbereich"/>
    <tableColumn id="5" name="Wirkung / Grenze"/>
    <tableColumn id="6" name="Norm / Referenz"/>
    <tableColumn id="7" name="Fachstatus"/>
    <tableColumn id="8" name="Freigabebasi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6" name="AP18_Quellenprufung" displayName="AP18_Quellenprufung" ref="A6:K24" headerRowCount="1" totalsRowCount="0" totalsRowShown="0">
  <autoFilter ref="A6:K24"/>
  <tableColumns count="11">
    <tableColumn id="1" name="Prüf-ID"/>
    <tableColumn id="2" name="Quellen-ID"/>
    <tableColumn id="3" name="Auslöser"/>
    <tableColumn id="4" name="Datum"/>
    <tableColumn id="5" name="Ergebnis"/>
    <tableColumn id="6" name="Vergleichsbasis"/>
    <tableColumn id="7" name="Befund"/>
    <tableColumn id="8" name="Ereignisstatus"/>
    <tableColumn id="9" name="Fachverantwortung"/>
    <tableColumn id="10" name="Arbeitsinstrument"/>
    <tableColumn id="11" name="Nächster Schritt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AP18_Gebietszuordnungen" displayName="AP18_Gebietszuordnungen" ref="A6:R37" headerRowCount="1" totalsRowCount="0" totalsRowShown="0">
  <autoFilter ref="A6:R37"/>
  <tableColumns count="18">
    <tableColumn id="1" name="Zuordnungs-ID"/>
    <tableColumn id="2" name="Geltungs-ID"/>
    <tableColumn id="3" name="Gebiet-ID"/>
    <tableColumn id="4" name="Deutsch"/>
    <tableColumn id="5" name="Französisch"/>
    <tableColumn id="6" name="Italienisch"/>
    <tableColumn id="7" name="Rumantsch Grischun"/>
    <tableColumn id="8" name="Gebietstyp"/>
    <tableColumn id="9" name="Übergeordnetes Gebiet"/>
    <tableColumn id="10" name="Einbezug"/>
    <tableColumn id="11" name="Kennungssystem"/>
    <tableColumn id="12" name="Amtliche Kennung"/>
    <tableColumn id="13" name="Gültig ab"/>
    <tableColumn id="14" name="Gültig bis"/>
    <tableColumn id="15" name="Quellen-ID"/>
    <tableColumn id="16" name="Fundstelle"/>
    <tableColumn id="17" name="Fachstatus"/>
    <tableColumn id="18" name="Prüfhinwei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d012bed9d140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792b8a397e42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ab3cd1dad14d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563abf19104c21" /></Relationships>
</file>

<file path=xl/worksheets/_rels/sheet6.xml.rels><?xml version='1.0' encoding='utf-8'?>
<Relationships xmlns="http://schemas.openxmlformats.org/package/2006/relationships"><Relationship Type="http://schemas.openxmlformats.org/officeDocument/2006/relationships/table" Target="/xl/tables/table5.xml" Id="Rd26ebe63f2594f1b" /><Relationship Id="ap18Hyperlink1" Type="http://schemas.openxmlformats.org/officeDocument/2006/relationships/hyperlink" Target="https://www.fedlex.admin.ch/eli/cc/1994/1340_1340_1340/de" TargetMode="External" /><Relationship Id="ap18Hyperlink2" Type="http://schemas.openxmlformats.org/officeDocument/2006/relationships/hyperlink" Target="https://www.belex.sites.be.ch/app/de/texts_of_law/555.1" TargetMode="External" /><Relationship Id="ap18Hyperlink3" Type="http://schemas.openxmlformats.org/officeDocument/2006/relationships/hyperlink" Target="https://gesetzessammlungen.ag.ch/app/de/texts_of_law/961.200" TargetMode="External" /><Relationship Id="ap18Hyperlink4" Type="http://schemas.openxmlformats.org/officeDocument/2006/relationships/hyperlink" Target="https://gesetzessammlungen.ag.ch/app/de/texts_of_law/221.200" TargetMode="External" /><Relationship Id="ap18Hyperlink5" Type="http://schemas.openxmlformats.org/officeDocument/2006/relationships/hyperlink" Target="https://www.bj.admin.ch/dam/de/sd-web/4Ad6GMn8rA0i/hinweise-kant-feiertage.pdf" TargetMode="External" /><Relationship Id="ap18bSource12" Type="http://schemas.openxmlformats.org/officeDocument/2006/relationships/hyperlink" Target="https://www.ag.ch/media/kanton-aargau/dvi/dokumente/awa/awa/arbeitnehmerschutz-im-betrieb/feiertage.pdf" TargetMode="External" /><Relationship Id="ap18bSource13" Type="http://schemas.openxmlformats.org/officeDocument/2006/relationships/hyperlink" Target="https://www3.ti.ch/CAN/RLeggi/public/index.php/raccolta-leggi/legge/num/568" TargetMode="External" /><Relationship Id="ap18bSource14" Type="http://schemas.openxmlformats.org/officeDocument/2006/relationships/hyperlink" Target="https://m3.ti.ch/CAN/RLeggi/public/index.php/raccolta-leggi/legge/num/569" TargetMode="External" /><Relationship Id="ap18bSource15" Type="http://schemas.openxmlformats.org/officeDocument/2006/relationships/hyperlink" Target="https://www3.ti.ch/CAN/RLeggi/public/index.php/raccolta-leggi/legge/num/151" TargetMode="External" /><Relationship Id="ap18bSource16" Type="http://schemas.openxmlformats.org/officeDocument/2006/relationships/hyperlink" Target="https://www.gr-lex.gr.ch/api/de/versions/2604/pdf_file" TargetMode="External" /><Relationship Id="ap18bSource17" Type="http://schemas.openxmlformats.org/officeDocument/2006/relationships/hyperlink" Target="https://www.gr-lex.gr.ch/api/de/versions/3521/pdf_file" TargetMode="External" /><Relationship Id="ap18bSource18" Type="http://schemas.openxmlformats.org/officeDocument/2006/relationships/hyperlink" Target="https://www.gr-lex.gr.ch/app/it/texts_of_law/520.100/versions/2604" TargetMode="External" /><Relationship Id="ap18bSource19" Type="http://schemas.openxmlformats.org/officeDocument/2006/relationships/hyperlink" Target="https://www.gr-lex.gr.ch/api/rm/versions/2604/pdf_file" TargetMode="External" /><Relationship Id="ap18bSource20" Type="http://schemas.openxmlformats.org/officeDocument/2006/relationships/hyperlink" Target="https://www.gr-lex.gr.ch/api/rm/versions/3521/pdf_file" TargetMode="External" /><Relationship Id="ap18bSource21" Type="http://schemas.openxmlformats.org/officeDocument/2006/relationships/hyperlink" Target="https://www4.ti.ch/dfe/de/uil/legge-lavoro/giorni-festivi-in-ticino-1" TargetMode="External" /><Relationship Id="ap18bSource22" Type="http://schemas.openxmlformats.org/officeDocument/2006/relationships/hyperlink" Target="https://www.parlament.ch/agenda/Pages/agenda-1-august-2026.aspx?lang=1047" TargetMode="External" /><Relationship Id="ap18bSource23" Type="http://schemas.openxmlformats.org/officeDocument/2006/relationships/hyperlink" Target="https://www4.ti.ch/generale/foederalismus11/rumantsch/foederalismus/preschentaziun" TargetMode="External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0b41eeba0841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80e029f2f441fb" /></Relationships>
</file>

<file path=xl/worksheets/_rels/sheet9.xml.rels><?xml version='1.0' encoding='utf-8'?>
<Relationships xmlns="http://schemas.openxmlformats.org/package/2006/relationships"><Relationship Id="ap18AreaTable" Type="http://schemas.openxmlformats.org/officeDocument/2006/relationships/table" Target="../tables/table8.xml" /></Relationships>
</file>

<file path=xl/worksheets/sheet1.xml><?xml version="1.0" encoding="utf-8"?>
<worksheet xmlns="http://schemas.openxmlformats.org/spreadsheetml/2006/main">
  <sheetPr>
    <tabColor rgb="FF122C40"/>
  </sheetPr>
  <sheetViews>
    <sheetView showGridLines="0" workbookViewId="0"/>
  </sheetViews>
  <sheetFormatPr defaultRowHeight="15"/>
  <cols>
    <col min="1" max="1" width="27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</row>
    <row r="2" ht="24" customHeight="1">
      <c r="A2" s="61" t="str">
        <v>STEIMER Feiertagsgrundlage Schweiz</v>
      </c>
      <c r="B2" s="60"/>
      <c r="C2" s="60"/>
      <c r="D2" s="60"/>
      <c r="E2" s="60"/>
      <c r="F2" s="60"/>
      <c r="G2" s="60"/>
      <c r="H2" s="60"/>
    </row>
    <row r="3" ht="24" customHeight="1">
      <c r="A3" s="62"/>
      <c r="B3" s="62"/>
      <c r="C3" s="62"/>
      <c r="D3" s="62"/>
      <c r="E3" s="62"/>
      <c r="F3" s="62"/>
      <c r="G3" s="62"/>
      <c r="H3" s="62"/>
    </row>
    <row r="4" ht="24" customHeight="1">
      <c r="A4" s="60" t="str">
        <v>Kalenderjahr</v>
      </c>
      <c r="B4" s="63" t="n">
        <v>2027</v>
      </c>
      <c r="C4" s="60"/>
      <c r="D4" s="60" t="str">
        <v>Prüfzeitraum 2026–2028</v>
      </c>
      <c r="E4" s="60"/>
      <c r="F4" s="60"/>
      <c r="G4" s="60"/>
      <c r="H4" s="60"/>
    </row>
    <row r="5" ht="24" customHeight="1">
      <c r="A5" s="60"/>
      <c r="B5" s="60"/>
      <c r="C5" s="60"/>
      <c r="D5" s="60"/>
      <c r="E5" s="60"/>
      <c r="F5" s="60"/>
      <c r="G5" s="60"/>
      <c r="H5" s="60"/>
    </row>
    <row r="6" ht="24" customHeight="1">
      <c r="A6" s="64" t="inlineStr">
        <is>
          <t>AP18B-02 · V0.8 · TI/GR mit provisorischen RG-Ergänzungen</t>
        </is>
      </c>
      <c r="B6" s="60"/>
      <c r="C6" s="60"/>
      <c r="D6" s="60"/>
      <c r="E6" s="60"/>
      <c r="F6" s="60"/>
      <c r="G6" s="60"/>
      <c r="H6" s="60"/>
    </row>
    <row r="7" ht="24" customHeight="1">
      <c r="A7" s="60"/>
      <c r="B7" s="60"/>
      <c r="C7" s="60"/>
      <c r="D7" s="60"/>
      <c r="E7" s="60"/>
      <c r="F7" s="60"/>
      <c r="G7" s="60"/>
      <c r="H7" s="60"/>
    </row>
    <row r="8" ht="25" customHeight="1">
      <c r="A8" s="60" t="str">
        <v>22 Kantone noch nicht erhoben. Erfasste Kantonsregeln bleiben bis zur Fachabnahme offen.</v>
      </c>
      <c r="B8" s="60"/>
      <c r="C8" s="60"/>
      <c r="D8" s="60"/>
      <c r="E8" s="60"/>
      <c r="F8" s="60"/>
      <c r="G8" s="60"/>
      <c r="H8" s="60"/>
    </row>
    <row r="9" ht="25" customHeight="1">
      <c r="A9" s="60" t="str">
        <v>CH/BE/AG unverändert. TI und GR mit Namensfeldern DE/FR/IT/RG ergänzt.</v>
      </c>
      <c r="B9" s="60"/>
      <c r="C9" s="60"/>
      <c r="D9" s="60"/>
      <c r="E9" s="60"/>
      <c r="F9" s="60"/>
      <c r="G9" s="60"/>
      <c r="H9" s="60"/>
    </row>
    <row r="10" ht="25" customHeight="1">
      <c r="A10" s="60" t="str">
        <v>GR nur kantonale Grundliste. Lokale Ruhetage nicht erhoben, VRG-Annahme dokumentiert.</v>
      </c>
      <c r="B10" s="60"/>
      <c r="C10" s="60"/>
      <c r="D10" s="60"/>
      <c r="E10" s="60"/>
      <c r="F10" s="60"/>
      <c r="G10" s="60"/>
      <c r="H10" s="60"/>
    </row>
    <row r="11" ht="25" customHeight="1">
      <c r="A11" s="60" t="str">
        <v>Gelbes Feld: Jahr ändern. Die Datumswerte werden in Excel neu berechnet.</v>
      </c>
      <c r="B11" s="60"/>
      <c r="C11" s="60"/>
      <c r="D11" s="60"/>
      <c r="E11" s="60"/>
      <c r="F11" s="60"/>
      <c r="G11" s="60"/>
      <c r="H11" s="60"/>
    </row>
    <row r="12" ht="25" customHeight="1">
      <c r="A12" s="60" t="str">
        <v>Im Feiertagskalender nach Gemeinwesen, Geltungsbereich oder Status filtern.</v>
      </c>
      <c r="B12" s="60"/>
      <c r="C12" s="60"/>
      <c r="D12" s="60"/>
      <c r="E12" s="60"/>
      <c r="F12" s="60"/>
      <c r="G12" s="60"/>
      <c r="H12" s="60"/>
    </row>
    <row r="13" ht="25" customHeight="1">
      <c r="A13" s="60" t="str">
        <v>Jede Regeländerung verlangt Fachstatus open und neue Prüfung. Alte Freigabe gilt nicht weiter.</v>
      </c>
      <c r="B13" s="60"/>
      <c r="C13" s="60"/>
      <c r="D13" s="60"/>
      <c r="E13" s="60"/>
      <c r="F13" s="60"/>
      <c r="G13" s="60"/>
      <c r="H13" s="60"/>
    </row>
    <row r="14" ht="25" customHeight="1">
      <c r="A14" s="60" t="str">
        <v>approved bezeichnet nur die angegebene frühere Fachfreigabe, nicht diese Arbeitsmappe.</v>
      </c>
      <c r="B14" s="60"/>
      <c r="C14" s="60"/>
      <c r="D14" s="60"/>
      <c r="E14" s="60"/>
      <c r="F14" s="60"/>
      <c r="G14" s="60"/>
      <c r="H14" s="60"/>
    </row>
    <row r="15" ht="25" customHeight="1">
      <c r="A15" s="60" t="str">
        <v>Quellenprüfung und Datenrelease bleiben getrennt. Neue Prüfereignisse sind candidate.</v>
      </c>
      <c r="B15" s="60"/>
      <c r="C15" s="60"/>
      <c r="D15" s="60"/>
      <c r="E15" s="60"/>
      <c r="F15" s="60"/>
      <c r="G15" s="60"/>
      <c r="H15" s="60"/>
    </row>
    <row r="16" ht="25" customHeight="1">
      <c r="A16" s="60" t="str">
        <v>Keine Makros, externen Datenverbindungen oder automatische Datenaktivierung.</v>
      </c>
      <c r="B16" s="60"/>
      <c r="C16" s="60"/>
      <c r="D16" s="60"/>
      <c r="E16" s="60"/>
      <c r="F16" s="60"/>
      <c r="G16" s="60"/>
      <c r="H16" s="60"/>
    </row>
    <row r="17" ht="25" customHeight="1">
      <c r="A17" s="60" t="str">
        <v>Sonntage gelten separat. Die Ansicht enthält benannte Feiertage, nicht jeden Sonntag.</v>
      </c>
      <c r="B17" s="60"/>
      <c r="C17" s="60"/>
      <c r="D17" s="60"/>
      <c r="E17" s="60"/>
      <c r="F17" s="60"/>
      <c r="G17" s="60"/>
      <c r="H17" s="60"/>
    </row>
    <row r="18" ht="25" customHeight="1">
      <c r="A18" s="60" t="str">
        <v>Gerichtsferien bleiben unverändert in der bestehenden Kalenderkomponente.</v>
      </c>
      <c r="B18" s="60"/>
      <c r="C18" s="60"/>
      <c r="D18" s="60"/>
      <c r="E18" s="60"/>
      <c r="F18" s="60"/>
      <c r="G18" s="60"/>
      <c r="H18" s="60"/>
    </row>
    <row r="19" ht="25" customHeight="1">
      <c r="A19" s="60" t="str">
        <v>Fehlende Kantonsdaten bedeuten nicht, dass dort keine Feiertage bestehen.</v>
      </c>
      <c r="B19" s="60"/>
      <c r="C19" s="60"/>
      <c r="D19" s="60"/>
      <c r="E19" s="60"/>
      <c r="F19" s="60"/>
      <c r="G19" s="60"/>
      <c r="H19" s="60"/>
    </row>
    <row r="20" ht="25" customHeight="1">
      <c r="A20" s="60" t="str">
        <v>Kalender-App und Feiertagskarte gehören nicht zu AP18.</v>
      </c>
      <c r="B20" s="60"/>
      <c r="C20" s="60"/>
      <c r="D20" s="60"/>
      <c r="E20" s="60"/>
      <c r="F20" s="60"/>
      <c r="G20" s="60"/>
      <c r="H20" s="60"/>
    </row>
    <row r="21" ht="24" customHeight="1">
      <c r="A21" s="60"/>
      <c r="B21" s="60"/>
      <c r="C21" s="60"/>
      <c r="D21" s="60"/>
      <c r="E21" s="60"/>
      <c r="F21" s="60"/>
      <c r="G21" s="60"/>
      <c r="H21" s="60"/>
    </row>
    <row r="22" ht="24" customHeight="1">
      <c r="A22" s="60"/>
      <c r="B22" s="60"/>
      <c r="C22" s="60"/>
      <c r="D22" s="60"/>
      <c r="E22" s="60"/>
      <c r="F22" s="60"/>
      <c r="G22" s="60"/>
      <c r="H22" s="60"/>
    </row>
    <row r="23" ht="24" customHeight="1">
      <c r="A23" s="65" t="str">
        <v>Kontrolle</v>
      </c>
      <c r="B23" s="65" t="str">
        <v>Anzahl</v>
      </c>
      <c r="C23" s="60"/>
      <c r="D23" s="60"/>
      <c r="E23" s="60"/>
      <c r="F23" s="60"/>
      <c r="G23" s="60"/>
      <c r="H23" s="60"/>
    </row>
    <row r="24" ht="24" customHeight="1">
      <c r="A24" s="60" t="str">
        <v>Gemeinwesen</v>
      </c>
      <c r="B24" s="66" t="n">
        <f>COUNTA('Gemeinwesen'!$A$7:$A$33)</f>
        <v>27</v>
      </c>
      <c r="C24" s="60"/>
      <c r="D24" s="60" t="str">
        <v>Stand: 13. September 2026</v>
      </c>
      <c r="E24" s="60"/>
      <c r="F24" s="60"/>
      <c r="G24" s="60"/>
      <c r="H24" s="60"/>
    </row>
    <row r="25" ht="24" customHeight="1">
      <c r="A25" s="60" t="str">
        <v>Referenz-Feiertagsregeln</v>
      </c>
      <c r="B25" s="66" t="n">
        <f>COUNTIFS('Feiertagsregeln'!$R$7:$R$96,"approved")</f>
        <v>12</v>
      </c>
      <c r="C25" s="60"/>
      <c r="D25" s="60" t="str">
        <v>Fachverantwortung: David Steimer</v>
      </c>
      <c r="E25" s="60"/>
      <c r="F25" s="60"/>
      <c r="G25" s="60"/>
      <c r="H25" s="60"/>
    </row>
    <row r="26" ht="24" customHeight="1">
      <c r="A26" s="60" t="str">
        <v>Offene Kantonsregeln</v>
      </c>
      <c r="B26" s="66" t="n">
        <f>COUNTIFS('Feiertagsregeln'!$R$7:$R$122,"open")</f>
        <v>104</v>
      </c>
      <c r="C26" s="60"/>
      <c r="D26" s="60" t="str">
        <v>Nächste Jahresprüfung: spätestens 15.11.2027</v>
      </c>
      <c r="E26" s="60"/>
      <c r="F26" s="60"/>
      <c r="G26" s="60"/>
      <c r="H26" s="60"/>
    </row>
    <row r="27" ht="24" customHeight="1">
      <c r="A27" s="60"/>
      <c r="B27" s="60"/>
      <c r="C27" s="60"/>
      <c r="D27" s="60"/>
      <c r="E27" s="60"/>
      <c r="F27" s="60"/>
      <c r="G27" s="60"/>
      <c r="H27" s="60"/>
    </row>
    <row r="28" ht="24" customHeight="1">
      <c r="A28" s="60"/>
      <c r="B28" s="60"/>
      <c r="C28" s="60"/>
      <c r="D28" s="60"/>
      <c r="E28" s="60"/>
      <c r="F28" s="60"/>
      <c r="G28" s="60"/>
      <c r="H28" s="60"/>
    </row>
    <row r="29" ht="24" customHeight="1">
      <c r="A29" s="60" t="str">
        <v>Pflege: Regeln und Quellen über stabile IDs verknüpfen. Keine Zeilennummer als Identität.</v>
      </c>
      <c r="B29" s="60"/>
      <c r="C29" s="60"/>
      <c r="D29" s="60"/>
      <c r="E29" s="60"/>
      <c r="F29" s="60"/>
      <c r="G29" s="60"/>
      <c r="H29" s="60"/>
    </row>
    <row r="30" ht="24" customHeight="1">
      <c r="A30" s="60" t="inlineStr">
        <is>
          <t>Gebietszuordnungen erfassen Ein- und Ausschlüsse. Ortssuche und Export folgen separat.</t>
        </is>
      </c>
      <c r="B30" s="60"/>
      <c r="C30" s="60"/>
      <c r="D30" s="60"/>
      <c r="E30" s="60"/>
      <c r="F30" s="60"/>
      <c r="G30" s="60"/>
      <c r="H30" s="60"/>
    </row>
    <row r="31" ht="24" customHeight="1">
      <c r="A31" s="60" t="str">
        <v>Der Stand enthält keine neue juristische Freigabe und verändert keine Installation.</v>
      </c>
      <c r="B31" s="60"/>
      <c r="C31" s="60"/>
      <c r="D31" s="60"/>
      <c r="E31" s="60"/>
      <c r="F31" s="60"/>
      <c r="G31" s="60"/>
      <c r="H31" s="60"/>
    </row>
    <row r="32" ht="24" customHeight="1">
      <c r="A32" s="60" t="str">
        <v>Gebiets- und Zuordnungsänderungen brauchen eine Neugenerierung des Kalenders.</v>
      </c>
      <c r="B32" s="60"/>
      <c r="C32" s="60"/>
      <c r="D32" s="60"/>
      <c r="E32" s="60"/>
      <c r="F32" s="60"/>
      <c r="G32" s="60"/>
      <c r="H32" s="60"/>
    </row>
    <row r="33" ht="24" customHeight="1">
      <c r="A33" s="60" t="str">
        <v>Formeln und Referenzzeilen sind geschützt. Blattschutz ohne Passwort aufhebbar.</v>
      </c>
      <c r="B33" s="60"/>
      <c r="C33" s="60"/>
      <c r="D33" s="60"/>
      <c r="E33" s="60"/>
      <c r="F33" s="60"/>
      <c r="G33" s="60"/>
      <c r="H33" s="60"/>
    </row>
    <row r="34" ht="24" customHeight="1">
      <c r="A34" s="60" t="inlineStr">
        <is>
          <t>TI/GR: vier Sprachspalten befüllt. Acht TI-Namen in RG sind provisorische Produktübersetzungen.</t>
        </is>
      </c>
      <c r="B34" s="60"/>
      <c r="C34" s="60"/>
      <c r="D34" s="60"/>
      <c r="E34" s="60"/>
      <c r="F34" s="60"/>
      <c r="G34" s="60"/>
      <c r="H34" s="60"/>
    </row>
    <row r="35" ht="24" customHeight="1">
      <c r="A35" s="60" t="str">
        <v>Zusätzliche Sprachen nur in der Arbeitsmappe. App und Laufzeitdaten bleiben unverändert.</v>
      </c>
      <c r="B35" s="60"/>
      <c r="C35" s="60"/>
      <c r="D35" s="60"/>
      <c r="E35" s="60"/>
      <c r="F35" s="60"/>
      <c r="G35" s="60"/>
      <c r="H35" s="60"/>
    </row>
    <row r="36" ht="24" customHeight="1">
      <c r="A36" s="60" t="inlineStr">
        <is>
          <t>V0.8 ergänzt acht RG-Namen. Strukturvertrag 0.4.0. Keine neue Rechts- oder Releasefreigabe.</t>
        </is>
      </c>
      <c r="B36" s="60"/>
      <c r="C36" s="60"/>
      <c r="D36" s="60"/>
      <c r="E36" s="60"/>
      <c r="F36" s="60"/>
      <c r="G36" s="60"/>
      <c r="H36" s="60"/>
    </row>
  </sheetData>
  <sheetProtection sheet="1" objects="1" scenarios="1" autoFilter="0" sort="0" selectLockedCells="0" selectUnlockedCells="0"/>
  <dataValidations count="1">
    <dataValidation type="whole" operator="between" sqref="B4">
      <formula1>2026</formula1>
      <formula2>2028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F6F73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17" hidden="0" customWidth="1"/>
    <col min="2" max="2" width="17" hidden="0" customWidth="1"/>
    <col min="3" max="3" width="17" hidden="0" customWidth="1"/>
    <col min="4" max="4" width="38" hidden="0" customWidth="1"/>
    <col min="5" max="5" width="40" hidden="0" customWidth="1"/>
    <col min="6" max="6" width="34" hidden="0" customWidth="1"/>
    <col min="7" max="7" width="32" hidden="0" customWidth="1"/>
    <col min="8" max="8" width="32" hidden="0" customWidth="1"/>
    <col min="9" max="9" width="29" hidden="0" customWidth="1"/>
    <col min="10" max="10" width="17" hidden="0" customWidth="1"/>
    <col min="11" max="11" width="43" hidden="0" customWidth="1"/>
    <col min="12" max="12" width="43" hidden="0" customWidth="1"/>
    <col min="13" max="13" width="35" hidden="0" customWidth="1"/>
    <col min="14" max="14" width="29" hidden="0" customWidth="1"/>
  </cols>
  <sheetData>
    <row r="1" ht="24" customHeight="1">
      <c r="A1" s="60"/>
      <c r="B1" s="60"/>
      <c r="C1" s="60"/>
      <c r="D1" s="60"/>
      <c r="E1" s="60"/>
      <c r="F1" s="60"/>
      <c r="I1" s="60"/>
      <c r="J1" s="60"/>
      <c r="K1" s="60"/>
      <c r="L1" s="60"/>
      <c r="M1" s="60"/>
      <c r="N1" s="60"/>
    </row>
    <row r="2" ht="24" customHeight="1">
      <c r="A2" s="61" t="str">
        <v>Generierter Feiertagskalender</v>
      </c>
      <c r="B2" s="60"/>
      <c r="C2" s="60"/>
      <c r="D2" s="60"/>
      <c r="E2" s="60"/>
      <c r="F2" s="60"/>
      <c r="I2" s="60"/>
      <c r="J2" s="60"/>
      <c r="K2" s="60"/>
      <c r="L2" s="60"/>
      <c r="M2" s="60"/>
      <c r="N2" s="60"/>
    </row>
    <row r="3" ht="24" customHeight="1">
      <c r="A3" s="62"/>
      <c r="B3" s="62"/>
      <c r="C3" s="62"/>
      <c r="D3" s="62"/>
      <c r="E3" s="62"/>
      <c r="F3" s="62"/>
      <c r="I3" s="62"/>
      <c r="J3" s="62"/>
      <c r="K3" s="62"/>
      <c r="L3" s="62"/>
      <c r="M3" s="62"/>
      <c r="N3" s="62"/>
    </row>
    <row r="4" ht="24" customHeight="1">
      <c r="A4" s="67" t="str">
        <v>CH/BE/AG unverändert. TI: 15 offizielle Tage. GR: kantonale Grundliste, keine lokalen Ruhetage. Fristwirkung gesondert prüfen.</v>
      </c>
      <c r="B4" s="60"/>
      <c r="C4" s="60"/>
      <c r="D4" s="60"/>
      <c r="E4" s="60"/>
      <c r="F4" s="60"/>
      <c r="I4" s="60"/>
      <c r="J4" s="60"/>
      <c r="K4" s="60"/>
      <c r="L4" s="60"/>
      <c r="M4" s="60"/>
      <c r="N4" s="60"/>
    </row>
    <row r="5" ht="24" customHeight="1">
      <c r="A5" s="60"/>
      <c r="B5" s="60"/>
      <c r="C5" s="60"/>
      <c r="D5" s="60"/>
      <c r="E5" s="60"/>
      <c r="F5" s="60"/>
      <c r="I5" s="60"/>
      <c r="J5" s="60"/>
      <c r="K5" s="60"/>
      <c r="L5" s="60"/>
      <c r="M5" s="60"/>
      <c r="N5" s="60"/>
    </row>
    <row r="6" ht="42" customHeight="1">
      <c r="A6" s="68" t="str">
        <v>Datum</v>
      </c>
      <c r="B6" s="68" t="str">
        <v>Wochentag</v>
      </c>
      <c r="C6" s="68" t="str">
        <v>Gemeinwesen</v>
      </c>
      <c r="D6" s="68" t="str">
        <v>Geltungsbereich</v>
      </c>
      <c r="E6" s="68" t="str">
        <v>Feiertag</v>
      </c>
      <c r="F6" s="68" t="str">
        <v>Französisch</v>
      </c>
      <c r="G6" s="69" t="str">
        <v>Italienisch</v>
      </c>
      <c r="H6" s="69" t="str">
        <v>Rumantsch Grischun</v>
      </c>
      <c r="I6" s="68" t="str">
        <v>Rechtskategorie</v>
      </c>
      <c r="J6" s="68" t="str">
        <v>Fachstatus</v>
      </c>
      <c r="K6" s="68" t="str">
        <v>Regel-ID</v>
      </c>
      <c r="L6" s="68" t="str">
        <v>Quellen-ID</v>
      </c>
      <c r="M6" s="68" t="str">
        <v>Fundstelle</v>
      </c>
      <c r="N6" s="68" t="str">
        <v>Abdeckung</v>
      </c>
    </row>
    <row r="7" ht="38" customHeight="1">
      <c r="A7" s="70" t="n">
        <f>INDEX('Feiertagsregeln'!$X$7:$X$96,MATCH($K7,'Feiertagsregeln'!$A$7:$A$96,0))</f>
        <v>46600</v>
      </c>
      <c r="B7" s="71" t="str">
        <f>IF(ISNUMBER(A7),CHOOSE(WEEKDAY(A7,2),"Montag","Dienstag","Mittwoch","Donnerstag","Freitag","Samstag","Sonntag"),"n.a.")</f>
        <v>Sonntag</v>
      </c>
      <c r="C7" s="71" t="str">
        <v>CH</v>
      </c>
      <c r="D7" s="71" t="str">
        <v>Bundesgebiet</v>
      </c>
      <c r="E7" s="71" t="str">
        <f>INDEX('Feiertagsregeln'!$D$7:$D$96,MATCH($K7,'Feiertagsregeln'!$A$7:$A$96,0))</f>
        <v>Bundesfeiertag</v>
      </c>
      <c r="F7" s="71" t="str">
        <f>INDEX('Feiertagsregeln'!$E$7:$E$96,MATCH($K7,'Feiertagsregeln'!$A$7:$A$96,0))</f>
        <v>Fête nationale</v>
      </c>
      <c r="G7" s="72" t="str">
        <f>IF(INDEX('Feiertagsregeln'!$F$7:$F$96,MATCH($K7,'Feiertagsregeln'!$A$7:$A$96,0))="","Noch zu erfassen",INDEX('Feiertagsregeln'!$F$7:$F$96,MATCH($K7,'Feiertagsregeln'!$A$7:$A$96,0)))</f>
        <v>Noch zu erfassen</v>
      </c>
      <c r="H7" s="72" t="str">
        <f>IF(INDEX('Feiertagsregeln'!$G$7:$G$96,MATCH($K7,'Feiertagsregeln'!$A$7:$A$96,0))="","Noch zu erfassen",INDEX('Feiertagsregeln'!$G$7:$G$96,MATCH($K7,'Feiertagsregeln'!$A$7:$A$96,0)))</f>
        <v>Noch zu erfassen</v>
      </c>
      <c r="I7" s="71" t="str">
        <f>INDEX('Feiertagsregeln'!$H$7:$H$96,MATCH($K7,'Feiertagsregeln'!$A$7:$A$96,0))</f>
        <v>publicHoliday</v>
      </c>
      <c r="J7" s="71" t="str">
        <f>INDEX('Feiertagsregeln'!$R$7:$R$96,MATCH($K7,'Feiertagsregeln'!$A$7:$A$96,0))</f>
        <v>approved</v>
      </c>
      <c r="K7" s="71" t="str">
        <v>CH-CAL-HOL-NATIONAL-DAY</v>
      </c>
      <c r="L7" s="71" t="str">
        <f>INDEX('Feiertagsregeln'!$Y$7:$Y$96,MATCH($K7,'Feiertagsregeln'!$A$7:$A$96,0))</f>
        <v>SRC-BUNDESFEIERTAG-19940701</v>
      </c>
      <c r="M7" s="71" t="str">
        <f>INDEX('Feiertagsregeln'!$Z$7:$Z$96,MATCH($K7,'Feiertagsregeln'!$A$7:$A$96,0))</f>
        <v>Art. 1</v>
      </c>
      <c r="N7" s="71" t="str">
        <v>Nur Bundesfeiertag</v>
      </c>
    </row>
    <row r="8" ht="38" customHeight="1">
      <c r="A8" s="73" t="n">
        <f>INDEX('Feiertagsregeln'!$X$7:$X$96,MATCH($K8,'Feiertagsregeln'!$A$7:$A$96,0))</f>
        <v>46600</v>
      </c>
      <c r="B8" s="74" t="str">
        <f>IF(ISNUMBER(A8),CHOOSE(WEEKDAY(A8,2),"Montag","Dienstag","Mittwoch","Donnerstag","Freitag","Samstag","Sonntag"),"n.a.")</f>
        <v>Sonntag</v>
      </c>
      <c r="C8" s="74" t="str">
        <v>CH-BE</v>
      </c>
      <c r="D8" s="74" t="str">
        <v>Kanton Bern</v>
      </c>
      <c r="E8" s="74" t="str">
        <f>INDEX('Feiertagsregeln'!$D$7:$D$96,MATCH($K8,'Feiertagsregeln'!$A$7:$A$96,0))</f>
        <v>Bundesfeiertag</v>
      </c>
      <c r="F8" s="74" t="str">
        <f>INDEX('Feiertagsregeln'!$E$7:$E$96,MATCH($K8,'Feiertagsregeln'!$A$7:$A$96,0))</f>
        <v>Fête nationale</v>
      </c>
      <c r="G8" s="75" t="str">
        <f>IF(INDEX('Feiertagsregeln'!$F$7:$F$96,MATCH($K8,'Feiertagsregeln'!$A$7:$A$96,0))="","Noch zu erfassen",INDEX('Feiertagsregeln'!$F$7:$F$96,MATCH($K8,'Feiertagsregeln'!$A$7:$A$96,0)))</f>
        <v>Noch zu erfassen</v>
      </c>
      <c r="H8" s="75" t="str">
        <f>IF(INDEX('Feiertagsregeln'!$G$7:$G$96,MATCH($K8,'Feiertagsregeln'!$A$7:$A$96,0))="","Noch zu erfassen",INDEX('Feiertagsregeln'!$G$7:$G$96,MATCH($K8,'Feiertagsregeln'!$A$7:$A$96,0)))</f>
        <v>Noch zu erfassen</v>
      </c>
      <c r="I8" s="74" t="str">
        <f>INDEX('Feiertagsregeln'!$H$7:$H$96,MATCH($K8,'Feiertagsregeln'!$A$7:$A$96,0))</f>
        <v>publicHoliday</v>
      </c>
      <c r="J8" s="74" t="str">
        <f>INDEX('Feiertagsregeln'!$R$7:$R$96,MATCH($K8,'Feiertagsregeln'!$A$7:$A$96,0))</f>
        <v>approved</v>
      </c>
      <c r="K8" s="74" t="str">
        <v>CH-CAL-HOL-NATIONAL-DAY</v>
      </c>
      <c r="L8" s="74" t="str">
        <f>INDEX('Feiertagsregeln'!$Y$7:$Y$96,MATCH($K8,'Feiertagsregeln'!$A$7:$A$96,0))</f>
        <v>SRC-BUNDESFEIERTAG-19940701</v>
      </c>
      <c r="M8" s="74" t="str">
        <f>INDEX('Feiertagsregeln'!$Z$7:$Z$96,MATCH($K8,'Feiertagsregeln'!$A$7:$A$96,0))</f>
        <v>Art. 1</v>
      </c>
      <c r="N8" s="74" t="str">
        <v>Referenzbestand</v>
      </c>
    </row>
    <row r="9" ht="38" customHeight="1">
      <c r="A9" s="70" t="n">
        <f>INDEX('Feiertagsregeln'!$X$7:$X$96,MATCH($K9,'Feiertagsregeln'!$A$7:$A$96,0))</f>
        <v>46388</v>
      </c>
      <c r="B9" s="71" t="str">
        <f>IF(ISNUMBER(A9),CHOOSE(WEEKDAY(A9,2),"Montag","Dienstag","Mittwoch","Donnerstag","Freitag","Samstag","Sonntag"),"n.a.")</f>
        <v>Freitag</v>
      </c>
      <c r="C9" s="71" t="str">
        <v>CH-BE</v>
      </c>
      <c r="D9" s="71" t="str">
        <v>Kanton Bern</v>
      </c>
      <c r="E9" s="71" t="str">
        <f>INDEX('Feiertagsregeln'!$D$7:$D$96,MATCH($K9,'Feiertagsregeln'!$A$7:$A$96,0))</f>
        <v>Neujahr</v>
      </c>
      <c r="F9" s="71" t="str">
        <f>INDEX('Feiertagsregeln'!$E$7:$E$96,MATCH($K9,'Feiertagsregeln'!$A$7:$A$96,0))</f>
        <v>Nouvel An</v>
      </c>
      <c r="G9" s="72" t="str">
        <f>IF(INDEX('Feiertagsregeln'!$F$7:$F$96,MATCH($K9,'Feiertagsregeln'!$A$7:$A$96,0))="","Noch zu erfassen",INDEX('Feiertagsregeln'!$F$7:$F$96,MATCH($K9,'Feiertagsregeln'!$A$7:$A$96,0)))</f>
        <v>Noch zu erfassen</v>
      </c>
      <c r="H9" s="72" t="str">
        <f>IF(INDEX('Feiertagsregeln'!$G$7:$G$96,MATCH($K9,'Feiertagsregeln'!$A$7:$A$96,0))="","Noch zu erfassen",INDEX('Feiertagsregeln'!$G$7:$G$96,MATCH($K9,'Feiertagsregeln'!$A$7:$A$96,0)))</f>
        <v>Noch zu erfassen</v>
      </c>
      <c r="I9" s="71" t="str">
        <f>INDEX('Feiertagsregeln'!$H$7:$H$96,MATCH($K9,'Feiertagsregeln'!$A$7:$A$96,0))</f>
        <v>publicHoliday</v>
      </c>
      <c r="J9" s="71" t="str">
        <f>INDEX('Feiertagsregeln'!$R$7:$R$96,MATCH($K9,'Feiertagsregeln'!$A$7:$A$96,0))</f>
        <v>approved</v>
      </c>
      <c r="K9" s="71" t="str">
        <v>BE-CAL-HOL-NEW-YEAR</v>
      </c>
      <c r="L9" s="71" t="str">
        <f>INDEX('Feiertagsregeln'!$Y$7:$Y$96,MATCH($K9,'Feiertagsregeln'!$A$7:$A$96,0))</f>
        <v>SRC-FRG-BE-20210401</v>
      </c>
      <c r="M9" s="71" t="str">
        <f>INDEX('Feiertagsregeln'!$Z$7:$Z$96,MATCH($K9,'Feiertagsregeln'!$A$7:$A$96,0))</f>
        <v>Art. 2 Abs. 1 Bst. c</v>
      </c>
      <c r="N9" s="71" t="str">
        <v>Referenzbestand</v>
      </c>
    </row>
    <row r="10" ht="38" customHeight="1">
      <c r="A10" s="73" t="n">
        <f>INDEX('Feiertagsregeln'!$X$7:$X$96,MATCH($K10,'Feiertagsregeln'!$A$7:$A$96,0))</f>
        <v>46389</v>
      </c>
      <c r="B10" s="74" t="str">
        <f>IF(ISNUMBER(A10),CHOOSE(WEEKDAY(A10,2),"Montag","Dienstag","Mittwoch","Donnerstag","Freitag","Samstag","Sonntag"),"n.a.")</f>
        <v>Samstag</v>
      </c>
      <c r="C10" s="74" t="str">
        <v>CH-BE</v>
      </c>
      <c r="D10" s="74" t="str">
        <v>Kanton Bern</v>
      </c>
      <c r="E10" s="74" t="str">
        <f>INDEX('Feiertagsregeln'!$D$7:$D$96,MATCH($K10,'Feiertagsregeln'!$A$7:$A$96,0))</f>
        <v>Berchtoldstag</v>
      </c>
      <c r="F10" s="74" t="str">
        <f>INDEX('Feiertagsregeln'!$E$7:$E$96,MATCH($K10,'Feiertagsregeln'!$A$7:$A$96,0))</f>
        <v>Saint-Berchtold</v>
      </c>
      <c r="G10" s="75" t="str">
        <f>IF(INDEX('Feiertagsregeln'!$F$7:$F$96,MATCH($K10,'Feiertagsregeln'!$A$7:$A$96,0))="","Noch zu erfassen",INDEX('Feiertagsregeln'!$F$7:$F$96,MATCH($K10,'Feiertagsregeln'!$A$7:$A$96,0)))</f>
        <v>Noch zu erfassen</v>
      </c>
      <c r="H10" s="75" t="str">
        <f>IF(INDEX('Feiertagsregeln'!$G$7:$G$96,MATCH($K10,'Feiertagsregeln'!$A$7:$A$96,0))="","Noch zu erfassen",INDEX('Feiertagsregeln'!$G$7:$G$96,MATCH($K10,'Feiertagsregeln'!$A$7:$A$96,0)))</f>
        <v>Noch zu erfassen</v>
      </c>
      <c r="I10" s="74" t="str">
        <f>INDEX('Feiertagsregeln'!$H$7:$H$96,MATCH($K10,'Feiertagsregeln'!$A$7:$A$96,0))</f>
        <v>publicHoliday</v>
      </c>
      <c r="J10" s="74" t="str">
        <f>INDEX('Feiertagsregeln'!$R$7:$R$96,MATCH($K10,'Feiertagsregeln'!$A$7:$A$96,0))</f>
        <v>approved</v>
      </c>
      <c r="K10" s="74" t="str">
        <v>BE-CAL-HOL-BERCHTOLD-DAY</v>
      </c>
      <c r="L10" s="74" t="str">
        <f>INDEX('Feiertagsregeln'!$Y$7:$Y$96,MATCH($K10,'Feiertagsregeln'!$A$7:$A$96,0))</f>
        <v>SRC-FRG-BE-20210401</v>
      </c>
      <c r="M10" s="74" t="str">
        <f>INDEX('Feiertagsregeln'!$Z$7:$Z$96,MATCH($K10,'Feiertagsregeln'!$A$7:$A$96,0))</f>
        <v>Art. 2 Abs. 1 Bst. c</v>
      </c>
      <c r="N10" s="74" t="str">
        <v>Referenzbestand</v>
      </c>
    </row>
    <row r="11" ht="38" customHeight="1">
      <c r="A11" s="70" t="n">
        <f>INDEX('Feiertagsregeln'!$X$7:$X$96,MATCH($K11,'Feiertagsregeln'!$A$7:$A$96,0))</f>
        <v>46472</v>
      </c>
      <c r="B11" s="71" t="str">
        <f>IF(ISNUMBER(A11),CHOOSE(WEEKDAY(A11,2),"Montag","Dienstag","Mittwoch","Donnerstag","Freitag","Samstag","Sonntag"),"n.a.")</f>
        <v>Freitag</v>
      </c>
      <c r="C11" s="71" t="str">
        <v>CH-BE</v>
      </c>
      <c r="D11" s="71" t="str">
        <v>Kanton Bern</v>
      </c>
      <c r="E11" s="71" t="str">
        <f>INDEX('Feiertagsregeln'!$D$7:$D$96,MATCH($K11,'Feiertagsregeln'!$A$7:$A$96,0))</f>
        <v>Karfreitag</v>
      </c>
      <c r="F11" s="71" t="str">
        <f>INDEX('Feiertagsregeln'!$E$7:$E$96,MATCH($K11,'Feiertagsregeln'!$A$7:$A$96,0))</f>
        <v>Vendredi saint</v>
      </c>
      <c r="G11" s="72" t="str">
        <f>IF(INDEX('Feiertagsregeln'!$F$7:$F$96,MATCH($K11,'Feiertagsregeln'!$A$7:$A$96,0))="","Noch zu erfassen",INDEX('Feiertagsregeln'!$F$7:$F$96,MATCH($K11,'Feiertagsregeln'!$A$7:$A$96,0)))</f>
        <v>Noch zu erfassen</v>
      </c>
      <c r="H11" s="72" t="str">
        <f>IF(INDEX('Feiertagsregeln'!$G$7:$G$96,MATCH($K11,'Feiertagsregeln'!$A$7:$A$96,0))="","Noch zu erfassen",INDEX('Feiertagsregeln'!$G$7:$G$96,MATCH($K11,'Feiertagsregeln'!$A$7:$A$96,0)))</f>
        <v>Noch zu erfassen</v>
      </c>
      <c r="I11" s="71" t="str">
        <f>INDEX('Feiertagsregeln'!$H$7:$H$96,MATCH($K11,'Feiertagsregeln'!$A$7:$A$96,0))</f>
        <v>publicHoliday</v>
      </c>
      <c r="J11" s="71" t="str">
        <f>INDEX('Feiertagsregeln'!$R$7:$R$96,MATCH($K11,'Feiertagsregeln'!$A$7:$A$96,0))</f>
        <v>approved</v>
      </c>
      <c r="K11" s="71" t="str">
        <v>BE-CAL-HOL-GOOD-FRIDAY</v>
      </c>
      <c r="L11" s="71" t="str">
        <f>INDEX('Feiertagsregeln'!$Y$7:$Y$96,MATCH($K11,'Feiertagsregeln'!$A$7:$A$96,0))</f>
        <v>SRC-FRG-BE-20210401</v>
      </c>
      <c r="M11" s="71" t="str">
        <f>INDEX('Feiertagsregeln'!$Z$7:$Z$96,MATCH($K11,'Feiertagsregeln'!$A$7:$A$96,0))</f>
        <v>Art. 2 Abs. 1 Bst. b</v>
      </c>
      <c r="N11" s="71" t="str">
        <v>Referenzbestand</v>
      </c>
    </row>
    <row r="12" ht="38" customHeight="1">
      <c r="A12" s="73" t="n">
        <f>INDEX('Feiertagsregeln'!$X$7:$X$96,MATCH($K12,'Feiertagsregeln'!$A$7:$A$96,0))</f>
        <v>46474</v>
      </c>
      <c r="B12" s="74" t="str">
        <f>IF(ISNUMBER(A12),CHOOSE(WEEKDAY(A12,2),"Montag","Dienstag","Mittwoch","Donnerstag","Freitag","Samstag","Sonntag"),"n.a.")</f>
        <v>Sonntag</v>
      </c>
      <c r="C12" s="74" t="str">
        <v>CH-BE</v>
      </c>
      <c r="D12" s="74" t="str">
        <v>Kanton Bern</v>
      </c>
      <c r="E12" s="74" t="str">
        <f>INDEX('Feiertagsregeln'!$D$7:$D$96,MATCH($K12,'Feiertagsregeln'!$A$7:$A$96,0))</f>
        <v>Ostern</v>
      </c>
      <c r="F12" s="74" t="str">
        <f>INDEX('Feiertagsregeln'!$E$7:$E$96,MATCH($K12,'Feiertagsregeln'!$A$7:$A$96,0))</f>
        <v>Pâques</v>
      </c>
      <c r="G12" s="75" t="str">
        <f>IF(INDEX('Feiertagsregeln'!$F$7:$F$96,MATCH($K12,'Feiertagsregeln'!$A$7:$A$96,0))="","Noch zu erfassen",INDEX('Feiertagsregeln'!$F$7:$F$96,MATCH($K12,'Feiertagsregeln'!$A$7:$A$96,0)))</f>
        <v>Noch zu erfassen</v>
      </c>
      <c r="H12" s="75" t="str">
        <f>IF(INDEX('Feiertagsregeln'!$G$7:$G$96,MATCH($K12,'Feiertagsregeln'!$A$7:$A$96,0))="","Noch zu erfassen",INDEX('Feiertagsregeln'!$G$7:$G$96,MATCH($K12,'Feiertagsregeln'!$A$7:$A$96,0)))</f>
        <v>Noch zu erfassen</v>
      </c>
      <c r="I12" s="74" t="str">
        <f>INDEX('Feiertagsregeln'!$H$7:$H$96,MATCH($K12,'Feiertagsregeln'!$A$7:$A$96,0))</f>
        <v>publicHoliday</v>
      </c>
      <c r="J12" s="74" t="str">
        <f>INDEX('Feiertagsregeln'!$R$7:$R$96,MATCH($K12,'Feiertagsregeln'!$A$7:$A$96,0))</f>
        <v>approved</v>
      </c>
      <c r="K12" s="74" t="str">
        <v>BE-CAL-HOL-EASTER</v>
      </c>
      <c r="L12" s="74" t="str">
        <f>INDEX('Feiertagsregeln'!$Y$7:$Y$96,MATCH($K12,'Feiertagsregeln'!$A$7:$A$96,0))</f>
        <v>SRC-FRG-BE-20210401</v>
      </c>
      <c r="M12" s="74" t="str">
        <f>INDEX('Feiertagsregeln'!$Z$7:$Z$96,MATCH($K12,'Feiertagsregeln'!$A$7:$A$96,0))</f>
        <v>Art. 2 Abs. 1 Bst. b</v>
      </c>
      <c r="N12" s="74" t="str">
        <v>Referenzbestand</v>
      </c>
    </row>
    <row r="13" ht="38" customHeight="1">
      <c r="A13" s="70" t="n">
        <f>INDEX('Feiertagsregeln'!$X$7:$X$96,MATCH($K13,'Feiertagsregeln'!$A$7:$A$96,0))</f>
        <v>46475</v>
      </c>
      <c r="B13" s="71" t="str">
        <f>IF(ISNUMBER(A13),CHOOSE(WEEKDAY(A13,2),"Montag","Dienstag","Mittwoch","Donnerstag","Freitag","Samstag","Sonntag"),"n.a.")</f>
        <v>Montag</v>
      </c>
      <c r="C13" s="71" t="str">
        <v>CH-BE</v>
      </c>
      <c r="D13" s="71" t="str">
        <v>Kanton Bern</v>
      </c>
      <c r="E13" s="71" t="str">
        <f>INDEX('Feiertagsregeln'!$D$7:$D$96,MATCH($K13,'Feiertagsregeln'!$A$7:$A$96,0))</f>
        <v>Ostermontag</v>
      </c>
      <c r="F13" s="71" t="str">
        <f>INDEX('Feiertagsregeln'!$E$7:$E$96,MATCH($K13,'Feiertagsregeln'!$A$7:$A$96,0))</f>
        <v>Lundi de Pâques</v>
      </c>
      <c r="G13" s="72" t="str">
        <f>IF(INDEX('Feiertagsregeln'!$F$7:$F$96,MATCH($K13,'Feiertagsregeln'!$A$7:$A$96,0))="","Noch zu erfassen",INDEX('Feiertagsregeln'!$F$7:$F$96,MATCH($K13,'Feiertagsregeln'!$A$7:$A$96,0)))</f>
        <v>Noch zu erfassen</v>
      </c>
      <c r="H13" s="72" t="str">
        <f>IF(INDEX('Feiertagsregeln'!$G$7:$G$96,MATCH($K13,'Feiertagsregeln'!$A$7:$A$96,0))="","Noch zu erfassen",INDEX('Feiertagsregeln'!$G$7:$G$96,MATCH($K13,'Feiertagsregeln'!$A$7:$A$96,0)))</f>
        <v>Noch zu erfassen</v>
      </c>
      <c r="I13" s="71" t="str">
        <f>INDEX('Feiertagsregeln'!$H$7:$H$96,MATCH($K13,'Feiertagsregeln'!$A$7:$A$96,0))</f>
        <v>publicHoliday</v>
      </c>
      <c r="J13" s="71" t="str">
        <f>INDEX('Feiertagsregeln'!$R$7:$R$96,MATCH($K13,'Feiertagsregeln'!$A$7:$A$96,0))</f>
        <v>approved</v>
      </c>
      <c r="K13" s="71" t="str">
        <v>BE-CAL-HOL-EASTER-MONDAY</v>
      </c>
      <c r="L13" s="71" t="str">
        <f>INDEX('Feiertagsregeln'!$Y$7:$Y$96,MATCH($K13,'Feiertagsregeln'!$A$7:$A$96,0))</f>
        <v>SRC-FRG-BE-20210401</v>
      </c>
      <c r="M13" s="71" t="str">
        <f>INDEX('Feiertagsregeln'!$Z$7:$Z$96,MATCH($K13,'Feiertagsregeln'!$A$7:$A$96,0))</f>
        <v>Art. 2 Abs. 1 Bst. c</v>
      </c>
      <c r="N13" s="71" t="str">
        <v>Referenzbestand</v>
      </c>
    </row>
    <row r="14" ht="38" customHeight="1">
      <c r="A14" s="73" t="n">
        <f>INDEX('Feiertagsregeln'!$X$7:$X$96,MATCH($K14,'Feiertagsregeln'!$A$7:$A$96,0))</f>
        <v>46513</v>
      </c>
      <c r="B14" s="74" t="str">
        <f>IF(ISNUMBER(A14),CHOOSE(WEEKDAY(A14,2),"Montag","Dienstag","Mittwoch","Donnerstag","Freitag","Samstag","Sonntag"),"n.a.")</f>
        <v>Donnerstag</v>
      </c>
      <c r="C14" s="74" t="str">
        <v>CH-BE</v>
      </c>
      <c r="D14" s="74" t="str">
        <v>Kanton Bern</v>
      </c>
      <c r="E14" s="74" t="str">
        <f>INDEX('Feiertagsregeln'!$D$7:$D$96,MATCH($K14,'Feiertagsregeln'!$A$7:$A$96,0))</f>
        <v>Auffahrt</v>
      </c>
      <c r="F14" s="74" t="str">
        <f>INDEX('Feiertagsregeln'!$E$7:$E$96,MATCH($K14,'Feiertagsregeln'!$A$7:$A$96,0))</f>
        <v>Ascension</v>
      </c>
      <c r="G14" s="75" t="str">
        <f>IF(INDEX('Feiertagsregeln'!$F$7:$F$96,MATCH($K14,'Feiertagsregeln'!$A$7:$A$96,0))="","Noch zu erfassen",INDEX('Feiertagsregeln'!$F$7:$F$96,MATCH($K14,'Feiertagsregeln'!$A$7:$A$96,0)))</f>
        <v>Noch zu erfassen</v>
      </c>
      <c r="H14" s="75" t="str">
        <f>IF(INDEX('Feiertagsregeln'!$G$7:$G$96,MATCH($K14,'Feiertagsregeln'!$A$7:$A$96,0))="","Noch zu erfassen",INDEX('Feiertagsregeln'!$G$7:$G$96,MATCH($K14,'Feiertagsregeln'!$A$7:$A$96,0)))</f>
        <v>Noch zu erfassen</v>
      </c>
      <c r="I14" s="74" t="str">
        <f>INDEX('Feiertagsregeln'!$H$7:$H$96,MATCH($K14,'Feiertagsregeln'!$A$7:$A$96,0))</f>
        <v>publicHoliday</v>
      </c>
      <c r="J14" s="74" t="str">
        <f>INDEX('Feiertagsregeln'!$R$7:$R$96,MATCH($K14,'Feiertagsregeln'!$A$7:$A$96,0))</f>
        <v>approved</v>
      </c>
      <c r="K14" s="74" t="str">
        <v>BE-CAL-HOL-ASCENSION</v>
      </c>
      <c r="L14" s="74" t="str">
        <f>INDEX('Feiertagsregeln'!$Y$7:$Y$96,MATCH($K14,'Feiertagsregeln'!$A$7:$A$96,0))</f>
        <v>SRC-FRG-BE-20210401</v>
      </c>
      <c r="M14" s="74" t="str">
        <f>INDEX('Feiertagsregeln'!$Z$7:$Z$96,MATCH($K14,'Feiertagsregeln'!$A$7:$A$96,0))</f>
        <v>Art. 2 Abs. 1 Bst. b</v>
      </c>
      <c r="N14" s="74" t="str">
        <v>Referenzbestand</v>
      </c>
    </row>
    <row r="15" ht="38" customHeight="1">
      <c r="A15" s="70" t="n">
        <f>INDEX('Feiertagsregeln'!$X$7:$X$96,MATCH($K15,'Feiertagsregeln'!$A$7:$A$96,0))</f>
        <v>46523</v>
      </c>
      <c r="B15" s="71" t="str">
        <f>IF(ISNUMBER(A15),CHOOSE(WEEKDAY(A15,2),"Montag","Dienstag","Mittwoch","Donnerstag","Freitag","Samstag","Sonntag"),"n.a.")</f>
        <v>Sonntag</v>
      </c>
      <c r="C15" s="71" t="str">
        <v>CH-BE</v>
      </c>
      <c r="D15" s="71" t="str">
        <v>Kanton Bern</v>
      </c>
      <c r="E15" s="71" t="str">
        <f>INDEX('Feiertagsregeln'!$D$7:$D$96,MATCH($K15,'Feiertagsregeln'!$A$7:$A$96,0))</f>
        <v>Pfingsten</v>
      </c>
      <c r="F15" s="71" t="str">
        <f>INDEX('Feiertagsregeln'!$E$7:$E$96,MATCH($K15,'Feiertagsregeln'!$A$7:$A$96,0))</f>
        <v>Pentecôte</v>
      </c>
      <c r="G15" s="72" t="str">
        <f>IF(INDEX('Feiertagsregeln'!$F$7:$F$96,MATCH($K15,'Feiertagsregeln'!$A$7:$A$96,0))="","Noch zu erfassen",INDEX('Feiertagsregeln'!$F$7:$F$96,MATCH($K15,'Feiertagsregeln'!$A$7:$A$96,0)))</f>
        <v>Noch zu erfassen</v>
      </c>
      <c r="H15" s="72" t="str">
        <f>IF(INDEX('Feiertagsregeln'!$G$7:$G$96,MATCH($K15,'Feiertagsregeln'!$A$7:$A$96,0))="","Noch zu erfassen",INDEX('Feiertagsregeln'!$G$7:$G$96,MATCH($K15,'Feiertagsregeln'!$A$7:$A$96,0)))</f>
        <v>Noch zu erfassen</v>
      </c>
      <c r="I15" s="71" t="str">
        <f>INDEX('Feiertagsregeln'!$H$7:$H$96,MATCH($K15,'Feiertagsregeln'!$A$7:$A$96,0))</f>
        <v>publicHoliday</v>
      </c>
      <c r="J15" s="71" t="str">
        <f>INDEX('Feiertagsregeln'!$R$7:$R$96,MATCH($K15,'Feiertagsregeln'!$A$7:$A$96,0))</f>
        <v>approved</v>
      </c>
      <c r="K15" s="71" t="str">
        <v>BE-CAL-HOL-PENTECOST</v>
      </c>
      <c r="L15" s="71" t="str">
        <f>INDEX('Feiertagsregeln'!$Y$7:$Y$96,MATCH($K15,'Feiertagsregeln'!$A$7:$A$96,0))</f>
        <v>SRC-FRG-BE-20210401</v>
      </c>
      <c r="M15" s="71" t="str">
        <f>INDEX('Feiertagsregeln'!$Z$7:$Z$96,MATCH($K15,'Feiertagsregeln'!$A$7:$A$96,0))</f>
        <v>Art. 2 Abs. 1 Bst. b</v>
      </c>
      <c r="N15" s="71" t="str">
        <v>Referenzbestand</v>
      </c>
    </row>
    <row r="16" ht="38" customHeight="1">
      <c r="A16" s="73" t="n">
        <f>INDEX('Feiertagsregeln'!$X$7:$X$96,MATCH($K16,'Feiertagsregeln'!$A$7:$A$96,0))</f>
        <v>46524</v>
      </c>
      <c r="B16" s="74" t="str">
        <f>IF(ISNUMBER(A16),CHOOSE(WEEKDAY(A16,2),"Montag","Dienstag","Mittwoch","Donnerstag","Freitag","Samstag","Sonntag"),"n.a.")</f>
        <v>Montag</v>
      </c>
      <c r="C16" s="74" t="str">
        <v>CH-BE</v>
      </c>
      <c r="D16" s="74" t="str">
        <v>Kanton Bern</v>
      </c>
      <c r="E16" s="74" t="str">
        <f>INDEX('Feiertagsregeln'!$D$7:$D$96,MATCH($K16,'Feiertagsregeln'!$A$7:$A$96,0))</f>
        <v>Pfingstmontag</v>
      </c>
      <c r="F16" s="74" t="str">
        <f>INDEX('Feiertagsregeln'!$E$7:$E$96,MATCH($K16,'Feiertagsregeln'!$A$7:$A$96,0))</f>
        <v>Lundi de Pentecôte</v>
      </c>
      <c r="G16" s="75" t="str">
        <f>IF(INDEX('Feiertagsregeln'!$F$7:$F$96,MATCH($K16,'Feiertagsregeln'!$A$7:$A$96,0))="","Noch zu erfassen",INDEX('Feiertagsregeln'!$F$7:$F$96,MATCH($K16,'Feiertagsregeln'!$A$7:$A$96,0)))</f>
        <v>Noch zu erfassen</v>
      </c>
      <c r="H16" s="75" t="str">
        <f>IF(INDEX('Feiertagsregeln'!$G$7:$G$96,MATCH($K16,'Feiertagsregeln'!$A$7:$A$96,0))="","Noch zu erfassen",INDEX('Feiertagsregeln'!$G$7:$G$96,MATCH($K16,'Feiertagsregeln'!$A$7:$A$96,0)))</f>
        <v>Noch zu erfassen</v>
      </c>
      <c r="I16" s="74" t="str">
        <f>INDEX('Feiertagsregeln'!$H$7:$H$96,MATCH($K16,'Feiertagsregeln'!$A$7:$A$96,0))</f>
        <v>publicHoliday</v>
      </c>
      <c r="J16" s="74" t="str">
        <f>INDEX('Feiertagsregeln'!$R$7:$R$96,MATCH($K16,'Feiertagsregeln'!$A$7:$A$96,0))</f>
        <v>approved</v>
      </c>
      <c r="K16" s="74" t="str">
        <v>BE-CAL-HOL-WHIT-MONDAY</v>
      </c>
      <c r="L16" s="74" t="str">
        <f>INDEX('Feiertagsregeln'!$Y$7:$Y$96,MATCH($K16,'Feiertagsregeln'!$A$7:$A$96,0))</f>
        <v>SRC-FRG-BE-20210401</v>
      </c>
      <c r="M16" s="74" t="str">
        <f>INDEX('Feiertagsregeln'!$Z$7:$Z$96,MATCH($K16,'Feiertagsregeln'!$A$7:$A$96,0))</f>
        <v>Art. 2 Abs. 1 Bst. c</v>
      </c>
      <c r="N16" s="74" t="str">
        <v>Referenzbestand</v>
      </c>
    </row>
    <row r="17" ht="38" customHeight="1">
      <c r="A17" s="70" t="n">
        <f>INDEX('Feiertagsregeln'!$X$7:$X$96,MATCH($K17,'Feiertagsregeln'!$A$7:$A$96,0))</f>
        <v>46649</v>
      </c>
      <c r="B17" s="71" t="str">
        <f>IF(ISNUMBER(A17),CHOOSE(WEEKDAY(A17,2),"Montag","Dienstag","Mittwoch","Donnerstag","Freitag","Samstag","Sonntag"),"n.a.")</f>
        <v>Sonntag</v>
      </c>
      <c r="C17" s="71" t="str">
        <v>CH-BE</v>
      </c>
      <c r="D17" s="71" t="str">
        <v>Kanton Bern</v>
      </c>
      <c r="E17" s="71" t="str">
        <f>INDEX('Feiertagsregeln'!$D$7:$D$96,MATCH($K17,'Feiertagsregeln'!$A$7:$A$96,0))</f>
        <v>Eidgenössischer Dank-, Buss- und Bettag</v>
      </c>
      <c r="F17" s="71" t="str">
        <f>INDEX('Feiertagsregeln'!$E$7:$E$96,MATCH($K17,'Feiertagsregeln'!$A$7:$A$96,0))</f>
        <v>Jeûne fédéral</v>
      </c>
      <c r="G17" s="72" t="str">
        <f>IF(INDEX('Feiertagsregeln'!$F$7:$F$96,MATCH($K17,'Feiertagsregeln'!$A$7:$A$96,0))="","Noch zu erfassen",INDEX('Feiertagsregeln'!$F$7:$F$96,MATCH($K17,'Feiertagsregeln'!$A$7:$A$96,0)))</f>
        <v>Noch zu erfassen</v>
      </c>
      <c r="H17" s="72" t="str">
        <f>IF(INDEX('Feiertagsregeln'!$G$7:$G$96,MATCH($K17,'Feiertagsregeln'!$A$7:$A$96,0))="","Noch zu erfassen",INDEX('Feiertagsregeln'!$G$7:$G$96,MATCH($K17,'Feiertagsregeln'!$A$7:$A$96,0)))</f>
        <v>Noch zu erfassen</v>
      </c>
      <c r="I17" s="71" t="str">
        <f>INDEX('Feiertagsregeln'!$H$7:$H$96,MATCH($K17,'Feiertagsregeln'!$A$7:$A$96,0))</f>
        <v>publicHoliday</v>
      </c>
      <c r="J17" s="71" t="str">
        <f>INDEX('Feiertagsregeln'!$R$7:$R$96,MATCH($K17,'Feiertagsregeln'!$A$7:$A$96,0))</f>
        <v>approved</v>
      </c>
      <c r="K17" s="71" t="str">
        <v>BE-CAL-HOL-FEDERAL-FAST</v>
      </c>
      <c r="L17" s="71" t="str">
        <f>INDEX('Feiertagsregeln'!$Y$7:$Y$96,MATCH($K17,'Feiertagsregeln'!$A$7:$A$96,0))</f>
        <v>SRC-FRG-BE-20210401</v>
      </c>
      <c r="M17" s="71" t="str">
        <f>INDEX('Feiertagsregeln'!$Z$7:$Z$96,MATCH($K17,'Feiertagsregeln'!$A$7:$A$96,0))</f>
        <v>Art. 2 Abs. 1 Bst. b</v>
      </c>
      <c r="N17" s="71" t="str">
        <v>Referenzbestand</v>
      </c>
    </row>
    <row r="18" ht="38" customHeight="1">
      <c r="A18" s="73" t="n">
        <f>INDEX('Feiertagsregeln'!$X$7:$X$96,MATCH($K18,'Feiertagsregeln'!$A$7:$A$96,0))</f>
        <v>46746</v>
      </c>
      <c r="B18" s="74" t="str">
        <f>IF(ISNUMBER(A18),CHOOSE(WEEKDAY(A18,2),"Montag","Dienstag","Mittwoch","Donnerstag","Freitag","Samstag","Sonntag"),"n.a.")</f>
        <v>Samstag</v>
      </c>
      <c r="C18" s="74" t="str">
        <v>CH-BE</v>
      </c>
      <c r="D18" s="74" t="str">
        <v>Kanton Bern</v>
      </c>
      <c r="E18" s="74" t="str">
        <f>INDEX('Feiertagsregeln'!$D$7:$D$96,MATCH($K18,'Feiertagsregeln'!$A$7:$A$96,0))</f>
        <v>Weihnachten</v>
      </c>
      <c r="F18" s="74" t="str">
        <f>INDEX('Feiertagsregeln'!$E$7:$E$96,MATCH($K18,'Feiertagsregeln'!$A$7:$A$96,0))</f>
        <v>Noël</v>
      </c>
      <c r="G18" s="75" t="str">
        <f>IF(INDEX('Feiertagsregeln'!$F$7:$F$96,MATCH($K18,'Feiertagsregeln'!$A$7:$A$96,0))="","Noch zu erfassen",INDEX('Feiertagsregeln'!$F$7:$F$96,MATCH($K18,'Feiertagsregeln'!$A$7:$A$96,0)))</f>
        <v>Noch zu erfassen</v>
      </c>
      <c r="H18" s="75" t="str">
        <f>IF(INDEX('Feiertagsregeln'!$G$7:$G$96,MATCH($K18,'Feiertagsregeln'!$A$7:$A$96,0))="","Noch zu erfassen",INDEX('Feiertagsregeln'!$G$7:$G$96,MATCH($K18,'Feiertagsregeln'!$A$7:$A$96,0)))</f>
        <v>Noch zu erfassen</v>
      </c>
      <c r="I18" s="74" t="str">
        <f>INDEX('Feiertagsregeln'!$H$7:$H$96,MATCH($K18,'Feiertagsregeln'!$A$7:$A$96,0))</f>
        <v>publicHoliday</v>
      </c>
      <c r="J18" s="74" t="str">
        <f>INDEX('Feiertagsregeln'!$R$7:$R$96,MATCH($K18,'Feiertagsregeln'!$A$7:$A$96,0))</f>
        <v>approved</v>
      </c>
      <c r="K18" s="74" t="str">
        <v>BE-CAL-HOL-CHRISTMAS</v>
      </c>
      <c r="L18" s="74" t="str">
        <f>INDEX('Feiertagsregeln'!$Y$7:$Y$96,MATCH($K18,'Feiertagsregeln'!$A$7:$A$96,0))</f>
        <v>SRC-FRG-BE-20210401</v>
      </c>
      <c r="M18" s="74" t="str">
        <f>INDEX('Feiertagsregeln'!$Z$7:$Z$96,MATCH($K18,'Feiertagsregeln'!$A$7:$A$96,0))</f>
        <v>Art. 2 Abs. 1 Bst. b</v>
      </c>
      <c r="N18" s="74" t="str">
        <v>Referenzbestand</v>
      </c>
    </row>
    <row r="19" ht="38" customHeight="1">
      <c r="A19" s="70" t="n">
        <f>INDEX('Feiertagsregeln'!$X$7:$X$96,MATCH($K19,'Feiertagsregeln'!$A$7:$A$96,0))</f>
        <v>46747</v>
      </c>
      <c r="B19" s="71" t="str">
        <f>IF(ISNUMBER(A19),CHOOSE(WEEKDAY(A19,2),"Montag","Dienstag","Mittwoch","Donnerstag","Freitag","Samstag","Sonntag"),"n.a.")</f>
        <v>Sonntag</v>
      </c>
      <c r="C19" s="71" t="str">
        <v>CH-BE</v>
      </c>
      <c r="D19" s="71" t="str">
        <v>Kanton Bern</v>
      </c>
      <c r="E19" s="71" t="str">
        <f>INDEX('Feiertagsregeln'!$D$7:$D$96,MATCH($K19,'Feiertagsregeln'!$A$7:$A$96,0))</f>
        <v>Stephanstag</v>
      </c>
      <c r="F19" s="71" t="str">
        <f>INDEX('Feiertagsregeln'!$E$7:$E$96,MATCH($K19,'Feiertagsregeln'!$A$7:$A$96,0))</f>
        <v>Saint-Étienne</v>
      </c>
      <c r="G19" s="72" t="str">
        <f>IF(INDEX('Feiertagsregeln'!$F$7:$F$96,MATCH($K19,'Feiertagsregeln'!$A$7:$A$96,0))="","Noch zu erfassen",INDEX('Feiertagsregeln'!$F$7:$F$96,MATCH($K19,'Feiertagsregeln'!$A$7:$A$96,0)))</f>
        <v>Noch zu erfassen</v>
      </c>
      <c r="H19" s="72" t="str">
        <f>IF(INDEX('Feiertagsregeln'!$G$7:$G$96,MATCH($K19,'Feiertagsregeln'!$A$7:$A$96,0))="","Noch zu erfassen",INDEX('Feiertagsregeln'!$G$7:$G$96,MATCH($K19,'Feiertagsregeln'!$A$7:$A$96,0)))</f>
        <v>Noch zu erfassen</v>
      </c>
      <c r="I19" s="71" t="str">
        <f>INDEX('Feiertagsregeln'!$H$7:$H$96,MATCH($K19,'Feiertagsregeln'!$A$7:$A$96,0))</f>
        <v>publicHoliday</v>
      </c>
      <c r="J19" s="71" t="str">
        <f>INDEX('Feiertagsregeln'!$R$7:$R$96,MATCH($K19,'Feiertagsregeln'!$A$7:$A$96,0))</f>
        <v>approved</v>
      </c>
      <c r="K19" s="71" t="str">
        <v>BE-CAL-HOL-ST-STEPHEN</v>
      </c>
      <c r="L19" s="71" t="str">
        <f>INDEX('Feiertagsregeln'!$Y$7:$Y$96,MATCH($K19,'Feiertagsregeln'!$A$7:$A$96,0))</f>
        <v>SRC-FRG-BE-20210401</v>
      </c>
      <c r="M19" s="71" t="str">
        <f>INDEX('Feiertagsregeln'!$Z$7:$Z$96,MATCH($K19,'Feiertagsregeln'!$A$7:$A$96,0))</f>
        <v>Art. 2 Abs. 1 Bst. c</v>
      </c>
      <c r="N19" s="71" t="str">
        <v>Referenzbestand</v>
      </c>
    </row>
    <row r="20" ht="38" customHeight="1">
      <c r="A20" s="73" t="n">
        <f>INDEX('Feiertagsregeln'!$X$7:$X$96,MATCH($K20,'Feiertagsregeln'!$A$7:$A$96,0))</f>
        <v>46534</v>
      </c>
      <c r="B20" s="74" t="str">
        <f>IF(ISNUMBER(A20),CHOOSE(WEEKDAY(A20,2),"Montag","Dienstag","Mittwoch","Donnerstag","Freitag","Samstag","Sonntag"),"n.a.")</f>
        <v>Donnerstag</v>
      </c>
      <c r="C20" s="74" t="str">
        <v>CH-AG</v>
      </c>
      <c r="D20" s="74" t="str">
        <v>Bezirk Baden ohne Bergdietikon</v>
      </c>
      <c r="E20" s="74" t="str">
        <f>INDEX('Feiertagsregeln'!$D$7:$D$96,MATCH($K20,'Feiertagsregeln'!$A$7:$A$96,0))</f>
        <v>Fronleichnam</v>
      </c>
      <c r="F20" s="74" t="str">
        <f>INDEX('Feiertagsregeln'!$E$7:$E$96,MATCH($K20,'Feiertagsregeln'!$A$7:$A$96,0))</f>
        <v>Fête-Dieu</v>
      </c>
      <c r="G20" s="75" t="str">
        <f>IF(INDEX('Feiertagsregeln'!$F$7:$F$96,MATCH($K20,'Feiertagsregeln'!$A$7:$A$96,0))="","Noch zu erfassen",INDEX('Feiertagsregeln'!$F$7:$F$96,MATCH($K20,'Feiertagsregeln'!$A$7:$A$96,0)))</f>
        <v>Noch zu erfassen</v>
      </c>
      <c r="H20" s="75" t="str">
        <f>IF(INDEX('Feiertagsregeln'!$G$7:$G$96,MATCH($K20,'Feiertagsregeln'!$A$7:$A$96,0))="","Noch zu erfassen",INDEX('Feiertagsregeln'!$G$7:$G$96,MATCH($K20,'Feiertagsregeln'!$A$7:$A$96,0)))</f>
        <v>Noch zu erfassen</v>
      </c>
      <c r="I20" s="74" t="str">
        <f>INDEX('Feiertagsregeln'!$H$7:$H$96,MATCH($K20,'Feiertagsregeln'!$A$7:$A$96,0))</f>
        <v>labourLawHoliday</v>
      </c>
      <c r="J20" s="74" t="str">
        <v>open</v>
      </c>
      <c r="K20" s="74" t="str">
        <v>AG-WORK-HOL-CORPUS-CHRISTI</v>
      </c>
      <c r="L20" s="74" t="str">
        <f>INDEX('Feiertagsregeln'!$Y$7:$Y$96,MATCH($K20,'Feiertagsregeln'!$A$7:$A$96,0))</f>
        <v>SRC-AG-EGARR-20250901</v>
      </c>
      <c r="M20" s="74" t="str">
        <f>INDEX('Feiertagsregeln'!$Z$7:$Z$96,MATCH($K20,'Feiertagsregeln'!$A$7:$A$96,0))</f>
        <v>§ 6 Abs. 1 Bst. b Ziff. 2</v>
      </c>
      <c r="N20" s="74" t="str">
        <v>Normliste erfasst, Fachfreigabe offen</v>
      </c>
    </row>
    <row r="21" ht="38" customHeight="1">
      <c r="A21" s="70" t="n">
        <f>INDEX('Feiertagsregeln'!$X$7:$X$96,MATCH($K21,'Feiertagsregeln'!$A$7:$A$96,0))</f>
        <v>46389</v>
      </c>
      <c r="B21" s="71" t="str">
        <f>IF(ISNUMBER(A21),CHOOSE(WEEKDAY(A21,2),"Montag","Dienstag","Mittwoch","Donnerstag","Freitag","Samstag","Sonntag"),"n.a.")</f>
        <v>Samstag</v>
      </c>
      <c r="C21" s="71" t="str">
        <v>CH-AG</v>
      </c>
      <c r="D21" s="71" t="str">
        <v>Gemeinde Bergdietikon</v>
      </c>
      <c r="E21" s="71" t="str">
        <f>INDEX('Feiertagsregeln'!$D$7:$D$96,MATCH($K21,'Feiertagsregeln'!$A$7:$A$96,0))</f>
        <v>Berchtoldstag</v>
      </c>
      <c r="F21" s="71" t="str">
        <f>INDEX('Feiertagsregeln'!$E$7:$E$96,MATCH($K21,'Feiertagsregeln'!$A$7:$A$96,0))</f>
        <v>Saint-Berchtold</v>
      </c>
      <c r="G21" s="72" t="str">
        <f>IF(INDEX('Feiertagsregeln'!$F$7:$F$96,MATCH($K21,'Feiertagsregeln'!$A$7:$A$96,0))="","Noch zu erfassen",INDEX('Feiertagsregeln'!$F$7:$F$96,MATCH($K21,'Feiertagsregeln'!$A$7:$A$96,0)))</f>
        <v>Noch zu erfassen</v>
      </c>
      <c r="H21" s="72" t="str">
        <f>IF(INDEX('Feiertagsregeln'!$G$7:$G$96,MATCH($K21,'Feiertagsregeln'!$A$7:$A$96,0))="","Noch zu erfassen",INDEX('Feiertagsregeln'!$G$7:$G$96,MATCH($K21,'Feiertagsregeln'!$A$7:$A$96,0)))</f>
        <v>Noch zu erfassen</v>
      </c>
      <c r="I21" s="71" t="str">
        <f>INDEX('Feiertagsregeln'!$H$7:$H$96,MATCH($K21,'Feiertagsregeln'!$A$7:$A$96,0))</f>
        <v>labourLawHoliday</v>
      </c>
      <c r="J21" s="71" t="str">
        <v>open</v>
      </c>
      <c r="K21" s="71" t="str">
        <v>AG-WORK-HOL-BERCHTOLD</v>
      </c>
      <c r="L21" s="71" t="str">
        <f>INDEX('Feiertagsregeln'!$Y$7:$Y$96,MATCH($K21,'Feiertagsregeln'!$A$7:$A$96,0))</f>
        <v>SRC-AG-EGARR-20250901</v>
      </c>
      <c r="M21" s="71" t="str">
        <f>INDEX('Feiertagsregeln'!$Z$7:$Z$96,MATCH($K21,'Feiertagsregeln'!$A$7:$A$96,0))</f>
        <v>§ 6 Abs. 1 Bst. b Ziff. 1</v>
      </c>
      <c r="N21" s="71" t="str">
        <v>Normliste erfasst, Fachfreigabe offen</v>
      </c>
    </row>
    <row r="22" ht="38" customHeight="1">
      <c r="A22" s="73" t="n">
        <f>INDEX('Feiertagsregeln'!$X$7:$X$96,MATCH($K22,'Feiertagsregeln'!$A$7:$A$96,0))</f>
        <v>46692</v>
      </c>
      <c r="B22" s="74" t="str">
        <f>IF(ISNUMBER(A22),CHOOSE(WEEKDAY(A22,2),"Montag","Dienstag","Mittwoch","Donnerstag","Freitag","Samstag","Sonntag"),"n.a.")</f>
        <v>Montag</v>
      </c>
      <c r="C22" s="74" t="str">
        <v>CH-AG</v>
      </c>
      <c r="D22" s="74" t="str">
        <v>Aargau, prozessuale Zuordnung</v>
      </c>
      <c r="E22" s="74" t="str">
        <f>INDEX('Feiertagsregeln'!$D$7:$D$96,MATCH($K22,'Feiertagsregeln'!$A$7:$A$96,0))</f>
        <v>Allerheiligen</v>
      </c>
      <c r="F22" s="74" t="str">
        <f>INDEX('Feiertagsregeln'!$E$7:$E$96,MATCH($K22,'Feiertagsregeln'!$A$7:$A$96,0))</f>
        <v>Toussaint</v>
      </c>
      <c r="G22" s="75" t="str">
        <f>IF(INDEX('Feiertagsregeln'!$F$7:$F$96,MATCH($K22,'Feiertagsregeln'!$A$7:$A$96,0))="","Noch zu erfassen",INDEX('Feiertagsregeln'!$F$7:$F$96,MATCH($K22,'Feiertagsregeln'!$A$7:$A$96,0)))</f>
        <v>Noch zu erfassen</v>
      </c>
      <c r="H22" s="75" t="str">
        <f>IF(INDEX('Feiertagsregeln'!$G$7:$G$96,MATCH($K22,'Feiertagsregeln'!$A$7:$A$96,0))="","Noch zu erfassen",INDEX('Feiertagsregeln'!$G$7:$G$96,MATCH($K22,'Feiertagsregeln'!$A$7:$A$96,0)))</f>
        <v>Noch zu erfassen</v>
      </c>
      <c r="I22" s="74" t="str">
        <f>INDEX('Feiertagsregeln'!$H$7:$H$96,MATCH($K22,'Feiertagsregeln'!$A$7:$A$96,0))</f>
        <v>proceduralEquivalentDay</v>
      </c>
      <c r="J22" s="74" t="str">
        <v>open</v>
      </c>
      <c r="K22" s="74" t="str">
        <v>AG-PROC-DAY-ALL-SAINTS</v>
      </c>
      <c r="L22" s="74" t="str">
        <f>INDEX('Feiertagsregeln'!$Y$7:$Y$96,MATCH($K22,'Feiertagsregeln'!$A$7:$A$96,0))</f>
        <v>SRC-AG-EGZPO</v>
      </c>
      <c r="M22" s="74" t="str">
        <f>INDEX('Feiertagsregeln'!$Z$7:$Z$96,MATCH($K22,'Feiertagsregeln'!$A$7:$A$96,0))</f>
        <v>§ 21</v>
      </c>
      <c r="N22" s="74" t="str">
        <v>Normliste erfasst, Fachfreigabe offen</v>
      </c>
    </row>
    <row r="23" ht="38" customHeight="1">
      <c r="A23" s="70" t="n">
        <f>INDEX('Feiertagsregeln'!$X$7:$X$96,MATCH($K23,'Feiertagsregeln'!$A$7:$A$96,0))</f>
        <v>46388</v>
      </c>
      <c r="B23" s="71" t="str">
        <f>IF(ISNUMBER(A23),CHOOSE(WEEKDAY(A23,2),"Montag","Dienstag","Mittwoch","Donnerstag","Freitag","Samstag","Sonntag"),"n.a.")</f>
        <v>Freitag</v>
      </c>
      <c r="C23" s="71" t="str">
        <v>CH-AG</v>
      </c>
      <c r="D23" s="71" t="str">
        <v>Bezirke Aarau, Brugg, Kulm, Lenzburg und Zofingen</v>
      </c>
      <c r="E23" s="71" t="str">
        <f>INDEX('Feiertagsregeln'!$D$7:$D$96,MATCH($K23,'Feiertagsregeln'!$A$7:$A$96,0))</f>
        <v>Neujahr</v>
      </c>
      <c r="F23" s="71" t="str">
        <f>INDEX('Feiertagsregeln'!$E$7:$E$96,MATCH($K23,'Feiertagsregeln'!$A$7:$A$96,0))</f>
        <v>Nouvel An</v>
      </c>
      <c r="G23" s="72" t="str">
        <f>IF(INDEX('Feiertagsregeln'!$F$7:$F$96,MATCH($K23,'Feiertagsregeln'!$A$7:$A$96,0))="","Noch zu erfassen",INDEX('Feiertagsregeln'!$F$7:$F$96,MATCH($K23,'Feiertagsregeln'!$A$7:$A$96,0)))</f>
        <v>Noch zu erfassen</v>
      </c>
      <c r="H23" s="72" t="str">
        <f>IF(INDEX('Feiertagsregeln'!$G$7:$G$96,MATCH($K23,'Feiertagsregeln'!$A$7:$A$96,0))="","Noch zu erfassen",INDEX('Feiertagsregeln'!$G$7:$G$96,MATCH($K23,'Feiertagsregeln'!$A$7:$A$96,0)))</f>
        <v>Noch zu erfassen</v>
      </c>
      <c r="I23" s="71" t="str">
        <f>INDEX('Feiertagsregeln'!$H$7:$H$96,MATCH($K23,'Feiertagsregeln'!$A$7:$A$96,0))</f>
        <v>labourLawHoliday</v>
      </c>
      <c r="J23" s="71" t="str">
        <v>open</v>
      </c>
      <c r="K23" s="71" t="str">
        <v>AG-WORK-HOL-A-NEW-YEAR</v>
      </c>
      <c r="L23" s="71" t="str">
        <f>INDEX('Feiertagsregeln'!$Y$7:$Y$96,MATCH($K23,'Feiertagsregeln'!$A$7:$A$96,0))</f>
        <v>SRC-AG-EGARR-20250901</v>
      </c>
      <c r="M23" s="71" t="str">
        <f>INDEX('Feiertagsregeln'!$Z$7:$Z$96,MATCH($K23,'Feiertagsregeln'!$A$7:$A$96,0))</f>
        <v>§ 6 Abs. 1 Bst. a</v>
      </c>
      <c r="N23" s="71" t="str">
        <v>Normliste erfasst, Fachfreigabe offen</v>
      </c>
    </row>
    <row r="24" ht="38" customHeight="1">
      <c r="A24" s="73" t="n">
        <f>INDEX('Feiertagsregeln'!$X$7:$X$96,MATCH($K24,'Feiertagsregeln'!$A$7:$A$96,0))</f>
        <v>46389</v>
      </c>
      <c r="B24" s="74" t="str">
        <f>IF(ISNUMBER(A24),CHOOSE(WEEKDAY(A24,2),"Montag","Dienstag","Mittwoch","Donnerstag","Freitag","Samstag","Sonntag"),"n.a.")</f>
        <v>Samstag</v>
      </c>
      <c r="C24" s="74" t="str">
        <v>CH-AG</v>
      </c>
      <c r="D24" s="74" t="str">
        <v>Bezirke Aarau, Brugg, Kulm, Lenzburg und Zofingen</v>
      </c>
      <c r="E24" s="74" t="str">
        <f>INDEX('Feiertagsregeln'!$D$7:$D$96,MATCH($K24,'Feiertagsregeln'!$A$7:$A$96,0))</f>
        <v>Berchtoldstag</v>
      </c>
      <c r="F24" s="74" t="str">
        <f>INDEX('Feiertagsregeln'!$E$7:$E$96,MATCH($K24,'Feiertagsregeln'!$A$7:$A$96,0))</f>
        <v>Saint-Berchtold</v>
      </c>
      <c r="G24" s="75" t="str">
        <f>IF(INDEX('Feiertagsregeln'!$F$7:$F$96,MATCH($K24,'Feiertagsregeln'!$A$7:$A$96,0))="","Noch zu erfassen",INDEX('Feiertagsregeln'!$F$7:$F$96,MATCH($K24,'Feiertagsregeln'!$A$7:$A$96,0)))</f>
        <v>Noch zu erfassen</v>
      </c>
      <c r="H24" s="75" t="str">
        <f>IF(INDEX('Feiertagsregeln'!$G$7:$G$96,MATCH($K24,'Feiertagsregeln'!$A$7:$A$96,0))="","Noch zu erfassen",INDEX('Feiertagsregeln'!$G$7:$G$96,MATCH($K24,'Feiertagsregeln'!$A$7:$A$96,0)))</f>
        <v>Noch zu erfassen</v>
      </c>
      <c r="I24" s="74" t="str">
        <f>INDEX('Feiertagsregeln'!$H$7:$H$96,MATCH($K24,'Feiertagsregeln'!$A$7:$A$96,0))</f>
        <v>labourLawHoliday</v>
      </c>
      <c r="J24" s="74" t="str">
        <v>open</v>
      </c>
      <c r="K24" s="74" t="str">
        <v>AG-WORK-HOL-A-BERCHTOLD</v>
      </c>
      <c r="L24" s="74" t="str">
        <f>INDEX('Feiertagsregeln'!$Y$7:$Y$96,MATCH($K24,'Feiertagsregeln'!$A$7:$A$96,0))</f>
        <v>SRC-AG-EGARR-20250901</v>
      </c>
      <c r="M24" s="74" t="str">
        <f>INDEX('Feiertagsregeln'!$Z$7:$Z$96,MATCH($K24,'Feiertagsregeln'!$A$7:$A$96,0))</f>
        <v>§ 6 Abs. 1 Bst. a</v>
      </c>
      <c r="N24" s="74" t="str">
        <v>Normliste erfasst, Fachfreigabe offen</v>
      </c>
    </row>
    <row r="25" ht="38" customHeight="1">
      <c r="A25" s="70" t="n">
        <f>INDEX('Feiertagsregeln'!$X$7:$X$96,MATCH($K25,'Feiertagsregeln'!$A$7:$A$96,0))</f>
        <v>46472</v>
      </c>
      <c r="B25" s="71" t="str">
        <f>IF(ISNUMBER(A25),CHOOSE(WEEKDAY(A25,2),"Montag","Dienstag","Mittwoch","Donnerstag","Freitag","Samstag","Sonntag"),"n.a.")</f>
        <v>Freitag</v>
      </c>
      <c r="C25" s="71" t="str">
        <v>CH-AG</v>
      </c>
      <c r="D25" s="71" t="str">
        <v>Bezirke Aarau, Brugg, Kulm, Lenzburg und Zofingen</v>
      </c>
      <c r="E25" s="71" t="str">
        <f>INDEX('Feiertagsregeln'!$D$7:$D$96,MATCH($K25,'Feiertagsregeln'!$A$7:$A$96,0))</f>
        <v>Karfreitag</v>
      </c>
      <c r="F25" s="71" t="str">
        <f>INDEX('Feiertagsregeln'!$E$7:$E$96,MATCH($K25,'Feiertagsregeln'!$A$7:$A$96,0))</f>
        <v>Vendredi saint</v>
      </c>
      <c r="G25" s="72" t="str">
        <f>IF(INDEX('Feiertagsregeln'!$F$7:$F$96,MATCH($K25,'Feiertagsregeln'!$A$7:$A$96,0))="","Noch zu erfassen",INDEX('Feiertagsregeln'!$F$7:$F$96,MATCH($K25,'Feiertagsregeln'!$A$7:$A$96,0)))</f>
        <v>Noch zu erfassen</v>
      </c>
      <c r="H25" s="72" t="str">
        <f>IF(INDEX('Feiertagsregeln'!$G$7:$G$96,MATCH($K25,'Feiertagsregeln'!$A$7:$A$96,0))="","Noch zu erfassen",INDEX('Feiertagsregeln'!$G$7:$G$96,MATCH($K25,'Feiertagsregeln'!$A$7:$A$96,0)))</f>
        <v>Noch zu erfassen</v>
      </c>
      <c r="I25" s="71" t="str">
        <f>INDEX('Feiertagsregeln'!$H$7:$H$96,MATCH($K25,'Feiertagsregeln'!$A$7:$A$96,0))</f>
        <v>labourLawHoliday</v>
      </c>
      <c r="J25" s="71" t="str">
        <v>open</v>
      </c>
      <c r="K25" s="71" t="str">
        <v>AG-WORK-HOL-A-GOOD-FRIDAY</v>
      </c>
      <c r="L25" s="71" t="str">
        <f>INDEX('Feiertagsregeln'!$Y$7:$Y$96,MATCH($K25,'Feiertagsregeln'!$A$7:$A$96,0))</f>
        <v>SRC-AG-EGARR-20250901</v>
      </c>
      <c r="M25" s="71" t="str">
        <f>INDEX('Feiertagsregeln'!$Z$7:$Z$96,MATCH($K25,'Feiertagsregeln'!$A$7:$A$96,0))</f>
        <v>§ 6 Abs. 1 Bst. a</v>
      </c>
      <c r="N25" s="71" t="str">
        <v>Normliste erfasst, Fachfreigabe offen</v>
      </c>
    </row>
    <row r="26" ht="38" customHeight="1">
      <c r="A26" s="73" t="n">
        <f>INDEX('Feiertagsregeln'!$X$7:$X$96,MATCH($K26,'Feiertagsregeln'!$A$7:$A$96,0))</f>
        <v>46475</v>
      </c>
      <c r="B26" s="74" t="str">
        <f>IF(ISNUMBER(A26),CHOOSE(WEEKDAY(A26,2),"Montag","Dienstag","Mittwoch","Donnerstag","Freitag","Samstag","Sonntag"),"n.a.")</f>
        <v>Montag</v>
      </c>
      <c r="C26" s="74" t="str">
        <v>CH-AG</v>
      </c>
      <c r="D26" s="74" t="str">
        <v>Bezirke Aarau, Brugg, Kulm, Lenzburg und Zofingen</v>
      </c>
      <c r="E26" s="74" t="str">
        <f>INDEX('Feiertagsregeln'!$D$7:$D$96,MATCH($K26,'Feiertagsregeln'!$A$7:$A$96,0))</f>
        <v>Ostermontag</v>
      </c>
      <c r="F26" s="74" t="str">
        <f>INDEX('Feiertagsregeln'!$E$7:$E$96,MATCH($K26,'Feiertagsregeln'!$A$7:$A$96,0))</f>
        <v>Lundi de Pâques</v>
      </c>
      <c r="G26" s="75" t="str">
        <f>IF(INDEX('Feiertagsregeln'!$F$7:$F$96,MATCH($K26,'Feiertagsregeln'!$A$7:$A$96,0))="","Noch zu erfassen",INDEX('Feiertagsregeln'!$F$7:$F$96,MATCH($K26,'Feiertagsregeln'!$A$7:$A$96,0)))</f>
        <v>Noch zu erfassen</v>
      </c>
      <c r="H26" s="75" t="str">
        <f>IF(INDEX('Feiertagsregeln'!$G$7:$G$96,MATCH($K26,'Feiertagsregeln'!$A$7:$A$96,0))="","Noch zu erfassen",INDEX('Feiertagsregeln'!$G$7:$G$96,MATCH($K26,'Feiertagsregeln'!$A$7:$A$96,0)))</f>
        <v>Noch zu erfassen</v>
      </c>
      <c r="I26" s="74" t="str">
        <f>INDEX('Feiertagsregeln'!$H$7:$H$96,MATCH($K26,'Feiertagsregeln'!$A$7:$A$96,0))</f>
        <v>labourLawHoliday</v>
      </c>
      <c r="J26" s="74" t="str">
        <v>open</v>
      </c>
      <c r="K26" s="74" t="str">
        <v>AG-WORK-HOL-A-EASTER-MONDAY</v>
      </c>
      <c r="L26" s="74" t="str">
        <f>INDEX('Feiertagsregeln'!$Y$7:$Y$96,MATCH($K26,'Feiertagsregeln'!$A$7:$A$96,0))</f>
        <v>SRC-AG-EGARR-20250901</v>
      </c>
      <c r="M26" s="74" t="str">
        <f>INDEX('Feiertagsregeln'!$Z$7:$Z$96,MATCH($K26,'Feiertagsregeln'!$A$7:$A$96,0))</f>
        <v>§ 6 Abs. 1 Bst. a</v>
      </c>
      <c r="N26" s="74" t="str">
        <v>Normliste erfasst, Fachfreigabe offen</v>
      </c>
    </row>
    <row r="27" ht="38" customHeight="1">
      <c r="A27" s="70" t="n">
        <f>INDEX('Feiertagsregeln'!$X$7:$X$96,MATCH($K27,'Feiertagsregeln'!$A$7:$A$96,0))</f>
        <v>46513</v>
      </c>
      <c r="B27" s="71" t="str">
        <f>IF(ISNUMBER(A27),CHOOSE(WEEKDAY(A27,2),"Montag","Dienstag","Mittwoch","Donnerstag","Freitag","Samstag","Sonntag"),"n.a.")</f>
        <v>Donnerstag</v>
      </c>
      <c r="C27" s="71" t="str">
        <v>CH-AG</v>
      </c>
      <c r="D27" s="71" t="str">
        <v>Bezirke Aarau, Brugg, Kulm, Lenzburg und Zofingen</v>
      </c>
      <c r="E27" s="71" t="str">
        <f>INDEX('Feiertagsregeln'!$D$7:$D$96,MATCH($K27,'Feiertagsregeln'!$A$7:$A$96,0))</f>
        <v>Auffahrt</v>
      </c>
      <c r="F27" s="71" t="str">
        <f>INDEX('Feiertagsregeln'!$E$7:$E$96,MATCH($K27,'Feiertagsregeln'!$A$7:$A$96,0))</f>
        <v>Ascension</v>
      </c>
      <c r="G27" s="72" t="str">
        <f>IF(INDEX('Feiertagsregeln'!$F$7:$F$96,MATCH($K27,'Feiertagsregeln'!$A$7:$A$96,0))="","Noch zu erfassen",INDEX('Feiertagsregeln'!$F$7:$F$96,MATCH($K27,'Feiertagsregeln'!$A$7:$A$96,0)))</f>
        <v>Noch zu erfassen</v>
      </c>
      <c r="H27" s="72" t="str">
        <f>IF(INDEX('Feiertagsregeln'!$G$7:$G$96,MATCH($K27,'Feiertagsregeln'!$A$7:$A$96,0))="","Noch zu erfassen",INDEX('Feiertagsregeln'!$G$7:$G$96,MATCH($K27,'Feiertagsregeln'!$A$7:$A$96,0)))</f>
        <v>Noch zu erfassen</v>
      </c>
      <c r="I27" s="71" t="str">
        <f>INDEX('Feiertagsregeln'!$H$7:$H$96,MATCH($K27,'Feiertagsregeln'!$A$7:$A$96,0))</f>
        <v>labourLawHoliday</v>
      </c>
      <c r="J27" s="71" t="str">
        <v>open</v>
      </c>
      <c r="K27" s="71" t="str">
        <v>AG-WORK-HOL-A-ASCENSION</v>
      </c>
      <c r="L27" s="71" t="str">
        <f>INDEX('Feiertagsregeln'!$Y$7:$Y$96,MATCH($K27,'Feiertagsregeln'!$A$7:$A$96,0))</f>
        <v>SRC-AG-EGARR-20250901</v>
      </c>
      <c r="M27" s="71" t="str">
        <f>INDEX('Feiertagsregeln'!$Z$7:$Z$96,MATCH($K27,'Feiertagsregeln'!$A$7:$A$96,0))</f>
        <v>§ 6 Abs. 1 Bst. a</v>
      </c>
      <c r="N27" s="71" t="str">
        <v>Normliste erfasst, Fachfreigabe offen</v>
      </c>
    </row>
    <row r="28" ht="38" customHeight="1">
      <c r="A28" s="73" t="n">
        <f>INDEX('Feiertagsregeln'!$X$7:$X$96,MATCH($K28,'Feiertagsregeln'!$A$7:$A$96,0))</f>
        <v>46524</v>
      </c>
      <c r="B28" s="74" t="str">
        <f>IF(ISNUMBER(A28),CHOOSE(WEEKDAY(A28,2),"Montag","Dienstag","Mittwoch","Donnerstag","Freitag","Samstag","Sonntag"),"n.a.")</f>
        <v>Montag</v>
      </c>
      <c r="C28" s="74" t="str">
        <v>CH-AG</v>
      </c>
      <c r="D28" s="74" t="str">
        <v>Bezirke Aarau, Brugg, Kulm, Lenzburg und Zofingen</v>
      </c>
      <c r="E28" s="74" t="str">
        <f>INDEX('Feiertagsregeln'!$D$7:$D$96,MATCH($K28,'Feiertagsregeln'!$A$7:$A$96,0))</f>
        <v>Pfingstmontag</v>
      </c>
      <c r="F28" s="74" t="str">
        <f>INDEX('Feiertagsregeln'!$E$7:$E$96,MATCH($K28,'Feiertagsregeln'!$A$7:$A$96,0))</f>
        <v>Lundi de Pentecôte</v>
      </c>
      <c r="G28" s="75" t="str">
        <f>IF(INDEX('Feiertagsregeln'!$F$7:$F$96,MATCH($K28,'Feiertagsregeln'!$A$7:$A$96,0))="","Noch zu erfassen",INDEX('Feiertagsregeln'!$F$7:$F$96,MATCH($K28,'Feiertagsregeln'!$A$7:$A$96,0)))</f>
        <v>Noch zu erfassen</v>
      </c>
      <c r="H28" s="75" t="str">
        <f>IF(INDEX('Feiertagsregeln'!$G$7:$G$96,MATCH($K28,'Feiertagsregeln'!$A$7:$A$96,0))="","Noch zu erfassen",INDEX('Feiertagsregeln'!$G$7:$G$96,MATCH($K28,'Feiertagsregeln'!$A$7:$A$96,0)))</f>
        <v>Noch zu erfassen</v>
      </c>
      <c r="I28" s="74" t="str">
        <f>INDEX('Feiertagsregeln'!$H$7:$H$96,MATCH($K28,'Feiertagsregeln'!$A$7:$A$96,0))</f>
        <v>labourLawHoliday</v>
      </c>
      <c r="J28" s="74" t="str">
        <v>open</v>
      </c>
      <c r="K28" s="74" t="str">
        <v>AG-WORK-HOL-A-WHIT-MONDAY</v>
      </c>
      <c r="L28" s="74" t="str">
        <f>INDEX('Feiertagsregeln'!$Y$7:$Y$96,MATCH($K28,'Feiertagsregeln'!$A$7:$A$96,0))</f>
        <v>SRC-AG-EGARR-20250901</v>
      </c>
      <c r="M28" s="74" t="str">
        <f>INDEX('Feiertagsregeln'!$Z$7:$Z$96,MATCH($K28,'Feiertagsregeln'!$A$7:$A$96,0))</f>
        <v>§ 6 Abs. 1 Bst. a</v>
      </c>
      <c r="N28" s="74" t="str">
        <v>Normliste erfasst, Fachfreigabe offen</v>
      </c>
    </row>
    <row r="29" ht="38" customHeight="1">
      <c r="A29" s="70" t="n">
        <f>INDEX('Feiertagsregeln'!$X$7:$X$96,MATCH($K29,'Feiertagsregeln'!$A$7:$A$96,0))</f>
        <v>46746</v>
      </c>
      <c r="B29" s="71" t="str">
        <f>IF(ISNUMBER(A29),CHOOSE(WEEKDAY(A29,2),"Montag","Dienstag","Mittwoch","Donnerstag","Freitag","Samstag","Sonntag"),"n.a.")</f>
        <v>Samstag</v>
      </c>
      <c r="C29" s="71" t="str">
        <v>CH-AG</v>
      </c>
      <c r="D29" s="71" t="str">
        <v>Bezirke Aarau, Brugg, Kulm, Lenzburg und Zofingen</v>
      </c>
      <c r="E29" s="71" t="str">
        <f>INDEX('Feiertagsregeln'!$D$7:$D$96,MATCH($K29,'Feiertagsregeln'!$A$7:$A$96,0))</f>
        <v>Weihnachten</v>
      </c>
      <c r="F29" s="71" t="str">
        <f>INDEX('Feiertagsregeln'!$E$7:$E$96,MATCH($K29,'Feiertagsregeln'!$A$7:$A$96,0))</f>
        <v>Noël</v>
      </c>
      <c r="G29" s="72" t="str">
        <f>IF(INDEX('Feiertagsregeln'!$F$7:$F$96,MATCH($K29,'Feiertagsregeln'!$A$7:$A$96,0))="","Noch zu erfassen",INDEX('Feiertagsregeln'!$F$7:$F$96,MATCH($K29,'Feiertagsregeln'!$A$7:$A$96,0)))</f>
        <v>Noch zu erfassen</v>
      </c>
      <c r="H29" s="72" t="str">
        <f>IF(INDEX('Feiertagsregeln'!$G$7:$G$96,MATCH($K29,'Feiertagsregeln'!$A$7:$A$96,0))="","Noch zu erfassen",INDEX('Feiertagsregeln'!$G$7:$G$96,MATCH($K29,'Feiertagsregeln'!$A$7:$A$96,0)))</f>
        <v>Noch zu erfassen</v>
      </c>
      <c r="I29" s="71" t="str">
        <f>INDEX('Feiertagsregeln'!$H$7:$H$96,MATCH($K29,'Feiertagsregeln'!$A$7:$A$96,0))</f>
        <v>labourLawHoliday</v>
      </c>
      <c r="J29" s="71" t="str">
        <v>open</v>
      </c>
      <c r="K29" s="71" t="str">
        <v>AG-WORK-HOL-A-CHRISTMAS</v>
      </c>
      <c r="L29" s="71" t="str">
        <f>INDEX('Feiertagsregeln'!$Y$7:$Y$96,MATCH($K29,'Feiertagsregeln'!$A$7:$A$96,0))</f>
        <v>SRC-AG-EGARR-20250901</v>
      </c>
      <c r="M29" s="71" t="str">
        <f>INDEX('Feiertagsregeln'!$Z$7:$Z$96,MATCH($K29,'Feiertagsregeln'!$A$7:$A$96,0))</f>
        <v>§ 6 Abs. 1 Bst. a</v>
      </c>
      <c r="N29" s="71" t="str">
        <v>Normliste erfasst, Fachfreigabe offen</v>
      </c>
    </row>
    <row r="30" ht="38" customHeight="1">
      <c r="A30" s="73" t="n">
        <f>INDEX('Feiertagsregeln'!$X$7:$X$96,MATCH($K30,'Feiertagsregeln'!$A$7:$A$96,0))</f>
        <v>46747</v>
      </c>
      <c r="B30" s="74" t="str">
        <f>IF(ISNUMBER(A30),CHOOSE(WEEKDAY(A30,2),"Montag","Dienstag","Mittwoch","Donnerstag","Freitag","Samstag","Sonntag"),"n.a.")</f>
        <v>Sonntag</v>
      </c>
      <c r="C30" s="74" t="str">
        <v>CH-AG</v>
      </c>
      <c r="D30" s="74" t="str">
        <v>Bezirke Aarau, Brugg, Kulm, Lenzburg und Zofingen</v>
      </c>
      <c r="E30" s="74" t="str">
        <f>INDEX('Feiertagsregeln'!$D$7:$D$96,MATCH($K30,'Feiertagsregeln'!$A$7:$A$96,0))</f>
        <v>Stephanstag</v>
      </c>
      <c r="F30" s="74" t="str">
        <f>INDEX('Feiertagsregeln'!$E$7:$E$96,MATCH($K30,'Feiertagsregeln'!$A$7:$A$96,0))</f>
        <v>Saint-Étienne</v>
      </c>
      <c r="G30" s="75" t="str">
        <f>IF(INDEX('Feiertagsregeln'!$F$7:$F$96,MATCH($K30,'Feiertagsregeln'!$A$7:$A$96,0))="","Noch zu erfassen",INDEX('Feiertagsregeln'!$F$7:$F$96,MATCH($K30,'Feiertagsregeln'!$A$7:$A$96,0)))</f>
        <v>Noch zu erfassen</v>
      </c>
      <c r="H30" s="75" t="str">
        <f>IF(INDEX('Feiertagsregeln'!$G$7:$G$96,MATCH($K30,'Feiertagsregeln'!$A$7:$A$96,0))="","Noch zu erfassen",INDEX('Feiertagsregeln'!$G$7:$G$96,MATCH($K30,'Feiertagsregeln'!$A$7:$A$96,0)))</f>
        <v>Noch zu erfassen</v>
      </c>
      <c r="I30" s="74" t="str">
        <f>INDEX('Feiertagsregeln'!$H$7:$H$96,MATCH($K30,'Feiertagsregeln'!$A$7:$A$96,0))</f>
        <v>labourLawHoliday</v>
      </c>
      <c r="J30" s="74" t="str">
        <v>open</v>
      </c>
      <c r="K30" s="74" t="str">
        <v>AG-WORK-HOL-A-ST-STEPHEN</v>
      </c>
      <c r="L30" s="74" t="str">
        <f>INDEX('Feiertagsregeln'!$Y$7:$Y$96,MATCH($K30,'Feiertagsregeln'!$A$7:$A$96,0))</f>
        <v>SRC-AG-EGARR-20250901</v>
      </c>
      <c r="M30" s="74" t="str">
        <f>INDEX('Feiertagsregeln'!$Z$7:$Z$96,MATCH($K30,'Feiertagsregeln'!$A$7:$A$96,0))</f>
        <v>§ 6 Abs. 1 Bst. a</v>
      </c>
      <c r="N30" s="74" t="str">
        <v>Normliste erfasst, Fachfreigabe offen</v>
      </c>
    </row>
    <row r="31" ht="38" customHeight="1">
      <c r="A31" s="70" t="n">
        <f>INDEX('Feiertagsregeln'!$X$7:$X$96,MATCH($K31,'Feiertagsregeln'!$A$7:$A$96,0))</f>
        <v>46388</v>
      </c>
      <c r="B31" s="71" t="str">
        <f>IF(ISNUMBER(A31),CHOOSE(WEEKDAY(A31,2),"Montag","Dienstag","Mittwoch","Donnerstag","Freitag","Samstag","Sonntag"),"n.a.")</f>
        <v>Freitag</v>
      </c>
      <c r="C31" s="71" t="str">
        <v>CH-AG</v>
      </c>
      <c r="D31" s="71" t="str">
        <v>Gemeinde Bergdietikon</v>
      </c>
      <c r="E31" s="71" t="str">
        <f>INDEX('Feiertagsregeln'!$D$7:$D$96,MATCH($K31,'Feiertagsregeln'!$A$7:$A$96,0))</f>
        <v>Neujahr</v>
      </c>
      <c r="F31" s="71" t="str">
        <f>INDEX('Feiertagsregeln'!$E$7:$E$96,MATCH($K31,'Feiertagsregeln'!$A$7:$A$96,0))</f>
        <v>Nouvel An</v>
      </c>
      <c r="G31" s="72" t="str">
        <f>IF(INDEX('Feiertagsregeln'!$F$7:$F$96,MATCH($K31,'Feiertagsregeln'!$A$7:$A$96,0))="","Noch zu erfassen",INDEX('Feiertagsregeln'!$F$7:$F$96,MATCH($K31,'Feiertagsregeln'!$A$7:$A$96,0)))</f>
        <v>Noch zu erfassen</v>
      </c>
      <c r="H31" s="72" t="str">
        <f>IF(INDEX('Feiertagsregeln'!$G$7:$G$96,MATCH($K31,'Feiertagsregeln'!$A$7:$A$96,0))="","Noch zu erfassen",INDEX('Feiertagsregeln'!$G$7:$G$96,MATCH($K31,'Feiertagsregeln'!$A$7:$A$96,0)))</f>
        <v>Noch zu erfassen</v>
      </c>
      <c r="I31" s="71" t="str">
        <f>INDEX('Feiertagsregeln'!$H$7:$H$96,MATCH($K31,'Feiertagsregeln'!$A$7:$A$96,0))</f>
        <v>labourLawHoliday</v>
      </c>
      <c r="J31" s="71" t="str">
        <v>open</v>
      </c>
      <c r="K31" s="71" t="str">
        <v>AG-WORK-HOL-B1-NEW-YEAR</v>
      </c>
      <c r="L31" s="71" t="str">
        <f>INDEX('Feiertagsregeln'!$Y$7:$Y$96,MATCH($K31,'Feiertagsregeln'!$A$7:$A$96,0))</f>
        <v>SRC-AG-EGARR-20250901</v>
      </c>
      <c r="M31" s="71" t="str">
        <f>INDEX('Feiertagsregeln'!$Z$7:$Z$96,MATCH($K31,'Feiertagsregeln'!$A$7:$A$96,0))</f>
        <v>§ 6 Abs. 1 Bst. b Ziff. 1</v>
      </c>
      <c r="N31" s="71" t="str">
        <v>Normliste erfasst, Fachfreigabe offen</v>
      </c>
    </row>
    <row r="32" ht="38" customHeight="1">
      <c r="A32" s="73" t="n">
        <f>INDEX('Feiertagsregeln'!$X$7:$X$96,MATCH($K32,'Feiertagsregeln'!$A$7:$A$96,0))</f>
        <v>46472</v>
      </c>
      <c r="B32" s="74" t="str">
        <f>IF(ISNUMBER(A32),CHOOSE(WEEKDAY(A32,2),"Montag","Dienstag","Mittwoch","Donnerstag","Freitag","Samstag","Sonntag"),"n.a.")</f>
        <v>Freitag</v>
      </c>
      <c r="C32" s="74" t="str">
        <v>CH-AG</v>
      </c>
      <c r="D32" s="74" t="str">
        <v>Gemeinde Bergdietikon</v>
      </c>
      <c r="E32" s="74" t="str">
        <f>INDEX('Feiertagsregeln'!$D$7:$D$96,MATCH($K32,'Feiertagsregeln'!$A$7:$A$96,0))</f>
        <v>Karfreitag</v>
      </c>
      <c r="F32" s="74" t="str">
        <f>INDEX('Feiertagsregeln'!$E$7:$E$96,MATCH($K32,'Feiertagsregeln'!$A$7:$A$96,0))</f>
        <v>Vendredi saint</v>
      </c>
      <c r="G32" s="75" t="str">
        <f>IF(INDEX('Feiertagsregeln'!$F$7:$F$96,MATCH($K32,'Feiertagsregeln'!$A$7:$A$96,0))="","Noch zu erfassen",INDEX('Feiertagsregeln'!$F$7:$F$96,MATCH($K32,'Feiertagsregeln'!$A$7:$A$96,0)))</f>
        <v>Noch zu erfassen</v>
      </c>
      <c r="H32" s="75" t="str">
        <f>IF(INDEX('Feiertagsregeln'!$G$7:$G$96,MATCH($K32,'Feiertagsregeln'!$A$7:$A$96,0))="","Noch zu erfassen",INDEX('Feiertagsregeln'!$G$7:$G$96,MATCH($K32,'Feiertagsregeln'!$A$7:$A$96,0)))</f>
        <v>Noch zu erfassen</v>
      </c>
      <c r="I32" s="74" t="str">
        <f>INDEX('Feiertagsregeln'!$H$7:$H$96,MATCH($K32,'Feiertagsregeln'!$A$7:$A$96,0))</f>
        <v>labourLawHoliday</v>
      </c>
      <c r="J32" s="74" t="str">
        <v>open</v>
      </c>
      <c r="K32" s="74" t="str">
        <v>AG-WORK-HOL-B1-GOOD-FRIDAY</v>
      </c>
      <c r="L32" s="74" t="str">
        <f>INDEX('Feiertagsregeln'!$Y$7:$Y$96,MATCH($K32,'Feiertagsregeln'!$A$7:$A$96,0))</f>
        <v>SRC-AG-EGARR-20250901</v>
      </c>
      <c r="M32" s="74" t="str">
        <f>INDEX('Feiertagsregeln'!$Z$7:$Z$96,MATCH($K32,'Feiertagsregeln'!$A$7:$A$96,0))</f>
        <v>§ 6 Abs. 1 Bst. b Ziff. 1</v>
      </c>
      <c r="N32" s="74" t="str">
        <v>Normliste erfasst, Fachfreigabe offen</v>
      </c>
    </row>
    <row r="33" ht="38" customHeight="1">
      <c r="A33" s="70" t="n">
        <f>INDEX('Feiertagsregeln'!$X$7:$X$96,MATCH($K33,'Feiertagsregeln'!$A$7:$A$96,0))</f>
        <v>46475</v>
      </c>
      <c r="B33" s="71" t="str">
        <f>IF(ISNUMBER(A33),CHOOSE(WEEKDAY(A33,2),"Montag","Dienstag","Mittwoch","Donnerstag","Freitag","Samstag","Sonntag"),"n.a.")</f>
        <v>Montag</v>
      </c>
      <c r="C33" s="71" t="str">
        <v>CH-AG</v>
      </c>
      <c r="D33" s="71" t="str">
        <v>Gemeinde Bergdietikon</v>
      </c>
      <c r="E33" s="71" t="str">
        <f>INDEX('Feiertagsregeln'!$D$7:$D$96,MATCH($K33,'Feiertagsregeln'!$A$7:$A$96,0))</f>
        <v>Ostermontag</v>
      </c>
      <c r="F33" s="71" t="str">
        <f>INDEX('Feiertagsregeln'!$E$7:$E$96,MATCH($K33,'Feiertagsregeln'!$A$7:$A$96,0))</f>
        <v>Lundi de Pâques</v>
      </c>
      <c r="G33" s="72" t="str">
        <f>IF(INDEX('Feiertagsregeln'!$F$7:$F$96,MATCH($K33,'Feiertagsregeln'!$A$7:$A$96,0))="","Noch zu erfassen",INDEX('Feiertagsregeln'!$F$7:$F$96,MATCH($K33,'Feiertagsregeln'!$A$7:$A$96,0)))</f>
        <v>Noch zu erfassen</v>
      </c>
      <c r="H33" s="72" t="str">
        <f>IF(INDEX('Feiertagsregeln'!$G$7:$G$96,MATCH($K33,'Feiertagsregeln'!$A$7:$A$96,0))="","Noch zu erfassen",INDEX('Feiertagsregeln'!$G$7:$G$96,MATCH($K33,'Feiertagsregeln'!$A$7:$A$96,0)))</f>
        <v>Noch zu erfassen</v>
      </c>
      <c r="I33" s="71" t="str">
        <f>INDEX('Feiertagsregeln'!$H$7:$H$96,MATCH($K33,'Feiertagsregeln'!$A$7:$A$96,0))</f>
        <v>labourLawHoliday</v>
      </c>
      <c r="J33" s="71" t="str">
        <v>open</v>
      </c>
      <c r="K33" s="71" t="str">
        <v>AG-WORK-HOL-B1-EASTER-MONDAY</v>
      </c>
      <c r="L33" s="71" t="str">
        <f>INDEX('Feiertagsregeln'!$Y$7:$Y$96,MATCH($K33,'Feiertagsregeln'!$A$7:$A$96,0))</f>
        <v>SRC-AG-EGARR-20250901</v>
      </c>
      <c r="M33" s="71" t="str">
        <f>INDEX('Feiertagsregeln'!$Z$7:$Z$96,MATCH($K33,'Feiertagsregeln'!$A$7:$A$96,0))</f>
        <v>§ 6 Abs. 1 Bst. b Ziff. 1</v>
      </c>
      <c r="N33" s="71" t="str">
        <v>Normliste erfasst, Fachfreigabe offen</v>
      </c>
    </row>
    <row r="34" ht="38" customHeight="1">
      <c r="A34" s="73" t="n">
        <f>INDEX('Feiertagsregeln'!$X$7:$X$96,MATCH($K34,'Feiertagsregeln'!$A$7:$A$96,0))</f>
        <v>46513</v>
      </c>
      <c r="B34" s="74" t="str">
        <f>IF(ISNUMBER(A34),CHOOSE(WEEKDAY(A34,2),"Montag","Dienstag","Mittwoch","Donnerstag","Freitag","Samstag","Sonntag"),"n.a.")</f>
        <v>Donnerstag</v>
      </c>
      <c r="C34" s="74" t="str">
        <v>CH-AG</v>
      </c>
      <c r="D34" s="74" t="str">
        <v>Gemeinde Bergdietikon</v>
      </c>
      <c r="E34" s="74" t="str">
        <f>INDEX('Feiertagsregeln'!$D$7:$D$96,MATCH($K34,'Feiertagsregeln'!$A$7:$A$96,0))</f>
        <v>Auffahrt</v>
      </c>
      <c r="F34" s="74" t="str">
        <f>INDEX('Feiertagsregeln'!$E$7:$E$96,MATCH($K34,'Feiertagsregeln'!$A$7:$A$96,0))</f>
        <v>Ascension</v>
      </c>
      <c r="G34" s="75" t="str">
        <f>IF(INDEX('Feiertagsregeln'!$F$7:$F$96,MATCH($K34,'Feiertagsregeln'!$A$7:$A$96,0))="","Noch zu erfassen",INDEX('Feiertagsregeln'!$F$7:$F$96,MATCH($K34,'Feiertagsregeln'!$A$7:$A$96,0)))</f>
        <v>Noch zu erfassen</v>
      </c>
      <c r="H34" s="75" t="str">
        <f>IF(INDEX('Feiertagsregeln'!$G$7:$G$96,MATCH($K34,'Feiertagsregeln'!$A$7:$A$96,0))="","Noch zu erfassen",INDEX('Feiertagsregeln'!$G$7:$G$96,MATCH($K34,'Feiertagsregeln'!$A$7:$A$96,0)))</f>
        <v>Noch zu erfassen</v>
      </c>
      <c r="I34" s="74" t="str">
        <f>INDEX('Feiertagsregeln'!$H$7:$H$96,MATCH($K34,'Feiertagsregeln'!$A$7:$A$96,0))</f>
        <v>labourLawHoliday</v>
      </c>
      <c r="J34" s="74" t="str">
        <v>open</v>
      </c>
      <c r="K34" s="74" t="str">
        <v>AG-WORK-HOL-B1-ASCENSION</v>
      </c>
      <c r="L34" s="74" t="str">
        <f>INDEX('Feiertagsregeln'!$Y$7:$Y$96,MATCH($K34,'Feiertagsregeln'!$A$7:$A$96,0))</f>
        <v>SRC-AG-EGARR-20250901</v>
      </c>
      <c r="M34" s="74" t="str">
        <f>INDEX('Feiertagsregeln'!$Z$7:$Z$96,MATCH($K34,'Feiertagsregeln'!$A$7:$A$96,0))</f>
        <v>§ 6 Abs. 1 Bst. b Ziff. 1</v>
      </c>
      <c r="N34" s="74" t="str">
        <v>Normliste erfasst, Fachfreigabe offen</v>
      </c>
    </row>
    <row r="35" ht="38" customHeight="1">
      <c r="A35" s="70" t="n">
        <f>INDEX('Feiertagsregeln'!$X$7:$X$96,MATCH($K35,'Feiertagsregeln'!$A$7:$A$96,0))</f>
        <v>46524</v>
      </c>
      <c r="B35" s="71" t="str">
        <f>IF(ISNUMBER(A35),CHOOSE(WEEKDAY(A35,2),"Montag","Dienstag","Mittwoch","Donnerstag","Freitag","Samstag","Sonntag"),"n.a.")</f>
        <v>Montag</v>
      </c>
      <c r="C35" s="71" t="str">
        <v>CH-AG</v>
      </c>
      <c r="D35" s="71" t="str">
        <v>Gemeinde Bergdietikon</v>
      </c>
      <c r="E35" s="71" t="str">
        <f>INDEX('Feiertagsregeln'!$D$7:$D$96,MATCH($K35,'Feiertagsregeln'!$A$7:$A$96,0))</f>
        <v>Pfingstmontag</v>
      </c>
      <c r="F35" s="71" t="str">
        <f>INDEX('Feiertagsregeln'!$E$7:$E$96,MATCH($K35,'Feiertagsregeln'!$A$7:$A$96,0))</f>
        <v>Lundi de Pentecôte</v>
      </c>
      <c r="G35" s="72" t="str">
        <f>IF(INDEX('Feiertagsregeln'!$F$7:$F$96,MATCH($K35,'Feiertagsregeln'!$A$7:$A$96,0))="","Noch zu erfassen",INDEX('Feiertagsregeln'!$F$7:$F$96,MATCH($K35,'Feiertagsregeln'!$A$7:$A$96,0)))</f>
        <v>Noch zu erfassen</v>
      </c>
      <c r="H35" s="72" t="str">
        <f>IF(INDEX('Feiertagsregeln'!$G$7:$G$96,MATCH($K35,'Feiertagsregeln'!$A$7:$A$96,0))="","Noch zu erfassen",INDEX('Feiertagsregeln'!$G$7:$G$96,MATCH($K35,'Feiertagsregeln'!$A$7:$A$96,0)))</f>
        <v>Noch zu erfassen</v>
      </c>
      <c r="I35" s="71" t="str">
        <f>INDEX('Feiertagsregeln'!$H$7:$H$96,MATCH($K35,'Feiertagsregeln'!$A$7:$A$96,0))</f>
        <v>labourLawHoliday</v>
      </c>
      <c r="J35" s="71" t="str">
        <v>open</v>
      </c>
      <c r="K35" s="71" t="str">
        <v>AG-WORK-HOL-B1-WHIT-MONDAY</v>
      </c>
      <c r="L35" s="71" t="str">
        <f>INDEX('Feiertagsregeln'!$Y$7:$Y$96,MATCH($K35,'Feiertagsregeln'!$A$7:$A$96,0))</f>
        <v>SRC-AG-EGARR-20250901</v>
      </c>
      <c r="M35" s="71" t="str">
        <f>INDEX('Feiertagsregeln'!$Z$7:$Z$96,MATCH($K35,'Feiertagsregeln'!$A$7:$A$96,0))</f>
        <v>§ 6 Abs. 1 Bst. b Ziff. 1</v>
      </c>
      <c r="N35" s="71" t="str">
        <v>Normliste erfasst, Fachfreigabe offen</v>
      </c>
    </row>
    <row r="36" ht="38" customHeight="1">
      <c r="A36" s="73" t="n">
        <f>INDEX('Feiertagsregeln'!$X$7:$X$96,MATCH($K36,'Feiertagsregeln'!$A$7:$A$96,0))</f>
        <v>46746</v>
      </c>
      <c r="B36" s="74" t="str">
        <f>IF(ISNUMBER(A36),CHOOSE(WEEKDAY(A36,2),"Montag","Dienstag","Mittwoch","Donnerstag","Freitag","Samstag","Sonntag"),"n.a.")</f>
        <v>Samstag</v>
      </c>
      <c r="C36" s="74" t="str">
        <v>CH-AG</v>
      </c>
      <c r="D36" s="74" t="str">
        <v>Gemeinde Bergdietikon</v>
      </c>
      <c r="E36" s="74" t="str">
        <f>INDEX('Feiertagsregeln'!$D$7:$D$96,MATCH($K36,'Feiertagsregeln'!$A$7:$A$96,0))</f>
        <v>Weihnachten</v>
      </c>
      <c r="F36" s="74" t="str">
        <f>INDEX('Feiertagsregeln'!$E$7:$E$96,MATCH($K36,'Feiertagsregeln'!$A$7:$A$96,0))</f>
        <v>Noël</v>
      </c>
      <c r="G36" s="75" t="str">
        <f>IF(INDEX('Feiertagsregeln'!$F$7:$F$96,MATCH($K36,'Feiertagsregeln'!$A$7:$A$96,0))="","Noch zu erfassen",INDEX('Feiertagsregeln'!$F$7:$F$96,MATCH($K36,'Feiertagsregeln'!$A$7:$A$96,0)))</f>
        <v>Noch zu erfassen</v>
      </c>
      <c r="H36" s="75" t="str">
        <f>IF(INDEX('Feiertagsregeln'!$G$7:$G$96,MATCH($K36,'Feiertagsregeln'!$A$7:$A$96,0))="","Noch zu erfassen",INDEX('Feiertagsregeln'!$G$7:$G$96,MATCH($K36,'Feiertagsregeln'!$A$7:$A$96,0)))</f>
        <v>Noch zu erfassen</v>
      </c>
      <c r="I36" s="74" t="str">
        <f>INDEX('Feiertagsregeln'!$H$7:$H$96,MATCH($K36,'Feiertagsregeln'!$A$7:$A$96,0))</f>
        <v>labourLawHoliday</v>
      </c>
      <c r="J36" s="74" t="str">
        <v>open</v>
      </c>
      <c r="K36" s="74" t="str">
        <v>AG-WORK-HOL-B1-CHRISTMAS</v>
      </c>
      <c r="L36" s="74" t="str">
        <f>INDEX('Feiertagsregeln'!$Y$7:$Y$96,MATCH($K36,'Feiertagsregeln'!$A$7:$A$96,0))</f>
        <v>SRC-AG-EGARR-20250901</v>
      </c>
      <c r="M36" s="74" t="str">
        <f>INDEX('Feiertagsregeln'!$Z$7:$Z$96,MATCH($K36,'Feiertagsregeln'!$A$7:$A$96,0))</f>
        <v>§ 6 Abs. 1 Bst. b Ziff. 1</v>
      </c>
      <c r="N36" s="74" t="str">
        <v>Normliste erfasst, Fachfreigabe offen</v>
      </c>
    </row>
    <row r="37" ht="38" customHeight="1">
      <c r="A37" s="70" t="n">
        <f>INDEX('Feiertagsregeln'!$X$7:$X$96,MATCH($K37,'Feiertagsregeln'!$A$7:$A$96,0))</f>
        <v>46747</v>
      </c>
      <c r="B37" s="71" t="str">
        <f>IF(ISNUMBER(A37),CHOOSE(WEEKDAY(A37,2),"Montag","Dienstag","Mittwoch","Donnerstag","Freitag","Samstag","Sonntag"),"n.a.")</f>
        <v>Sonntag</v>
      </c>
      <c r="C37" s="71" t="str">
        <v>CH-AG</v>
      </c>
      <c r="D37" s="71" t="str">
        <v>Gemeinde Bergdietikon</v>
      </c>
      <c r="E37" s="71" t="str">
        <f>INDEX('Feiertagsregeln'!$D$7:$D$96,MATCH($K37,'Feiertagsregeln'!$A$7:$A$96,0))</f>
        <v>Stephanstag</v>
      </c>
      <c r="F37" s="71" t="str">
        <f>INDEX('Feiertagsregeln'!$E$7:$E$96,MATCH($K37,'Feiertagsregeln'!$A$7:$A$96,0))</f>
        <v>Saint-Étienne</v>
      </c>
      <c r="G37" s="72" t="str">
        <f>IF(INDEX('Feiertagsregeln'!$F$7:$F$96,MATCH($K37,'Feiertagsregeln'!$A$7:$A$96,0))="","Noch zu erfassen",INDEX('Feiertagsregeln'!$F$7:$F$96,MATCH($K37,'Feiertagsregeln'!$A$7:$A$96,0)))</f>
        <v>Noch zu erfassen</v>
      </c>
      <c r="H37" s="72" t="str">
        <f>IF(INDEX('Feiertagsregeln'!$G$7:$G$96,MATCH($K37,'Feiertagsregeln'!$A$7:$A$96,0))="","Noch zu erfassen",INDEX('Feiertagsregeln'!$G$7:$G$96,MATCH($K37,'Feiertagsregeln'!$A$7:$A$96,0)))</f>
        <v>Noch zu erfassen</v>
      </c>
      <c r="I37" s="71" t="str">
        <f>INDEX('Feiertagsregeln'!$H$7:$H$96,MATCH($K37,'Feiertagsregeln'!$A$7:$A$96,0))</f>
        <v>labourLawHoliday</v>
      </c>
      <c r="J37" s="71" t="str">
        <v>open</v>
      </c>
      <c r="K37" s="71" t="str">
        <v>AG-WORK-HOL-B1-ST-STEPHEN</v>
      </c>
      <c r="L37" s="71" t="str">
        <f>INDEX('Feiertagsregeln'!$Y$7:$Y$96,MATCH($K37,'Feiertagsregeln'!$A$7:$A$96,0))</f>
        <v>SRC-AG-EGARR-20250901</v>
      </c>
      <c r="M37" s="71" t="str">
        <f>INDEX('Feiertagsregeln'!$Z$7:$Z$96,MATCH($K37,'Feiertagsregeln'!$A$7:$A$96,0))</f>
        <v>§ 6 Abs. 1 Bst. b Ziff. 1</v>
      </c>
      <c r="N37" s="71" t="str">
        <v>Normliste erfasst, Fachfreigabe offen</v>
      </c>
    </row>
    <row r="38" ht="38" customHeight="1">
      <c r="A38" s="73" t="n">
        <f>INDEX('Feiertagsregeln'!$X$7:$X$96,MATCH($K38,'Feiertagsregeln'!$A$7:$A$96,0))</f>
        <v>46388</v>
      </c>
      <c r="B38" s="74" t="str">
        <f>IF(ISNUMBER(A38),CHOOSE(WEEKDAY(A38,2),"Montag","Dienstag","Mittwoch","Donnerstag","Freitag","Samstag","Sonntag"),"n.a.")</f>
        <v>Freitag</v>
      </c>
      <c r="C38" s="74" t="str">
        <v>CH-AG</v>
      </c>
      <c r="D38" s="74" t="str">
        <v>Bezirk Baden ohne Bergdietikon</v>
      </c>
      <c r="E38" s="74" t="str">
        <f>INDEX('Feiertagsregeln'!$D$7:$D$96,MATCH($K38,'Feiertagsregeln'!$A$7:$A$96,0))</f>
        <v>Neujahr</v>
      </c>
      <c r="F38" s="74" t="str">
        <f>INDEX('Feiertagsregeln'!$E$7:$E$96,MATCH($K38,'Feiertagsregeln'!$A$7:$A$96,0))</f>
        <v>Nouvel An</v>
      </c>
      <c r="G38" s="75" t="str">
        <f>IF(INDEX('Feiertagsregeln'!$F$7:$F$96,MATCH($K38,'Feiertagsregeln'!$A$7:$A$96,0))="","Noch zu erfassen",INDEX('Feiertagsregeln'!$F$7:$F$96,MATCH($K38,'Feiertagsregeln'!$A$7:$A$96,0)))</f>
        <v>Noch zu erfassen</v>
      </c>
      <c r="H38" s="75" t="str">
        <f>IF(INDEX('Feiertagsregeln'!$G$7:$G$96,MATCH($K38,'Feiertagsregeln'!$A$7:$A$96,0))="","Noch zu erfassen",INDEX('Feiertagsregeln'!$G$7:$G$96,MATCH($K38,'Feiertagsregeln'!$A$7:$A$96,0)))</f>
        <v>Noch zu erfassen</v>
      </c>
      <c r="I38" s="74" t="str">
        <f>INDEX('Feiertagsregeln'!$H$7:$H$96,MATCH($K38,'Feiertagsregeln'!$A$7:$A$96,0))</f>
        <v>labourLawHoliday</v>
      </c>
      <c r="J38" s="74" t="str">
        <v>open</v>
      </c>
      <c r="K38" s="74" t="str">
        <v>AG-WORK-HOL-B2-NEW-YEAR</v>
      </c>
      <c r="L38" s="74" t="str">
        <f>INDEX('Feiertagsregeln'!$Y$7:$Y$96,MATCH($K38,'Feiertagsregeln'!$A$7:$A$96,0))</f>
        <v>SRC-AG-EGARR-20250901</v>
      </c>
      <c r="M38" s="74" t="str">
        <f>INDEX('Feiertagsregeln'!$Z$7:$Z$96,MATCH($K38,'Feiertagsregeln'!$A$7:$A$96,0))</f>
        <v>§ 6 Abs. 1 Bst. b Ziff. 2</v>
      </c>
      <c r="N38" s="74" t="str">
        <v>Normliste erfasst, Fachfreigabe offen</v>
      </c>
    </row>
    <row r="39" ht="38" customHeight="1">
      <c r="A39" s="70" t="n">
        <f>INDEX('Feiertagsregeln'!$X$7:$X$96,MATCH($K39,'Feiertagsregeln'!$A$7:$A$96,0))</f>
        <v>46472</v>
      </c>
      <c r="B39" s="71" t="str">
        <f>IF(ISNUMBER(A39),CHOOSE(WEEKDAY(A39,2),"Montag","Dienstag","Mittwoch","Donnerstag","Freitag","Samstag","Sonntag"),"n.a.")</f>
        <v>Freitag</v>
      </c>
      <c r="C39" s="71" t="str">
        <v>CH-AG</v>
      </c>
      <c r="D39" s="71" t="str">
        <v>Bezirk Baden ohne Bergdietikon</v>
      </c>
      <c r="E39" s="71" t="str">
        <f>INDEX('Feiertagsregeln'!$D$7:$D$96,MATCH($K39,'Feiertagsregeln'!$A$7:$A$96,0))</f>
        <v>Karfreitag</v>
      </c>
      <c r="F39" s="71" t="str">
        <f>INDEX('Feiertagsregeln'!$E$7:$E$96,MATCH($K39,'Feiertagsregeln'!$A$7:$A$96,0))</f>
        <v>Vendredi saint</v>
      </c>
      <c r="G39" s="72" t="str">
        <f>IF(INDEX('Feiertagsregeln'!$F$7:$F$96,MATCH($K39,'Feiertagsregeln'!$A$7:$A$96,0))="","Noch zu erfassen",INDEX('Feiertagsregeln'!$F$7:$F$96,MATCH($K39,'Feiertagsregeln'!$A$7:$A$96,0)))</f>
        <v>Noch zu erfassen</v>
      </c>
      <c r="H39" s="72" t="str">
        <f>IF(INDEX('Feiertagsregeln'!$G$7:$G$96,MATCH($K39,'Feiertagsregeln'!$A$7:$A$96,0))="","Noch zu erfassen",INDEX('Feiertagsregeln'!$G$7:$G$96,MATCH($K39,'Feiertagsregeln'!$A$7:$A$96,0)))</f>
        <v>Noch zu erfassen</v>
      </c>
      <c r="I39" s="71" t="str">
        <f>INDEX('Feiertagsregeln'!$H$7:$H$96,MATCH($K39,'Feiertagsregeln'!$A$7:$A$96,0))</f>
        <v>labourLawHoliday</v>
      </c>
      <c r="J39" s="71" t="str">
        <v>open</v>
      </c>
      <c r="K39" s="71" t="str">
        <v>AG-WORK-HOL-B2-GOOD-FRIDAY</v>
      </c>
      <c r="L39" s="71" t="str">
        <f>INDEX('Feiertagsregeln'!$Y$7:$Y$96,MATCH($K39,'Feiertagsregeln'!$A$7:$A$96,0))</f>
        <v>SRC-AG-EGARR-20250901</v>
      </c>
      <c r="M39" s="71" t="str">
        <f>INDEX('Feiertagsregeln'!$Z$7:$Z$96,MATCH($K39,'Feiertagsregeln'!$A$7:$A$96,0))</f>
        <v>§ 6 Abs. 1 Bst. b Ziff. 2</v>
      </c>
      <c r="N39" s="71" t="str">
        <v>Normliste erfasst, Fachfreigabe offen</v>
      </c>
    </row>
    <row r="40" ht="38" customHeight="1">
      <c r="A40" s="73" t="n">
        <f>INDEX('Feiertagsregeln'!$X$7:$X$96,MATCH($K40,'Feiertagsregeln'!$A$7:$A$96,0))</f>
        <v>46475</v>
      </c>
      <c r="B40" s="74" t="str">
        <f>IF(ISNUMBER(A40),CHOOSE(WEEKDAY(A40,2),"Montag","Dienstag","Mittwoch","Donnerstag","Freitag","Samstag","Sonntag"),"n.a.")</f>
        <v>Montag</v>
      </c>
      <c r="C40" s="74" t="str">
        <v>CH-AG</v>
      </c>
      <c r="D40" s="74" t="str">
        <v>Bezirk Baden ohne Bergdietikon</v>
      </c>
      <c r="E40" s="74" t="str">
        <f>INDEX('Feiertagsregeln'!$D$7:$D$96,MATCH($K40,'Feiertagsregeln'!$A$7:$A$96,0))</f>
        <v>Ostermontag</v>
      </c>
      <c r="F40" s="74" t="str">
        <f>INDEX('Feiertagsregeln'!$E$7:$E$96,MATCH($K40,'Feiertagsregeln'!$A$7:$A$96,0))</f>
        <v>Lundi de Pâques</v>
      </c>
      <c r="G40" s="75" t="str">
        <f>IF(INDEX('Feiertagsregeln'!$F$7:$F$96,MATCH($K40,'Feiertagsregeln'!$A$7:$A$96,0))="","Noch zu erfassen",INDEX('Feiertagsregeln'!$F$7:$F$96,MATCH($K40,'Feiertagsregeln'!$A$7:$A$96,0)))</f>
        <v>Noch zu erfassen</v>
      </c>
      <c r="H40" s="75" t="str">
        <f>IF(INDEX('Feiertagsregeln'!$G$7:$G$96,MATCH($K40,'Feiertagsregeln'!$A$7:$A$96,0))="","Noch zu erfassen",INDEX('Feiertagsregeln'!$G$7:$G$96,MATCH($K40,'Feiertagsregeln'!$A$7:$A$96,0)))</f>
        <v>Noch zu erfassen</v>
      </c>
      <c r="I40" s="74" t="str">
        <f>INDEX('Feiertagsregeln'!$H$7:$H$96,MATCH($K40,'Feiertagsregeln'!$A$7:$A$96,0))</f>
        <v>labourLawHoliday</v>
      </c>
      <c r="J40" s="74" t="str">
        <v>open</v>
      </c>
      <c r="K40" s="74" t="str">
        <v>AG-WORK-HOL-B2-EASTER-MONDAY</v>
      </c>
      <c r="L40" s="74" t="str">
        <f>INDEX('Feiertagsregeln'!$Y$7:$Y$96,MATCH($K40,'Feiertagsregeln'!$A$7:$A$96,0))</f>
        <v>SRC-AG-EGARR-20250901</v>
      </c>
      <c r="M40" s="74" t="str">
        <f>INDEX('Feiertagsregeln'!$Z$7:$Z$96,MATCH($K40,'Feiertagsregeln'!$A$7:$A$96,0))</f>
        <v>§ 6 Abs. 1 Bst. b Ziff. 2</v>
      </c>
      <c r="N40" s="74" t="str">
        <v>Normliste erfasst, Fachfreigabe offen</v>
      </c>
    </row>
    <row r="41" ht="38" customHeight="1">
      <c r="A41" s="70" t="n">
        <f>INDEX('Feiertagsregeln'!$X$7:$X$96,MATCH($K41,'Feiertagsregeln'!$A$7:$A$96,0))</f>
        <v>46513</v>
      </c>
      <c r="B41" s="71" t="str">
        <f>IF(ISNUMBER(A41),CHOOSE(WEEKDAY(A41,2),"Montag","Dienstag","Mittwoch","Donnerstag","Freitag","Samstag","Sonntag"),"n.a.")</f>
        <v>Donnerstag</v>
      </c>
      <c r="C41" s="71" t="str">
        <v>CH-AG</v>
      </c>
      <c r="D41" s="71" t="str">
        <v>Bezirk Baden ohne Bergdietikon</v>
      </c>
      <c r="E41" s="71" t="str">
        <f>INDEX('Feiertagsregeln'!$D$7:$D$96,MATCH($K41,'Feiertagsregeln'!$A$7:$A$96,0))</f>
        <v>Auffahrt</v>
      </c>
      <c r="F41" s="71" t="str">
        <f>INDEX('Feiertagsregeln'!$E$7:$E$96,MATCH($K41,'Feiertagsregeln'!$A$7:$A$96,0))</f>
        <v>Ascension</v>
      </c>
      <c r="G41" s="72" t="str">
        <f>IF(INDEX('Feiertagsregeln'!$F$7:$F$96,MATCH($K41,'Feiertagsregeln'!$A$7:$A$96,0))="","Noch zu erfassen",INDEX('Feiertagsregeln'!$F$7:$F$96,MATCH($K41,'Feiertagsregeln'!$A$7:$A$96,0)))</f>
        <v>Noch zu erfassen</v>
      </c>
      <c r="H41" s="72" t="str">
        <f>IF(INDEX('Feiertagsregeln'!$G$7:$G$96,MATCH($K41,'Feiertagsregeln'!$A$7:$A$96,0))="","Noch zu erfassen",INDEX('Feiertagsregeln'!$G$7:$G$96,MATCH($K41,'Feiertagsregeln'!$A$7:$A$96,0)))</f>
        <v>Noch zu erfassen</v>
      </c>
      <c r="I41" s="71" t="str">
        <f>INDEX('Feiertagsregeln'!$H$7:$H$96,MATCH($K41,'Feiertagsregeln'!$A$7:$A$96,0))</f>
        <v>labourLawHoliday</v>
      </c>
      <c r="J41" s="71" t="str">
        <v>open</v>
      </c>
      <c r="K41" s="71" t="str">
        <v>AG-WORK-HOL-B2-ASCENSION</v>
      </c>
      <c r="L41" s="71" t="str">
        <f>INDEX('Feiertagsregeln'!$Y$7:$Y$96,MATCH($K41,'Feiertagsregeln'!$A$7:$A$96,0))</f>
        <v>SRC-AG-EGARR-20250901</v>
      </c>
      <c r="M41" s="71" t="str">
        <f>INDEX('Feiertagsregeln'!$Z$7:$Z$96,MATCH($K41,'Feiertagsregeln'!$A$7:$A$96,0))</f>
        <v>§ 6 Abs. 1 Bst. b Ziff. 2</v>
      </c>
      <c r="N41" s="71" t="str">
        <v>Normliste erfasst, Fachfreigabe offen</v>
      </c>
    </row>
    <row r="42" ht="38" customHeight="1">
      <c r="A42" s="73" t="n">
        <f>INDEX('Feiertagsregeln'!$X$7:$X$96,MATCH($K42,'Feiertagsregeln'!$A$7:$A$96,0))</f>
        <v>46524</v>
      </c>
      <c r="B42" s="74" t="str">
        <f>IF(ISNUMBER(A42),CHOOSE(WEEKDAY(A42,2),"Montag","Dienstag","Mittwoch","Donnerstag","Freitag","Samstag","Sonntag"),"n.a.")</f>
        <v>Montag</v>
      </c>
      <c r="C42" s="74" t="str">
        <v>CH-AG</v>
      </c>
      <c r="D42" s="74" t="str">
        <v>Bezirk Baden ohne Bergdietikon</v>
      </c>
      <c r="E42" s="74" t="str">
        <f>INDEX('Feiertagsregeln'!$D$7:$D$96,MATCH($K42,'Feiertagsregeln'!$A$7:$A$96,0))</f>
        <v>Pfingstmontag</v>
      </c>
      <c r="F42" s="74" t="str">
        <f>INDEX('Feiertagsregeln'!$E$7:$E$96,MATCH($K42,'Feiertagsregeln'!$A$7:$A$96,0))</f>
        <v>Lundi de Pentecôte</v>
      </c>
      <c r="G42" s="75" t="str">
        <f>IF(INDEX('Feiertagsregeln'!$F$7:$F$96,MATCH($K42,'Feiertagsregeln'!$A$7:$A$96,0))="","Noch zu erfassen",INDEX('Feiertagsregeln'!$F$7:$F$96,MATCH($K42,'Feiertagsregeln'!$A$7:$A$96,0)))</f>
        <v>Noch zu erfassen</v>
      </c>
      <c r="H42" s="75" t="str">
        <f>IF(INDEX('Feiertagsregeln'!$G$7:$G$96,MATCH($K42,'Feiertagsregeln'!$A$7:$A$96,0))="","Noch zu erfassen",INDEX('Feiertagsregeln'!$G$7:$G$96,MATCH($K42,'Feiertagsregeln'!$A$7:$A$96,0)))</f>
        <v>Noch zu erfassen</v>
      </c>
      <c r="I42" s="74" t="str">
        <f>INDEX('Feiertagsregeln'!$H$7:$H$96,MATCH($K42,'Feiertagsregeln'!$A$7:$A$96,0))</f>
        <v>labourLawHoliday</v>
      </c>
      <c r="J42" s="74" t="str">
        <v>open</v>
      </c>
      <c r="K42" s="74" t="str">
        <v>AG-WORK-HOL-B2-WHIT-MONDAY</v>
      </c>
      <c r="L42" s="74" t="str">
        <f>INDEX('Feiertagsregeln'!$Y$7:$Y$96,MATCH($K42,'Feiertagsregeln'!$A$7:$A$96,0))</f>
        <v>SRC-AG-EGARR-20250901</v>
      </c>
      <c r="M42" s="74" t="str">
        <f>INDEX('Feiertagsregeln'!$Z$7:$Z$96,MATCH($K42,'Feiertagsregeln'!$A$7:$A$96,0))</f>
        <v>§ 6 Abs. 1 Bst. b Ziff. 2</v>
      </c>
      <c r="N42" s="74" t="str">
        <v>Normliste erfasst, Fachfreigabe offen</v>
      </c>
    </row>
    <row r="43" ht="38" customHeight="1">
      <c r="A43" s="70" t="n">
        <f>INDEX('Feiertagsregeln'!$X$7:$X$96,MATCH($K43,'Feiertagsregeln'!$A$7:$A$96,0))</f>
        <v>46746</v>
      </c>
      <c r="B43" s="71" t="str">
        <f>IF(ISNUMBER(A43),CHOOSE(WEEKDAY(A43,2),"Montag","Dienstag","Mittwoch","Donnerstag","Freitag","Samstag","Sonntag"),"n.a.")</f>
        <v>Samstag</v>
      </c>
      <c r="C43" s="71" t="str">
        <v>CH-AG</v>
      </c>
      <c r="D43" s="71" t="str">
        <v>Bezirk Baden ohne Bergdietikon</v>
      </c>
      <c r="E43" s="71" t="str">
        <f>INDEX('Feiertagsregeln'!$D$7:$D$96,MATCH($K43,'Feiertagsregeln'!$A$7:$A$96,0))</f>
        <v>Weihnachten</v>
      </c>
      <c r="F43" s="71" t="str">
        <f>INDEX('Feiertagsregeln'!$E$7:$E$96,MATCH($K43,'Feiertagsregeln'!$A$7:$A$96,0))</f>
        <v>Noël</v>
      </c>
      <c r="G43" s="72" t="str">
        <f>IF(INDEX('Feiertagsregeln'!$F$7:$F$96,MATCH($K43,'Feiertagsregeln'!$A$7:$A$96,0))="","Noch zu erfassen",INDEX('Feiertagsregeln'!$F$7:$F$96,MATCH($K43,'Feiertagsregeln'!$A$7:$A$96,0)))</f>
        <v>Noch zu erfassen</v>
      </c>
      <c r="H43" s="72" t="str">
        <f>IF(INDEX('Feiertagsregeln'!$G$7:$G$96,MATCH($K43,'Feiertagsregeln'!$A$7:$A$96,0))="","Noch zu erfassen",INDEX('Feiertagsregeln'!$G$7:$G$96,MATCH($K43,'Feiertagsregeln'!$A$7:$A$96,0)))</f>
        <v>Noch zu erfassen</v>
      </c>
      <c r="I43" s="71" t="str">
        <f>INDEX('Feiertagsregeln'!$H$7:$H$96,MATCH($K43,'Feiertagsregeln'!$A$7:$A$96,0))</f>
        <v>labourLawHoliday</v>
      </c>
      <c r="J43" s="71" t="str">
        <v>open</v>
      </c>
      <c r="K43" s="71" t="str">
        <v>AG-WORK-HOL-B2-CHRISTMAS</v>
      </c>
      <c r="L43" s="71" t="str">
        <f>INDEX('Feiertagsregeln'!$Y$7:$Y$96,MATCH($K43,'Feiertagsregeln'!$A$7:$A$96,0))</f>
        <v>SRC-AG-EGARR-20250901</v>
      </c>
      <c r="M43" s="71" t="str">
        <f>INDEX('Feiertagsregeln'!$Z$7:$Z$96,MATCH($K43,'Feiertagsregeln'!$A$7:$A$96,0))</f>
        <v>§ 6 Abs. 1 Bst. b Ziff. 2</v>
      </c>
      <c r="N43" s="71" t="str">
        <v>Normliste erfasst, Fachfreigabe offen</v>
      </c>
    </row>
    <row r="44" ht="38" customHeight="1">
      <c r="A44" s="73" t="n">
        <f>INDEX('Feiertagsregeln'!$X$7:$X$96,MATCH($K44,'Feiertagsregeln'!$A$7:$A$96,0))</f>
        <v>46747</v>
      </c>
      <c r="B44" s="74" t="str">
        <f>IF(ISNUMBER(A44),CHOOSE(WEEKDAY(A44,2),"Montag","Dienstag","Mittwoch","Donnerstag","Freitag","Samstag","Sonntag"),"n.a.")</f>
        <v>Sonntag</v>
      </c>
      <c r="C44" s="74" t="str">
        <v>CH-AG</v>
      </c>
      <c r="D44" s="74" t="str">
        <v>Bezirk Baden ohne Bergdietikon</v>
      </c>
      <c r="E44" s="74" t="str">
        <f>INDEX('Feiertagsregeln'!$D$7:$D$96,MATCH($K44,'Feiertagsregeln'!$A$7:$A$96,0))</f>
        <v>Stephanstag</v>
      </c>
      <c r="F44" s="74" t="str">
        <f>INDEX('Feiertagsregeln'!$E$7:$E$96,MATCH($K44,'Feiertagsregeln'!$A$7:$A$96,0))</f>
        <v>Saint-Étienne</v>
      </c>
      <c r="G44" s="75" t="str">
        <f>IF(INDEX('Feiertagsregeln'!$F$7:$F$96,MATCH($K44,'Feiertagsregeln'!$A$7:$A$96,0))="","Noch zu erfassen",INDEX('Feiertagsregeln'!$F$7:$F$96,MATCH($K44,'Feiertagsregeln'!$A$7:$A$96,0)))</f>
        <v>Noch zu erfassen</v>
      </c>
      <c r="H44" s="75" t="str">
        <f>IF(INDEX('Feiertagsregeln'!$G$7:$G$96,MATCH($K44,'Feiertagsregeln'!$A$7:$A$96,0))="","Noch zu erfassen",INDEX('Feiertagsregeln'!$G$7:$G$96,MATCH($K44,'Feiertagsregeln'!$A$7:$A$96,0)))</f>
        <v>Noch zu erfassen</v>
      </c>
      <c r="I44" s="74" t="str">
        <f>INDEX('Feiertagsregeln'!$H$7:$H$96,MATCH($K44,'Feiertagsregeln'!$A$7:$A$96,0))</f>
        <v>labourLawHoliday</v>
      </c>
      <c r="J44" s="74" t="str">
        <v>open</v>
      </c>
      <c r="K44" s="74" t="str">
        <v>AG-WORK-HOL-B2-ST-STEPHEN</v>
      </c>
      <c r="L44" s="74" t="str">
        <f>INDEX('Feiertagsregeln'!$Y$7:$Y$96,MATCH($K44,'Feiertagsregeln'!$A$7:$A$96,0))</f>
        <v>SRC-AG-EGARR-20250901</v>
      </c>
      <c r="M44" s="74" t="str">
        <f>INDEX('Feiertagsregeln'!$Z$7:$Z$96,MATCH($K44,'Feiertagsregeln'!$A$7:$A$96,0))</f>
        <v>§ 6 Abs. 1 Bst. b Ziff. 2</v>
      </c>
      <c r="N44" s="74" t="str">
        <v>Normliste erfasst, Fachfreigabe offen</v>
      </c>
    </row>
    <row r="45" ht="38" customHeight="1">
      <c r="A45" s="70" t="n">
        <f>INDEX('Feiertagsregeln'!$X$7:$X$96,MATCH($K45,'Feiertagsregeln'!$A$7:$A$96,0))</f>
        <v>46388</v>
      </c>
      <c r="B45" s="71" t="str">
        <f>IF(ISNUMBER(A45),CHOOSE(WEEKDAY(A45,2),"Montag","Dienstag","Mittwoch","Donnerstag","Freitag","Samstag","Sonntag"),"n.a.")</f>
        <v>Freitag</v>
      </c>
      <c r="C45" s="71" t="str">
        <v>CH-AG</v>
      </c>
      <c r="D45" s="71" t="str">
        <v>Bezirk Bremgarten</v>
      </c>
      <c r="E45" s="71" t="str">
        <f>INDEX('Feiertagsregeln'!$D$7:$D$96,MATCH($K45,'Feiertagsregeln'!$A$7:$A$96,0))</f>
        <v>Neujahr</v>
      </c>
      <c r="F45" s="71" t="str">
        <f>INDEX('Feiertagsregeln'!$E$7:$E$96,MATCH($K45,'Feiertagsregeln'!$A$7:$A$96,0))</f>
        <v>Nouvel An</v>
      </c>
      <c r="G45" s="72" t="str">
        <f>IF(INDEX('Feiertagsregeln'!$F$7:$F$96,MATCH($K45,'Feiertagsregeln'!$A$7:$A$96,0))="","Noch zu erfassen",INDEX('Feiertagsregeln'!$F$7:$F$96,MATCH($K45,'Feiertagsregeln'!$A$7:$A$96,0)))</f>
        <v>Noch zu erfassen</v>
      </c>
      <c r="H45" s="72" t="str">
        <f>IF(INDEX('Feiertagsregeln'!$G$7:$G$96,MATCH($K45,'Feiertagsregeln'!$A$7:$A$96,0))="","Noch zu erfassen",INDEX('Feiertagsregeln'!$G$7:$G$96,MATCH($K45,'Feiertagsregeln'!$A$7:$A$96,0)))</f>
        <v>Noch zu erfassen</v>
      </c>
      <c r="I45" s="71" t="str">
        <f>INDEX('Feiertagsregeln'!$H$7:$H$96,MATCH($K45,'Feiertagsregeln'!$A$7:$A$96,0))</f>
        <v>labourLawHoliday</v>
      </c>
      <c r="J45" s="71" t="str">
        <v>open</v>
      </c>
      <c r="K45" s="71" t="str">
        <v>AG-WORK-HOL-C-NEW-YEAR</v>
      </c>
      <c r="L45" s="71" t="str">
        <f>INDEX('Feiertagsregeln'!$Y$7:$Y$96,MATCH($K45,'Feiertagsregeln'!$A$7:$A$96,0))</f>
        <v>SRC-AG-EGARR-20250901</v>
      </c>
      <c r="M45" s="71" t="str">
        <f>INDEX('Feiertagsregeln'!$Z$7:$Z$96,MATCH($K45,'Feiertagsregeln'!$A$7:$A$96,0))</f>
        <v>§ 6 Abs. 1 Bst. c</v>
      </c>
      <c r="N45" s="71" t="str">
        <v>Normliste erfasst, Fachfreigabe offen</v>
      </c>
    </row>
    <row r="46" ht="38" customHeight="1">
      <c r="A46" s="73" t="n">
        <f>INDEX('Feiertagsregeln'!$X$7:$X$96,MATCH($K46,'Feiertagsregeln'!$A$7:$A$96,0))</f>
        <v>46472</v>
      </c>
      <c r="B46" s="74" t="str">
        <f>IF(ISNUMBER(A46),CHOOSE(WEEKDAY(A46,2),"Montag","Dienstag","Mittwoch","Donnerstag","Freitag","Samstag","Sonntag"),"n.a.")</f>
        <v>Freitag</v>
      </c>
      <c r="C46" s="74" t="str">
        <v>CH-AG</v>
      </c>
      <c r="D46" s="74" t="str">
        <v>Bezirk Bremgarten</v>
      </c>
      <c r="E46" s="74" t="str">
        <f>INDEX('Feiertagsregeln'!$D$7:$D$96,MATCH($K46,'Feiertagsregeln'!$A$7:$A$96,0))</f>
        <v>Karfreitag</v>
      </c>
      <c r="F46" s="74" t="str">
        <f>INDEX('Feiertagsregeln'!$E$7:$E$96,MATCH($K46,'Feiertagsregeln'!$A$7:$A$96,0))</f>
        <v>Vendredi saint</v>
      </c>
      <c r="G46" s="75" t="str">
        <f>IF(INDEX('Feiertagsregeln'!$F$7:$F$96,MATCH($K46,'Feiertagsregeln'!$A$7:$A$96,0))="","Noch zu erfassen",INDEX('Feiertagsregeln'!$F$7:$F$96,MATCH($K46,'Feiertagsregeln'!$A$7:$A$96,0)))</f>
        <v>Noch zu erfassen</v>
      </c>
      <c r="H46" s="75" t="str">
        <f>IF(INDEX('Feiertagsregeln'!$G$7:$G$96,MATCH($K46,'Feiertagsregeln'!$A$7:$A$96,0))="","Noch zu erfassen",INDEX('Feiertagsregeln'!$G$7:$G$96,MATCH($K46,'Feiertagsregeln'!$A$7:$A$96,0)))</f>
        <v>Noch zu erfassen</v>
      </c>
      <c r="I46" s="74" t="str">
        <f>INDEX('Feiertagsregeln'!$H$7:$H$96,MATCH($K46,'Feiertagsregeln'!$A$7:$A$96,0))</f>
        <v>labourLawHoliday</v>
      </c>
      <c r="J46" s="74" t="str">
        <v>open</v>
      </c>
      <c r="K46" s="74" t="str">
        <v>AG-WORK-HOL-C-GOOD-FRIDAY</v>
      </c>
      <c r="L46" s="74" t="str">
        <f>INDEX('Feiertagsregeln'!$Y$7:$Y$96,MATCH($K46,'Feiertagsregeln'!$A$7:$A$96,0))</f>
        <v>SRC-AG-EGARR-20250901</v>
      </c>
      <c r="M46" s="74" t="str">
        <f>INDEX('Feiertagsregeln'!$Z$7:$Z$96,MATCH($K46,'Feiertagsregeln'!$A$7:$A$96,0))</f>
        <v>§ 6 Abs. 1 Bst. c</v>
      </c>
      <c r="N46" s="74" t="str">
        <v>Normliste erfasst, Fachfreigabe offen</v>
      </c>
    </row>
    <row r="47" ht="38" customHeight="1">
      <c r="A47" s="70" t="n">
        <f>INDEX('Feiertagsregeln'!$X$7:$X$96,MATCH($K47,'Feiertagsregeln'!$A$7:$A$96,0))</f>
        <v>46513</v>
      </c>
      <c r="B47" s="71" t="str">
        <f>IF(ISNUMBER(A47),CHOOSE(WEEKDAY(A47,2),"Montag","Dienstag","Mittwoch","Donnerstag","Freitag","Samstag","Sonntag"),"n.a.")</f>
        <v>Donnerstag</v>
      </c>
      <c r="C47" s="71" t="str">
        <v>CH-AG</v>
      </c>
      <c r="D47" s="71" t="str">
        <v>Bezirk Bremgarten</v>
      </c>
      <c r="E47" s="71" t="str">
        <f>INDEX('Feiertagsregeln'!$D$7:$D$96,MATCH($K47,'Feiertagsregeln'!$A$7:$A$96,0))</f>
        <v>Auffahrt</v>
      </c>
      <c r="F47" s="71" t="str">
        <f>INDEX('Feiertagsregeln'!$E$7:$E$96,MATCH($K47,'Feiertagsregeln'!$A$7:$A$96,0))</f>
        <v>Ascension</v>
      </c>
      <c r="G47" s="72" t="str">
        <f>IF(INDEX('Feiertagsregeln'!$F$7:$F$96,MATCH($K47,'Feiertagsregeln'!$A$7:$A$96,0))="","Noch zu erfassen",INDEX('Feiertagsregeln'!$F$7:$F$96,MATCH($K47,'Feiertagsregeln'!$A$7:$A$96,0)))</f>
        <v>Noch zu erfassen</v>
      </c>
      <c r="H47" s="72" t="str">
        <f>IF(INDEX('Feiertagsregeln'!$G$7:$G$96,MATCH($K47,'Feiertagsregeln'!$A$7:$A$96,0))="","Noch zu erfassen",INDEX('Feiertagsregeln'!$G$7:$G$96,MATCH($K47,'Feiertagsregeln'!$A$7:$A$96,0)))</f>
        <v>Noch zu erfassen</v>
      </c>
      <c r="I47" s="71" t="str">
        <f>INDEX('Feiertagsregeln'!$H$7:$H$96,MATCH($K47,'Feiertagsregeln'!$A$7:$A$96,0))</f>
        <v>labourLawHoliday</v>
      </c>
      <c r="J47" s="71" t="str">
        <v>open</v>
      </c>
      <c r="K47" s="71" t="str">
        <v>AG-WORK-HOL-C-ASCENSION</v>
      </c>
      <c r="L47" s="71" t="str">
        <f>INDEX('Feiertagsregeln'!$Y$7:$Y$96,MATCH($K47,'Feiertagsregeln'!$A$7:$A$96,0))</f>
        <v>SRC-AG-EGARR-20250901</v>
      </c>
      <c r="M47" s="71" t="str">
        <f>INDEX('Feiertagsregeln'!$Z$7:$Z$96,MATCH($K47,'Feiertagsregeln'!$A$7:$A$96,0))</f>
        <v>§ 6 Abs. 1 Bst. c</v>
      </c>
      <c r="N47" s="71" t="str">
        <v>Normliste erfasst, Fachfreigabe offen</v>
      </c>
    </row>
    <row r="48" ht="38" customHeight="1">
      <c r="A48" s="73" t="n">
        <f>INDEX('Feiertagsregeln'!$X$7:$X$96,MATCH($K48,'Feiertagsregeln'!$A$7:$A$96,0))</f>
        <v>46534</v>
      </c>
      <c r="B48" s="74" t="str">
        <f>IF(ISNUMBER(A48),CHOOSE(WEEKDAY(A48,2),"Montag","Dienstag","Mittwoch","Donnerstag","Freitag","Samstag","Sonntag"),"n.a.")</f>
        <v>Donnerstag</v>
      </c>
      <c r="C48" s="74" t="str">
        <v>CH-AG</v>
      </c>
      <c r="D48" s="74" t="str">
        <v>Bezirk Bremgarten</v>
      </c>
      <c r="E48" s="74" t="str">
        <f>INDEX('Feiertagsregeln'!$D$7:$D$96,MATCH($K48,'Feiertagsregeln'!$A$7:$A$96,0))</f>
        <v>Fronleichnam</v>
      </c>
      <c r="F48" s="74" t="str">
        <f>INDEX('Feiertagsregeln'!$E$7:$E$96,MATCH($K48,'Feiertagsregeln'!$A$7:$A$96,0))</f>
        <v>Fête-Dieu</v>
      </c>
      <c r="G48" s="75" t="str">
        <f>IF(INDEX('Feiertagsregeln'!$F$7:$F$96,MATCH($K48,'Feiertagsregeln'!$A$7:$A$96,0))="","Noch zu erfassen",INDEX('Feiertagsregeln'!$F$7:$F$96,MATCH($K48,'Feiertagsregeln'!$A$7:$A$96,0)))</f>
        <v>Noch zu erfassen</v>
      </c>
      <c r="H48" s="75" t="str">
        <f>IF(INDEX('Feiertagsregeln'!$G$7:$G$96,MATCH($K48,'Feiertagsregeln'!$A$7:$A$96,0))="","Noch zu erfassen",INDEX('Feiertagsregeln'!$G$7:$G$96,MATCH($K48,'Feiertagsregeln'!$A$7:$A$96,0)))</f>
        <v>Noch zu erfassen</v>
      </c>
      <c r="I48" s="74" t="str">
        <f>INDEX('Feiertagsregeln'!$H$7:$H$96,MATCH($K48,'Feiertagsregeln'!$A$7:$A$96,0))</f>
        <v>labourLawHoliday</v>
      </c>
      <c r="J48" s="74" t="str">
        <v>open</v>
      </c>
      <c r="K48" s="74" t="str">
        <v>AG-WORK-HOL-C-CORPUS-CHRISTI</v>
      </c>
      <c r="L48" s="74" t="str">
        <f>INDEX('Feiertagsregeln'!$Y$7:$Y$96,MATCH($K48,'Feiertagsregeln'!$A$7:$A$96,0))</f>
        <v>SRC-AG-EGARR-20250901</v>
      </c>
      <c r="M48" s="74" t="str">
        <f>INDEX('Feiertagsregeln'!$Z$7:$Z$96,MATCH($K48,'Feiertagsregeln'!$A$7:$A$96,0))</f>
        <v>§ 6 Abs. 1 Bst. c</v>
      </c>
      <c r="N48" s="74" t="str">
        <v>Normliste erfasst, Fachfreigabe offen</v>
      </c>
    </row>
    <row r="49" ht="38" customHeight="1">
      <c r="A49" s="70" t="n">
        <f>INDEX('Feiertagsregeln'!$X$7:$X$96,MATCH($K49,'Feiertagsregeln'!$A$7:$A$96,0))</f>
        <v>46614</v>
      </c>
      <c r="B49" s="71" t="str">
        <f>IF(ISNUMBER(A49),CHOOSE(WEEKDAY(A49,2),"Montag","Dienstag","Mittwoch","Donnerstag","Freitag","Samstag","Sonntag"),"n.a.")</f>
        <v>Sonntag</v>
      </c>
      <c r="C49" s="71" t="str">
        <v>CH-AG</v>
      </c>
      <c r="D49" s="71" t="str">
        <v>Bezirk Bremgarten</v>
      </c>
      <c r="E49" s="71" t="str">
        <f>INDEX('Feiertagsregeln'!$D$7:$D$96,MATCH($K49,'Feiertagsregeln'!$A$7:$A$96,0))</f>
        <v>Mariä Himmelfahrt</v>
      </c>
      <c r="F49" s="71" t="str">
        <f>INDEX('Feiertagsregeln'!$E$7:$E$96,MATCH($K49,'Feiertagsregeln'!$A$7:$A$96,0))</f>
        <v>Assomption</v>
      </c>
      <c r="G49" s="72" t="str">
        <f>IF(INDEX('Feiertagsregeln'!$F$7:$F$96,MATCH($K49,'Feiertagsregeln'!$A$7:$A$96,0))="","Noch zu erfassen",INDEX('Feiertagsregeln'!$F$7:$F$96,MATCH($K49,'Feiertagsregeln'!$A$7:$A$96,0)))</f>
        <v>Noch zu erfassen</v>
      </c>
      <c r="H49" s="72" t="str">
        <f>IF(INDEX('Feiertagsregeln'!$G$7:$G$96,MATCH($K49,'Feiertagsregeln'!$A$7:$A$96,0))="","Noch zu erfassen",INDEX('Feiertagsregeln'!$G$7:$G$96,MATCH($K49,'Feiertagsregeln'!$A$7:$A$96,0)))</f>
        <v>Noch zu erfassen</v>
      </c>
      <c r="I49" s="71" t="str">
        <f>INDEX('Feiertagsregeln'!$H$7:$H$96,MATCH($K49,'Feiertagsregeln'!$A$7:$A$96,0))</f>
        <v>labourLawHoliday</v>
      </c>
      <c r="J49" s="71" t="str">
        <v>open</v>
      </c>
      <c r="K49" s="71" t="str">
        <v>AG-WORK-HOL-C-ASSUMPTION</v>
      </c>
      <c r="L49" s="71" t="str">
        <f>INDEX('Feiertagsregeln'!$Y$7:$Y$96,MATCH($K49,'Feiertagsregeln'!$A$7:$A$96,0))</f>
        <v>SRC-AG-EGARR-20250901</v>
      </c>
      <c r="M49" s="71" t="str">
        <f>INDEX('Feiertagsregeln'!$Z$7:$Z$96,MATCH($K49,'Feiertagsregeln'!$A$7:$A$96,0))</f>
        <v>§ 6 Abs. 1 Bst. c</v>
      </c>
      <c r="N49" s="71" t="str">
        <v>Normliste erfasst, Fachfreigabe offen</v>
      </c>
    </row>
    <row r="50" ht="38" customHeight="1">
      <c r="A50" s="73" t="n">
        <f>INDEX('Feiertagsregeln'!$X$7:$X$96,MATCH($K50,'Feiertagsregeln'!$A$7:$A$96,0))</f>
        <v>46692</v>
      </c>
      <c r="B50" s="74" t="str">
        <f>IF(ISNUMBER(A50),CHOOSE(WEEKDAY(A50,2),"Montag","Dienstag","Mittwoch","Donnerstag","Freitag","Samstag","Sonntag"),"n.a.")</f>
        <v>Montag</v>
      </c>
      <c r="C50" s="74" t="str">
        <v>CH-AG</v>
      </c>
      <c r="D50" s="74" t="str">
        <v>Bezirk Bremgarten</v>
      </c>
      <c r="E50" s="74" t="str">
        <f>INDEX('Feiertagsregeln'!$D$7:$D$96,MATCH($K50,'Feiertagsregeln'!$A$7:$A$96,0))</f>
        <v>Allerheiligen</v>
      </c>
      <c r="F50" s="74" t="str">
        <f>INDEX('Feiertagsregeln'!$E$7:$E$96,MATCH($K50,'Feiertagsregeln'!$A$7:$A$96,0))</f>
        <v>Toussaint</v>
      </c>
      <c r="G50" s="75" t="str">
        <f>IF(INDEX('Feiertagsregeln'!$F$7:$F$96,MATCH($K50,'Feiertagsregeln'!$A$7:$A$96,0))="","Noch zu erfassen",INDEX('Feiertagsregeln'!$F$7:$F$96,MATCH($K50,'Feiertagsregeln'!$A$7:$A$96,0)))</f>
        <v>Noch zu erfassen</v>
      </c>
      <c r="H50" s="75" t="str">
        <f>IF(INDEX('Feiertagsregeln'!$G$7:$G$96,MATCH($K50,'Feiertagsregeln'!$A$7:$A$96,0))="","Noch zu erfassen",INDEX('Feiertagsregeln'!$G$7:$G$96,MATCH($K50,'Feiertagsregeln'!$A$7:$A$96,0)))</f>
        <v>Noch zu erfassen</v>
      </c>
      <c r="I50" s="74" t="str">
        <f>INDEX('Feiertagsregeln'!$H$7:$H$96,MATCH($K50,'Feiertagsregeln'!$A$7:$A$96,0))</f>
        <v>labourLawHoliday</v>
      </c>
      <c r="J50" s="74" t="str">
        <v>open</v>
      </c>
      <c r="K50" s="74" t="str">
        <v>AG-WORK-HOL-C-ALL-SAINTS</v>
      </c>
      <c r="L50" s="74" t="str">
        <f>INDEX('Feiertagsregeln'!$Y$7:$Y$96,MATCH($K50,'Feiertagsregeln'!$A$7:$A$96,0))</f>
        <v>SRC-AG-EGARR-20250901</v>
      </c>
      <c r="M50" s="74" t="str">
        <f>INDEX('Feiertagsregeln'!$Z$7:$Z$96,MATCH($K50,'Feiertagsregeln'!$A$7:$A$96,0))</f>
        <v>§ 6 Abs. 1 Bst. c</v>
      </c>
      <c r="N50" s="74" t="str">
        <v>Normliste erfasst, Fachfreigabe offen</v>
      </c>
    </row>
    <row r="51" ht="38" customHeight="1">
      <c r="A51" s="70" t="n">
        <f>INDEX('Feiertagsregeln'!$X$7:$X$96,MATCH($K51,'Feiertagsregeln'!$A$7:$A$96,0))</f>
        <v>46746</v>
      </c>
      <c r="B51" s="71" t="str">
        <f>IF(ISNUMBER(A51),CHOOSE(WEEKDAY(A51,2),"Montag","Dienstag","Mittwoch","Donnerstag","Freitag","Samstag","Sonntag"),"n.a.")</f>
        <v>Samstag</v>
      </c>
      <c r="C51" s="71" t="str">
        <v>CH-AG</v>
      </c>
      <c r="D51" s="71" t="str">
        <v>Bezirk Bremgarten</v>
      </c>
      <c r="E51" s="71" t="str">
        <f>INDEX('Feiertagsregeln'!$D$7:$D$96,MATCH($K51,'Feiertagsregeln'!$A$7:$A$96,0))</f>
        <v>Weihnachten</v>
      </c>
      <c r="F51" s="71" t="str">
        <f>INDEX('Feiertagsregeln'!$E$7:$E$96,MATCH($K51,'Feiertagsregeln'!$A$7:$A$96,0))</f>
        <v>Noël</v>
      </c>
      <c r="G51" s="72" t="str">
        <f>IF(INDEX('Feiertagsregeln'!$F$7:$F$96,MATCH($K51,'Feiertagsregeln'!$A$7:$A$96,0))="","Noch zu erfassen",INDEX('Feiertagsregeln'!$F$7:$F$96,MATCH($K51,'Feiertagsregeln'!$A$7:$A$96,0)))</f>
        <v>Noch zu erfassen</v>
      </c>
      <c r="H51" s="72" t="str">
        <f>IF(INDEX('Feiertagsregeln'!$G$7:$G$96,MATCH($K51,'Feiertagsregeln'!$A$7:$A$96,0))="","Noch zu erfassen",INDEX('Feiertagsregeln'!$G$7:$G$96,MATCH($K51,'Feiertagsregeln'!$A$7:$A$96,0)))</f>
        <v>Noch zu erfassen</v>
      </c>
      <c r="I51" s="71" t="str">
        <f>INDEX('Feiertagsregeln'!$H$7:$H$96,MATCH($K51,'Feiertagsregeln'!$A$7:$A$96,0))</f>
        <v>labourLawHoliday</v>
      </c>
      <c r="J51" s="71" t="str">
        <v>open</v>
      </c>
      <c r="K51" s="71" t="str">
        <v>AG-WORK-HOL-C-CHRISTMAS</v>
      </c>
      <c r="L51" s="71" t="str">
        <f>INDEX('Feiertagsregeln'!$Y$7:$Y$96,MATCH($K51,'Feiertagsregeln'!$A$7:$A$96,0))</f>
        <v>SRC-AG-EGARR-20250901</v>
      </c>
      <c r="M51" s="71" t="str">
        <f>INDEX('Feiertagsregeln'!$Z$7:$Z$96,MATCH($K51,'Feiertagsregeln'!$A$7:$A$96,0))</f>
        <v>§ 6 Abs. 1 Bst. c</v>
      </c>
      <c r="N51" s="71" t="str">
        <v>Normliste erfasst, Fachfreigabe offen</v>
      </c>
    </row>
    <row r="52" ht="38" customHeight="1">
      <c r="A52" s="73" t="n">
        <f>INDEX('Feiertagsregeln'!$X$7:$X$96,MATCH($K52,'Feiertagsregeln'!$A$7:$A$96,0))</f>
        <v>46747</v>
      </c>
      <c r="B52" s="74" t="str">
        <f>IF(ISNUMBER(A52),CHOOSE(WEEKDAY(A52,2),"Montag","Dienstag","Mittwoch","Donnerstag","Freitag","Samstag","Sonntag"),"n.a.")</f>
        <v>Sonntag</v>
      </c>
      <c r="C52" s="74" t="str">
        <v>CH-AG</v>
      </c>
      <c r="D52" s="74" t="str">
        <v>Bezirk Bremgarten</v>
      </c>
      <c r="E52" s="74" t="str">
        <f>INDEX('Feiertagsregeln'!$D$7:$D$96,MATCH($K52,'Feiertagsregeln'!$A$7:$A$96,0))</f>
        <v>Stephanstag</v>
      </c>
      <c r="F52" s="74" t="str">
        <f>INDEX('Feiertagsregeln'!$E$7:$E$96,MATCH($K52,'Feiertagsregeln'!$A$7:$A$96,0))</f>
        <v>Saint-Étienne</v>
      </c>
      <c r="G52" s="75" t="str">
        <f>IF(INDEX('Feiertagsregeln'!$F$7:$F$96,MATCH($K52,'Feiertagsregeln'!$A$7:$A$96,0))="","Noch zu erfassen",INDEX('Feiertagsregeln'!$F$7:$F$96,MATCH($K52,'Feiertagsregeln'!$A$7:$A$96,0)))</f>
        <v>Noch zu erfassen</v>
      </c>
      <c r="H52" s="75" t="str">
        <f>IF(INDEX('Feiertagsregeln'!$G$7:$G$96,MATCH($K52,'Feiertagsregeln'!$A$7:$A$96,0))="","Noch zu erfassen",INDEX('Feiertagsregeln'!$G$7:$G$96,MATCH($K52,'Feiertagsregeln'!$A$7:$A$96,0)))</f>
        <v>Noch zu erfassen</v>
      </c>
      <c r="I52" s="74" t="str">
        <f>INDEX('Feiertagsregeln'!$H$7:$H$96,MATCH($K52,'Feiertagsregeln'!$A$7:$A$96,0))</f>
        <v>labourLawHoliday</v>
      </c>
      <c r="J52" s="74" t="str">
        <v>open</v>
      </c>
      <c r="K52" s="74" t="str">
        <v>AG-WORK-HOL-C-ST-STEPHEN</v>
      </c>
      <c r="L52" s="74" t="str">
        <f>INDEX('Feiertagsregeln'!$Y$7:$Y$96,MATCH($K52,'Feiertagsregeln'!$A$7:$A$96,0))</f>
        <v>SRC-AG-EGARR-20250901</v>
      </c>
      <c r="M52" s="74" t="str">
        <f>INDEX('Feiertagsregeln'!$Z$7:$Z$96,MATCH($K52,'Feiertagsregeln'!$A$7:$A$96,0))</f>
        <v>§ 6 Abs. 1 Bst. c</v>
      </c>
      <c r="N52" s="74" t="str">
        <v>Normliste erfasst, Fachfreigabe offen</v>
      </c>
    </row>
    <row r="53" ht="38" customHeight="1">
      <c r="A53" s="70" t="n">
        <f>INDEX('Feiertagsregeln'!$X$7:$X$96,MATCH($K53,'Feiertagsregeln'!$A$7:$A$96,0))</f>
        <v>46388</v>
      </c>
      <c r="B53" s="71" t="str">
        <f>IF(ISNUMBER(A53),CHOOSE(WEEKDAY(A53,2),"Montag","Dienstag","Mittwoch","Donnerstag","Freitag","Samstag","Sonntag"),"n.a.")</f>
        <v>Freitag</v>
      </c>
      <c r="C53" s="71" t="str">
        <v>CH-AG</v>
      </c>
      <c r="D53" s="71" t="str">
        <v>Bezirke Laufenburg und Muri</v>
      </c>
      <c r="E53" s="71" t="str">
        <f>INDEX('Feiertagsregeln'!$D$7:$D$96,MATCH($K53,'Feiertagsregeln'!$A$7:$A$96,0))</f>
        <v>Neujahr</v>
      </c>
      <c r="F53" s="71" t="str">
        <f>INDEX('Feiertagsregeln'!$E$7:$E$96,MATCH($K53,'Feiertagsregeln'!$A$7:$A$96,0))</f>
        <v>Nouvel An</v>
      </c>
      <c r="G53" s="72" t="str">
        <f>IF(INDEX('Feiertagsregeln'!$F$7:$F$96,MATCH($K53,'Feiertagsregeln'!$A$7:$A$96,0))="","Noch zu erfassen",INDEX('Feiertagsregeln'!$F$7:$F$96,MATCH($K53,'Feiertagsregeln'!$A$7:$A$96,0)))</f>
        <v>Noch zu erfassen</v>
      </c>
      <c r="H53" s="72" t="str">
        <f>IF(INDEX('Feiertagsregeln'!$G$7:$G$96,MATCH($K53,'Feiertagsregeln'!$A$7:$A$96,0))="","Noch zu erfassen",INDEX('Feiertagsregeln'!$G$7:$G$96,MATCH($K53,'Feiertagsregeln'!$A$7:$A$96,0)))</f>
        <v>Noch zu erfassen</v>
      </c>
      <c r="I53" s="71" t="str">
        <f>INDEX('Feiertagsregeln'!$H$7:$H$96,MATCH($K53,'Feiertagsregeln'!$A$7:$A$96,0))</f>
        <v>labourLawHoliday</v>
      </c>
      <c r="J53" s="71" t="str">
        <v>open</v>
      </c>
      <c r="K53" s="71" t="str">
        <v>AG-WORK-HOL-D-NEW-YEAR</v>
      </c>
      <c r="L53" s="71" t="str">
        <f>INDEX('Feiertagsregeln'!$Y$7:$Y$96,MATCH($K53,'Feiertagsregeln'!$A$7:$A$96,0))</f>
        <v>SRC-AG-EGARR-20250901</v>
      </c>
      <c r="M53" s="71" t="str">
        <f>INDEX('Feiertagsregeln'!$Z$7:$Z$96,MATCH($K53,'Feiertagsregeln'!$A$7:$A$96,0))</f>
        <v>§ 6 Abs. 1 Bst. d</v>
      </c>
      <c r="N53" s="71" t="str">
        <v>Normliste erfasst, Fachfreigabe offen</v>
      </c>
    </row>
    <row r="54" ht="38" customHeight="1">
      <c r="A54" s="73" t="n">
        <f>INDEX('Feiertagsregeln'!$X$7:$X$96,MATCH($K54,'Feiertagsregeln'!$A$7:$A$96,0))</f>
        <v>46472</v>
      </c>
      <c r="B54" s="74" t="str">
        <f>IF(ISNUMBER(A54),CHOOSE(WEEKDAY(A54,2),"Montag","Dienstag","Mittwoch","Donnerstag","Freitag","Samstag","Sonntag"),"n.a.")</f>
        <v>Freitag</v>
      </c>
      <c r="C54" s="74" t="str">
        <v>CH-AG</v>
      </c>
      <c r="D54" s="74" t="str">
        <v>Bezirke Laufenburg und Muri</v>
      </c>
      <c r="E54" s="74" t="str">
        <f>INDEX('Feiertagsregeln'!$D$7:$D$96,MATCH($K54,'Feiertagsregeln'!$A$7:$A$96,0))</f>
        <v>Karfreitag</v>
      </c>
      <c r="F54" s="74" t="str">
        <f>INDEX('Feiertagsregeln'!$E$7:$E$96,MATCH($K54,'Feiertagsregeln'!$A$7:$A$96,0))</f>
        <v>Vendredi saint</v>
      </c>
      <c r="G54" s="75" t="str">
        <f>IF(INDEX('Feiertagsregeln'!$F$7:$F$96,MATCH($K54,'Feiertagsregeln'!$A$7:$A$96,0))="","Noch zu erfassen",INDEX('Feiertagsregeln'!$F$7:$F$96,MATCH($K54,'Feiertagsregeln'!$A$7:$A$96,0)))</f>
        <v>Noch zu erfassen</v>
      </c>
      <c r="H54" s="75" t="str">
        <f>IF(INDEX('Feiertagsregeln'!$G$7:$G$96,MATCH($K54,'Feiertagsregeln'!$A$7:$A$96,0))="","Noch zu erfassen",INDEX('Feiertagsregeln'!$G$7:$G$96,MATCH($K54,'Feiertagsregeln'!$A$7:$A$96,0)))</f>
        <v>Noch zu erfassen</v>
      </c>
      <c r="I54" s="74" t="str">
        <f>INDEX('Feiertagsregeln'!$H$7:$H$96,MATCH($K54,'Feiertagsregeln'!$A$7:$A$96,0))</f>
        <v>labourLawHoliday</v>
      </c>
      <c r="J54" s="74" t="str">
        <v>open</v>
      </c>
      <c r="K54" s="74" t="str">
        <v>AG-WORK-HOL-D-GOOD-FRIDAY</v>
      </c>
      <c r="L54" s="74" t="str">
        <f>INDEX('Feiertagsregeln'!$Y$7:$Y$96,MATCH($K54,'Feiertagsregeln'!$A$7:$A$96,0))</f>
        <v>SRC-AG-EGARR-20250901</v>
      </c>
      <c r="M54" s="74" t="str">
        <f>INDEX('Feiertagsregeln'!$Z$7:$Z$96,MATCH($K54,'Feiertagsregeln'!$A$7:$A$96,0))</f>
        <v>§ 6 Abs. 1 Bst. d</v>
      </c>
      <c r="N54" s="74" t="str">
        <v>Normliste erfasst, Fachfreigabe offen</v>
      </c>
    </row>
    <row r="55" ht="38" customHeight="1">
      <c r="A55" s="70" t="n">
        <f>INDEX('Feiertagsregeln'!$X$7:$X$96,MATCH($K55,'Feiertagsregeln'!$A$7:$A$96,0))</f>
        <v>46513</v>
      </c>
      <c r="B55" s="71" t="str">
        <f>IF(ISNUMBER(A55),CHOOSE(WEEKDAY(A55,2),"Montag","Dienstag","Mittwoch","Donnerstag","Freitag","Samstag","Sonntag"),"n.a.")</f>
        <v>Donnerstag</v>
      </c>
      <c r="C55" s="71" t="str">
        <v>CH-AG</v>
      </c>
      <c r="D55" s="71" t="str">
        <v>Bezirke Laufenburg und Muri</v>
      </c>
      <c r="E55" s="71" t="str">
        <f>INDEX('Feiertagsregeln'!$D$7:$D$96,MATCH($K55,'Feiertagsregeln'!$A$7:$A$96,0))</f>
        <v>Auffahrt</v>
      </c>
      <c r="F55" s="71" t="str">
        <f>INDEX('Feiertagsregeln'!$E$7:$E$96,MATCH($K55,'Feiertagsregeln'!$A$7:$A$96,0))</f>
        <v>Ascension</v>
      </c>
      <c r="G55" s="72" t="str">
        <f>IF(INDEX('Feiertagsregeln'!$F$7:$F$96,MATCH($K55,'Feiertagsregeln'!$A$7:$A$96,0))="","Noch zu erfassen",INDEX('Feiertagsregeln'!$F$7:$F$96,MATCH($K55,'Feiertagsregeln'!$A$7:$A$96,0)))</f>
        <v>Noch zu erfassen</v>
      </c>
      <c r="H55" s="72" t="str">
        <f>IF(INDEX('Feiertagsregeln'!$G$7:$G$96,MATCH($K55,'Feiertagsregeln'!$A$7:$A$96,0))="","Noch zu erfassen",INDEX('Feiertagsregeln'!$G$7:$G$96,MATCH($K55,'Feiertagsregeln'!$A$7:$A$96,0)))</f>
        <v>Noch zu erfassen</v>
      </c>
      <c r="I55" s="71" t="str">
        <f>INDEX('Feiertagsregeln'!$H$7:$H$96,MATCH($K55,'Feiertagsregeln'!$A$7:$A$96,0))</f>
        <v>labourLawHoliday</v>
      </c>
      <c r="J55" s="71" t="str">
        <v>open</v>
      </c>
      <c r="K55" s="71" t="str">
        <v>AG-WORK-HOL-D-ASCENSION</v>
      </c>
      <c r="L55" s="71" t="str">
        <f>INDEX('Feiertagsregeln'!$Y$7:$Y$96,MATCH($K55,'Feiertagsregeln'!$A$7:$A$96,0))</f>
        <v>SRC-AG-EGARR-20250901</v>
      </c>
      <c r="M55" s="71" t="str">
        <f>INDEX('Feiertagsregeln'!$Z$7:$Z$96,MATCH($K55,'Feiertagsregeln'!$A$7:$A$96,0))</f>
        <v>§ 6 Abs. 1 Bst. d</v>
      </c>
      <c r="N55" s="71" t="str">
        <v>Normliste erfasst, Fachfreigabe offen</v>
      </c>
    </row>
    <row r="56" ht="38" customHeight="1">
      <c r="A56" s="73" t="n">
        <f>INDEX('Feiertagsregeln'!$X$7:$X$96,MATCH($K56,'Feiertagsregeln'!$A$7:$A$96,0))</f>
        <v>46534</v>
      </c>
      <c r="B56" s="74" t="str">
        <f>IF(ISNUMBER(A56),CHOOSE(WEEKDAY(A56,2),"Montag","Dienstag","Mittwoch","Donnerstag","Freitag","Samstag","Sonntag"),"n.a.")</f>
        <v>Donnerstag</v>
      </c>
      <c r="C56" s="74" t="str">
        <v>CH-AG</v>
      </c>
      <c r="D56" s="74" t="str">
        <v>Bezirke Laufenburg und Muri</v>
      </c>
      <c r="E56" s="74" t="str">
        <f>INDEX('Feiertagsregeln'!$D$7:$D$96,MATCH($K56,'Feiertagsregeln'!$A$7:$A$96,0))</f>
        <v>Fronleichnam</v>
      </c>
      <c r="F56" s="74" t="str">
        <f>INDEX('Feiertagsregeln'!$E$7:$E$96,MATCH($K56,'Feiertagsregeln'!$A$7:$A$96,0))</f>
        <v>Fête-Dieu</v>
      </c>
      <c r="G56" s="75" t="str">
        <f>IF(INDEX('Feiertagsregeln'!$F$7:$F$96,MATCH($K56,'Feiertagsregeln'!$A$7:$A$96,0))="","Noch zu erfassen",INDEX('Feiertagsregeln'!$F$7:$F$96,MATCH($K56,'Feiertagsregeln'!$A$7:$A$96,0)))</f>
        <v>Noch zu erfassen</v>
      </c>
      <c r="H56" s="75" t="str">
        <f>IF(INDEX('Feiertagsregeln'!$G$7:$G$96,MATCH($K56,'Feiertagsregeln'!$A$7:$A$96,0))="","Noch zu erfassen",INDEX('Feiertagsregeln'!$G$7:$G$96,MATCH($K56,'Feiertagsregeln'!$A$7:$A$96,0)))</f>
        <v>Noch zu erfassen</v>
      </c>
      <c r="I56" s="74" t="str">
        <f>INDEX('Feiertagsregeln'!$H$7:$H$96,MATCH($K56,'Feiertagsregeln'!$A$7:$A$96,0))</f>
        <v>labourLawHoliday</v>
      </c>
      <c r="J56" s="74" t="str">
        <v>open</v>
      </c>
      <c r="K56" s="74" t="str">
        <v>AG-WORK-HOL-D-CORPUS-CHRISTI</v>
      </c>
      <c r="L56" s="74" t="str">
        <f>INDEX('Feiertagsregeln'!$Y$7:$Y$96,MATCH($K56,'Feiertagsregeln'!$A$7:$A$96,0))</f>
        <v>SRC-AG-EGARR-20250901</v>
      </c>
      <c r="M56" s="74" t="str">
        <f>INDEX('Feiertagsregeln'!$Z$7:$Z$96,MATCH($K56,'Feiertagsregeln'!$A$7:$A$96,0))</f>
        <v>§ 6 Abs. 1 Bst. d</v>
      </c>
      <c r="N56" s="74" t="str">
        <v>Normliste erfasst, Fachfreigabe offen</v>
      </c>
    </row>
    <row r="57" ht="38" customHeight="1">
      <c r="A57" s="70" t="n">
        <f>INDEX('Feiertagsregeln'!$X$7:$X$96,MATCH($K57,'Feiertagsregeln'!$A$7:$A$96,0))</f>
        <v>46614</v>
      </c>
      <c r="B57" s="71" t="str">
        <f>IF(ISNUMBER(A57),CHOOSE(WEEKDAY(A57,2),"Montag","Dienstag","Mittwoch","Donnerstag","Freitag","Samstag","Sonntag"),"n.a.")</f>
        <v>Sonntag</v>
      </c>
      <c r="C57" s="71" t="str">
        <v>CH-AG</v>
      </c>
      <c r="D57" s="71" t="str">
        <v>Bezirke Laufenburg und Muri</v>
      </c>
      <c r="E57" s="71" t="str">
        <f>INDEX('Feiertagsregeln'!$D$7:$D$96,MATCH($K57,'Feiertagsregeln'!$A$7:$A$96,0))</f>
        <v>Mariä Himmelfahrt</v>
      </c>
      <c r="F57" s="71" t="str">
        <f>INDEX('Feiertagsregeln'!$E$7:$E$96,MATCH($K57,'Feiertagsregeln'!$A$7:$A$96,0))</f>
        <v>Assomption</v>
      </c>
      <c r="G57" s="72" t="str">
        <f>IF(INDEX('Feiertagsregeln'!$F$7:$F$96,MATCH($K57,'Feiertagsregeln'!$A$7:$A$96,0))="","Noch zu erfassen",INDEX('Feiertagsregeln'!$F$7:$F$96,MATCH($K57,'Feiertagsregeln'!$A$7:$A$96,0)))</f>
        <v>Noch zu erfassen</v>
      </c>
      <c r="H57" s="72" t="str">
        <f>IF(INDEX('Feiertagsregeln'!$G$7:$G$96,MATCH($K57,'Feiertagsregeln'!$A$7:$A$96,0))="","Noch zu erfassen",INDEX('Feiertagsregeln'!$G$7:$G$96,MATCH($K57,'Feiertagsregeln'!$A$7:$A$96,0)))</f>
        <v>Noch zu erfassen</v>
      </c>
      <c r="I57" s="71" t="str">
        <f>INDEX('Feiertagsregeln'!$H$7:$H$96,MATCH($K57,'Feiertagsregeln'!$A$7:$A$96,0))</f>
        <v>labourLawHoliday</v>
      </c>
      <c r="J57" s="71" t="str">
        <v>open</v>
      </c>
      <c r="K57" s="71" t="str">
        <v>AG-WORK-HOL-D-ASSUMPTION</v>
      </c>
      <c r="L57" s="71" t="str">
        <f>INDEX('Feiertagsregeln'!$Y$7:$Y$96,MATCH($K57,'Feiertagsregeln'!$A$7:$A$96,0))</f>
        <v>SRC-AG-EGARR-20250901</v>
      </c>
      <c r="M57" s="71" t="str">
        <f>INDEX('Feiertagsregeln'!$Z$7:$Z$96,MATCH($K57,'Feiertagsregeln'!$A$7:$A$96,0))</f>
        <v>§ 6 Abs. 1 Bst. d</v>
      </c>
      <c r="N57" s="71" t="str">
        <v>Normliste erfasst, Fachfreigabe offen</v>
      </c>
    </row>
    <row r="58" ht="38" customHeight="1">
      <c r="A58" s="73" t="n">
        <f>INDEX('Feiertagsregeln'!$X$7:$X$96,MATCH($K58,'Feiertagsregeln'!$A$7:$A$96,0))</f>
        <v>46692</v>
      </c>
      <c r="B58" s="74" t="str">
        <f>IF(ISNUMBER(A58),CHOOSE(WEEKDAY(A58,2),"Montag","Dienstag","Mittwoch","Donnerstag","Freitag","Samstag","Sonntag"),"n.a.")</f>
        <v>Montag</v>
      </c>
      <c r="C58" s="74" t="str">
        <v>CH-AG</v>
      </c>
      <c r="D58" s="74" t="str">
        <v>Bezirke Laufenburg und Muri</v>
      </c>
      <c r="E58" s="74" t="str">
        <f>INDEX('Feiertagsregeln'!$D$7:$D$96,MATCH($K58,'Feiertagsregeln'!$A$7:$A$96,0))</f>
        <v>Allerheiligen</v>
      </c>
      <c r="F58" s="74" t="str">
        <f>INDEX('Feiertagsregeln'!$E$7:$E$96,MATCH($K58,'Feiertagsregeln'!$A$7:$A$96,0))</f>
        <v>Toussaint</v>
      </c>
      <c r="G58" s="75" t="str">
        <f>IF(INDEX('Feiertagsregeln'!$F$7:$F$96,MATCH($K58,'Feiertagsregeln'!$A$7:$A$96,0))="","Noch zu erfassen",INDEX('Feiertagsregeln'!$F$7:$F$96,MATCH($K58,'Feiertagsregeln'!$A$7:$A$96,0)))</f>
        <v>Noch zu erfassen</v>
      </c>
      <c r="H58" s="75" t="str">
        <f>IF(INDEX('Feiertagsregeln'!$G$7:$G$96,MATCH($K58,'Feiertagsregeln'!$A$7:$A$96,0))="","Noch zu erfassen",INDEX('Feiertagsregeln'!$G$7:$G$96,MATCH($K58,'Feiertagsregeln'!$A$7:$A$96,0)))</f>
        <v>Noch zu erfassen</v>
      </c>
      <c r="I58" s="74" t="str">
        <f>INDEX('Feiertagsregeln'!$H$7:$H$96,MATCH($K58,'Feiertagsregeln'!$A$7:$A$96,0))</f>
        <v>labourLawHoliday</v>
      </c>
      <c r="J58" s="74" t="str">
        <v>open</v>
      </c>
      <c r="K58" s="74" t="str">
        <v>AG-WORK-HOL-D-ALL-SAINTS</v>
      </c>
      <c r="L58" s="74" t="str">
        <f>INDEX('Feiertagsregeln'!$Y$7:$Y$96,MATCH($K58,'Feiertagsregeln'!$A$7:$A$96,0))</f>
        <v>SRC-AG-EGARR-20250901</v>
      </c>
      <c r="M58" s="74" t="str">
        <f>INDEX('Feiertagsregeln'!$Z$7:$Z$96,MATCH($K58,'Feiertagsregeln'!$A$7:$A$96,0))</f>
        <v>§ 6 Abs. 1 Bst. d</v>
      </c>
      <c r="N58" s="74" t="str">
        <v>Normliste erfasst, Fachfreigabe offen</v>
      </c>
    </row>
    <row r="59" ht="38" customHeight="1">
      <c r="A59" s="70" t="n">
        <f>INDEX('Feiertagsregeln'!$X$7:$X$96,MATCH($K59,'Feiertagsregeln'!$A$7:$A$96,0))</f>
        <v>46746</v>
      </c>
      <c r="B59" s="71" t="str">
        <f>IF(ISNUMBER(A59),CHOOSE(WEEKDAY(A59,2),"Montag","Dienstag","Mittwoch","Donnerstag","Freitag","Samstag","Sonntag"),"n.a.")</f>
        <v>Samstag</v>
      </c>
      <c r="C59" s="71" t="str">
        <v>CH-AG</v>
      </c>
      <c r="D59" s="71" t="str">
        <v>Bezirke Laufenburg und Muri</v>
      </c>
      <c r="E59" s="71" t="str">
        <f>INDEX('Feiertagsregeln'!$D$7:$D$96,MATCH($K59,'Feiertagsregeln'!$A$7:$A$96,0))</f>
        <v>Weihnachten</v>
      </c>
      <c r="F59" s="71" t="str">
        <f>INDEX('Feiertagsregeln'!$E$7:$E$96,MATCH($K59,'Feiertagsregeln'!$A$7:$A$96,0))</f>
        <v>Noël</v>
      </c>
      <c r="G59" s="72" t="str">
        <f>IF(INDEX('Feiertagsregeln'!$F$7:$F$96,MATCH($K59,'Feiertagsregeln'!$A$7:$A$96,0))="","Noch zu erfassen",INDEX('Feiertagsregeln'!$F$7:$F$96,MATCH($K59,'Feiertagsregeln'!$A$7:$A$96,0)))</f>
        <v>Noch zu erfassen</v>
      </c>
      <c r="H59" s="72" t="str">
        <f>IF(INDEX('Feiertagsregeln'!$G$7:$G$96,MATCH($K59,'Feiertagsregeln'!$A$7:$A$96,0))="","Noch zu erfassen",INDEX('Feiertagsregeln'!$G$7:$G$96,MATCH($K59,'Feiertagsregeln'!$A$7:$A$96,0)))</f>
        <v>Noch zu erfassen</v>
      </c>
      <c r="I59" s="71" t="str">
        <f>INDEX('Feiertagsregeln'!$H$7:$H$96,MATCH($K59,'Feiertagsregeln'!$A$7:$A$96,0))</f>
        <v>labourLawHoliday</v>
      </c>
      <c r="J59" s="71" t="str">
        <v>open</v>
      </c>
      <c r="K59" s="71" t="str">
        <v>AG-WORK-HOL-D-CHRISTMAS</v>
      </c>
      <c r="L59" s="71" t="str">
        <f>INDEX('Feiertagsregeln'!$Y$7:$Y$96,MATCH($K59,'Feiertagsregeln'!$A$7:$A$96,0))</f>
        <v>SRC-AG-EGARR-20250901</v>
      </c>
      <c r="M59" s="71" t="str">
        <f>INDEX('Feiertagsregeln'!$Z$7:$Z$96,MATCH($K59,'Feiertagsregeln'!$A$7:$A$96,0))</f>
        <v>§ 6 Abs. 1 Bst. d</v>
      </c>
      <c r="N59" s="71" t="str">
        <v>Normliste erfasst, Fachfreigabe offen</v>
      </c>
    </row>
    <row r="60" ht="38" customHeight="1">
      <c r="A60" s="73" t="n">
        <f>INDEX('Feiertagsregeln'!$X$7:$X$96,MATCH($K60,'Feiertagsregeln'!$A$7:$A$96,0))</f>
        <v>46729</v>
      </c>
      <c r="B60" s="74" t="str">
        <f>IF(ISNUMBER(A60),CHOOSE(WEEKDAY(A60,2),"Montag","Dienstag","Mittwoch","Donnerstag","Freitag","Samstag","Sonntag"),"n.a.")</f>
        <v>Mittwoch</v>
      </c>
      <c r="C60" s="74" t="str">
        <v>CH-AG</v>
      </c>
      <c r="D60" s="74" t="str">
        <v>Bezirke Laufenburg und Muri</v>
      </c>
      <c r="E60" s="74" t="str">
        <f>INDEX('Feiertagsregeln'!$D$7:$D$96,MATCH($K60,'Feiertagsregeln'!$A$7:$A$96,0))</f>
        <v>Mariä Empfängnis</v>
      </c>
      <c r="F60" s="74" t="str">
        <f>INDEX('Feiertagsregeln'!$E$7:$E$96,MATCH($K60,'Feiertagsregeln'!$A$7:$A$96,0))</f>
        <v>Immaculée Conception</v>
      </c>
      <c r="G60" s="75" t="str">
        <f>IF(INDEX('Feiertagsregeln'!$F$7:$F$96,MATCH($K60,'Feiertagsregeln'!$A$7:$A$96,0))="","Noch zu erfassen",INDEX('Feiertagsregeln'!$F$7:$F$96,MATCH($K60,'Feiertagsregeln'!$A$7:$A$96,0)))</f>
        <v>Noch zu erfassen</v>
      </c>
      <c r="H60" s="75" t="str">
        <f>IF(INDEX('Feiertagsregeln'!$G$7:$G$96,MATCH($K60,'Feiertagsregeln'!$A$7:$A$96,0))="","Noch zu erfassen",INDEX('Feiertagsregeln'!$G$7:$G$96,MATCH($K60,'Feiertagsregeln'!$A$7:$A$96,0)))</f>
        <v>Noch zu erfassen</v>
      </c>
      <c r="I60" s="74" t="str">
        <f>INDEX('Feiertagsregeln'!$H$7:$H$96,MATCH($K60,'Feiertagsregeln'!$A$7:$A$96,0))</f>
        <v>labourLawHoliday</v>
      </c>
      <c r="J60" s="74" t="str">
        <v>open</v>
      </c>
      <c r="K60" s="74" t="str">
        <v>AG-WORK-HOL-D-IMMACULATE-CONCEPTION</v>
      </c>
      <c r="L60" s="74" t="str">
        <f>INDEX('Feiertagsregeln'!$Y$7:$Y$96,MATCH($K60,'Feiertagsregeln'!$A$7:$A$96,0))</f>
        <v>SRC-AG-EGARR-20250901</v>
      </c>
      <c r="M60" s="74" t="str">
        <f>INDEX('Feiertagsregeln'!$Z$7:$Z$96,MATCH($K60,'Feiertagsregeln'!$A$7:$A$96,0))</f>
        <v>§ 6 Abs. 1 Bst. d</v>
      </c>
      <c r="N60" s="74" t="str">
        <v>Normliste erfasst, Fachfreigabe offen</v>
      </c>
    </row>
    <row r="61" ht="38" customHeight="1">
      <c r="A61" s="70" t="n">
        <f>INDEX('Feiertagsregeln'!$X$7:$X$96,MATCH($K61,'Feiertagsregeln'!$A$7:$A$96,0))</f>
        <v>46388</v>
      </c>
      <c r="B61" s="71" t="str">
        <f>IF(ISNUMBER(A61),CHOOSE(WEEKDAY(A61,2),"Montag","Dienstag","Mittwoch","Donnerstag","Freitag","Samstag","Sonntag"),"n.a.")</f>
        <v>Freitag</v>
      </c>
      <c r="C61" s="71" t="str">
        <v>CH-AG</v>
      </c>
      <c r="D61" s="71" t="str">
        <v>Rheinfelden, Gemeindegruppe nach Ziff. 1</v>
      </c>
      <c r="E61" s="71" t="str">
        <f>INDEX('Feiertagsregeln'!$D$7:$D$96,MATCH($K61,'Feiertagsregeln'!$A$7:$A$96,0))</f>
        <v>Neujahr</v>
      </c>
      <c r="F61" s="71" t="str">
        <f>INDEX('Feiertagsregeln'!$E$7:$E$96,MATCH($K61,'Feiertagsregeln'!$A$7:$A$96,0))</f>
        <v>Nouvel An</v>
      </c>
      <c r="G61" s="72" t="str">
        <f>IF(INDEX('Feiertagsregeln'!$F$7:$F$96,MATCH($K61,'Feiertagsregeln'!$A$7:$A$96,0))="","Noch zu erfassen",INDEX('Feiertagsregeln'!$F$7:$F$96,MATCH($K61,'Feiertagsregeln'!$A$7:$A$96,0)))</f>
        <v>Noch zu erfassen</v>
      </c>
      <c r="H61" s="72" t="str">
        <f>IF(INDEX('Feiertagsregeln'!$G$7:$G$96,MATCH($K61,'Feiertagsregeln'!$A$7:$A$96,0))="","Noch zu erfassen",INDEX('Feiertagsregeln'!$G$7:$G$96,MATCH($K61,'Feiertagsregeln'!$A$7:$A$96,0)))</f>
        <v>Noch zu erfassen</v>
      </c>
      <c r="I61" s="71" t="str">
        <f>INDEX('Feiertagsregeln'!$H$7:$H$96,MATCH($K61,'Feiertagsregeln'!$A$7:$A$96,0))</f>
        <v>labourLawHoliday</v>
      </c>
      <c r="J61" s="71" t="str">
        <v>open</v>
      </c>
      <c r="K61" s="71" t="str">
        <v>AG-WORK-HOL-E1-NEW-YEAR</v>
      </c>
      <c r="L61" s="71" t="str">
        <f>INDEX('Feiertagsregeln'!$Y$7:$Y$96,MATCH($K61,'Feiertagsregeln'!$A$7:$A$96,0))</f>
        <v>SRC-AG-EGARR-20250901</v>
      </c>
      <c r="M61" s="71" t="str">
        <f>INDEX('Feiertagsregeln'!$Z$7:$Z$96,MATCH($K61,'Feiertagsregeln'!$A$7:$A$96,0))</f>
        <v>§ 6 Abs. 1 Bst. e Ziff. 1</v>
      </c>
      <c r="N61" s="71" t="str">
        <v>Normliste erfasst, Fachfreigabe offen</v>
      </c>
    </row>
    <row r="62" ht="38" customHeight="1">
      <c r="A62" s="73" t="n">
        <f>INDEX('Feiertagsregeln'!$X$7:$X$96,MATCH($K62,'Feiertagsregeln'!$A$7:$A$96,0))</f>
        <v>46472</v>
      </c>
      <c r="B62" s="74" t="str">
        <f>IF(ISNUMBER(A62),CHOOSE(WEEKDAY(A62,2),"Montag","Dienstag","Mittwoch","Donnerstag","Freitag","Samstag","Sonntag"),"n.a.")</f>
        <v>Freitag</v>
      </c>
      <c r="C62" s="74" t="str">
        <v>CH-AG</v>
      </c>
      <c r="D62" s="74" t="str">
        <v>Rheinfelden, Gemeindegruppe nach Ziff. 1</v>
      </c>
      <c r="E62" s="74" t="str">
        <f>INDEX('Feiertagsregeln'!$D$7:$D$96,MATCH($K62,'Feiertagsregeln'!$A$7:$A$96,0))</f>
        <v>Karfreitag</v>
      </c>
      <c r="F62" s="74" t="str">
        <f>INDEX('Feiertagsregeln'!$E$7:$E$96,MATCH($K62,'Feiertagsregeln'!$A$7:$A$96,0))</f>
        <v>Vendredi saint</v>
      </c>
      <c r="G62" s="75" t="str">
        <f>IF(INDEX('Feiertagsregeln'!$F$7:$F$96,MATCH($K62,'Feiertagsregeln'!$A$7:$A$96,0))="","Noch zu erfassen",INDEX('Feiertagsregeln'!$F$7:$F$96,MATCH($K62,'Feiertagsregeln'!$A$7:$A$96,0)))</f>
        <v>Noch zu erfassen</v>
      </c>
      <c r="H62" s="75" t="str">
        <f>IF(INDEX('Feiertagsregeln'!$G$7:$G$96,MATCH($K62,'Feiertagsregeln'!$A$7:$A$96,0))="","Noch zu erfassen",INDEX('Feiertagsregeln'!$G$7:$G$96,MATCH($K62,'Feiertagsregeln'!$A$7:$A$96,0)))</f>
        <v>Noch zu erfassen</v>
      </c>
      <c r="I62" s="74" t="str">
        <f>INDEX('Feiertagsregeln'!$H$7:$H$96,MATCH($K62,'Feiertagsregeln'!$A$7:$A$96,0))</f>
        <v>labourLawHoliday</v>
      </c>
      <c r="J62" s="74" t="str">
        <v>open</v>
      </c>
      <c r="K62" s="74" t="str">
        <v>AG-WORK-HOL-E1-GOOD-FRIDAY</v>
      </c>
      <c r="L62" s="74" t="str">
        <f>INDEX('Feiertagsregeln'!$Y$7:$Y$96,MATCH($K62,'Feiertagsregeln'!$A$7:$A$96,0))</f>
        <v>SRC-AG-EGARR-20250901</v>
      </c>
      <c r="M62" s="74" t="str">
        <f>INDEX('Feiertagsregeln'!$Z$7:$Z$96,MATCH($K62,'Feiertagsregeln'!$A$7:$A$96,0))</f>
        <v>§ 6 Abs. 1 Bst. e Ziff. 1</v>
      </c>
      <c r="N62" s="74" t="str">
        <v>Normliste erfasst, Fachfreigabe offen</v>
      </c>
    </row>
    <row r="63" ht="38" customHeight="1">
      <c r="A63" s="70" t="n">
        <f>INDEX('Feiertagsregeln'!$X$7:$X$96,MATCH($K63,'Feiertagsregeln'!$A$7:$A$96,0))</f>
        <v>46513</v>
      </c>
      <c r="B63" s="71" t="str">
        <f>IF(ISNUMBER(A63),CHOOSE(WEEKDAY(A63,2),"Montag","Dienstag","Mittwoch","Donnerstag","Freitag","Samstag","Sonntag"),"n.a.")</f>
        <v>Donnerstag</v>
      </c>
      <c r="C63" s="71" t="str">
        <v>CH-AG</v>
      </c>
      <c r="D63" s="71" t="str">
        <v>Rheinfelden, Gemeindegruppe nach Ziff. 1</v>
      </c>
      <c r="E63" s="71" t="str">
        <f>INDEX('Feiertagsregeln'!$D$7:$D$96,MATCH($K63,'Feiertagsregeln'!$A$7:$A$96,0))</f>
        <v>Auffahrt</v>
      </c>
      <c r="F63" s="71" t="str">
        <f>INDEX('Feiertagsregeln'!$E$7:$E$96,MATCH($K63,'Feiertagsregeln'!$A$7:$A$96,0))</f>
        <v>Ascension</v>
      </c>
      <c r="G63" s="72" t="str">
        <f>IF(INDEX('Feiertagsregeln'!$F$7:$F$96,MATCH($K63,'Feiertagsregeln'!$A$7:$A$96,0))="","Noch zu erfassen",INDEX('Feiertagsregeln'!$F$7:$F$96,MATCH($K63,'Feiertagsregeln'!$A$7:$A$96,0)))</f>
        <v>Noch zu erfassen</v>
      </c>
      <c r="H63" s="72" t="str">
        <f>IF(INDEX('Feiertagsregeln'!$G$7:$G$96,MATCH($K63,'Feiertagsregeln'!$A$7:$A$96,0))="","Noch zu erfassen",INDEX('Feiertagsregeln'!$G$7:$G$96,MATCH($K63,'Feiertagsregeln'!$A$7:$A$96,0)))</f>
        <v>Noch zu erfassen</v>
      </c>
      <c r="I63" s="71" t="str">
        <f>INDEX('Feiertagsregeln'!$H$7:$H$96,MATCH($K63,'Feiertagsregeln'!$A$7:$A$96,0))</f>
        <v>labourLawHoliday</v>
      </c>
      <c r="J63" s="71" t="str">
        <v>open</v>
      </c>
      <c r="K63" s="71" t="str">
        <v>AG-WORK-HOL-E1-ASCENSION</v>
      </c>
      <c r="L63" s="71" t="str">
        <f>INDEX('Feiertagsregeln'!$Y$7:$Y$96,MATCH($K63,'Feiertagsregeln'!$A$7:$A$96,0))</f>
        <v>SRC-AG-EGARR-20250901</v>
      </c>
      <c r="M63" s="71" t="str">
        <f>INDEX('Feiertagsregeln'!$Z$7:$Z$96,MATCH($K63,'Feiertagsregeln'!$A$7:$A$96,0))</f>
        <v>§ 6 Abs. 1 Bst. e Ziff. 1</v>
      </c>
      <c r="N63" s="71" t="str">
        <v>Normliste erfasst, Fachfreigabe offen</v>
      </c>
    </row>
    <row r="64" ht="38" customHeight="1">
      <c r="A64" s="73" t="n">
        <f>INDEX('Feiertagsregeln'!$X$7:$X$96,MATCH($K64,'Feiertagsregeln'!$A$7:$A$96,0))</f>
        <v>46534</v>
      </c>
      <c r="B64" s="74" t="str">
        <f>IF(ISNUMBER(A64),CHOOSE(WEEKDAY(A64,2),"Montag","Dienstag","Mittwoch","Donnerstag","Freitag","Samstag","Sonntag"),"n.a.")</f>
        <v>Donnerstag</v>
      </c>
      <c r="C64" s="74" t="str">
        <v>CH-AG</v>
      </c>
      <c r="D64" s="74" t="str">
        <v>Rheinfelden, Gemeindegruppe nach Ziff. 1</v>
      </c>
      <c r="E64" s="74" t="str">
        <f>INDEX('Feiertagsregeln'!$D$7:$D$96,MATCH($K64,'Feiertagsregeln'!$A$7:$A$96,0))</f>
        <v>Fronleichnam</v>
      </c>
      <c r="F64" s="74" t="str">
        <f>INDEX('Feiertagsregeln'!$E$7:$E$96,MATCH($K64,'Feiertagsregeln'!$A$7:$A$96,0))</f>
        <v>Fête-Dieu</v>
      </c>
      <c r="G64" s="75" t="str">
        <f>IF(INDEX('Feiertagsregeln'!$F$7:$F$96,MATCH($K64,'Feiertagsregeln'!$A$7:$A$96,0))="","Noch zu erfassen",INDEX('Feiertagsregeln'!$F$7:$F$96,MATCH($K64,'Feiertagsregeln'!$A$7:$A$96,0)))</f>
        <v>Noch zu erfassen</v>
      </c>
      <c r="H64" s="75" t="str">
        <f>IF(INDEX('Feiertagsregeln'!$G$7:$G$96,MATCH($K64,'Feiertagsregeln'!$A$7:$A$96,0))="","Noch zu erfassen",INDEX('Feiertagsregeln'!$G$7:$G$96,MATCH($K64,'Feiertagsregeln'!$A$7:$A$96,0)))</f>
        <v>Noch zu erfassen</v>
      </c>
      <c r="I64" s="74" t="str">
        <f>INDEX('Feiertagsregeln'!$H$7:$H$96,MATCH($K64,'Feiertagsregeln'!$A$7:$A$96,0))</f>
        <v>labourLawHoliday</v>
      </c>
      <c r="J64" s="74" t="str">
        <v>open</v>
      </c>
      <c r="K64" s="74" t="str">
        <v>AG-WORK-HOL-E1-CORPUS-CHRISTI</v>
      </c>
      <c r="L64" s="74" t="str">
        <f>INDEX('Feiertagsregeln'!$Y$7:$Y$96,MATCH($K64,'Feiertagsregeln'!$A$7:$A$96,0))</f>
        <v>SRC-AG-EGARR-20250901</v>
      </c>
      <c r="M64" s="74" t="str">
        <f>INDEX('Feiertagsregeln'!$Z$7:$Z$96,MATCH($K64,'Feiertagsregeln'!$A$7:$A$96,0))</f>
        <v>§ 6 Abs. 1 Bst. e Ziff. 1</v>
      </c>
      <c r="N64" s="74" t="str">
        <v>Normliste erfasst, Fachfreigabe offen</v>
      </c>
    </row>
    <row r="65" ht="38" customHeight="1">
      <c r="A65" s="70" t="n">
        <f>INDEX('Feiertagsregeln'!$X$7:$X$96,MATCH($K65,'Feiertagsregeln'!$A$7:$A$96,0))</f>
        <v>46614</v>
      </c>
      <c r="B65" s="71" t="str">
        <f>IF(ISNUMBER(A65),CHOOSE(WEEKDAY(A65,2),"Montag","Dienstag","Mittwoch","Donnerstag","Freitag","Samstag","Sonntag"),"n.a.")</f>
        <v>Sonntag</v>
      </c>
      <c r="C65" s="71" t="str">
        <v>CH-AG</v>
      </c>
      <c r="D65" s="71" t="str">
        <v>Rheinfelden, Gemeindegruppe nach Ziff. 1</v>
      </c>
      <c r="E65" s="71" t="str">
        <f>INDEX('Feiertagsregeln'!$D$7:$D$96,MATCH($K65,'Feiertagsregeln'!$A$7:$A$96,0))</f>
        <v>Mariä Himmelfahrt</v>
      </c>
      <c r="F65" s="71" t="str">
        <f>INDEX('Feiertagsregeln'!$E$7:$E$96,MATCH($K65,'Feiertagsregeln'!$A$7:$A$96,0))</f>
        <v>Assomption</v>
      </c>
      <c r="G65" s="72" t="str">
        <f>IF(INDEX('Feiertagsregeln'!$F$7:$F$96,MATCH($K65,'Feiertagsregeln'!$A$7:$A$96,0))="","Noch zu erfassen",INDEX('Feiertagsregeln'!$F$7:$F$96,MATCH($K65,'Feiertagsregeln'!$A$7:$A$96,0)))</f>
        <v>Noch zu erfassen</v>
      </c>
      <c r="H65" s="72" t="str">
        <f>IF(INDEX('Feiertagsregeln'!$G$7:$G$96,MATCH($K65,'Feiertagsregeln'!$A$7:$A$96,0))="","Noch zu erfassen",INDEX('Feiertagsregeln'!$G$7:$G$96,MATCH($K65,'Feiertagsregeln'!$A$7:$A$96,0)))</f>
        <v>Noch zu erfassen</v>
      </c>
      <c r="I65" s="71" t="str">
        <f>INDEX('Feiertagsregeln'!$H$7:$H$96,MATCH($K65,'Feiertagsregeln'!$A$7:$A$96,0))</f>
        <v>labourLawHoliday</v>
      </c>
      <c r="J65" s="71" t="str">
        <v>open</v>
      </c>
      <c r="K65" s="71" t="str">
        <v>AG-WORK-HOL-E1-ASSUMPTION</v>
      </c>
      <c r="L65" s="71" t="str">
        <f>INDEX('Feiertagsregeln'!$Y$7:$Y$96,MATCH($K65,'Feiertagsregeln'!$A$7:$A$96,0))</f>
        <v>SRC-AG-EGARR-20250901</v>
      </c>
      <c r="M65" s="71" t="str">
        <f>INDEX('Feiertagsregeln'!$Z$7:$Z$96,MATCH($K65,'Feiertagsregeln'!$A$7:$A$96,0))</f>
        <v>§ 6 Abs. 1 Bst. e Ziff. 1</v>
      </c>
      <c r="N65" s="71" t="str">
        <v>Normliste erfasst, Fachfreigabe offen</v>
      </c>
    </row>
    <row r="66" ht="38" customHeight="1">
      <c r="A66" s="73" t="n">
        <f>INDEX('Feiertagsregeln'!$X$7:$X$96,MATCH($K66,'Feiertagsregeln'!$A$7:$A$96,0))</f>
        <v>46692</v>
      </c>
      <c r="B66" s="74" t="str">
        <f>IF(ISNUMBER(A66),CHOOSE(WEEKDAY(A66,2),"Montag","Dienstag","Mittwoch","Donnerstag","Freitag","Samstag","Sonntag"),"n.a.")</f>
        <v>Montag</v>
      </c>
      <c r="C66" s="74" t="str">
        <v>CH-AG</v>
      </c>
      <c r="D66" s="74" t="str">
        <v>Rheinfelden, Gemeindegruppe nach Ziff. 1</v>
      </c>
      <c r="E66" s="74" t="str">
        <f>INDEX('Feiertagsregeln'!$D$7:$D$96,MATCH($K66,'Feiertagsregeln'!$A$7:$A$96,0))</f>
        <v>Allerheiligen</v>
      </c>
      <c r="F66" s="74" t="str">
        <f>INDEX('Feiertagsregeln'!$E$7:$E$96,MATCH($K66,'Feiertagsregeln'!$A$7:$A$96,0))</f>
        <v>Toussaint</v>
      </c>
      <c r="G66" s="75" t="str">
        <f>IF(INDEX('Feiertagsregeln'!$F$7:$F$96,MATCH($K66,'Feiertagsregeln'!$A$7:$A$96,0))="","Noch zu erfassen",INDEX('Feiertagsregeln'!$F$7:$F$96,MATCH($K66,'Feiertagsregeln'!$A$7:$A$96,0)))</f>
        <v>Noch zu erfassen</v>
      </c>
      <c r="H66" s="75" t="str">
        <f>IF(INDEX('Feiertagsregeln'!$G$7:$G$96,MATCH($K66,'Feiertagsregeln'!$A$7:$A$96,0))="","Noch zu erfassen",INDEX('Feiertagsregeln'!$G$7:$G$96,MATCH($K66,'Feiertagsregeln'!$A$7:$A$96,0)))</f>
        <v>Noch zu erfassen</v>
      </c>
      <c r="I66" s="74" t="str">
        <f>INDEX('Feiertagsregeln'!$H$7:$H$96,MATCH($K66,'Feiertagsregeln'!$A$7:$A$96,0))</f>
        <v>labourLawHoliday</v>
      </c>
      <c r="J66" s="74" t="str">
        <v>open</v>
      </c>
      <c r="K66" s="74" t="str">
        <v>AG-WORK-HOL-E1-ALL-SAINTS</v>
      </c>
      <c r="L66" s="74" t="str">
        <f>INDEX('Feiertagsregeln'!$Y$7:$Y$96,MATCH($K66,'Feiertagsregeln'!$A$7:$A$96,0))</f>
        <v>SRC-AG-EGARR-20250901</v>
      </c>
      <c r="M66" s="74" t="str">
        <f>INDEX('Feiertagsregeln'!$Z$7:$Z$96,MATCH($K66,'Feiertagsregeln'!$A$7:$A$96,0))</f>
        <v>§ 6 Abs. 1 Bst. e Ziff. 1</v>
      </c>
      <c r="N66" s="74" t="str">
        <v>Normliste erfasst, Fachfreigabe offen</v>
      </c>
    </row>
    <row r="67" ht="38" customHeight="1">
      <c r="A67" s="70" t="n">
        <f>INDEX('Feiertagsregeln'!$X$7:$X$96,MATCH($K67,'Feiertagsregeln'!$A$7:$A$96,0))</f>
        <v>46746</v>
      </c>
      <c r="B67" s="71" t="str">
        <f>IF(ISNUMBER(A67),CHOOSE(WEEKDAY(A67,2),"Montag","Dienstag","Mittwoch","Donnerstag","Freitag","Samstag","Sonntag"),"n.a.")</f>
        <v>Samstag</v>
      </c>
      <c r="C67" s="71" t="str">
        <v>CH-AG</v>
      </c>
      <c r="D67" s="71" t="str">
        <v>Rheinfelden, Gemeindegruppe nach Ziff. 1</v>
      </c>
      <c r="E67" s="71" t="str">
        <f>INDEX('Feiertagsregeln'!$D$7:$D$96,MATCH($K67,'Feiertagsregeln'!$A$7:$A$96,0))</f>
        <v>Weihnachten</v>
      </c>
      <c r="F67" s="71" t="str">
        <f>INDEX('Feiertagsregeln'!$E$7:$E$96,MATCH($K67,'Feiertagsregeln'!$A$7:$A$96,0))</f>
        <v>Noël</v>
      </c>
      <c r="G67" s="72" t="str">
        <f>IF(INDEX('Feiertagsregeln'!$F$7:$F$96,MATCH($K67,'Feiertagsregeln'!$A$7:$A$96,0))="","Noch zu erfassen",INDEX('Feiertagsregeln'!$F$7:$F$96,MATCH($K67,'Feiertagsregeln'!$A$7:$A$96,0)))</f>
        <v>Noch zu erfassen</v>
      </c>
      <c r="H67" s="72" t="str">
        <f>IF(INDEX('Feiertagsregeln'!$G$7:$G$96,MATCH($K67,'Feiertagsregeln'!$A$7:$A$96,0))="","Noch zu erfassen",INDEX('Feiertagsregeln'!$G$7:$G$96,MATCH($K67,'Feiertagsregeln'!$A$7:$A$96,0)))</f>
        <v>Noch zu erfassen</v>
      </c>
      <c r="I67" s="71" t="str">
        <f>INDEX('Feiertagsregeln'!$H$7:$H$96,MATCH($K67,'Feiertagsregeln'!$A$7:$A$96,0))</f>
        <v>labourLawHoliday</v>
      </c>
      <c r="J67" s="71" t="str">
        <v>open</v>
      </c>
      <c r="K67" s="71" t="str">
        <v>AG-WORK-HOL-E1-CHRISTMAS</v>
      </c>
      <c r="L67" s="71" t="str">
        <f>INDEX('Feiertagsregeln'!$Y$7:$Y$96,MATCH($K67,'Feiertagsregeln'!$A$7:$A$96,0))</f>
        <v>SRC-AG-EGARR-20250901</v>
      </c>
      <c r="M67" s="71" t="str">
        <f>INDEX('Feiertagsregeln'!$Z$7:$Z$96,MATCH($K67,'Feiertagsregeln'!$A$7:$A$96,0))</f>
        <v>§ 6 Abs. 1 Bst. e Ziff. 1</v>
      </c>
      <c r="N67" s="71" t="str">
        <v>Normliste erfasst, Fachfreigabe offen</v>
      </c>
    </row>
    <row r="68" ht="38" customHeight="1">
      <c r="A68" s="73" t="n">
        <f>INDEX('Feiertagsregeln'!$X$7:$X$96,MATCH($K68,'Feiertagsregeln'!$A$7:$A$96,0))</f>
        <v>46729</v>
      </c>
      <c r="B68" s="74" t="str">
        <f>IF(ISNUMBER(A68),CHOOSE(WEEKDAY(A68,2),"Montag","Dienstag","Mittwoch","Donnerstag","Freitag","Samstag","Sonntag"),"n.a.")</f>
        <v>Mittwoch</v>
      </c>
      <c r="C68" s="74" t="str">
        <v>CH-AG</v>
      </c>
      <c r="D68" s="74" t="str">
        <v>Rheinfelden, Gemeindegruppe nach Ziff. 1</v>
      </c>
      <c r="E68" s="74" t="str">
        <f>INDEX('Feiertagsregeln'!$D$7:$D$96,MATCH($K68,'Feiertagsregeln'!$A$7:$A$96,0))</f>
        <v>Mariä Empfängnis</v>
      </c>
      <c r="F68" s="74" t="str">
        <f>INDEX('Feiertagsregeln'!$E$7:$E$96,MATCH($K68,'Feiertagsregeln'!$A$7:$A$96,0))</f>
        <v>Immaculée Conception</v>
      </c>
      <c r="G68" s="75" t="str">
        <f>IF(INDEX('Feiertagsregeln'!$F$7:$F$96,MATCH($K68,'Feiertagsregeln'!$A$7:$A$96,0))="","Noch zu erfassen",INDEX('Feiertagsregeln'!$F$7:$F$96,MATCH($K68,'Feiertagsregeln'!$A$7:$A$96,0)))</f>
        <v>Noch zu erfassen</v>
      </c>
      <c r="H68" s="75" t="str">
        <f>IF(INDEX('Feiertagsregeln'!$G$7:$G$96,MATCH($K68,'Feiertagsregeln'!$A$7:$A$96,0))="","Noch zu erfassen",INDEX('Feiertagsregeln'!$G$7:$G$96,MATCH($K68,'Feiertagsregeln'!$A$7:$A$96,0)))</f>
        <v>Noch zu erfassen</v>
      </c>
      <c r="I68" s="74" t="str">
        <f>INDEX('Feiertagsregeln'!$H$7:$H$96,MATCH($K68,'Feiertagsregeln'!$A$7:$A$96,0))</f>
        <v>labourLawHoliday</v>
      </c>
      <c r="J68" s="74" t="str">
        <v>open</v>
      </c>
      <c r="K68" s="74" t="str">
        <v>AG-WORK-HOL-E1-IMMACULATE-CONCEPTION</v>
      </c>
      <c r="L68" s="74" t="str">
        <f>INDEX('Feiertagsregeln'!$Y$7:$Y$96,MATCH($K68,'Feiertagsregeln'!$A$7:$A$96,0))</f>
        <v>SRC-AG-EGARR-20250901</v>
      </c>
      <c r="M68" s="74" t="str">
        <f>INDEX('Feiertagsregeln'!$Z$7:$Z$96,MATCH($K68,'Feiertagsregeln'!$A$7:$A$96,0))</f>
        <v>§ 6 Abs. 1 Bst. e Ziff. 1</v>
      </c>
      <c r="N68" s="74" t="str">
        <v>Normliste erfasst, Fachfreigabe offen</v>
      </c>
    </row>
    <row r="69" ht="38" customHeight="1">
      <c r="A69" s="70" t="n">
        <f>INDEX('Feiertagsregeln'!$X$7:$X$96,MATCH($K69,'Feiertagsregeln'!$A$7:$A$96,0))</f>
        <v>46388</v>
      </c>
      <c r="B69" s="71" t="str">
        <f>IF(ISNUMBER(A69),CHOOSE(WEEKDAY(A69,2),"Montag","Dienstag","Mittwoch","Donnerstag","Freitag","Samstag","Sonntag"),"n.a.")</f>
        <v>Freitag</v>
      </c>
      <c r="C69" s="71" t="str">
        <v>CH-AG</v>
      </c>
      <c r="D69" s="71" t="str">
        <v>Rheinfelden, Gemeindegruppe nach Ziff. 2</v>
      </c>
      <c r="E69" s="71" t="str">
        <f>INDEX('Feiertagsregeln'!$D$7:$D$96,MATCH($K69,'Feiertagsregeln'!$A$7:$A$96,0))</f>
        <v>Neujahr</v>
      </c>
      <c r="F69" s="71" t="str">
        <f>INDEX('Feiertagsregeln'!$E$7:$E$96,MATCH($K69,'Feiertagsregeln'!$A$7:$A$96,0))</f>
        <v>Nouvel An</v>
      </c>
      <c r="G69" s="72" t="str">
        <f>IF(INDEX('Feiertagsregeln'!$F$7:$F$96,MATCH($K69,'Feiertagsregeln'!$A$7:$A$96,0))="","Noch zu erfassen",INDEX('Feiertagsregeln'!$F$7:$F$96,MATCH($K69,'Feiertagsregeln'!$A$7:$A$96,0)))</f>
        <v>Noch zu erfassen</v>
      </c>
      <c r="H69" s="72" t="str">
        <f>IF(INDEX('Feiertagsregeln'!$G$7:$G$96,MATCH($K69,'Feiertagsregeln'!$A$7:$A$96,0))="","Noch zu erfassen",INDEX('Feiertagsregeln'!$G$7:$G$96,MATCH($K69,'Feiertagsregeln'!$A$7:$A$96,0)))</f>
        <v>Noch zu erfassen</v>
      </c>
      <c r="I69" s="71" t="str">
        <f>INDEX('Feiertagsregeln'!$H$7:$H$96,MATCH($K69,'Feiertagsregeln'!$A$7:$A$96,0))</f>
        <v>labourLawHoliday</v>
      </c>
      <c r="J69" s="71" t="str">
        <v>open</v>
      </c>
      <c r="K69" s="71" t="str">
        <v>AG-WORK-HOL-E2-NEW-YEAR</v>
      </c>
      <c r="L69" s="71" t="str">
        <f>INDEX('Feiertagsregeln'!$Y$7:$Y$96,MATCH($K69,'Feiertagsregeln'!$A$7:$A$96,0))</f>
        <v>SRC-AG-EGARR-20250901</v>
      </c>
      <c r="M69" s="71" t="str">
        <f>INDEX('Feiertagsregeln'!$Z$7:$Z$96,MATCH($K69,'Feiertagsregeln'!$A$7:$A$96,0))</f>
        <v>§ 6 Abs. 1 Bst. e Ziff. 2</v>
      </c>
      <c r="N69" s="71" t="str">
        <v>Normliste erfasst, Fachfreigabe offen</v>
      </c>
    </row>
    <row r="70" ht="38" customHeight="1">
      <c r="A70" s="73" t="n">
        <f>INDEX('Feiertagsregeln'!$X$7:$X$96,MATCH($K70,'Feiertagsregeln'!$A$7:$A$96,0))</f>
        <v>46472</v>
      </c>
      <c r="B70" s="74" t="str">
        <f>IF(ISNUMBER(A70),CHOOSE(WEEKDAY(A70,2),"Montag","Dienstag","Mittwoch","Donnerstag","Freitag","Samstag","Sonntag"),"n.a.")</f>
        <v>Freitag</v>
      </c>
      <c r="C70" s="74" t="str">
        <v>CH-AG</v>
      </c>
      <c r="D70" s="74" t="str">
        <v>Rheinfelden, Gemeindegruppe nach Ziff. 2</v>
      </c>
      <c r="E70" s="74" t="str">
        <f>INDEX('Feiertagsregeln'!$D$7:$D$96,MATCH($K70,'Feiertagsregeln'!$A$7:$A$96,0))</f>
        <v>Karfreitag</v>
      </c>
      <c r="F70" s="74" t="str">
        <f>INDEX('Feiertagsregeln'!$E$7:$E$96,MATCH($K70,'Feiertagsregeln'!$A$7:$A$96,0))</f>
        <v>Vendredi saint</v>
      </c>
      <c r="G70" s="75" t="str">
        <f>IF(INDEX('Feiertagsregeln'!$F$7:$F$96,MATCH($K70,'Feiertagsregeln'!$A$7:$A$96,0))="","Noch zu erfassen",INDEX('Feiertagsregeln'!$F$7:$F$96,MATCH($K70,'Feiertagsregeln'!$A$7:$A$96,0)))</f>
        <v>Noch zu erfassen</v>
      </c>
      <c r="H70" s="75" t="str">
        <f>IF(INDEX('Feiertagsregeln'!$G$7:$G$96,MATCH($K70,'Feiertagsregeln'!$A$7:$A$96,0))="","Noch zu erfassen",INDEX('Feiertagsregeln'!$G$7:$G$96,MATCH($K70,'Feiertagsregeln'!$A$7:$A$96,0)))</f>
        <v>Noch zu erfassen</v>
      </c>
      <c r="I70" s="74" t="str">
        <f>INDEX('Feiertagsregeln'!$H$7:$H$96,MATCH($K70,'Feiertagsregeln'!$A$7:$A$96,0))</f>
        <v>labourLawHoliday</v>
      </c>
      <c r="J70" s="74" t="str">
        <v>open</v>
      </c>
      <c r="K70" s="74" t="str">
        <v>AG-WORK-HOL-E2-GOOD-FRIDAY</v>
      </c>
      <c r="L70" s="74" t="str">
        <f>INDEX('Feiertagsregeln'!$Y$7:$Y$96,MATCH($K70,'Feiertagsregeln'!$A$7:$A$96,0))</f>
        <v>SRC-AG-EGARR-20250901</v>
      </c>
      <c r="M70" s="74" t="str">
        <f>INDEX('Feiertagsregeln'!$Z$7:$Z$96,MATCH($K70,'Feiertagsregeln'!$A$7:$A$96,0))</f>
        <v>§ 6 Abs. 1 Bst. e Ziff. 2</v>
      </c>
      <c r="N70" s="74" t="str">
        <v>Normliste erfasst, Fachfreigabe offen</v>
      </c>
    </row>
    <row r="71" ht="38" customHeight="1">
      <c r="A71" s="70" t="n">
        <f>INDEX('Feiertagsregeln'!$X$7:$X$96,MATCH($K71,'Feiertagsregeln'!$A$7:$A$96,0))</f>
        <v>46475</v>
      </c>
      <c r="B71" s="71" t="str">
        <f>IF(ISNUMBER(A71),CHOOSE(WEEKDAY(A71,2),"Montag","Dienstag","Mittwoch","Donnerstag","Freitag","Samstag","Sonntag"),"n.a.")</f>
        <v>Montag</v>
      </c>
      <c r="C71" s="71" t="str">
        <v>CH-AG</v>
      </c>
      <c r="D71" s="71" t="str">
        <v>Rheinfelden, Gemeindegruppe nach Ziff. 2</v>
      </c>
      <c r="E71" s="71" t="str">
        <f>INDEX('Feiertagsregeln'!$D$7:$D$96,MATCH($K71,'Feiertagsregeln'!$A$7:$A$96,0))</f>
        <v>Ostermontag</v>
      </c>
      <c r="F71" s="71" t="str">
        <f>INDEX('Feiertagsregeln'!$E$7:$E$96,MATCH($K71,'Feiertagsregeln'!$A$7:$A$96,0))</f>
        <v>Lundi de Pâques</v>
      </c>
      <c r="G71" s="72" t="str">
        <f>IF(INDEX('Feiertagsregeln'!$F$7:$F$96,MATCH($K71,'Feiertagsregeln'!$A$7:$A$96,0))="","Noch zu erfassen",INDEX('Feiertagsregeln'!$F$7:$F$96,MATCH($K71,'Feiertagsregeln'!$A$7:$A$96,0)))</f>
        <v>Noch zu erfassen</v>
      </c>
      <c r="H71" s="72" t="str">
        <f>IF(INDEX('Feiertagsregeln'!$G$7:$G$96,MATCH($K71,'Feiertagsregeln'!$A$7:$A$96,0))="","Noch zu erfassen",INDEX('Feiertagsregeln'!$G$7:$G$96,MATCH($K71,'Feiertagsregeln'!$A$7:$A$96,0)))</f>
        <v>Noch zu erfassen</v>
      </c>
      <c r="I71" s="71" t="str">
        <f>INDEX('Feiertagsregeln'!$H$7:$H$96,MATCH($K71,'Feiertagsregeln'!$A$7:$A$96,0))</f>
        <v>labourLawHoliday</v>
      </c>
      <c r="J71" s="71" t="str">
        <v>open</v>
      </c>
      <c r="K71" s="71" t="str">
        <v>AG-WORK-HOL-E2-EASTER-MONDAY</v>
      </c>
      <c r="L71" s="71" t="str">
        <f>INDEX('Feiertagsregeln'!$Y$7:$Y$96,MATCH($K71,'Feiertagsregeln'!$A$7:$A$96,0))</f>
        <v>SRC-AG-EGARR-20250901</v>
      </c>
      <c r="M71" s="71" t="str">
        <f>INDEX('Feiertagsregeln'!$Z$7:$Z$96,MATCH($K71,'Feiertagsregeln'!$A$7:$A$96,0))</f>
        <v>§ 6 Abs. 1 Bst. e Ziff. 2</v>
      </c>
      <c r="N71" s="71" t="str">
        <v>Normliste erfasst, Fachfreigabe offen</v>
      </c>
    </row>
    <row r="72" ht="38" customHeight="1">
      <c r="A72" s="73" t="n">
        <f>INDEX('Feiertagsregeln'!$X$7:$X$96,MATCH($K72,'Feiertagsregeln'!$A$7:$A$96,0))</f>
        <v>46513</v>
      </c>
      <c r="B72" s="74" t="str">
        <f>IF(ISNUMBER(A72),CHOOSE(WEEKDAY(A72,2),"Montag","Dienstag","Mittwoch","Donnerstag","Freitag","Samstag","Sonntag"),"n.a.")</f>
        <v>Donnerstag</v>
      </c>
      <c r="C72" s="74" t="str">
        <v>CH-AG</v>
      </c>
      <c r="D72" s="74" t="str">
        <v>Rheinfelden, Gemeindegruppe nach Ziff. 2</v>
      </c>
      <c r="E72" s="74" t="str">
        <f>INDEX('Feiertagsregeln'!$D$7:$D$96,MATCH($K72,'Feiertagsregeln'!$A$7:$A$96,0))</f>
        <v>Auffahrt</v>
      </c>
      <c r="F72" s="74" t="str">
        <f>INDEX('Feiertagsregeln'!$E$7:$E$96,MATCH($K72,'Feiertagsregeln'!$A$7:$A$96,0))</f>
        <v>Ascension</v>
      </c>
      <c r="G72" s="75" t="str">
        <f>IF(INDEX('Feiertagsregeln'!$F$7:$F$96,MATCH($K72,'Feiertagsregeln'!$A$7:$A$96,0))="","Noch zu erfassen",INDEX('Feiertagsregeln'!$F$7:$F$96,MATCH($K72,'Feiertagsregeln'!$A$7:$A$96,0)))</f>
        <v>Noch zu erfassen</v>
      </c>
      <c r="H72" s="75" t="str">
        <f>IF(INDEX('Feiertagsregeln'!$G$7:$G$96,MATCH($K72,'Feiertagsregeln'!$A$7:$A$96,0))="","Noch zu erfassen",INDEX('Feiertagsregeln'!$G$7:$G$96,MATCH($K72,'Feiertagsregeln'!$A$7:$A$96,0)))</f>
        <v>Noch zu erfassen</v>
      </c>
      <c r="I72" s="74" t="str">
        <f>INDEX('Feiertagsregeln'!$H$7:$H$96,MATCH($K72,'Feiertagsregeln'!$A$7:$A$96,0))</f>
        <v>labourLawHoliday</v>
      </c>
      <c r="J72" s="74" t="str">
        <v>open</v>
      </c>
      <c r="K72" s="74" t="str">
        <v>AG-WORK-HOL-E2-ASCENSION</v>
      </c>
      <c r="L72" s="74" t="str">
        <f>INDEX('Feiertagsregeln'!$Y$7:$Y$96,MATCH($K72,'Feiertagsregeln'!$A$7:$A$96,0))</f>
        <v>SRC-AG-EGARR-20250901</v>
      </c>
      <c r="M72" s="74" t="str">
        <f>INDEX('Feiertagsregeln'!$Z$7:$Z$96,MATCH($K72,'Feiertagsregeln'!$A$7:$A$96,0))</f>
        <v>§ 6 Abs. 1 Bst. e Ziff. 2</v>
      </c>
      <c r="N72" s="74" t="str">
        <v>Normliste erfasst, Fachfreigabe offen</v>
      </c>
    </row>
    <row r="73" ht="38" customHeight="1">
      <c r="A73" s="70" t="n">
        <f>INDEX('Feiertagsregeln'!$X$7:$X$96,MATCH($K73,'Feiertagsregeln'!$A$7:$A$96,0))</f>
        <v>46524</v>
      </c>
      <c r="B73" s="71" t="str">
        <f>IF(ISNUMBER(A73),CHOOSE(WEEKDAY(A73,2),"Montag","Dienstag","Mittwoch","Donnerstag","Freitag","Samstag","Sonntag"),"n.a.")</f>
        <v>Montag</v>
      </c>
      <c r="C73" s="71" t="str">
        <v>CH-AG</v>
      </c>
      <c r="D73" s="71" t="str">
        <v>Rheinfelden, Gemeindegruppe nach Ziff. 2</v>
      </c>
      <c r="E73" s="71" t="str">
        <f>INDEX('Feiertagsregeln'!$D$7:$D$96,MATCH($K73,'Feiertagsregeln'!$A$7:$A$96,0))</f>
        <v>Pfingstmontag</v>
      </c>
      <c r="F73" s="71" t="str">
        <f>INDEX('Feiertagsregeln'!$E$7:$E$96,MATCH($K73,'Feiertagsregeln'!$A$7:$A$96,0))</f>
        <v>Lundi de Pentecôte</v>
      </c>
      <c r="G73" s="72" t="str">
        <f>IF(INDEX('Feiertagsregeln'!$F$7:$F$96,MATCH($K73,'Feiertagsregeln'!$A$7:$A$96,0))="","Noch zu erfassen",INDEX('Feiertagsregeln'!$F$7:$F$96,MATCH($K73,'Feiertagsregeln'!$A$7:$A$96,0)))</f>
        <v>Noch zu erfassen</v>
      </c>
      <c r="H73" s="72" t="str">
        <f>IF(INDEX('Feiertagsregeln'!$G$7:$G$96,MATCH($K73,'Feiertagsregeln'!$A$7:$A$96,0))="","Noch zu erfassen",INDEX('Feiertagsregeln'!$G$7:$G$96,MATCH($K73,'Feiertagsregeln'!$A$7:$A$96,0)))</f>
        <v>Noch zu erfassen</v>
      </c>
      <c r="I73" s="71" t="str">
        <f>INDEX('Feiertagsregeln'!$H$7:$H$96,MATCH($K73,'Feiertagsregeln'!$A$7:$A$96,0))</f>
        <v>labourLawHoliday</v>
      </c>
      <c r="J73" s="71" t="str">
        <v>open</v>
      </c>
      <c r="K73" s="71" t="str">
        <v>AG-WORK-HOL-E2-WHIT-MONDAY</v>
      </c>
      <c r="L73" s="71" t="str">
        <f>INDEX('Feiertagsregeln'!$Y$7:$Y$96,MATCH($K73,'Feiertagsregeln'!$A$7:$A$96,0))</f>
        <v>SRC-AG-EGARR-20250901</v>
      </c>
      <c r="M73" s="71" t="str">
        <f>INDEX('Feiertagsregeln'!$Z$7:$Z$96,MATCH($K73,'Feiertagsregeln'!$A$7:$A$96,0))</f>
        <v>§ 6 Abs. 1 Bst. e Ziff. 2</v>
      </c>
      <c r="N73" s="71" t="str">
        <v>Normliste erfasst, Fachfreigabe offen</v>
      </c>
    </row>
    <row r="74" ht="38" customHeight="1">
      <c r="A74" s="73" t="n">
        <f>INDEX('Feiertagsregeln'!$X$7:$X$96,MATCH($K74,'Feiertagsregeln'!$A$7:$A$96,0))</f>
        <v>46746</v>
      </c>
      <c r="B74" s="74" t="str">
        <f>IF(ISNUMBER(A74),CHOOSE(WEEKDAY(A74,2),"Montag","Dienstag","Mittwoch","Donnerstag","Freitag","Samstag","Sonntag"),"n.a.")</f>
        <v>Samstag</v>
      </c>
      <c r="C74" s="74" t="str">
        <v>CH-AG</v>
      </c>
      <c r="D74" s="74" t="str">
        <v>Rheinfelden, Gemeindegruppe nach Ziff. 2</v>
      </c>
      <c r="E74" s="74" t="str">
        <f>INDEX('Feiertagsregeln'!$D$7:$D$96,MATCH($K74,'Feiertagsregeln'!$A$7:$A$96,0))</f>
        <v>Weihnachten</v>
      </c>
      <c r="F74" s="74" t="str">
        <f>INDEX('Feiertagsregeln'!$E$7:$E$96,MATCH($K74,'Feiertagsregeln'!$A$7:$A$96,0))</f>
        <v>Noël</v>
      </c>
      <c r="G74" s="75" t="str">
        <f>IF(INDEX('Feiertagsregeln'!$F$7:$F$96,MATCH($K74,'Feiertagsregeln'!$A$7:$A$96,0))="","Noch zu erfassen",INDEX('Feiertagsregeln'!$F$7:$F$96,MATCH($K74,'Feiertagsregeln'!$A$7:$A$96,0)))</f>
        <v>Noch zu erfassen</v>
      </c>
      <c r="H74" s="75" t="str">
        <f>IF(INDEX('Feiertagsregeln'!$G$7:$G$96,MATCH($K74,'Feiertagsregeln'!$A$7:$A$96,0))="","Noch zu erfassen",INDEX('Feiertagsregeln'!$G$7:$G$96,MATCH($K74,'Feiertagsregeln'!$A$7:$A$96,0)))</f>
        <v>Noch zu erfassen</v>
      </c>
      <c r="I74" s="74" t="str">
        <f>INDEX('Feiertagsregeln'!$H$7:$H$96,MATCH($K74,'Feiertagsregeln'!$A$7:$A$96,0))</f>
        <v>labourLawHoliday</v>
      </c>
      <c r="J74" s="74" t="str">
        <v>open</v>
      </c>
      <c r="K74" s="74" t="str">
        <v>AG-WORK-HOL-E2-CHRISTMAS</v>
      </c>
      <c r="L74" s="74" t="str">
        <f>INDEX('Feiertagsregeln'!$Y$7:$Y$96,MATCH($K74,'Feiertagsregeln'!$A$7:$A$96,0))</f>
        <v>SRC-AG-EGARR-20250901</v>
      </c>
      <c r="M74" s="74" t="str">
        <f>INDEX('Feiertagsregeln'!$Z$7:$Z$96,MATCH($K74,'Feiertagsregeln'!$A$7:$A$96,0))</f>
        <v>§ 6 Abs. 1 Bst. e Ziff. 2</v>
      </c>
      <c r="N74" s="74" t="str">
        <v>Normliste erfasst, Fachfreigabe offen</v>
      </c>
    </row>
    <row r="75" ht="38" customHeight="1">
      <c r="A75" s="70" t="n">
        <f>INDEX('Feiertagsregeln'!$X$7:$X$96,MATCH($K75,'Feiertagsregeln'!$A$7:$A$96,0))</f>
        <v>46747</v>
      </c>
      <c r="B75" s="71" t="str">
        <f>IF(ISNUMBER(A75),CHOOSE(WEEKDAY(A75,2),"Montag","Dienstag","Mittwoch","Donnerstag","Freitag","Samstag","Sonntag"),"n.a.")</f>
        <v>Sonntag</v>
      </c>
      <c r="C75" s="71" t="str">
        <v>CH-AG</v>
      </c>
      <c r="D75" s="71" t="str">
        <v>Rheinfelden, Gemeindegruppe nach Ziff. 2</v>
      </c>
      <c r="E75" s="71" t="str">
        <f>INDEX('Feiertagsregeln'!$D$7:$D$96,MATCH($K75,'Feiertagsregeln'!$A$7:$A$96,0))</f>
        <v>Stephanstag</v>
      </c>
      <c r="F75" s="71" t="str">
        <f>INDEX('Feiertagsregeln'!$E$7:$E$96,MATCH($K75,'Feiertagsregeln'!$A$7:$A$96,0))</f>
        <v>Saint-Étienne</v>
      </c>
      <c r="G75" s="72" t="str">
        <f>IF(INDEX('Feiertagsregeln'!$F$7:$F$96,MATCH($K75,'Feiertagsregeln'!$A$7:$A$96,0))="","Noch zu erfassen",INDEX('Feiertagsregeln'!$F$7:$F$96,MATCH($K75,'Feiertagsregeln'!$A$7:$A$96,0)))</f>
        <v>Noch zu erfassen</v>
      </c>
      <c r="H75" s="72" t="str">
        <f>IF(INDEX('Feiertagsregeln'!$G$7:$G$96,MATCH($K75,'Feiertagsregeln'!$A$7:$A$96,0))="","Noch zu erfassen",INDEX('Feiertagsregeln'!$G$7:$G$96,MATCH($K75,'Feiertagsregeln'!$A$7:$A$96,0)))</f>
        <v>Noch zu erfassen</v>
      </c>
      <c r="I75" s="71" t="str">
        <f>INDEX('Feiertagsregeln'!$H$7:$H$96,MATCH($K75,'Feiertagsregeln'!$A$7:$A$96,0))</f>
        <v>labourLawHoliday</v>
      </c>
      <c r="J75" s="71" t="str">
        <v>open</v>
      </c>
      <c r="K75" s="71" t="str">
        <v>AG-WORK-HOL-E2-ST-STEPHEN</v>
      </c>
      <c r="L75" s="71" t="str">
        <f>INDEX('Feiertagsregeln'!$Y$7:$Y$96,MATCH($K75,'Feiertagsregeln'!$A$7:$A$96,0))</f>
        <v>SRC-AG-EGARR-20250901</v>
      </c>
      <c r="M75" s="71" t="str">
        <f>INDEX('Feiertagsregeln'!$Z$7:$Z$96,MATCH($K75,'Feiertagsregeln'!$A$7:$A$96,0))</f>
        <v>§ 6 Abs. 1 Bst. e Ziff. 2</v>
      </c>
      <c r="N75" s="71" t="str">
        <v>Normliste erfasst, Fachfreigabe offen</v>
      </c>
    </row>
    <row r="76" ht="38" customHeight="1">
      <c r="A76" s="73" t="n">
        <f>INDEX('Feiertagsregeln'!$X$7:$X$96,MATCH($K76,'Feiertagsregeln'!$A$7:$A$96,0))</f>
        <v>46692</v>
      </c>
      <c r="B76" s="74" t="str">
        <f>IF(ISNUMBER(A76),CHOOSE(WEEKDAY(A76,2),"Montag","Dienstag","Mittwoch","Donnerstag","Freitag","Samstag","Sonntag"),"n.a.")</f>
        <v>Montag</v>
      </c>
      <c r="C76" s="74" t="str">
        <v>CH-AG</v>
      </c>
      <c r="D76" s="74" t="str">
        <v>Rheinfelden, Gemeindegruppe nach Ziff. 2</v>
      </c>
      <c r="E76" s="74" t="str">
        <f>INDEX('Feiertagsregeln'!$D$7:$D$96,MATCH($K76,'Feiertagsregeln'!$A$7:$A$96,0))</f>
        <v>Allerheiligen</v>
      </c>
      <c r="F76" s="74" t="str">
        <f>INDEX('Feiertagsregeln'!$E$7:$E$96,MATCH($K76,'Feiertagsregeln'!$A$7:$A$96,0))</f>
        <v>Toussaint</v>
      </c>
      <c r="G76" s="75" t="str">
        <f>IF(INDEX('Feiertagsregeln'!$F$7:$F$96,MATCH($K76,'Feiertagsregeln'!$A$7:$A$96,0))="","Noch zu erfassen",INDEX('Feiertagsregeln'!$F$7:$F$96,MATCH($K76,'Feiertagsregeln'!$A$7:$A$96,0)))</f>
        <v>Noch zu erfassen</v>
      </c>
      <c r="H76" s="75" t="str">
        <f>IF(INDEX('Feiertagsregeln'!$G$7:$G$96,MATCH($K76,'Feiertagsregeln'!$A$7:$A$96,0))="","Noch zu erfassen",INDEX('Feiertagsregeln'!$G$7:$G$96,MATCH($K76,'Feiertagsregeln'!$A$7:$A$96,0)))</f>
        <v>Noch zu erfassen</v>
      </c>
      <c r="I76" s="74" t="str">
        <f>INDEX('Feiertagsregeln'!$H$7:$H$96,MATCH($K76,'Feiertagsregeln'!$A$7:$A$96,0))</f>
        <v>labourLawHoliday</v>
      </c>
      <c r="J76" s="74" t="str">
        <v>open</v>
      </c>
      <c r="K76" s="74" t="str">
        <v>AG-WORK-HOL-E2-ALL-SAINTS</v>
      </c>
      <c r="L76" s="74" t="str">
        <f>INDEX('Feiertagsregeln'!$Y$7:$Y$96,MATCH($K76,'Feiertagsregeln'!$A$7:$A$96,0))</f>
        <v>SRC-AG-EGARR-20250901</v>
      </c>
      <c r="M76" s="74" t="str">
        <f>INDEX('Feiertagsregeln'!$Z$7:$Z$96,MATCH($K76,'Feiertagsregeln'!$A$7:$A$96,0))</f>
        <v>§ 6 Abs. 1 Bst. e Ziff. 2</v>
      </c>
      <c r="N76" s="74" t="str">
        <v>Normliste erfasst, Fachfreigabe offen</v>
      </c>
    </row>
    <row r="77" ht="38" customHeight="1">
      <c r="A77" s="70" t="n">
        <f>INDEX('Feiertagsregeln'!$X$7:$X$96,MATCH($K77,'Feiertagsregeln'!$A$7:$A$96,0))</f>
        <v>46388</v>
      </c>
      <c r="B77" s="71" t="str">
        <f>IF(ISNUMBER(A77),CHOOSE(WEEKDAY(A77,2),"Montag","Dienstag","Mittwoch","Donnerstag","Freitag","Samstag","Sonntag"),"n.a.")</f>
        <v>Freitag</v>
      </c>
      <c r="C77" s="71" t="str">
        <v>CH-AG</v>
      </c>
      <c r="D77" s="71" t="str">
        <v>Bezirk Zurzach</v>
      </c>
      <c r="E77" s="71" t="str">
        <f>INDEX('Feiertagsregeln'!$D$7:$D$96,MATCH($K77,'Feiertagsregeln'!$A$7:$A$96,0))</f>
        <v>Neujahr</v>
      </c>
      <c r="F77" s="71" t="str">
        <f>INDEX('Feiertagsregeln'!$E$7:$E$96,MATCH($K77,'Feiertagsregeln'!$A$7:$A$96,0))</f>
        <v>Nouvel An</v>
      </c>
      <c r="G77" s="72" t="str">
        <f>IF(INDEX('Feiertagsregeln'!$F$7:$F$96,MATCH($K77,'Feiertagsregeln'!$A$7:$A$96,0))="","Noch zu erfassen",INDEX('Feiertagsregeln'!$F$7:$F$96,MATCH($K77,'Feiertagsregeln'!$A$7:$A$96,0)))</f>
        <v>Noch zu erfassen</v>
      </c>
      <c r="H77" s="72" t="str">
        <f>IF(INDEX('Feiertagsregeln'!$G$7:$G$96,MATCH($K77,'Feiertagsregeln'!$A$7:$A$96,0))="","Noch zu erfassen",INDEX('Feiertagsregeln'!$G$7:$G$96,MATCH($K77,'Feiertagsregeln'!$A$7:$A$96,0)))</f>
        <v>Noch zu erfassen</v>
      </c>
      <c r="I77" s="71" t="str">
        <f>INDEX('Feiertagsregeln'!$H$7:$H$96,MATCH($K77,'Feiertagsregeln'!$A$7:$A$96,0))</f>
        <v>labourLawHoliday</v>
      </c>
      <c r="J77" s="71" t="str">
        <v>open</v>
      </c>
      <c r="K77" s="71" t="str">
        <v>AG-WORK-HOL-F-NEW-YEAR</v>
      </c>
      <c r="L77" s="71" t="str">
        <f>INDEX('Feiertagsregeln'!$Y$7:$Y$96,MATCH($K77,'Feiertagsregeln'!$A$7:$A$96,0))</f>
        <v>SRC-AG-EGARR-20250901</v>
      </c>
      <c r="M77" s="71" t="str">
        <f>INDEX('Feiertagsregeln'!$Z$7:$Z$96,MATCH($K77,'Feiertagsregeln'!$A$7:$A$96,0))</f>
        <v>§ 6 Abs. 1 Bst. f</v>
      </c>
      <c r="N77" s="71" t="str">
        <v>Normliste erfasst, Fachfreigabe offen</v>
      </c>
    </row>
    <row r="78" ht="38" customHeight="1">
      <c r="A78" s="73" t="n">
        <f>INDEX('Feiertagsregeln'!$X$7:$X$96,MATCH($K78,'Feiertagsregeln'!$A$7:$A$96,0))</f>
        <v>46389</v>
      </c>
      <c r="B78" s="74" t="str">
        <f>IF(ISNUMBER(A78),CHOOSE(WEEKDAY(A78,2),"Montag","Dienstag","Mittwoch","Donnerstag","Freitag","Samstag","Sonntag"),"n.a.")</f>
        <v>Samstag</v>
      </c>
      <c r="C78" s="74" t="str">
        <v>CH-AG</v>
      </c>
      <c r="D78" s="74" t="str">
        <v>Bezirk Zurzach</v>
      </c>
      <c r="E78" s="74" t="str">
        <f>INDEX('Feiertagsregeln'!$D$7:$D$96,MATCH($K78,'Feiertagsregeln'!$A$7:$A$96,0))</f>
        <v>Berchtoldstag</v>
      </c>
      <c r="F78" s="74" t="str">
        <f>INDEX('Feiertagsregeln'!$E$7:$E$96,MATCH($K78,'Feiertagsregeln'!$A$7:$A$96,0))</f>
        <v>Saint-Berchtold</v>
      </c>
      <c r="G78" s="75" t="str">
        <f>IF(INDEX('Feiertagsregeln'!$F$7:$F$96,MATCH($K78,'Feiertagsregeln'!$A$7:$A$96,0))="","Noch zu erfassen",INDEX('Feiertagsregeln'!$F$7:$F$96,MATCH($K78,'Feiertagsregeln'!$A$7:$A$96,0)))</f>
        <v>Noch zu erfassen</v>
      </c>
      <c r="H78" s="75" t="str">
        <f>IF(INDEX('Feiertagsregeln'!$G$7:$G$96,MATCH($K78,'Feiertagsregeln'!$A$7:$A$96,0))="","Noch zu erfassen",INDEX('Feiertagsregeln'!$G$7:$G$96,MATCH($K78,'Feiertagsregeln'!$A$7:$A$96,0)))</f>
        <v>Noch zu erfassen</v>
      </c>
      <c r="I78" s="74" t="str">
        <f>INDEX('Feiertagsregeln'!$H$7:$H$96,MATCH($K78,'Feiertagsregeln'!$A$7:$A$96,0))</f>
        <v>labourLawHoliday</v>
      </c>
      <c r="J78" s="74" t="str">
        <v>open</v>
      </c>
      <c r="K78" s="74" t="str">
        <v>AG-WORK-HOL-F-BERCHTOLD</v>
      </c>
      <c r="L78" s="74" t="str">
        <f>INDEX('Feiertagsregeln'!$Y$7:$Y$96,MATCH($K78,'Feiertagsregeln'!$A$7:$A$96,0))</f>
        <v>SRC-AG-EGARR-20250901</v>
      </c>
      <c r="M78" s="74" t="str">
        <f>INDEX('Feiertagsregeln'!$Z$7:$Z$96,MATCH($K78,'Feiertagsregeln'!$A$7:$A$96,0))</f>
        <v>§ 6 Abs. 1 Bst. f</v>
      </c>
      <c r="N78" s="74" t="str">
        <v>Normliste erfasst, Fachfreigabe offen</v>
      </c>
    </row>
    <row r="79" ht="38" customHeight="1">
      <c r="A79" s="70" t="n">
        <f>INDEX('Feiertagsregeln'!$X$7:$X$96,MATCH($K79,'Feiertagsregeln'!$A$7:$A$96,0))</f>
        <v>46472</v>
      </c>
      <c r="B79" s="71" t="str">
        <f>IF(ISNUMBER(A79),CHOOSE(WEEKDAY(A79,2),"Montag","Dienstag","Mittwoch","Donnerstag","Freitag","Samstag","Sonntag"),"n.a.")</f>
        <v>Freitag</v>
      </c>
      <c r="C79" s="71" t="str">
        <v>CH-AG</v>
      </c>
      <c r="D79" s="71" t="str">
        <v>Bezirk Zurzach</v>
      </c>
      <c r="E79" s="71" t="str">
        <f>INDEX('Feiertagsregeln'!$D$7:$D$96,MATCH($K79,'Feiertagsregeln'!$A$7:$A$96,0))</f>
        <v>Karfreitag</v>
      </c>
      <c r="F79" s="71" t="str">
        <f>INDEX('Feiertagsregeln'!$E$7:$E$96,MATCH($K79,'Feiertagsregeln'!$A$7:$A$96,0))</f>
        <v>Vendredi saint</v>
      </c>
      <c r="G79" s="72" t="str">
        <f>IF(INDEX('Feiertagsregeln'!$F$7:$F$96,MATCH($K79,'Feiertagsregeln'!$A$7:$A$96,0))="","Noch zu erfassen",INDEX('Feiertagsregeln'!$F$7:$F$96,MATCH($K79,'Feiertagsregeln'!$A$7:$A$96,0)))</f>
        <v>Noch zu erfassen</v>
      </c>
      <c r="H79" s="72" t="str">
        <f>IF(INDEX('Feiertagsregeln'!$G$7:$G$96,MATCH($K79,'Feiertagsregeln'!$A$7:$A$96,0))="","Noch zu erfassen",INDEX('Feiertagsregeln'!$G$7:$G$96,MATCH($K79,'Feiertagsregeln'!$A$7:$A$96,0)))</f>
        <v>Noch zu erfassen</v>
      </c>
      <c r="I79" s="71" t="str">
        <f>INDEX('Feiertagsregeln'!$H$7:$H$96,MATCH($K79,'Feiertagsregeln'!$A$7:$A$96,0))</f>
        <v>labourLawHoliday</v>
      </c>
      <c r="J79" s="71" t="str">
        <v>open</v>
      </c>
      <c r="K79" s="71" t="str">
        <v>AG-WORK-HOL-F-GOOD-FRIDAY</v>
      </c>
      <c r="L79" s="71" t="str">
        <f>INDEX('Feiertagsregeln'!$Y$7:$Y$96,MATCH($K79,'Feiertagsregeln'!$A$7:$A$96,0))</f>
        <v>SRC-AG-EGARR-20250901</v>
      </c>
      <c r="M79" s="71" t="str">
        <f>INDEX('Feiertagsregeln'!$Z$7:$Z$96,MATCH($K79,'Feiertagsregeln'!$A$7:$A$96,0))</f>
        <v>§ 6 Abs. 1 Bst. f</v>
      </c>
      <c r="N79" s="71" t="str">
        <v>Normliste erfasst, Fachfreigabe offen</v>
      </c>
    </row>
    <row r="80" ht="38" customHeight="1">
      <c r="A80" s="73" t="n">
        <f>INDEX('Feiertagsregeln'!$X$7:$X$96,MATCH($K80,'Feiertagsregeln'!$A$7:$A$96,0))</f>
        <v>46513</v>
      </c>
      <c r="B80" s="74" t="str">
        <f>IF(ISNUMBER(A80),CHOOSE(WEEKDAY(A80,2),"Montag","Dienstag","Mittwoch","Donnerstag","Freitag","Samstag","Sonntag"),"n.a.")</f>
        <v>Donnerstag</v>
      </c>
      <c r="C80" s="74" t="str">
        <v>CH-AG</v>
      </c>
      <c r="D80" s="74" t="str">
        <v>Bezirk Zurzach</v>
      </c>
      <c r="E80" s="74" t="str">
        <f>INDEX('Feiertagsregeln'!$D$7:$D$96,MATCH($K80,'Feiertagsregeln'!$A$7:$A$96,0))</f>
        <v>Auffahrt</v>
      </c>
      <c r="F80" s="74" t="str">
        <f>INDEX('Feiertagsregeln'!$E$7:$E$96,MATCH($K80,'Feiertagsregeln'!$A$7:$A$96,0))</f>
        <v>Ascension</v>
      </c>
      <c r="G80" s="75" t="str">
        <f>IF(INDEX('Feiertagsregeln'!$F$7:$F$96,MATCH($K80,'Feiertagsregeln'!$A$7:$A$96,0))="","Noch zu erfassen",INDEX('Feiertagsregeln'!$F$7:$F$96,MATCH($K80,'Feiertagsregeln'!$A$7:$A$96,0)))</f>
        <v>Noch zu erfassen</v>
      </c>
      <c r="H80" s="75" t="str">
        <f>IF(INDEX('Feiertagsregeln'!$G$7:$G$96,MATCH($K80,'Feiertagsregeln'!$A$7:$A$96,0))="","Noch zu erfassen",INDEX('Feiertagsregeln'!$G$7:$G$96,MATCH($K80,'Feiertagsregeln'!$A$7:$A$96,0)))</f>
        <v>Noch zu erfassen</v>
      </c>
      <c r="I80" s="74" t="str">
        <f>INDEX('Feiertagsregeln'!$H$7:$H$96,MATCH($K80,'Feiertagsregeln'!$A$7:$A$96,0))</f>
        <v>labourLawHoliday</v>
      </c>
      <c r="J80" s="74" t="str">
        <v>open</v>
      </c>
      <c r="K80" s="74" t="str">
        <v>AG-WORK-HOL-F-ASCENSION</v>
      </c>
      <c r="L80" s="74" t="str">
        <f>INDEX('Feiertagsregeln'!$Y$7:$Y$96,MATCH($K80,'Feiertagsregeln'!$A$7:$A$96,0))</f>
        <v>SRC-AG-EGARR-20250901</v>
      </c>
      <c r="M80" s="74" t="str">
        <f>INDEX('Feiertagsregeln'!$Z$7:$Z$96,MATCH($K80,'Feiertagsregeln'!$A$7:$A$96,0))</f>
        <v>§ 6 Abs. 1 Bst. f</v>
      </c>
      <c r="N80" s="74" t="str">
        <v>Normliste erfasst, Fachfreigabe offen</v>
      </c>
    </row>
    <row r="81" ht="38" customHeight="1">
      <c r="A81" s="70" t="n">
        <f>INDEX('Feiertagsregeln'!$X$7:$X$96,MATCH($K81,'Feiertagsregeln'!$A$7:$A$96,0))</f>
        <v>46534</v>
      </c>
      <c r="B81" s="71" t="str">
        <f>IF(ISNUMBER(A81),CHOOSE(WEEKDAY(A81,2),"Montag","Dienstag","Mittwoch","Donnerstag","Freitag","Samstag","Sonntag"),"n.a.")</f>
        <v>Donnerstag</v>
      </c>
      <c r="C81" s="71" t="str">
        <v>CH-AG</v>
      </c>
      <c r="D81" s="71" t="str">
        <v>Bezirk Zurzach</v>
      </c>
      <c r="E81" s="71" t="str">
        <f>INDEX('Feiertagsregeln'!$D$7:$D$96,MATCH($K81,'Feiertagsregeln'!$A$7:$A$96,0))</f>
        <v>Fronleichnam</v>
      </c>
      <c r="F81" s="71" t="str">
        <f>INDEX('Feiertagsregeln'!$E$7:$E$96,MATCH($K81,'Feiertagsregeln'!$A$7:$A$96,0))</f>
        <v>Fête-Dieu</v>
      </c>
      <c r="G81" s="72" t="str">
        <f>IF(INDEX('Feiertagsregeln'!$F$7:$F$96,MATCH($K81,'Feiertagsregeln'!$A$7:$A$96,0))="","Noch zu erfassen",INDEX('Feiertagsregeln'!$F$7:$F$96,MATCH($K81,'Feiertagsregeln'!$A$7:$A$96,0)))</f>
        <v>Noch zu erfassen</v>
      </c>
      <c r="H81" s="72" t="str">
        <f>IF(INDEX('Feiertagsregeln'!$G$7:$G$96,MATCH($K81,'Feiertagsregeln'!$A$7:$A$96,0))="","Noch zu erfassen",INDEX('Feiertagsregeln'!$G$7:$G$96,MATCH($K81,'Feiertagsregeln'!$A$7:$A$96,0)))</f>
        <v>Noch zu erfassen</v>
      </c>
      <c r="I81" s="71" t="str">
        <f>INDEX('Feiertagsregeln'!$H$7:$H$96,MATCH($K81,'Feiertagsregeln'!$A$7:$A$96,0))</f>
        <v>labourLawHoliday</v>
      </c>
      <c r="J81" s="71" t="str">
        <v>open</v>
      </c>
      <c r="K81" s="71" t="str">
        <v>AG-WORK-HOL-F-CORPUS-CHRISTI</v>
      </c>
      <c r="L81" s="71" t="str">
        <f>INDEX('Feiertagsregeln'!$Y$7:$Y$96,MATCH($K81,'Feiertagsregeln'!$A$7:$A$96,0))</f>
        <v>SRC-AG-EGARR-20250901</v>
      </c>
      <c r="M81" s="71" t="str">
        <f>INDEX('Feiertagsregeln'!$Z$7:$Z$96,MATCH($K81,'Feiertagsregeln'!$A$7:$A$96,0))</f>
        <v>§ 6 Abs. 1 Bst. f</v>
      </c>
      <c r="N81" s="71" t="str">
        <v>Normliste erfasst, Fachfreigabe offen</v>
      </c>
    </row>
    <row r="82" ht="38" customHeight="1">
      <c r="A82" s="73" t="n">
        <f>INDEX('Feiertagsregeln'!$X$7:$X$96,MATCH($K82,'Feiertagsregeln'!$A$7:$A$96,0))</f>
        <v>46692</v>
      </c>
      <c r="B82" s="74" t="str">
        <f>IF(ISNUMBER(A82),CHOOSE(WEEKDAY(A82,2),"Montag","Dienstag","Mittwoch","Donnerstag","Freitag","Samstag","Sonntag"),"n.a.")</f>
        <v>Montag</v>
      </c>
      <c r="C82" s="74" t="str">
        <v>CH-AG</v>
      </c>
      <c r="D82" s="74" t="str">
        <v>Bezirk Zurzach</v>
      </c>
      <c r="E82" s="74" t="str">
        <f>INDEX('Feiertagsregeln'!$D$7:$D$96,MATCH($K82,'Feiertagsregeln'!$A$7:$A$96,0))</f>
        <v>Allerheiligen</v>
      </c>
      <c r="F82" s="74" t="str">
        <f>INDEX('Feiertagsregeln'!$E$7:$E$96,MATCH($K82,'Feiertagsregeln'!$A$7:$A$96,0))</f>
        <v>Toussaint</v>
      </c>
      <c r="G82" s="75" t="str">
        <f>IF(INDEX('Feiertagsregeln'!$F$7:$F$96,MATCH($K82,'Feiertagsregeln'!$A$7:$A$96,0))="","Noch zu erfassen",INDEX('Feiertagsregeln'!$F$7:$F$96,MATCH($K82,'Feiertagsregeln'!$A$7:$A$96,0)))</f>
        <v>Noch zu erfassen</v>
      </c>
      <c r="H82" s="75" t="str">
        <f>IF(INDEX('Feiertagsregeln'!$G$7:$G$96,MATCH($K82,'Feiertagsregeln'!$A$7:$A$96,0))="","Noch zu erfassen",INDEX('Feiertagsregeln'!$G$7:$G$96,MATCH($K82,'Feiertagsregeln'!$A$7:$A$96,0)))</f>
        <v>Noch zu erfassen</v>
      </c>
      <c r="I82" s="74" t="str">
        <f>INDEX('Feiertagsregeln'!$H$7:$H$96,MATCH($K82,'Feiertagsregeln'!$A$7:$A$96,0))</f>
        <v>labourLawHoliday</v>
      </c>
      <c r="J82" s="74" t="str">
        <v>open</v>
      </c>
      <c r="K82" s="74" t="str">
        <v>AG-WORK-HOL-F-ALL-SAINTS</v>
      </c>
      <c r="L82" s="74" t="str">
        <f>INDEX('Feiertagsregeln'!$Y$7:$Y$96,MATCH($K82,'Feiertagsregeln'!$A$7:$A$96,0))</f>
        <v>SRC-AG-EGARR-20250901</v>
      </c>
      <c r="M82" s="74" t="str">
        <f>INDEX('Feiertagsregeln'!$Z$7:$Z$96,MATCH($K82,'Feiertagsregeln'!$A$7:$A$96,0))</f>
        <v>§ 6 Abs. 1 Bst. f</v>
      </c>
      <c r="N82" s="74" t="str">
        <v>Normliste erfasst, Fachfreigabe offen</v>
      </c>
    </row>
    <row r="83" ht="38" customHeight="1">
      <c r="A83" s="70" t="n">
        <f>INDEX('Feiertagsregeln'!$X$7:$X$96,MATCH($K83,'Feiertagsregeln'!$A$7:$A$96,0))</f>
        <v>46746</v>
      </c>
      <c r="B83" s="71" t="str">
        <f>IF(ISNUMBER(A83),CHOOSE(WEEKDAY(A83,2),"Montag","Dienstag","Mittwoch","Donnerstag","Freitag","Samstag","Sonntag"),"n.a.")</f>
        <v>Samstag</v>
      </c>
      <c r="C83" s="71" t="str">
        <v>CH-AG</v>
      </c>
      <c r="D83" s="71" t="str">
        <v>Bezirk Zurzach</v>
      </c>
      <c r="E83" s="71" t="str">
        <f>INDEX('Feiertagsregeln'!$D$7:$D$96,MATCH($K83,'Feiertagsregeln'!$A$7:$A$96,0))</f>
        <v>Weihnachten</v>
      </c>
      <c r="F83" s="71" t="str">
        <f>INDEX('Feiertagsregeln'!$E$7:$E$96,MATCH($K83,'Feiertagsregeln'!$A$7:$A$96,0))</f>
        <v>Noël</v>
      </c>
      <c r="G83" s="72" t="str">
        <f>IF(INDEX('Feiertagsregeln'!$F$7:$F$96,MATCH($K83,'Feiertagsregeln'!$A$7:$A$96,0))="","Noch zu erfassen",INDEX('Feiertagsregeln'!$F$7:$F$96,MATCH($K83,'Feiertagsregeln'!$A$7:$A$96,0)))</f>
        <v>Noch zu erfassen</v>
      </c>
      <c r="H83" s="72" t="str">
        <f>IF(INDEX('Feiertagsregeln'!$G$7:$G$96,MATCH($K83,'Feiertagsregeln'!$A$7:$A$96,0))="","Noch zu erfassen",INDEX('Feiertagsregeln'!$G$7:$G$96,MATCH($K83,'Feiertagsregeln'!$A$7:$A$96,0)))</f>
        <v>Noch zu erfassen</v>
      </c>
      <c r="I83" s="71" t="str">
        <f>INDEX('Feiertagsregeln'!$H$7:$H$96,MATCH($K83,'Feiertagsregeln'!$A$7:$A$96,0))</f>
        <v>labourLawHoliday</v>
      </c>
      <c r="J83" s="71" t="str">
        <v>open</v>
      </c>
      <c r="K83" s="71" t="str">
        <v>AG-WORK-HOL-F-CHRISTMAS</v>
      </c>
      <c r="L83" s="71" t="str">
        <f>INDEX('Feiertagsregeln'!$Y$7:$Y$96,MATCH($K83,'Feiertagsregeln'!$A$7:$A$96,0))</f>
        <v>SRC-AG-EGARR-20250901</v>
      </c>
      <c r="M83" s="71" t="str">
        <f>INDEX('Feiertagsregeln'!$Z$7:$Z$96,MATCH($K83,'Feiertagsregeln'!$A$7:$A$96,0))</f>
        <v>§ 6 Abs. 1 Bst. f</v>
      </c>
      <c r="N83" s="71" t="str">
        <v>Normliste erfasst, Fachfreigabe offen</v>
      </c>
    </row>
    <row r="84" ht="38" customHeight="1">
      <c r="A84" s="73" t="n">
        <f>INDEX('Feiertagsregeln'!$X$7:$X$96,MATCH($K84,'Feiertagsregeln'!$A$7:$A$96,0))</f>
        <v>46747</v>
      </c>
      <c r="B84" s="74" t="str">
        <f>IF(ISNUMBER(A84),CHOOSE(WEEKDAY(A84,2),"Montag","Dienstag","Mittwoch","Donnerstag","Freitag","Samstag","Sonntag"),"n.a.")</f>
        <v>Sonntag</v>
      </c>
      <c r="C84" s="74" t="str">
        <v>CH-AG</v>
      </c>
      <c r="D84" s="74" t="str">
        <v>Bezirk Zurzach</v>
      </c>
      <c r="E84" s="74" t="str">
        <f>INDEX('Feiertagsregeln'!$D$7:$D$96,MATCH($K84,'Feiertagsregeln'!$A$7:$A$96,0))</f>
        <v>Stephanstag</v>
      </c>
      <c r="F84" s="74" t="str">
        <f>INDEX('Feiertagsregeln'!$E$7:$E$96,MATCH($K84,'Feiertagsregeln'!$A$7:$A$96,0))</f>
        <v>Saint-Étienne</v>
      </c>
      <c r="G84" s="75" t="str">
        <f>IF(INDEX('Feiertagsregeln'!$F$7:$F$96,MATCH($K84,'Feiertagsregeln'!$A$7:$A$96,0))="","Noch zu erfassen",INDEX('Feiertagsregeln'!$F$7:$F$96,MATCH($K84,'Feiertagsregeln'!$A$7:$A$96,0)))</f>
        <v>Noch zu erfassen</v>
      </c>
      <c r="H84" s="75" t="str">
        <f>IF(INDEX('Feiertagsregeln'!$G$7:$G$96,MATCH($K84,'Feiertagsregeln'!$A$7:$A$96,0))="","Noch zu erfassen",INDEX('Feiertagsregeln'!$G$7:$G$96,MATCH($K84,'Feiertagsregeln'!$A$7:$A$96,0)))</f>
        <v>Noch zu erfassen</v>
      </c>
      <c r="I84" s="74" t="str">
        <f>INDEX('Feiertagsregeln'!$H$7:$H$96,MATCH($K84,'Feiertagsregeln'!$A$7:$A$96,0))</f>
        <v>labourLawHoliday</v>
      </c>
      <c r="J84" s="74" t="str">
        <v>open</v>
      </c>
      <c r="K84" s="74" t="str">
        <v>AG-WORK-HOL-F-ST-STEPHEN</v>
      </c>
      <c r="L84" s="74" t="str">
        <f>INDEX('Feiertagsregeln'!$Y$7:$Y$96,MATCH($K84,'Feiertagsregeln'!$A$7:$A$96,0))</f>
        <v>SRC-AG-EGARR-20250901</v>
      </c>
      <c r="M84" s="74" t="str">
        <f>INDEX('Feiertagsregeln'!$Z$7:$Z$96,MATCH($K84,'Feiertagsregeln'!$A$7:$A$96,0))</f>
        <v>§ 6 Abs. 1 Bst. f</v>
      </c>
      <c r="N84" s="74" t="str">
        <v>Normliste erfasst, Fachfreigabe offen</v>
      </c>
    </row>
    <row r="85" ht="38" customHeight="1">
      <c r="A85" s="70" t="n">
        <f>INDEX('Feiertagsregeln'!$X$7:$X$96,MATCH($K85,'Feiertagsregeln'!$A$7:$A$96,0))</f>
        <v>46388</v>
      </c>
      <c r="B85" s="71" t="str">
        <f>IF(ISNUMBER(A85),CHOOSE(WEEKDAY(A85,2),"Montag","Dienstag","Mittwoch","Donnerstag","Freitag","Samstag","Sonntag"),"n.a.")</f>
        <v>Freitag</v>
      </c>
      <c r="C85" s="71" t="str">
        <v>CH-AG</v>
      </c>
      <c r="D85" s="71" t="str">
        <v>Aargau, prozessuale Zuordnung</v>
      </c>
      <c r="E85" s="71" t="str">
        <f>INDEX('Feiertagsregeln'!$D$7:$D$96,MATCH($K85,'Feiertagsregeln'!$A$7:$A$96,0))</f>
        <v>Neujahr</v>
      </c>
      <c r="F85" s="71" t="str">
        <f>INDEX('Feiertagsregeln'!$E$7:$E$96,MATCH($K85,'Feiertagsregeln'!$A$7:$A$96,0))</f>
        <v>Nouvel An</v>
      </c>
      <c r="G85" s="72" t="str">
        <f>IF(INDEX('Feiertagsregeln'!$F$7:$F$96,MATCH($K85,'Feiertagsregeln'!$A$7:$A$96,0))="","Noch zu erfassen",INDEX('Feiertagsregeln'!$F$7:$F$96,MATCH($K85,'Feiertagsregeln'!$A$7:$A$96,0)))</f>
        <v>Noch zu erfassen</v>
      </c>
      <c r="H85" s="72" t="str">
        <f>IF(INDEX('Feiertagsregeln'!$G$7:$G$96,MATCH($K85,'Feiertagsregeln'!$A$7:$A$96,0))="","Noch zu erfassen",INDEX('Feiertagsregeln'!$G$7:$G$96,MATCH($K85,'Feiertagsregeln'!$A$7:$A$96,0)))</f>
        <v>Noch zu erfassen</v>
      </c>
      <c r="I85" s="71" t="str">
        <f>INDEX('Feiertagsregeln'!$H$7:$H$96,MATCH($K85,'Feiertagsregeln'!$A$7:$A$96,0))</f>
        <v>proceduralEquivalentDay</v>
      </c>
      <c r="J85" s="71" t="str">
        <v>open</v>
      </c>
      <c r="K85" s="71" t="str">
        <v>AG-PROC-DAY-NEW-YEAR</v>
      </c>
      <c r="L85" s="71" t="str">
        <f>INDEX('Feiertagsregeln'!$Y$7:$Y$96,MATCH($K85,'Feiertagsregeln'!$A$7:$A$96,0))</f>
        <v>SRC-AG-EGZPO</v>
      </c>
      <c r="M85" s="71" t="str">
        <f>INDEX('Feiertagsregeln'!$Z$7:$Z$96,MATCH($K85,'Feiertagsregeln'!$A$7:$A$96,0))</f>
        <v>§ 21</v>
      </c>
      <c r="N85" s="71" t="str">
        <v>Normliste erfasst, Fachfreigabe offen</v>
      </c>
    </row>
    <row r="86" ht="38" customHeight="1">
      <c r="A86" s="73" t="n">
        <f>INDEX('Feiertagsregeln'!$X$7:$X$96,MATCH($K86,'Feiertagsregeln'!$A$7:$A$96,0))</f>
        <v>46389</v>
      </c>
      <c r="B86" s="74" t="str">
        <f>IF(ISNUMBER(A86),CHOOSE(WEEKDAY(A86,2),"Montag","Dienstag","Mittwoch","Donnerstag","Freitag","Samstag","Sonntag"),"n.a.")</f>
        <v>Samstag</v>
      </c>
      <c r="C86" s="74" t="str">
        <v>CH-AG</v>
      </c>
      <c r="D86" s="74" t="str">
        <v>Aargau, prozessuale Zuordnung</v>
      </c>
      <c r="E86" s="74" t="str">
        <f>INDEX('Feiertagsregeln'!$D$7:$D$96,MATCH($K86,'Feiertagsregeln'!$A$7:$A$96,0))</f>
        <v>Berchtoldstag</v>
      </c>
      <c r="F86" s="74" t="str">
        <f>INDEX('Feiertagsregeln'!$E$7:$E$96,MATCH($K86,'Feiertagsregeln'!$A$7:$A$96,0))</f>
        <v>Saint-Berchtold</v>
      </c>
      <c r="G86" s="75" t="str">
        <f>IF(INDEX('Feiertagsregeln'!$F$7:$F$96,MATCH($K86,'Feiertagsregeln'!$A$7:$A$96,0))="","Noch zu erfassen",INDEX('Feiertagsregeln'!$F$7:$F$96,MATCH($K86,'Feiertagsregeln'!$A$7:$A$96,0)))</f>
        <v>Noch zu erfassen</v>
      </c>
      <c r="H86" s="75" t="str">
        <f>IF(INDEX('Feiertagsregeln'!$G$7:$G$96,MATCH($K86,'Feiertagsregeln'!$A$7:$A$96,0))="","Noch zu erfassen",INDEX('Feiertagsregeln'!$G$7:$G$96,MATCH($K86,'Feiertagsregeln'!$A$7:$A$96,0)))</f>
        <v>Noch zu erfassen</v>
      </c>
      <c r="I86" s="74" t="str">
        <f>INDEX('Feiertagsregeln'!$H$7:$H$96,MATCH($K86,'Feiertagsregeln'!$A$7:$A$96,0))</f>
        <v>proceduralEquivalentDay</v>
      </c>
      <c r="J86" s="74" t="str">
        <v>open</v>
      </c>
      <c r="K86" s="74" t="str">
        <v>AG-PROC-DAY-BERCHTOLD</v>
      </c>
      <c r="L86" s="74" t="str">
        <f>INDEX('Feiertagsregeln'!$Y$7:$Y$96,MATCH($K86,'Feiertagsregeln'!$A$7:$A$96,0))</f>
        <v>SRC-AG-EGZPO</v>
      </c>
      <c r="M86" s="74" t="str">
        <f>INDEX('Feiertagsregeln'!$Z$7:$Z$96,MATCH($K86,'Feiertagsregeln'!$A$7:$A$96,0))</f>
        <v>§ 21</v>
      </c>
      <c r="N86" s="74" t="str">
        <v>Normliste erfasst, Fachfreigabe offen</v>
      </c>
    </row>
    <row r="87" ht="38" customHeight="1">
      <c r="A87" s="70" t="n">
        <f>INDEX('Feiertagsregeln'!$X$7:$X$96,MATCH($K87,'Feiertagsregeln'!$A$7:$A$96,0))</f>
        <v>46472</v>
      </c>
      <c r="B87" s="71" t="str">
        <f>IF(ISNUMBER(A87),CHOOSE(WEEKDAY(A87,2),"Montag","Dienstag","Mittwoch","Donnerstag","Freitag","Samstag","Sonntag"),"n.a.")</f>
        <v>Freitag</v>
      </c>
      <c r="C87" s="71" t="str">
        <v>CH-AG</v>
      </c>
      <c r="D87" s="71" t="str">
        <v>Aargau, prozessuale Zuordnung</v>
      </c>
      <c r="E87" s="71" t="str">
        <f>INDEX('Feiertagsregeln'!$D$7:$D$96,MATCH($K87,'Feiertagsregeln'!$A$7:$A$96,0))</f>
        <v>Karfreitag</v>
      </c>
      <c r="F87" s="71" t="str">
        <f>INDEX('Feiertagsregeln'!$E$7:$E$96,MATCH($K87,'Feiertagsregeln'!$A$7:$A$96,0))</f>
        <v>Vendredi saint</v>
      </c>
      <c r="G87" s="72" t="str">
        <f>IF(INDEX('Feiertagsregeln'!$F$7:$F$96,MATCH($K87,'Feiertagsregeln'!$A$7:$A$96,0))="","Noch zu erfassen",INDEX('Feiertagsregeln'!$F$7:$F$96,MATCH($K87,'Feiertagsregeln'!$A$7:$A$96,0)))</f>
        <v>Noch zu erfassen</v>
      </c>
      <c r="H87" s="72" t="str">
        <f>IF(INDEX('Feiertagsregeln'!$G$7:$G$96,MATCH($K87,'Feiertagsregeln'!$A$7:$A$96,0))="","Noch zu erfassen",INDEX('Feiertagsregeln'!$G$7:$G$96,MATCH($K87,'Feiertagsregeln'!$A$7:$A$96,0)))</f>
        <v>Noch zu erfassen</v>
      </c>
      <c r="I87" s="71" t="str">
        <f>INDEX('Feiertagsregeln'!$H$7:$H$96,MATCH($K87,'Feiertagsregeln'!$A$7:$A$96,0))</f>
        <v>proceduralEquivalentDay</v>
      </c>
      <c r="J87" s="71" t="str">
        <v>open</v>
      </c>
      <c r="K87" s="71" t="str">
        <v>AG-PROC-DAY-GOOD-FRIDAY</v>
      </c>
      <c r="L87" s="71" t="str">
        <f>INDEX('Feiertagsregeln'!$Y$7:$Y$96,MATCH($K87,'Feiertagsregeln'!$A$7:$A$96,0))</f>
        <v>SRC-AG-EGZPO</v>
      </c>
      <c r="M87" s="71" t="str">
        <f>INDEX('Feiertagsregeln'!$Z$7:$Z$96,MATCH($K87,'Feiertagsregeln'!$A$7:$A$96,0))</f>
        <v>§ 21</v>
      </c>
      <c r="N87" s="71" t="str">
        <v>Normliste erfasst, Fachfreigabe offen</v>
      </c>
    </row>
    <row r="88" ht="38" customHeight="1">
      <c r="A88" s="73" t="n">
        <f>INDEX('Feiertagsregeln'!$X$7:$X$96,MATCH($K88,'Feiertagsregeln'!$A$7:$A$96,0))</f>
        <v>46475</v>
      </c>
      <c r="B88" s="74" t="str">
        <f>IF(ISNUMBER(A88),CHOOSE(WEEKDAY(A88,2),"Montag","Dienstag","Mittwoch","Donnerstag","Freitag","Samstag","Sonntag"),"n.a.")</f>
        <v>Montag</v>
      </c>
      <c r="C88" s="74" t="str">
        <v>CH-AG</v>
      </c>
      <c r="D88" s="74" t="str">
        <v>Aargau, prozessuale Zuordnung</v>
      </c>
      <c r="E88" s="74" t="str">
        <f>INDEX('Feiertagsregeln'!$D$7:$D$96,MATCH($K88,'Feiertagsregeln'!$A$7:$A$96,0))</f>
        <v>Ostermontag</v>
      </c>
      <c r="F88" s="74" t="str">
        <f>INDEX('Feiertagsregeln'!$E$7:$E$96,MATCH($K88,'Feiertagsregeln'!$A$7:$A$96,0))</f>
        <v>Lundi de Pâques</v>
      </c>
      <c r="G88" s="75" t="str">
        <f>IF(INDEX('Feiertagsregeln'!$F$7:$F$96,MATCH($K88,'Feiertagsregeln'!$A$7:$A$96,0))="","Noch zu erfassen",INDEX('Feiertagsregeln'!$F$7:$F$96,MATCH($K88,'Feiertagsregeln'!$A$7:$A$96,0)))</f>
        <v>Noch zu erfassen</v>
      </c>
      <c r="H88" s="75" t="str">
        <f>IF(INDEX('Feiertagsregeln'!$G$7:$G$96,MATCH($K88,'Feiertagsregeln'!$A$7:$A$96,0))="","Noch zu erfassen",INDEX('Feiertagsregeln'!$G$7:$G$96,MATCH($K88,'Feiertagsregeln'!$A$7:$A$96,0)))</f>
        <v>Noch zu erfassen</v>
      </c>
      <c r="I88" s="74" t="str">
        <f>INDEX('Feiertagsregeln'!$H$7:$H$96,MATCH($K88,'Feiertagsregeln'!$A$7:$A$96,0))</f>
        <v>proceduralEquivalentDay</v>
      </c>
      <c r="J88" s="74" t="str">
        <v>open</v>
      </c>
      <c r="K88" s="74" t="str">
        <v>AG-PROC-DAY-EASTER-MONDAY</v>
      </c>
      <c r="L88" s="74" t="str">
        <f>INDEX('Feiertagsregeln'!$Y$7:$Y$96,MATCH($K88,'Feiertagsregeln'!$A$7:$A$96,0))</f>
        <v>SRC-AG-EGZPO</v>
      </c>
      <c r="M88" s="74" t="str">
        <f>INDEX('Feiertagsregeln'!$Z$7:$Z$96,MATCH($K88,'Feiertagsregeln'!$A$7:$A$96,0))</f>
        <v>§ 21</v>
      </c>
      <c r="N88" s="74" t="str">
        <v>Normliste erfasst, Fachfreigabe offen</v>
      </c>
    </row>
    <row r="89" ht="38" customHeight="1">
      <c r="A89" s="70" t="n">
        <f>INDEX('Feiertagsregeln'!$X$7:$X$96,MATCH($K89,'Feiertagsregeln'!$A$7:$A$96,0))</f>
        <v>46508</v>
      </c>
      <c r="B89" s="71" t="str">
        <f>IF(ISNUMBER(A89),CHOOSE(WEEKDAY(A89,2),"Montag","Dienstag","Mittwoch","Donnerstag","Freitag","Samstag","Sonntag"),"n.a.")</f>
        <v>Samstag</v>
      </c>
      <c r="C89" s="71" t="str">
        <v>CH-AG</v>
      </c>
      <c r="D89" s="71" t="str">
        <v>Aargau, prozessuale Zuordnung</v>
      </c>
      <c r="E89" s="71" t="str">
        <f>INDEX('Feiertagsregeln'!$D$7:$D$96,MATCH($K89,'Feiertagsregeln'!$A$7:$A$96,0))</f>
        <v>Tag der Arbeit (1. Mai)</v>
      </c>
      <c r="F89" s="71" t="str">
        <f>INDEX('Feiertagsregeln'!$E$7:$E$96,MATCH($K89,'Feiertagsregeln'!$A$7:$A$96,0))</f>
        <v>Fête du travail (1er mai)</v>
      </c>
      <c r="G89" s="72" t="str">
        <f>IF(INDEX('Feiertagsregeln'!$F$7:$F$96,MATCH($K89,'Feiertagsregeln'!$A$7:$A$96,0))="","Noch zu erfassen",INDEX('Feiertagsregeln'!$F$7:$F$96,MATCH($K89,'Feiertagsregeln'!$A$7:$A$96,0)))</f>
        <v>Noch zu erfassen</v>
      </c>
      <c r="H89" s="72" t="str">
        <f>IF(INDEX('Feiertagsregeln'!$G$7:$G$96,MATCH($K89,'Feiertagsregeln'!$A$7:$A$96,0))="","Noch zu erfassen",INDEX('Feiertagsregeln'!$G$7:$G$96,MATCH($K89,'Feiertagsregeln'!$A$7:$A$96,0)))</f>
        <v>Noch zu erfassen</v>
      </c>
      <c r="I89" s="71" t="str">
        <f>INDEX('Feiertagsregeln'!$H$7:$H$96,MATCH($K89,'Feiertagsregeln'!$A$7:$A$96,0))</f>
        <v>proceduralEquivalentDay</v>
      </c>
      <c r="J89" s="71" t="str">
        <v>open</v>
      </c>
      <c r="K89" s="71" t="str">
        <v>AG-PROC-DAY-MAY1</v>
      </c>
      <c r="L89" s="71" t="str">
        <f>INDEX('Feiertagsregeln'!$Y$7:$Y$96,MATCH($K89,'Feiertagsregeln'!$A$7:$A$96,0))</f>
        <v>SRC-AG-EGZPO</v>
      </c>
      <c r="M89" s="71" t="str">
        <f>INDEX('Feiertagsregeln'!$Z$7:$Z$96,MATCH($K89,'Feiertagsregeln'!$A$7:$A$96,0))</f>
        <v>§ 21</v>
      </c>
      <c r="N89" s="71" t="str">
        <v>Normliste erfasst, Fachfreigabe offen</v>
      </c>
    </row>
    <row r="90" ht="38" customHeight="1">
      <c r="A90" s="73" t="n">
        <f>INDEX('Feiertagsregeln'!$X$7:$X$96,MATCH($K90,'Feiertagsregeln'!$A$7:$A$96,0))</f>
        <v>46513</v>
      </c>
      <c r="B90" s="74" t="str">
        <f>IF(ISNUMBER(A90),CHOOSE(WEEKDAY(A90,2),"Montag","Dienstag","Mittwoch","Donnerstag","Freitag","Samstag","Sonntag"),"n.a.")</f>
        <v>Donnerstag</v>
      </c>
      <c r="C90" s="74" t="str">
        <v>CH-AG</v>
      </c>
      <c r="D90" s="74" t="str">
        <v>Aargau, prozessuale Zuordnung</v>
      </c>
      <c r="E90" s="74" t="str">
        <f>INDEX('Feiertagsregeln'!$D$7:$D$96,MATCH($K90,'Feiertagsregeln'!$A$7:$A$96,0))</f>
        <v>Auffahrt</v>
      </c>
      <c r="F90" s="74" t="str">
        <f>INDEX('Feiertagsregeln'!$E$7:$E$96,MATCH($K90,'Feiertagsregeln'!$A$7:$A$96,0))</f>
        <v>Ascension</v>
      </c>
      <c r="G90" s="75" t="str">
        <f>IF(INDEX('Feiertagsregeln'!$F$7:$F$96,MATCH($K90,'Feiertagsregeln'!$A$7:$A$96,0))="","Noch zu erfassen",INDEX('Feiertagsregeln'!$F$7:$F$96,MATCH($K90,'Feiertagsregeln'!$A$7:$A$96,0)))</f>
        <v>Noch zu erfassen</v>
      </c>
      <c r="H90" s="75" t="str">
        <f>IF(INDEX('Feiertagsregeln'!$G$7:$G$96,MATCH($K90,'Feiertagsregeln'!$A$7:$A$96,0))="","Noch zu erfassen",INDEX('Feiertagsregeln'!$G$7:$G$96,MATCH($K90,'Feiertagsregeln'!$A$7:$A$96,0)))</f>
        <v>Noch zu erfassen</v>
      </c>
      <c r="I90" s="74" t="str">
        <f>INDEX('Feiertagsregeln'!$H$7:$H$96,MATCH($K90,'Feiertagsregeln'!$A$7:$A$96,0))</f>
        <v>proceduralEquivalentDay</v>
      </c>
      <c r="J90" s="74" t="str">
        <v>open</v>
      </c>
      <c r="K90" s="74" t="str">
        <v>AG-PROC-DAY-ASCENSION</v>
      </c>
      <c r="L90" s="74" t="str">
        <f>INDEX('Feiertagsregeln'!$Y$7:$Y$96,MATCH($K90,'Feiertagsregeln'!$A$7:$A$96,0))</f>
        <v>SRC-AG-EGZPO</v>
      </c>
      <c r="M90" s="74" t="str">
        <f>INDEX('Feiertagsregeln'!$Z$7:$Z$96,MATCH($K90,'Feiertagsregeln'!$A$7:$A$96,0))</f>
        <v>§ 21</v>
      </c>
      <c r="N90" s="74" t="str">
        <v>Normliste erfasst, Fachfreigabe offen</v>
      </c>
    </row>
    <row r="91" ht="38" customHeight="1">
      <c r="A91" s="70" t="n">
        <f>INDEX('Feiertagsregeln'!$X$7:$X$96,MATCH($K91,'Feiertagsregeln'!$A$7:$A$96,0))</f>
        <v>46524</v>
      </c>
      <c r="B91" s="71" t="str">
        <f>IF(ISNUMBER(A91),CHOOSE(WEEKDAY(A91,2),"Montag","Dienstag","Mittwoch","Donnerstag","Freitag","Samstag","Sonntag"),"n.a.")</f>
        <v>Montag</v>
      </c>
      <c r="C91" s="71" t="str">
        <v>CH-AG</v>
      </c>
      <c r="D91" s="71" t="str">
        <v>Aargau, prozessuale Zuordnung</v>
      </c>
      <c r="E91" s="71" t="str">
        <f>INDEX('Feiertagsregeln'!$D$7:$D$96,MATCH($K91,'Feiertagsregeln'!$A$7:$A$96,0))</f>
        <v>Pfingstmontag</v>
      </c>
      <c r="F91" s="71" t="str">
        <f>INDEX('Feiertagsregeln'!$E$7:$E$96,MATCH($K91,'Feiertagsregeln'!$A$7:$A$96,0))</f>
        <v>Lundi de Pentecôte</v>
      </c>
      <c r="G91" s="72" t="str">
        <f>IF(INDEX('Feiertagsregeln'!$F$7:$F$96,MATCH($K91,'Feiertagsregeln'!$A$7:$A$96,0))="","Noch zu erfassen",INDEX('Feiertagsregeln'!$F$7:$F$96,MATCH($K91,'Feiertagsregeln'!$A$7:$A$96,0)))</f>
        <v>Noch zu erfassen</v>
      </c>
      <c r="H91" s="72" t="str">
        <f>IF(INDEX('Feiertagsregeln'!$G$7:$G$96,MATCH($K91,'Feiertagsregeln'!$A$7:$A$96,0))="","Noch zu erfassen",INDEX('Feiertagsregeln'!$G$7:$G$96,MATCH($K91,'Feiertagsregeln'!$A$7:$A$96,0)))</f>
        <v>Noch zu erfassen</v>
      </c>
      <c r="I91" s="71" t="str">
        <f>INDEX('Feiertagsregeln'!$H$7:$H$96,MATCH($K91,'Feiertagsregeln'!$A$7:$A$96,0))</f>
        <v>proceduralEquivalentDay</v>
      </c>
      <c r="J91" s="71" t="str">
        <v>open</v>
      </c>
      <c r="K91" s="71" t="str">
        <v>AG-PROC-DAY-WHIT-MONDAY</v>
      </c>
      <c r="L91" s="71" t="str">
        <f>INDEX('Feiertagsregeln'!$Y$7:$Y$96,MATCH($K91,'Feiertagsregeln'!$A$7:$A$96,0))</f>
        <v>SRC-AG-EGZPO</v>
      </c>
      <c r="M91" s="71" t="str">
        <f>INDEX('Feiertagsregeln'!$Z$7:$Z$96,MATCH($K91,'Feiertagsregeln'!$A$7:$A$96,0))</f>
        <v>§ 21</v>
      </c>
      <c r="N91" s="71" t="str">
        <v>Normliste erfasst, Fachfreigabe offen</v>
      </c>
    </row>
    <row r="92" ht="38" customHeight="1">
      <c r="A92" s="73" t="n">
        <f>INDEX('Feiertagsregeln'!$X$7:$X$96,MATCH($K92,'Feiertagsregeln'!$A$7:$A$96,0))</f>
        <v>46534</v>
      </c>
      <c r="B92" s="74" t="str">
        <f>IF(ISNUMBER(A92),CHOOSE(WEEKDAY(A92,2),"Montag","Dienstag","Mittwoch","Donnerstag","Freitag","Samstag","Sonntag"),"n.a.")</f>
        <v>Donnerstag</v>
      </c>
      <c r="C92" s="74" t="str">
        <v>CH-AG</v>
      </c>
      <c r="D92" s="74" t="str">
        <v>Aargau, prozessuale Zuordnung</v>
      </c>
      <c r="E92" s="74" t="str">
        <f>INDEX('Feiertagsregeln'!$D$7:$D$96,MATCH($K92,'Feiertagsregeln'!$A$7:$A$96,0))</f>
        <v>Fronleichnam</v>
      </c>
      <c r="F92" s="74" t="str">
        <f>INDEX('Feiertagsregeln'!$E$7:$E$96,MATCH($K92,'Feiertagsregeln'!$A$7:$A$96,0))</f>
        <v>Fête-Dieu</v>
      </c>
      <c r="G92" s="75" t="str">
        <f>IF(INDEX('Feiertagsregeln'!$F$7:$F$96,MATCH($K92,'Feiertagsregeln'!$A$7:$A$96,0))="","Noch zu erfassen",INDEX('Feiertagsregeln'!$F$7:$F$96,MATCH($K92,'Feiertagsregeln'!$A$7:$A$96,0)))</f>
        <v>Noch zu erfassen</v>
      </c>
      <c r="H92" s="75" t="str">
        <f>IF(INDEX('Feiertagsregeln'!$G$7:$G$96,MATCH($K92,'Feiertagsregeln'!$A$7:$A$96,0))="","Noch zu erfassen",INDEX('Feiertagsregeln'!$G$7:$G$96,MATCH($K92,'Feiertagsregeln'!$A$7:$A$96,0)))</f>
        <v>Noch zu erfassen</v>
      </c>
      <c r="I92" s="74" t="str">
        <f>INDEX('Feiertagsregeln'!$H$7:$H$96,MATCH($K92,'Feiertagsregeln'!$A$7:$A$96,0))</f>
        <v>proceduralEquivalentDay</v>
      </c>
      <c r="J92" s="74" t="str">
        <v>open</v>
      </c>
      <c r="K92" s="74" t="str">
        <v>AG-PROC-DAY-CORPUS-CHRISTI</v>
      </c>
      <c r="L92" s="74" t="str">
        <f>INDEX('Feiertagsregeln'!$Y$7:$Y$96,MATCH($K92,'Feiertagsregeln'!$A$7:$A$96,0))</f>
        <v>SRC-AG-EGZPO</v>
      </c>
      <c r="M92" s="74" t="str">
        <f>INDEX('Feiertagsregeln'!$Z$7:$Z$96,MATCH($K92,'Feiertagsregeln'!$A$7:$A$96,0))</f>
        <v>§ 21</v>
      </c>
      <c r="N92" s="74" t="str">
        <v>Normliste erfasst, Fachfreigabe offen</v>
      </c>
    </row>
    <row r="93" ht="38" customHeight="1">
      <c r="A93" s="70" t="n">
        <f>INDEX('Feiertagsregeln'!$X$7:$X$96,MATCH($K93,'Feiertagsregeln'!$A$7:$A$96,0))</f>
        <v>46600</v>
      </c>
      <c r="B93" s="71" t="str">
        <f>IF(ISNUMBER(A93),CHOOSE(WEEKDAY(A93,2),"Montag","Dienstag","Mittwoch","Donnerstag","Freitag","Samstag","Sonntag"),"n.a.")</f>
        <v>Sonntag</v>
      </c>
      <c r="C93" s="71" t="str">
        <v>CH-AG</v>
      </c>
      <c r="D93" s="71" t="str">
        <v>Aargau, prozessuale Zuordnung</v>
      </c>
      <c r="E93" s="71" t="str">
        <f>INDEX('Feiertagsregeln'!$D$7:$D$96,MATCH($K93,'Feiertagsregeln'!$A$7:$A$96,0))</f>
        <v>Bundesfeiertag</v>
      </c>
      <c r="F93" s="71" t="str">
        <f>INDEX('Feiertagsregeln'!$E$7:$E$96,MATCH($K93,'Feiertagsregeln'!$A$7:$A$96,0))</f>
        <v>Fête nationale</v>
      </c>
      <c r="G93" s="72" t="str">
        <f>IF(INDEX('Feiertagsregeln'!$F$7:$F$96,MATCH($K93,'Feiertagsregeln'!$A$7:$A$96,0))="","Noch zu erfassen",INDEX('Feiertagsregeln'!$F$7:$F$96,MATCH($K93,'Feiertagsregeln'!$A$7:$A$96,0)))</f>
        <v>Noch zu erfassen</v>
      </c>
      <c r="H93" s="72" t="str">
        <f>IF(INDEX('Feiertagsregeln'!$G$7:$G$96,MATCH($K93,'Feiertagsregeln'!$A$7:$A$96,0))="","Noch zu erfassen",INDEX('Feiertagsregeln'!$G$7:$G$96,MATCH($K93,'Feiertagsregeln'!$A$7:$A$96,0)))</f>
        <v>Noch zu erfassen</v>
      </c>
      <c r="I93" s="71" t="str">
        <f>INDEX('Feiertagsregeln'!$H$7:$H$96,MATCH($K93,'Feiertagsregeln'!$A$7:$A$96,0))</f>
        <v>proceduralEquivalentDay</v>
      </c>
      <c r="J93" s="71" t="str">
        <v>open</v>
      </c>
      <c r="K93" s="71" t="str">
        <v>AG-PROC-DAY-NATIONAL-DAY</v>
      </c>
      <c r="L93" s="71" t="str">
        <f>INDEX('Feiertagsregeln'!$Y$7:$Y$96,MATCH($K93,'Feiertagsregeln'!$A$7:$A$96,0))</f>
        <v>SRC-AG-EGZPO</v>
      </c>
      <c r="M93" s="71" t="str">
        <f>INDEX('Feiertagsregeln'!$Z$7:$Z$96,MATCH($K93,'Feiertagsregeln'!$A$7:$A$96,0))</f>
        <v>§ 21</v>
      </c>
      <c r="N93" s="71" t="str">
        <v>Normliste erfasst, Fachfreigabe offen</v>
      </c>
    </row>
    <row r="94" ht="38" customHeight="1">
      <c r="A94" s="73" t="n">
        <f>INDEX('Feiertagsregeln'!$X$7:$X$96,MATCH($K94,'Feiertagsregeln'!$A$7:$A$96,0))</f>
        <v>46614</v>
      </c>
      <c r="B94" s="74" t="str">
        <f>IF(ISNUMBER(A94),CHOOSE(WEEKDAY(A94,2),"Montag","Dienstag","Mittwoch","Donnerstag","Freitag","Samstag","Sonntag"),"n.a.")</f>
        <v>Sonntag</v>
      </c>
      <c r="C94" s="74" t="str">
        <v>CH-AG</v>
      </c>
      <c r="D94" s="74" t="str">
        <v>Aargau, prozessuale Zuordnung</v>
      </c>
      <c r="E94" s="74" t="str">
        <f>INDEX('Feiertagsregeln'!$D$7:$D$96,MATCH($K94,'Feiertagsregeln'!$A$7:$A$96,0))</f>
        <v>Mariä Himmelfahrt</v>
      </c>
      <c r="F94" s="74" t="str">
        <f>INDEX('Feiertagsregeln'!$E$7:$E$96,MATCH($K94,'Feiertagsregeln'!$A$7:$A$96,0))</f>
        <v>Assomption</v>
      </c>
      <c r="G94" s="75" t="str">
        <f>IF(INDEX('Feiertagsregeln'!$F$7:$F$96,MATCH($K94,'Feiertagsregeln'!$A$7:$A$96,0))="","Noch zu erfassen",INDEX('Feiertagsregeln'!$F$7:$F$96,MATCH($K94,'Feiertagsregeln'!$A$7:$A$96,0)))</f>
        <v>Noch zu erfassen</v>
      </c>
      <c r="H94" s="75" t="str">
        <f>IF(INDEX('Feiertagsregeln'!$G$7:$G$96,MATCH($K94,'Feiertagsregeln'!$A$7:$A$96,0))="","Noch zu erfassen",INDEX('Feiertagsregeln'!$G$7:$G$96,MATCH($K94,'Feiertagsregeln'!$A$7:$A$96,0)))</f>
        <v>Noch zu erfassen</v>
      </c>
      <c r="I94" s="74" t="str">
        <f>INDEX('Feiertagsregeln'!$H$7:$H$96,MATCH($K94,'Feiertagsregeln'!$A$7:$A$96,0))</f>
        <v>proceduralEquivalentDay</v>
      </c>
      <c r="J94" s="74" t="str">
        <v>open</v>
      </c>
      <c r="K94" s="74" t="str">
        <v>AG-PROC-DAY-ASSUMPTION</v>
      </c>
      <c r="L94" s="74" t="str">
        <f>INDEX('Feiertagsregeln'!$Y$7:$Y$96,MATCH($K94,'Feiertagsregeln'!$A$7:$A$96,0))</f>
        <v>SRC-AG-EGZPO</v>
      </c>
      <c r="M94" s="74" t="str">
        <f>INDEX('Feiertagsregeln'!$Z$7:$Z$96,MATCH($K94,'Feiertagsregeln'!$A$7:$A$96,0))</f>
        <v>§ 21</v>
      </c>
      <c r="N94" s="74" t="str">
        <v>Normliste erfasst, Fachfreigabe offen</v>
      </c>
    </row>
    <row r="95" ht="38" customHeight="1">
      <c r="A95" s="70" t="n">
        <f>INDEX('Feiertagsregeln'!$X$7:$X$96,MATCH($K95,'Feiertagsregeln'!$A$7:$A$96,0))</f>
        <v>46729</v>
      </c>
      <c r="B95" s="71" t="str">
        <f>IF(ISNUMBER(A95),CHOOSE(WEEKDAY(A95,2),"Montag","Dienstag","Mittwoch","Donnerstag","Freitag","Samstag","Sonntag"),"n.a.")</f>
        <v>Mittwoch</v>
      </c>
      <c r="C95" s="71" t="str">
        <v>CH-AG</v>
      </c>
      <c r="D95" s="71" t="str">
        <v>Aargau, prozessuale Zuordnung</v>
      </c>
      <c r="E95" s="71" t="str">
        <f>INDEX('Feiertagsregeln'!$D$7:$D$96,MATCH($K95,'Feiertagsregeln'!$A$7:$A$96,0))</f>
        <v>Mariä Empfängnis</v>
      </c>
      <c r="F95" s="71" t="str">
        <f>INDEX('Feiertagsregeln'!$E$7:$E$96,MATCH($K95,'Feiertagsregeln'!$A$7:$A$96,0))</f>
        <v>Immaculée Conception</v>
      </c>
      <c r="G95" s="72" t="str">
        <f>IF(INDEX('Feiertagsregeln'!$F$7:$F$96,MATCH($K95,'Feiertagsregeln'!$A$7:$A$96,0))="","Noch zu erfassen",INDEX('Feiertagsregeln'!$F$7:$F$96,MATCH($K95,'Feiertagsregeln'!$A$7:$A$96,0)))</f>
        <v>Noch zu erfassen</v>
      </c>
      <c r="H95" s="72" t="str">
        <f>IF(INDEX('Feiertagsregeln'!$G$7:$G$96,MATCH($K95,'Feiertagsregeln'!$A$7:$A$96,0))="","Noch zu erfassen",INDEX('Feiertagsregeln'!$G$7:$G$96,MATCH($K95,'Feiertagsregeln'!$A$7:$A$96,0)))</f>
        <v>Noch zu erfassen</v>
      </c>
      <c r="I95" s="71" t="str">
        <f>INDEX('Feiertagsregeln'!$H$7:$H$96,MATCH($K95,'Feiertagsregeln'!$A$7:$A$96,0))</f>
        <v>proceduralEquivalentDay</v>
      </c>
      <c r="J95" s="71" t="str">
        <v>open</v>
      </c>
      <c r="K95" s="71" t="str">
        <v>AG-PROC-DAY-IMMACULATE-CONCEPTION</v>
      </c>
      <c r="L95" s="71" t="str">
        <f>INDEX('Feiertagsregeln'!$Y$7:$Y$96,MATCH($K95,'Feiertagsregeln'!$A$7:$A$96,0))</f>
        <v>SRC-AG-EGZPO</v>
      </c>
      <c r="M95" s="71" t="str">
        <f>INDEX('Feiertagsregeln'!$Z$7:$Z$96,MATCH($K95,'Feiertagsregeln'!$A$7:$A$96,0))</f>
        <v>§ 21</v>
      </c>
      <c r="N95" s="71" t="str">
        <v>Normliste erfasst, Fachfreigabe offen</v>
      </c>
    </row>
    <row r="96" ht="38" customHeight="1">
      <c r="A96" s="73" t="n">
        <f>INDEX('Feiertagsregeln'!$X$7:$X$96,MATCH($K96,'Feiertagsregeln'!$A$7:$A$96,0))</f>
        <v>46746</v>
      </c>
      <c r="B96" s="74" t="str">
        <f>IF(ISNUMBER(A96),CHOOSE(WEEKDAY(A96,2),"Montag","Dienstag","Mittwoch","Donnerstag","Freitag","Samstag","Sonntag"),"n.a.")</f>
        <v>Samstag</v>
      </c>
      <c r="C96" s="74" t="str">
        <v>CH-AG</v>
      </c>
      <c r="D96" s="74" t="str">
        <v>Aargau, prozessuale Zuordnung</v>
      </c>
      <c r="E96" s="74" t="str">
        <f>INDEX('Feiertagsregeln'!$D$7:$D$96,MATCH($K96,'Feiertagsregeln'!$A$7:$A$96,0))</f>
        <v>Weihnachten</v>
      </c>
      <c r="F96" s="74" t="str">
        <f>INDEX('Feiertagsregeln'!$E$7:$E$96,MATCH($K96,'Feiertagsregeln'!$A$7:$A$96,0))</f>
        <v>Noël</v>
      </c>
      <c r="G96" s="75" t="str">
        <f>IF(INDEX('Feiertagsregeln'!$F$7:$F$96,MATCH($K96,'Feiertagsregeln'!$A$7:$A$96,0))="","Noch zu erfassen",INDEX('Feiertagsregeln'!$F$7:$F$96,MATCH($K96,'Feiertagsregeln'!$A$7:$A$96,0)))</f>
        <v>Noch zu erfassen</v>
      </c>
      <c r="H96" s="75" t="str">
        <f>IF(INDEX('Feiertagsregeln'!$G$7:$G$96,MATCH($K96,'Feiertagsregeln'!$A$7:$A$96,0))="","Noch zu erfassen",INDEX('Feiertagsregeln'!$G$7:$G$96,MATCH($K96,'Feiertagsregeln'!$A$7:$A$96,0)))</f>
        <v>Noch zu erfassen</v>
      </c>
      <c r="I96" s="74" t="str">
        <f>INDEX('Feiertagsregeln'!$H$7:$H$96,MATCH($K96,'Feiertagsregeln'!$A$7:$A$96,0))</f>
        <v>proceduralEquivalentDay</v>
      </c>
      <c r="J96" s="74" t="str">
        <v>open</v>
      </c>
      <c r="K96" s="74" t="str">
        <v>AG-PROC-DAY-CHRISTMAS</v>
      </c>
      <c r="L96" s="74" t="str">
        <f>INDEX('Feiertagsregeln'!$Y$7:$Y$96,MATCH($K96,'Feiertagsregeln'!$A$7:$A$96,0))</f>
        <v>SRC-AG-EGZPO</v>
      </c>
      <c r="M96" s="74" t="str">
        <f>INDEX('Feiertagsregeln'!$Z$7:$Z$96,MATCH($K96,'Feiertagsregeln'!$A$7:$A$96,0))</f>
        <v>§ 21</v>
      </c>
      <c r="N96" s="74" t="str">
        <v>Normliste erfasst, Fachfreigabe offen</v>
      </c>
    </row>
    <row r="97" ht="38" customHeight="1">
      <c r="A97" s="70" t="n">
        <f>INDEX('Feiertagsregeln'!$X$7:$X$96,MATCH($K97,'Feiertagsregeln'!$A$7:$A$96,0))</f>
        <v>46747</v>
      </c>
      <c r="B97" s="71" t="str">
        <f>IF(ISNUMBER(A97),CHOOSE(WEEKDAY(A97,2),"Montag","Dienstag","Mittwoch","Donnerstag","Freitag","Samstag","Sonntag"),"n.a.")</f>
        <v>Sonntag</v>
      </c>
      <c r="C97" s="71" t="str">
        <v>CH-AG</v>
      </c>
      <c r="D97" s="71" t="str">
        <v>Aargau, prozessuale Zuordnung</v>
      </c>
      <c r="E97" s="71" t="str">
        <f>INDEX('Feiertagsregeln'!$D$7:$D$96,MATCH($K97,'Feiertagsregeln'!$A$7:$A$96,0))</f>
        <v>Stephanstag</v>
      </c>
      <c r="F97" s="71" t="str">
        <f>INDEX('Feiertagsregeln'!$E$7:$E$96,MATCH($K97,'Feiertagsregeln'!$A$7:$A$96,0))</f>
        <v>Saint-Étienne</v>
      </c>
      <c r="G97" s="72" t="str">
        <f>IF(INDEX('Feiertagsregeln'!$F$7:$F$96,MATCH($K97,'Feiertagsregeln'!$A$7:$A$96,0))="","Noch zu erfassen",INDEX('Feiertagsregeln'!$F$7:$F$96,MATCH($K97,'Feiertagsregeln'!$A$7:$A$96,0)))</f>
        <v>Noch zu erfassen</v>
      </c>
      <c r="H97" s="72" t="str">
        <f>IF(INDEX('Feiertagsregeln'!$G$7:$G$96,MATCH($K97,'Feiertagsregeln'!$A$7:$A$96,0))="","Noch zu erfassen",INDEX('Feiertagsregeln'!$G$7:$G$96,MATCH($K97,'Feiertagsregeln'!$A$7:$A$96,0)))</f>
        <v>Noch zu erfassen</v>
      </c>
      <c r="I97" s="71" t="str">
        <f>INDEX('Feiertagsregeln'!$H$7:$H$96,MATCH($K97,'Feiertagsregeln'!$A$7:$A$96,0))</f>
        <v>proceduralEquivalentDay</v>
      </c>
      <c r="J97" s="71" t="str">
        <v>open</v>
      </c>
      <c r="K97" s="71" t="str">
        <v>AG-PROC-DAY-ST-STEPHEN</v>
      </c>
      <c r="L97" s="71" t="str">
        <f>INDEX('Feiertagsregeln'!$Y$7:$Y$96,MATCH($K97,'Feiertagsregeln'!$A$7:$A$96,0))</f>
        <v>SRC-AG-EGZPO</v>
      </c>
      <c r="M97" s="71" t="str">
        <f>INDEX('Feiertagsregeln'!$Z$7:$Z$96,MATCH($K97,'Feiertagsregeln'!$A$7:$A$96,0))</f>
        <v>§ 21</v>
      </c>
      <c r="N97" s="71" t="str">
        <v>Normliste erfasst, Fachfreigabe offen</v>
      </c>
    </row>
    <row r="98" ht="38" customHeight="1">
      <c r="A98" s="73" t="n">
        <f>INDEX('Feiertagsregeln'!$X$7:$X$96,MATCH($K98,'Feiertagsregeln'!$A$7:$A$96,0))</f>
        <v>46600</v>
      </c>
      <c r="B98" s="74" t="str">
        <f>IF(ISNUMBER(A98),CHOOSE(WEEKDAY(A98,2),"Montag","Dienstag","Mittwoch","Donnerstag","Freitag","Samstag","Sonntag"),"n.a.")</f>
        <v>Sonntag</v>
      </c>
      <c r="C98" s="74" t="str">
        <v>CH-AG</v>
      </c>
      <c r="D98" s="74" t="str">
        <v>Bezirke Aarau, Brugg, Kulm, Lenzburg und Zofingen</v>
      </c>
      <c r="E98" s="74" t="str">
        <f>INDEX('Feiertagsregeln'!$D$7:$D$96,MATCH($K98,'Feiertagsregeln'!$A$7:$A$96,0))</f>
        <v>Bundesfeiertag</v>
      </c>
      <c r="F98" s="74" t="str">
        <f>INDEX('Feiertagsregeln'!$E$7:$E$96,MATCH($K98,'Feiertagsregeln'!$A$7:$A$96,0))</f>
        <v>Fête nationale</v>
      </c>
      <c r="G98" s="75" t="str">
        <f>IF(INDEX('Feiertagsregeln'!$F$7:$F$96,MATCH($K98,'Feiertagsregeln'!$A$7:$A$96,0))="","Noch zu erfassen",INDEX('Feiertagsregeln'!$F$7:$F$96,MATCH($K98,'Feiertagsregeln'!$A$7:$A$96,0)))</f>
        <v>Noch zu erfassen</v>
      </c>
      <c r="H98" s="75" t="str">
        <f>IF(INDEX('Feiertagsregeln'!$G$7:$G$96,MATCH($K98,'Feiertagsregeln'!$A$7:$A$96,0))="","Noch zu erfassen",INDEX('Feiertagsregeln'!$G$7:$G$96,MATCH($K98,'Feiertagsregeln'!$A$7:$A$96,0)))</f>
        <v>Noch zu erfassen</v>
      </c>
      <c r="I98" s="74" t="str">
        <f>INDEX('Feiertagsregeln'!$H$7:$H$96,MATCH($K98,'Feiertagsregeln'!$A$7:$A$96,0))</f>
        <v>publicHoliday</v>
      </c>
      <c r="J98" s="74" t="str">
        <v>open</v>
      </c>
      <c r="K98" s="74" t="str">
        <v>CH-CAL-HOL-NATIONAL-DAY</v>
      </c>
      <c r="L98" s="74" t="str">
        <f>INDEX('Feiertagsregeln'!$Y$7:$Y$96,MATCH($K98,'Feiertagsregeln'!$A$7:$A$96,0))</f>
        <v>SRC-BUNDESFEIERTAG-19940701</v>
      </c>
      <c r="M98" s="74" t="str">
        <f>INDEX('Feiertagsregeln'!$Z$7:$Z$96,MATCH($K98,'Feiertagsregeln'!$A$7:$A$96,0))</f>
        <v>Art. 1</v>
      </c>
      <c r="N98" s="74" t="str">
        <v>Normliste erfasst, Fachfreigabe offen</v>
      </c>
    </row>
    <row r="99" ht="38" customHeight="1">
      <c r="A99" s="70" t="n">
        <f>INDEX('Feiertagsregeln'!$X$7:$X$96,MATCH($K99,'Feiertagsregeln'!$A$7:$A$96,0))</f>
        <v>46600</v>
      </c>
      <c r="B99" s="71" t="str">
        <f>IF(ISNUMBER(A99),CHOOSE(WEEKDAY(A99,2),"Montag","Dienstag","Mittwoch","Donnerstag","Freitag","Samstag","Sonntag"),"n.a.")</f>
        <v>Sonntag</v>
      </c>
      <c r="C99" s="71" t="str">
        <v>CH-AG</v>
      </c>
      <c r="D99" s="71" t="str">
        <v>Gemeinde Bergdietikon</v>
      </c>
      <c r="E99" s="71" t="str">
        <f>INDEX('Feiertagsregeln'!$D$7:$D$96,MATCH($K99,'Feiertagsregeln'!$A$7:$A$96,0))</f>
        <v>Bundesfeiertag</v>
      </c>
      <c r="F99" s="71" t="str">
        <f>INDEX('Feiertagsregeln'!$E$7:$E$96,MATCH($K99,'Feiertagsregeln'!$A$7:$A$96,0))</f>
        <v>Fête nationale</v>
      </c>
      <c r="G99" s="72" t="str">
        <f>IF(INDEX('Feiertagsregeln'!$F$7:$F$96,MATCH($K99,'Feiertagsregeln'!$A$7:$A$96,0))="","Noch zu erfassen",INDEX('Feiertagsregeln'!$F$7:$F$96,MATCH($K99,'Feiertagsregeln'!$A$7:$A$96,0)))</f>
        <v>Noch zu erfassen</v>
      </c>
      <c r="H99" s="72" t="str">
        <f>IF(INDEX('Feiertagsregeln'!$G$7:$G$96,MATCH($K99,'Feiertagsregeln'!$A$7:$A$96,0))="","Noch zu erfassen",INDEX('Feiertagsregeln'!$G$7:$G$96,MATCH($K99,'Feiertagsregeln'!$A$7:$A$96,0)))</f>
        <v>Noch zu erfassen</v>
      </c>
      <c r="I99" s="71" t="str">
        <f>INDEX('Feiertagsregeln'!$H$7:$H$96,MATCH($K99,'Feiertagsregeln'!$A$7:$A$96,0))</f>
        <v>publicHoliday</v>
      </c>
      <c r="J99" s="71" t="str">
        <v>open</v>
      </c>
      <c r="K99" s="71" t="str">
        <v>CH-CAL-HOL-NATIONAL-DAY</v>
      </c>
      <c r="L99" s="71" t="str">
        <f>INDEX('Feiertagsregeln'!$Y$7:$Y$96,MATCH($K99,'Feiertagsregeln'!$A$7:$A$96,0))</f>
        <v>SRC-BUNDESFEIERTAG-19940701</v>
      </c>
      <c r="M99" s="71" t="str">
        <f>INDEX('Feiertagsregeln'!$Z$7:$Z$96,MATCH($K99,'Feiertagsregeln'!$A$7:$A$96,0))</f>
        <v>Art. 1</v>
      </c>
      <c r="N99" s="71" t="str">
        <v>Normliste erfasst, Fachfreigabe offen</v>
      </c>
    </row>
    <row r="100" ht="38" customHeight="1">
      <c r="A100" s="73" t="n">
        <f>INDEX('Feiertagsregeln'!$X$7:$X$96,MATCH($K100,'Feiertagsregeln'!$A$7:$A$96,0))</f>
        <v>46600</v>
      </c>
      <c r="B100" s="74" t="str">
        <f>IF(ISNUMBER(A100),CHOOSE(WEEKDAY(A100,2),"Montag","Dienstag","Mittwoch","Donnerstag","Freitag","Samstag","Sonntag"),"n.a.")</f>
        <v>Sonntag</v>
      </c>
      <c r="C100" s="74" t="str">
        <v>CH-AG</v>
      </c>
      <c r="D100" s="74" t="str">
        <v>Bezirk Baden ohne Bergdietikon</v>
      </c>
      <c r="E100" s="74" t="str">
        <f>INDEX('Feiertagsregeln'!$D$7:$D$96,MATCH($K100,'Feiertagsregeln'!$A$7:$A$96,0))</f>
        <v>Bundesfeiertag</v>
      </c>
      <c r="F100" s="74" t="str">
        <f>INDEX('Feiertagsregeln'!$E$7:$E$96,MATCH($K100,'Feiertagsregeln'!$A$7:$A$96,0))</f>
        <v>Fête nationale</v>
      </c>
      <c r="G100" s="75" t="str">
        <f>IF(INDEX('Feiertagsregeln'!$F$7:$F$96,MATCH($K100,'Feiertagsregeln'!$A$7:$A$96,0))="","Noch zu erfassen",INDEX('Feiertagsregeln'!$F$7:$F$96,MATCH($K100,'Feiertagsregeln'!$A$7:$A$96,0)))</f>
        <v>Noch zu erfassen</v>
      </c>
      <c r="H100" s="75" t="str">
        <f>IF(INDEX('Feiertagsregeln'!$G$7:$G$96,MATCH($K100,'Feiertagsregeln'!$A$7:$A$96,0))="","Noch zu erfassen",INDEX('Feiertagsregeln'!$G$7:$G$96,MATCH($K100,'Feiertagsregeln'!$A$7:$A$96,0)))</f>
        <v>Noch zu erfassen</v>
      </c>
      <c r="I100" s="74" t="str">
        <f>INDEX('Feiertagsregeln'!$H$7:$H$96,MATCH($K100,'Feiertagsregeln'!$A$7:$A$96,0))</f>
        <v>publicHoliday</v>
      </c>
      <c r="J100" s="74" t="str">
        <v>open</v>
      </c>
      <c r="K100" s="74" t="str">
        <v>CH-CAL-HOL-NATIONAL-DAY</v>
      </c>
      <c r="L100" s="74" t="str">
        <f>INDEX('Feiertagsregeln'!$Y$7:$Y$96,MATCH($K100,'Feiertagsregeln'!$A$7:$A$96,0))</f>
        <v>SRC-BUNDESFEIERTAG-19940701</v>
      </c>
      <c r="M100" s="74" t="str">
        <f>INDEX('Feiertagsregeln'!$Z$7:$Z$96,MATCH($K100,'Feiertagsregeln'!$A$7:$A$96,0))</f>
        <v>Art. 1</v>
      </c>
      <c r="N100" s="74" t="str">
        <v>Normliste erfasst, Fachfreigabe offen</v>
      </c>
    </row>
    <row r="101" ht="38" customHeight="1">
      <c r="A101" s="70" t="n">
        <f>INDEX('Feiertagsregeln'!$X$7:$X$96,MATCH($K101,'Feiertagsregeln'!$A$7:$A$96,0))</f>
        <v>46600</v>
      </c>
      <c r="B101" s="71" t="str">
        <f>IF(ISNUMBER(A101),CHOOSE(WEEKDAY(A101,2),"Montag","Dienstag","Mittwoch","Donnerstag","Freitag","Samstag","Sonntag"),"n.a.")</f>
        <v>Sonntag</v>
      </c>
      <c r="C101" s="71" t="str">
        <v>CH-AG</v>
      </c>
      <c r="D101" s="71" t="str">
        <v>Bezirk Bremgarten</v>
      </c>
      <c r="E101" s="71" t="str">
        <f>INDEX('Feiertagsregeln'!$D$7:$D$96,MATCH($K101,'Feiertagsregeln'!$A$7:$A$96,0))</f>
        <v>Bundesfeiertag</v>
      </c>
      <c r="F101" s="71" t="str">
        <f>INDEX('Feiertagsregeln'!$E$7:$E$96,MATCH($K101,'Feiertagsregeln'!$A$7:$A$96,0))</f>
        <v>Fête nationale</v>
      </c>
      <c r="G101" s="72" t="str">
        <f>IF(INDEX('Feiertagsregeln'!$F$7:$F$96,MATCH($K101,'Feiertagsregeln'!$A$7:$A$96,0))="","Noch zu erfassen",INDEX('Feiertagsregeln'!$F$7:$F$96,MATCH($K101,'Feiertagsregeln'!$A$7:$A$96,0)))</f>
        <v>Noch zu erfassen</v>
      </c>
      <c r="H101" s="72" t="str">
        <f>IF(INDEX('Feiertagsregeln'!$G$7:$G$96,MATCH($K101,'Feiertagsregeln'!$A$7:$A$96,0))="","Noch zu erfassen",INDEX('Feiertagsregeln'!$G$7:$G$96,MATCH($K101,'Feiertagsregeln'!$A$7:$A$96,0)))</f>
        <v>Noch zu erfassen</v>
      </c>
      <c r="I101" s="71" t="str">
        <f>INDEX('Feiertagsregeln'!$H$7:$H$96,MATCH($K101,'Feiertagsregeln'!$A$7:$A$96,0))</f>
        <v>publicHoliday</v>
      </c>
      <c r="J101" s="71" t="str">
        <v>open</v>
      </c>
      <c r="K101" s="71" t="str">
        <v>CH-CAL-HOL-NATIONAL-DAY</v>
      </c>
      <c r="L101" s="71" t="str">
        <f>INDEX('Feiertagsregeln'!$Y$7:$Y$96,MATCH($K101,'Feiertagsregeln'!$A$7:$A$96,0))</f>
        <v>SRC-BUNDESFEIERTAG-19940701</v>
      </c>
      <c r="M101" s="71" t="str">
        <f>INDEX('Feiertagsregeln'!$Z$7:$Z$96,MATCH($K101,'Feiertagsregeln'!$A$7:$A$96,0))</f>
        <v>Art. 1</v>
      </c>
      <c r="N101" s="71" t="str">
        <v>Normliste erfasst, Fachfreigabe offen</v>
      </c>
    </row>
    <row r="102" ht="38" customHeight="1">
      <c r="A102" s="73" t="n">
        <f>INDEX('Feiertagsregeln'!$X$7:$X$96,MATCH($K102,'Feiertagsregeln'!$A$7:$A$96,0))</f>
        <v>46600</v>
      </c>
      <c r="B102" s="74" t="str">
        <f>IF(ISNUMBER(A102),CHOOSE(WEEKDAY(A102,2),"Montag","Dienstag","Mittwoch","Donnerstag","Freitag","Samstag","Sonntag"),"n.a.")</f>
        <v>Sonntag</v>
      </c>
      <c r="C102" s="74" t="str">
        <v>CH-AG</v>
      </c>
      <c r="D102" s="74" t="str">
        <v>Bezirke Laufenburg und Muri</v>
      </c>
      <c r="E102" s="74" t="str">
        <f>INDEX('Feiertagsregeln'!$D$7:$D$96,MATCH($K102,'Feiertagsregeln'!$A$7:$A$96,0))</f>
        <v>Bundesfeiertag</v>
      </c>
      <c r="F102" s="74" t="str">
        <f>INDEX('Feiertagsregeln'!$E$7:$E$96,MATCH($K102,'Feiertagsregeln'!$A$7:$A$96,0))</f>
        <v>Fête nationale</v>
      </c>
      <c r="G102" s="75" t="str">
        <f>IF(INDEX('Feiertagsregeln'!$F$7:$F$96,MATCH($K102,'Feiertagsregeln'!$A$7:$A$96,0))="","Noch zu erfassen",INDEX('Feiertagsregeln'!$F$7:$F$96,MATCH($K102,'Feiertagsregeln'!$A$7:$A$96,0)))</f>
        <v>Noch zu erfassen</v>
      </c>
      <c r="H102" s="75" t="str">
        <f>IF(INDEX('Feiertagsregeln'!$G$7:$G$96,MATCH($K102,'Feiertagsregeln'!$A$7:$A$96,0))="","Noch zu erfassen",INDEX('Feiertagsregeln'!$G$7:$G$96,MATCH($K102,'Feiertagsregeln'!$A$7:$A$96,0)))</f>
        <v>Noch zu erfassen</v>
      </c>
      <c r="I102" s="74" t="str">
        <f>INDEX('Feiertagsregeln'!$H$7:$H$96,MATCH($K102,'Feiertagsregeln'!$A$7:$A$96,0))</f>
        <v>publicHoliday</v>
      </c>
      <c r="J102" s="74" t="str">
        <v>open</v>
      </c>
      <c r="K102" s="74" t="str">
        <v>CH-CAL-HOL-NATIONAL-DAY</v>
      </c>
      <c r="L102" s="74" t="str">
        <f>INDEX('Feiertagsregeln'!$Y$7:$Y$96,MATCH($K102,'Feiertagsregeln'!$A$7:$A$96,0))</f>
        <v>SRC-BUNDESFEIERTAG-19940701</v>
      </c>
      <c r="M102" s="74" t="str">
        <f>INDEX('Feiertagsregeln'!$Z$7:$Z$96,MATCH($K102,'Feiertagsregeln'!$A$7:$A$96,0))</f>
        <v>Art. 1</v>
      </c>
      <c r="N102" s="74" t="str">
        <v>Normliste erfasst, Fachfreigabe offen</v>
      </c>
    </row>
    <row r="103" ht="38" customHeight="1">
      <c r="A103" s="70" t="n">
        <f>INDEX('Feiertagsregeln'!$X$7:$X$96,MATCH($K103,'Feiertagsregeln'!$A$7:$A$96,0))</f>
        <v>46600</v>
      </c>
      <c r="B103" s="71" t="str">
        <f>IF(ISNUMBER(A103),CHOOSE(WEEKDAY(A103,2),"Montag","Dienstag","Mittwoch","Donnerstag","Freitag","Samstag","Sonntag"),"n.a.")</f>
        <v>Sonntag</v>
      </c>
      <c r="C103" s="71" t="str">
        <v>CH-AG</v>
      </c>
      <c r="D103" s="71" t="str">
        <v>Rheinfelden, Gemeindegruppe nach Ziff. 1</v>
      </c>
      <c r="E103" s="71" t="str">
        <f>INDEX('Feiertagsregeln'!$D$7:$D$96,MATCH($K103,'Feiertagsregeln'!$A$7:$A$96,0))</f>
        <v>Bundesfeiertag</v>
      </c>
      <c r="F103" s="71" t="str">
        <f>INDEX('Feiertagsregeln'!$E$7:$E$96,MATCH($K103,'Feiertagsregeln'!$A$7:$A$96,0))</f>
        <v>Fête nationale</v>
      </c>
      <c r="G103" s="72" t="str">
        <f>IF(INDEX('Feiertagsregeln'!$F$7:$F$96,MATCH($K103,'Feiertagsregeln'!$A$7:$A$96,0))="","Noch zu erfassen",INDEX('Feiertagsregeln'!$F$7:$F$96,MATCH($K103,'Feiertagsregeln'!$A$7:$A$96,0)))</f>
        <v>Noch zu erfassen</v>
      </c>
      <c r="H103" s="72" t="str">
        <f>IF(INDEX('Feiertagsregeln'!$G$7:$G$96,MATCH($K103,'Feiertagsregeln'!$A$7:$A$96,0))="","Noch zu erfassen",INDEX('Feiertagsregeln'!$G$7:$G$96,MATCH($K103,'Feiertagsregeln'!$A$7:$A$96,0)))</f>
        <v>Noch zu erfassen</v>
      </c>
      <c r="I103" s="71" t="str">
        <f>INDEX('Feiertagsregeln'!$H$7:$H$96,MATCH($K103,'Feiertagsregeln'!$A$7:$A$96,0))</f>
        <v>publicHoliday</v>
      </c>
      <c r="J103" s="71" t="str">
        <v>open</v>
      </c>
      <c r="K103" s="71" t="str">
        <v>CH-CAL-HOL-NATIONAL-DAY</v>
      </c>
      <c r="L103" s="71" t="str">
        <f>INDEX('Feiertagsregeln'!$Y$7:$Y$96,MATCH($K103,'Feiertagsregeln'!$A$7:$A$96,0))</f>
        <v>SRC-BUNDESFEIERTAG-19940701</v>
      </c>
      <c r="M103" s="71" t="str">
        <f>INDEX('Feiertagsregeln'!$Z$7:$Z$96,MATCH($K103,'Feiertagsregeln'!$A$7:$A$96,0))</f>
        <v>Art. 1</v>
      </c>
      <c r="N103" s="71" t="str">
        <v>Normliste erfasst, Fachfreigabe offen</v>
      </c>
    </row>
    <row r="104" ht="38" customHeight="1">
      <c r="A104" s="73" t="n">
        <f>INDEX('Feiertagsregeln'!$X$7:$X$96,MATCH($K104,'Feiertagsregeln'!$A$7:$A$96,0))</f>
        <v>46600</v>
      </c>
      <c r="B104" s="74" t="str">
        <f>IF(ISNUMBER(A104),CHOOSE(WEEKDAY(A104,2),"Montag","Dienstag","Mittwoch","Donnerstag","Freitag","Samstag","Sonntag"),"n.a.")</f>
        <v>Sonntag</v>
      </c>
      <c r="C104" s="74" t="str">
        <v>CH-AG</v>
      </c>
      <c r="D104" s="74" t="str">
        <v>Rheinfelden, Gemeindegruppe nach Ziff. 2</v>
      </c>
      <c r="E104" s="74" t="str">
        <f>INDEX('Feiertagsregeln'!$D$7:$D$96,MATCH($K104,'Feiertagsregeln'!$A$7:$A$96,0))</f>
        <v>Bundesfeiertag</v>
      </c>
      <c r="F104" s="74" t="str">
        <f>INDEX('Feiertagsregeln'!$E$7:$E$96,MATCH($K104,'Feiertagsregeln'!$A$7:$A$96,0))</f>
        <v>Fête nationale</v>
      </c>
      <c r="G104" s="75" t="str">
        <f>IF(INDEX('Feiertagsregeln'!$F$7:$F$96,MATCH($K104,'Feiertagsregeln'!$A$7:$A$96,0))="","Noch zu erfassen",INDEX('Feiertagsregeln'!$F$7:$F$96,MATCH($K104,'Feiertagsregeln'!$A$7:$A$96,0)))</f>
        <v>Noch zu erfassen</v>
      </c>
      <c r="H104" s="75" t="str">
        <f>IF(INDEX('Feiertagsregeln'!$G$7:$G$96,MATCH($K104,'Feiertagsregeln'!$A$7:$A$96,0))="","Noch zu erfassen",INDEX('Feiertagsregeln'!$G$7:$G$96,MATCH($K104,'Feiertagsregeln'!$A$7:$A$96,0)))</f>
        <v>Noch zu erfassen</v>
      </c>
      <c r="I104" s="74" t="str">
        <f>INDEX('Feiertagsregeln'!$H$7:$H$96,MATCH($K104,'Feiertagsregeln'!$A$7:$A$96,0))</f>
        <v>publicHoliday</v>
      </c>
      <c r="J104" s="74" t="str">
        <v>open</v>
      </c>
      <c r="K104" s="74" t="str">
        <v>CH-CAL-HOL-NATIONAL-DAY</v>
      </c>
      <c r="L104" s="74" t="str">
        <f>INDEX('Feiertagsregeln'!$Y$7:$Y$96,MATCH($K104,'Feiertagsregeln'!$A$7:$A$96,0))</f>
        <v>SRC-BUNDESFEIERTAG-19940701</v>
      </c>
      <c r="M104" s="74" t="str">
        <f>INDEX('Feiertagsregeln'!$Z$7:$Z$96,MATCH($K104,'Feiertagsregeln'!$A$7:$A$96,0))</f>
        <v>Art. 1</v>
      </c>
      <c r="N104" s="74" t="str">
        <v>Normliste erfasst, Fachfreigabe offen</v>
      </c>
    </row>
    <row r="105" ht="38" customHeight="1">
      <c r="A105" s="70" t="n">
        <f>INDEX('Feiertagsregeln'!$X$7:$X$96,MATCH($K105,'Feiertagsregeln'!$A$7:$A$96,0))</f>
        <v>46600</v>
      </c>
      <c r="B105" s="71" t="str">
        <f>IF(ISNUMBER(A105),CHOOSE(WEEKDAY(A105,2),"Montag","Dienstag","Mittwoch","Donnerstag","Freitag","Samstag","Sonntag"),"n.a.")</f>
        <v>Sonntag</v>
      </c>
      <c r="C105" s="71" t="str">
        <v>CH-AG</v>
      </c>
      <c r="D105" s="71" t="str">
        <v>Bezirk Zurzach</v>
      </c>
      <c r="E105" s="71" t="str">
        <f>INDEX('Feiertagsregeln'!$D$7:$D$96,MATCH($K105,'Feiertagsregeln'!$A$7:$A$96,0))</f>
        <v>Bundesfeiertag</v>
      </c>
      <c r="F105" s="71" t="str">
        <f>INDEX('Feiertagsregeln'!$E$7:$E$96,MATCH($K105,'Feiertagsregeln'!$A$7:$A$96,0))</f>
        <v>Fête nationale</v>
      </c>
      <c r="G105" s="72" t="str">
        <f>IF(INDEX('Feiertagsregeln'!$F$7:$F$96,MATCH($K105,'Feiertagsregeln'!$A$7:$A$96,0))="","Noch zu erfassen",INDEX('Feiertagsregeln'!$F$7:$F$96,MATCH($K105,'Feiertagsregeln'!$A$7:$A$96,0)))</f>
        <v>Noch zu erfassen</v>
      </c>
      <c r="H105" s="72" t="str">
        <f>IF(INDEX('Feiertagsregeln'!$G$7:$G$96,MATCH($K105,'Feiertagsregeln'!$A$7:$A$96,0))="","Noch zu erfassen",INDEX('Feiertagsregeln'!$G$7:$G$96,MATCH($K105,'Feiertagsregeln'!$A$7:$A$96,0)))</f>
        <v>Noch zu erfassen</v>
      </c>
      <c r="I105" s="71" t="str">
        <f>INDEX('Feiertagsregeln'!$H$7:$H$96,MATCH($K105,'Feiertagsregeln'!$A$7:$A$96,0))</f>
        <v>publicHoliday</v>
      </c>
      <c r="J105" s="71" t="str">
        <v>open</v>
      </c>
      <c r="K105" s="71" t="str">
        <v>CH-CAL-HOL-NATIONAL-DAY</v>
      </c>
      <c r="L105" s="71" t="str">
        <f>INDEX('Feiertagsregeln'!$Y$7:$Y$96,MATCH($K105,'Feiertagsregeln'!$A$7:$A$96,0))</f>
        <v>SRC-BUNDESFEIERTAG-19940701</v>
      </c>
      <c r="M105" s="71" t="str">
        <f>INDEX('Feiertagsregeln'!$Z$7:$Z$96,MATCH($K105,'Feiertagsregeln'!$A$7:$A$96,0))</f>
        <v>Art. 1</v>
      </c>
      <c r="N105" s="71" t="str">
        <v>Normliste erfasst, Fachfreigabe offen</v>
      </c>
    </row>
    <row r="106" ht="42" customHeight="1">
      <c r="A106" t="n" s="73">
        <f>INDEX('Feiertagsregeln'!$X$7:$X$122,MATCH($K106,'Feiertagsregeln'!$A$7:$A$122,0))</f>
        <v>46388</v>
      </c>
      <c r="B106" t="str" s="74">
        <f>IF(ISNUMBER(A106),CHOOSE(WEEKDAY(A106,2),"Montag","Dienstag","Mittwoch","Donnerstag","Freitag","Samstag","Sonntag"),"n.a.")</f>
        <v>Freitag</v>
      </c>
      <c r="C106" t="str" s="74">
        <v>CH-TI</v>
      </c>
      <c r="D106" t="str" s="74">
        <v>Tessin, offizielle Feiertage</v>
      </c>
      <c r="E106" t="str" s="74">
        <f>INDEX('Feiertagsregeln'!$D$7:$D$122,MATCH($K106,'Feiertagsregeln'!$A$7:$A$122,0))</f>
        <v>Neujahr</v>
      </c>
      <c r="F106" t="str" s="74">
        <f>INDEX('Feiertagsregeln'!$E$7:$E$122,MATCH($K106,'Feiertagsregeln'!$A$7:$A$122,0))</f>
        <v>Nouvel An</v>
      </c>
      <c r="G106" t="str" s="75">
        <f>IF(INDEX('Feiertagsregeln'!$F$7:$F$122,MATCH($K106,'Feiertagsregeln'!$A$7:$A$122,0))="","Noch zu erfassen",INDEX('Feiertagsregeln'!$F$7:$F$122,MATCH($K106,'Feiertagsregeln'!$A$7:$A$122,0)))</f>
        <v>Capo d’anno</v>
      </c>
      <c r="H106" t="str" s="75">
        <f>IF(INDEX('Feiertagsregeln'!$G$7:$G$122,MATCH($K106,'Feiertagsregeln'!$A$7:$A$122,0))="","Noch zu erfassen",INDEX('Feiertagsregeln'!$G$7:$G$122,MATCH($K106,'Feiertagsregeln'!$A$7:$A$122,0)))</f>
        <v>Bumaun</v>
      </c>
      <c r="I106" t="str" s="74">
        <f>INDEX('Feiertagsregeln'!$H$7:$H$122,MATCH($K106,'Feiertagsregeln'!$A$7:$A$122,0))</f>
        <v>publicHoliday</v>
      </c>
      <c r="J106" t="str" s="74">
        <v>open</v>
      </c>
      <c r="K106" t="str" s="74">
        <v>TI-CAL-DAY-NEW-YEAR</v>
      </c>
      <c r="L106" t="str" s="74">
        <f>INDEX('Feiertagsregeln'!$Y$7:$Y$122,MATCH($K106,'Feiertagsregeln'!$A$7:$A$122,0))</f>
        <v>SRC-TI-FEIERTAGE-843200</v>
      </c>
      <c r="M106" t="str" s="74">
        <f>INDEX('Feiertagsregeln'!$Z$7:$Z$122,MATCH($K106,'Feiertagsregeln'!$A$7:$A$122,0))</f>
        <v>Art. 1</v>
      </c>
      <c r="N106" t="str" s="74">
        <v>Offizielle Feiertage. LPAmm-Zuordnung zur Fachprüfung</v>
      </c>
    </row>
    <row r="107" ht="42" customHeight="1">
      <c r="A107" t="n" s="70">
        <f>INDEX('Feiertagsregeln'!$X$7:$X$122,MATCH($K107,'Feiertagsregeln'!$A$7:$A$122,0))</f>
        <v>46393</v>
      </c>
      <c r="B107" t="str" s="71">
        <f>IF(ISNUMBER(A107),CHOOSE(WEEKDAY(A107,2),"Montag","Dienstag","Mittwoch","Donnerstag","Freitag","Samstag","Sonntag"),"n.a.")</f>
        <v>Mittwoch</v>
      </c>
      <c r="C107" t="str" s="71">
        <v>CH-TI</v>
      </c>
      <c r="D107" t="str" s="71">
        <v>Tessin, offizielle Feiertage</v>
      </c>
      <c r="E107" t="str" s="71">
        <f>INDEX('Feiertagsregeln'!$D$7:$D$122,MATCH($K107,'Feiertagsregeln'!$A$7:$A$122,0))</f>
        <v>Heilige Drei Könige</v>
      </c>
      <c r="F107" t="str" s="71">
        <f>INDEX('Feiertagsregeln'!$E$7:$E$122,MATCH($K107,'Feiertagsregeln'!$A$7:$A$122,0))</f>
        <v>Épiphanie</v>
      </c>
      <c r="G107" t="str" s="72">
        <f>IF(INDEX('Feiertagsregeln'!$F$7:$F$122,MATCH($K107,'Feiertagsregeln'!$A$7:$A$122,0))="","Noch zu erfassen",INDEX('Feiertagsregeln'!$F$7:$F$122,MATCH($K107,'Feiertagsregeln'!$A$7:$A$122,0)))</f>
        <v>Epifania</v>
      </c>
      <c r="H107" t="str" s="72">
        <f>IF(INDEX('Feiertagsregeln'!$G$7:$G$122,MATCH($K107,'Feiertagsregeln'!$A$7:$A$122,0))="","Noch zu erfassen",INDEX('Feiertagsregeln'!$G$7:$G$122,MATCH($K107,'Feiertagsregeln'!$A$7:$A$122,0)))</f>
        <v>Bavania</v>
      </c>
      <c r="I107" t="str" s="71">
        <f>INDEX('Feiertagsregeln'!$H$7:$H$122,MATCH($K107,'Feiertagsregeln'!$A$7:$A$122,0))</f>
        <v>publicHoliday</v>
      </c>
      <c r="J107" t="str" s="71">
        <v>open</v>
      </c>
      <c r="K107" t="str" s="71">
        <v>TI-CAL-DAY-EPIPHANY</v>
      </c>
      <c r="L107" t="str" s="71">
        <f>INDEX('Feiertagsregeln'!$Y$7:$Y$122,MATCH($K107,'Feiertagsregeln'!$A$7:$A$122,0))</f>
        <v>SRC-TI-FEIERTAGE-843200</v>
      </c>
      <c r="M107" t="str" s="71">
        <f>INDEX('Feiertagsregeln'!$Z$7:$Z$122,MATCH($K107,'Feiertagsregeln'!$A$7:$A$122,0))</f>
        <v>Art. 1</v>
      </c>
      <c r="N107" t="inlineStr" s="71">
        <is>
          <t>LPAmm-Zuordnung zur Fachprüfung. RG: provisorische Produktübersetzung.</t>
        </is>
      </c>
    </row>
    <row r="108" ht="42" customHeight="1">
      <c r="A108" t="n" s="73">
        <f>INDEX('Feiertagsregeln'!$X$7:$X$122,MATCH($K108,'Feiertagsregeln'!$A$7:$A$122,0))</f>
        <v>46465</v>
      </c>
      <c r="B108" t="str" s="74">
        <f>IF(ISNUMBER(A108),CHOOSE(WEEKDAY(A108,2),"Montag","Dienstag","Mittwoch","Donnerstag","Freitag","Samstag","Sonntag"),"n.a.")</f>
        <v>Freitag</v>
      </c>
      <c r="C108" t="str" s="74">
        <v>CH-TI</v>
      </c>
      <c r="D108" t="str" s="74">
        <v>Tessin, offizielle Feiertage</v>
      </c>
      <c r="E108" t="str" s="74">
        <f>INDEX('Feiertagsregeln'!$D$7:$D$122,MATCH($K108,'Feiertagsregeln'!$A$7:$A$122,0))</f>
        <v>Josefstag</v>
      </c>
      <c r="F108" t="str" s="74">
        <f>INDEX('Feiertagsregeln'!$E$7:$E$122,MATCH($K108,'Feiertagsregeln'!$A$7:$A$122,0))</f>
        <v>Saint-Joseph</v>
      </c>
      <c r="G108" t="str" s="75">
        <f>IF(INDEX('Feiertagsregeln'!$F$7:$F$122,MATCH($K108,'Feiertagsregeln'!$A$7:$A$122,0))="","Noch zu erfassen",INDEX('Feiertagsregeln'!$F$7:$F$122,MATCH($K108,'Feiertagsregeln'!$A$7:$A$122,0)))</f>
        <v>San Giuseppe</v>
      </c>
      <c r="H108" t="str" s="75">
        <f>IF(INDEX('Feiertagsregeln'!$G$7:$G$122,MATCH($K108,'Feiertagsregeln'!$A$7:$A$122,0))="","Noch zu erfassen",INDEX('Feiertagsregeln'!$G$7:$G$122,MATCH($K108,'Feiertagsregeln'!$A$7:$A$122,0)))</f>
        <v>Son Giusep</v>
      </c>
      <c r="I108" t="str" s="74">
        <f>INDEX('Feiertagsregeln'!$H$7:$H$122,MATCH($K108,'Feiertagsregeln'!$A$7:$A$122,0))</f>
        <v>publicHoliday</v>
      </c>
      <c r="J108" t="str" s="74">
        <v>open</v>
      </c>
      <c r="K108" t="str" s="74">
        <v>TI-CAL-DAY-ST-JOSEPH</v>
      </c>
      <c r="L108" t="str" s="74">
        <f>INDEX('Feiertagsregeln'!$Y$7:$Y$122,MATCH($K108,'Feiertagsregeln'!$A$7:$A$122,0))</f>
        <v>SRC-TI-FEIERTAGE-843200</v>
      </c>
      <c r="M108" t="str" s="74">
        <f>INDEX('Feiertagsregeln'!$Z$7:$Z$122,MATCH($K108,'Feiertagsregeln'!$A$7:$A$122,0))</f>
        <v>Art. 1</v>
      </c>
      <c r="N108" t="inlineStr" s="74">
        <is>
          <t>LPAmm-Zuordnung zur Fachprüfung. RG: provisorische Produktübersetzung.</t>
        </is>
      </c>
    </row>
    <row r="109" ht="42" customHeight="1">
      <c r="A109" t="n" s="70">
        <f>INDEX('Feiertagsregeln'!$X$7:$X$122,MATCH($K109,'Feiertagsregeln'!$A$7:$A$122,0))</f>
        <v>46475</v>
      </c>
      <c r="B109" t="str" s="71">
        <f>IF(ISNUMBER(A109),CHOOSE(WEEKDAY(A109,2),"Montag","Dienstag","Mittwoch","Donnerstag","Freitag","Samstag","Sonntag"),"n.a.")</f>
        <v>Montag</v>
      </c>
      <c r="C109" t="str" s="71">
        <v>CH-TI</v>
      </c>
      <c r="D109" t="str" s="71">
        <v>Tessin, offizielle Feiertage</v>
      </c>
      <c r="E109" t="str" s="71">
        <f>INDEX('Feiertagsregeln'!$D$7:$D$122,MATCH($K109,'Feiertagsregeln'!$A$7:$A$122,0))</f>
        <v>Ostermontag</v>
      </c>
      <c r="F109" t="str" s="71">
        <f>INDEX('Feiertagsregeln'!$E$7:$E$122,MATCH($K109,'Feiertagsregeln'!$A$7:$A$122,0))</f>
        <v>Lundi de Pâques</v>
      </c>
      <c r="G109" t="str" s="72">
        <f>IF(INDEX('Feiertagsregeln'!$F$7:$F$122,MATCH($K109,'Feiertagsregeln'!$A$7:$A$122,0))="","Noch zu erfassen",INDEX('Feiertagsregeln'!$F$7:$F$122,MATCH($K109,'Feiertagsregeln'!$A$7:$A$122,0)))</f>
        <v>Lunedì di Pasqua</v>
      </c>
      <c r="H109" t="str" s="72">
        <f>IF(INDEX('Feiertagsregeln'!$G$7:$G$122,MATCH($K109,'Feiertagsregeln'!$A$7:$A$122,0))="","Noch zu erfassen",INDEX('Feiertagsregeln'!$G$7:$G$122,MATCH($K109,'Feiertagsregeln'!$A$7:$A$122,0)))</f>
        <v>Glindesdi da Pasca</v>
      </c>
      <c r="I109" t="str" s="71">
        <f>INDEX('Feiertagsregeln'!$H$7:$H$122,MATCH($K109,'Feiertagsregeln'!$A$7:$A$122,0))</f>
        <v>publicHoliday</v>
      </c>
      <c r="J109" t="str" s="71">
        <v>open</v>
      </c>
      <c r="K109" t="str" s="71">
        <v>TI-CAL-DAY-EASTER-MONDAY</v>
      </c>
      <c r="L109" t="str" s="71">
        <f>INDEX('Feiertagsregeln'!$Y$7:$Y$122,MATCH($K109,'Feiertagsregeln'!$A$7:$A$122,0))</f>
        <v>SRC-TI-FEIERTAGE-843200</v>
      </c>
      <c r="M109" t="str" s="71">
        <f>INDEX('Feiertagsregeln'!$Z$7:$Z$122,MATCH($K109,'Feiertagsregeln'!$A$7:$A$122,0))</f>
        <v>Art. 1</v>
      </c>
      <c r="N109" t="str" s="71">
        <v>Offizielle Feiertage. LPAmm-Zuordnung zur Fachprüfung</v>
      </c>
    </row>
    <row r="110" ht="42" customHeight="1">
      <c r="A110" t="n" s="73">
        <f>INDEX('Feiertagsregeln'!$X$7:$X$122,MATCH($K110,'Feiertagsregeln'!$A$7:$A$122,0))</f>
        <v>46508</v>
      </c>
      <c r="B110" t="str" s="74">
        <f>IF(ISNUMBER(A110),CHOOSE(WEEKDAY(A110,2),"Montag","Dienstag","Mittwoch","Donnerstag","Freitag","Samstag","Sonntag"),"n.a.")</f>
        <v>Samstag</v>
      </c>
      <c r="C110" t="str" s="74">
        <v>CH-TI</v>
      </c>
      <c r="D110" t="str" s="74">
        <v>Tessin, offizielle Feiertage</v>
      </c>
      <c r="E110" t="str" s="74">
        <f>INDEX('Feiertagsregeln'!$D$7:$D$122,MATCH($K110,'Feiertagsregeln'!$A$7:$A$122,0))</f>
        <v>Tag der Arbeit (1. Mai)</v>
      </c>
      <c r="F110" t="str" s="74">
        <f>INDEX('Feiertagsregeln'!$E$7:$E$122,MATCH($K110,'Feiertagsregeln'!$A$7:$A$122,0))</f>
        <v>Fête du travail (1er mai)</v>
      </c>
      <c r="G110" t="str" s="75">
        <f>IF(INDEX('Feiertagsregeln'!$F$7:$F$122,MATCH($K110,'Feiertagsregeln'!$A$7:$A$122,0))="","Noch zu erfassen",INDEX('Feiertagsregeln'!$F$7:$F$122,MATCH($K110,'Feiertagsregeln'!$A$7:$A$122,0)))</f>
        <v>Primo maggio</v>
      </c>
      <c r="H110" t="str" s="75">
        <f>IF(INDEX('Feiertagsregeln'!$G$7:$G$122,MATCH($K110,'Feiertagsregeln'!$A$7:$A$122,0))="","Noch zu erfassen",INDEX('Feiertagsregeln'!$G$7:$G$122,MATCH($K110,'Feiertagsregeln'!$A$7:$A$122,0)))</f>
        <v>Di da la lavur (1. da matg)</v>
      </c>
      <c r="I110" t="str" s="74">
        <f>INDEX('Feiertagsregeln'!$H$7:$H$122,MATCH($K110,'Feiertagsregeln'!$A$7:$A$122,0))</f>
        <v>publicHoliday</v>
      </c>
      <c r="J110" t="str" s="74">
        <v>open</v>
      </c>
      <c r="K110" t="str" s="74">
        <v>TI-CAL-DAY-MAY1</v>
      </c>
      <c r="L110" t="str" s="74">
        <f>INDEX('Feiertagsregeln'!$Y$7:$Y$122,MATCH($K110,'Feiertagsregeln'!$A$7:$A$122,0))</f>
        <v>SRC-TI-FEIERTAGE-843200</v>
      </c>
      <c r="M110" t="str" s="74">
        <f>INDEX('Feiertagsregeln'!$Z$7:$Z$122,MATCH($K110,'Feiertagsregeln'!$A$7:$A$122,0))</f>
        <v>Art. 1</v>
      </c>
      <c r="N110" t="inlineStr" s="74">
        <is>
          <t>LPAmm-Zuordnung zur Fachprüfung. RG: provisorische Produktübersetzung.</t>
        </is>
      </c>
    </row>
    <row r="111" ht="42" customHeight="1">
      <c r="A111" t="n" s="70">
        <f>INDEX('Feiertagsregeln'!$X$7:$X$122,MATCH($K111,'Feiertagsregeln'!$A$7:$A$122,0))</f>
        <v>46513</v>
      </c>
      <c r="B111" t="str" s="71">
        <f>IF(ISNUMBER(A111),CHOOSE(WEEKDAY(A111,2),"Montag","Dienstag","Mittwoch","Donnerstag","Freitag","Samstag","Sonntag"),"n.a.")</f>
        <v>Donnerstag</v>
      </c>
      <c r="C111" t="str" s="71">
        <v>CH-TI</v>
      </c>
      <c r="D111" t="str" s="71">
        <v>Tessin, offizielle Feiertage</v>
      </c>
      <c r="E111" t="str" s="71">
        <f>INDEX('Feiertagsregeln'!$D$7:$D$122,MATCH($K111,'Feiertagsregeln'!$A$7:$A$122,0))</f>
        <v>Auffahrt</v>
      </c>
      <c r="F111" t="str" s="71">
        <f>INDEX('Feiertagsregeln'!$E$7:$E$122,MATCH($K111,'Feiertagsregeln'!$A$7:$A$122,0))</f>
        <v>Ascension</v>
      </c>
      <c r="G111" t="str" s="72">
        <f>IF(INDEX('Feiertagsregeln'!$F$7:$F$122,MATCH($K111,'Feiertagsregeln'!$A$7:$A$122,0))="","Noch zu erfassen",INDEX('Feiertagsregeln'!$F$7:$F$122,MATCH($K111,'Feiertagsregeln'!$A$7:$A$122,0)))</f>
        <v>Ascensione</v>
      </c>
      <c r="H111" t="str" s="72">
        <f>IF(INDEX('Feiertagsregeln'!$G$7:$G$122,MATCH($K111,'Feiertagsregeln'!$A$7:$A$122,0))="","Noch zu erfassen",INDEX('Feiertagsregeln'!$G$7:$G$122,MATCH($K111,'Feiertagsregeln'!$A$7:$A$122,0)))</f>
        <v>Ascensiun</v>
      </c>
      <c r="I111" t="str" s="71">
        <f>INDEX('Feiertagsregeln'!$H$7:$H$122,MATCH($K111,'Feiertagsregeln'!$A$7:$A$122,0))</f>
        <v>publicHoliday</v>
      </c>
      <c r="J111" t="str" s="71">
        <v>open</v>
      </c>
      <c r="K111" t="str" s="71">
        <v>TI-CAL-DAY-ASCENSION</v>
      </c>
      <c r="L111" t="str" s="71">
        <f>INDEX('Feiertagsregeln'!$Y$7:$Y$122,MATCH($K111,'Feiertagsregeln'!$A$7:$A$122,0))</f>
        <v>SRC-TI-FEIERTAGE-843200</v>
      </c>
      <c r="M111" t="str" s="71">
        <f>INDEX('Feiertagsregeln'!$Z$7:$Z$122,MATCH($K111,'Feiertagsregeln'!$A$7:$A$122,0))</f>
        <v>Art. 1</v>
      </c>
      <c r="N111" t="str" s="71">
        <v>Offizielle Feiertage. LPAmm-Zuordnung zur Fachprüfung</v>
      </c>
    </row>
    <row r="112" ht="42" customHeight="1">
      <c r="A112" t="n" s="73">
        <f>INDEX('Feiertagsregeln'!$X$7:$X$122,MATCH($K112,'Feiertagsregeln'!$A$7:$A$122,0))</f>
        <v>46524</v>
      </c>
      <c r="B112" t="str" s="74">
        <f>IF(ISNUMBER(A112),CHOOSE(WEEKDAY(A112,2),"Montag","Dienstag","Mittwoch","Donnerstag","Freitag","Samstag","Sonntag"),"n.a.")</f>
        <v>Montag</v>
      </c>
      <c r="C112" t="str" s="74">
        <v>CH-TI</v>
      </c>
      <c r="D112" t="str" s="74">
        <v>Tessin, offizielle Feiertage</v>
      </c>
      <c r="E112" t="str" s="74">
        <f>INDEX('Feiertagsregeln'!$D$7:$D$122,MATCH($K112,'Feiertagsregeln'!$A$7:$A$122,0))</f>
        <v>Pfingstmontag</v>
      </c>
      <c r="F112" t="str" s="74">
        <f>INDEX('Feiertagsregeln'!$E$7:$E$122,MATCH($K112,'Feiertagsregeln'!$A$7:$A$122,0))</f>
        <v>Lundi de Pentecôte</v>
      </c>
      <c r="G112" t="str" s="75">
        <f>IF(INDEX('Feiertagsregeln'!$F$7:$F$122,MATCH($K112,'Feiertagsregeln'!$A$7:$A$122,0))="","Noch zu erfassen",INDEX('Feiertagsregeln'!$F$7:$F$122,MATCH($K112,'Feiertagsregeln'!$A$7:$A$122,0)))</f>
        <v>Lunedì di Pentecoste</v>
      </c>
      <c r="H112" t="str" s="75">
        <f>IF(INDEX('Feiertagsregeln'!$G$7:$G$122,MATCH($K112,'Feiertagsregeln'!$A$7:$A$122,0))="","Noch zu erfassen",INDEX('Feiertagsregeln'!$G$7:$G$122,MATCH($K112,'Feiertagsregeln'!$A$7:$A$122,0)))</f>
        <v>Glindesdi da Tschuncaisma</v>
      </c>
      <c r="I112" t="str" s="74">
        <f>INDEX('Feiertagsregeln'!$H$7:$H$122,MATCH($K112,'Feiertagsregeln'!$A$7:$A$122,0))</f>
        <v>publicHoliday</v>
      </c>
      <c r="J112" t="str" s="74">
        <v>open</v>
      </c>
      <c r="K112" t="str" s="74">
        <v>TI-CAL-DAY-WHIT-MONDAY</v>
      </c>
      <c r="L112" t="str" s="74">
        <f>INDEX('Feiertagsregeln'!$Y$7:$Y$122,MATCH($K112,'Feiertagsregeln'!$A$7:$A$122,0))</f>
        <v>SRC-TI-FEIERTAGE-843200</v>
      </c>
      <c r="M112" t="str" s="74">
        <f>INDEX('Feiertagsregeln'!$Z$7:$Z$122,MATCH($K112,'Feiertagsregeln'!$A$7:$A$122,0))</f>
        <v>Art. 1</v>
      </c>
      <c r="N112" t="str" s="74">
        <v>Offizielle Feiertage. LPAmm-Zuordnung zur Fachprüfung</v>
      </c>
    </row>
    <row r="113" ht="42" customHeight="1">
      <c r="A113" t="n" s="70">
        <f>INDEX('Feiertagsregeln'!$X$7:$X$122,MATCH($K113,'Feiertagsregeln'!$A$7:$A$122,0))</f>
        <v>46534</v>
      </c>
      <c r="B113" t="str" s="71">
        <f>IF(ISNUMBER(A113),CHOOSE(WEEKDAY(A113,2),"Montag","Dienstag","Mittwoch","Donnerstag","Freitag","Samstag","Sonntag"),"n.a.")</f>
        <v>Donnerstag</v>
      </c>
      <c r="C113" t="str" s="71">
        <v>CH-TI</v>
      </c>
      <c r="D113" t="str" s="71">
        <v>Tessin, offizielle Feiertage</v>
      </c>
      <c r="E113" t="str" s="71">
        <f>INDEX('Feiertagsregeln'!$D$7:$D$122,MATCH($K113,'Feiertagsregeln'!$A$7:$A$122,0))</f>
        <v>Fronleichnam</v>
      </c>
      <c r="F113" t="str" s="71">
        <f>INDEX('Feiertagsregeln'!$E$7:$E$122,MATCH($K113,'Feiertagsregeln'!$A$7:$A$122,0))</f>
        <v>Fête-Dieu</v>
      </c>
      <c r="G113" t="str" s="72">
        <f>IF(INDEX('Feiertagsregeln'!$F$7:$F$122,MATCH($K113,'Feiertagsregeln'!$A$7:$A$122,0))="","Noch zu erfassen",INDEX('Feiertagsregeln'!$F$7:$F$122,MATCH($K113,'Feiertagsregeln'!$A$7:$A$122,0)))</f>
        <v>Corpus Domini</v>
      </c>
      <c r="H113" t="str" s="72">
        <f>IF(INDEX('Feiertagsregeln'!$G$7:$G$122,MATCH($K113,'Feiertagsregeln'!$A$7:$A$122,0))="","Noch zu erfassen",INDEX('Feiertagsregeln'!$G$7:$G$122,MATCH($K113,'Feiertagsregeln'!$A$7:$A$122,0)))</f>
        <v>Sontgilcrest</v>
      </c>
      <c r="I113" t="str" s="71">
        <f>INDEX('Feiertagsregeln'!$H$7:$H$122,MATCH($K113,'Feiertagsregeln'!$A$7:$A$122,0))</f>
        <v>publicHoliday</v>
      </c>
      <c r="J113" t="str" s="71">
        <v>open</v>
      </c>
      <c r="K113" t="str" s="71">
        <v>TI-CAL-DAY-CORPUS-CHRISTI</v>
      </c>
      <c r="L113" t="str" s="71">
        <f>INDEX('Feiertagsregeln'!$Y$7:$Y$122,MATCH($K113,'Feiertagsregeln'!$A$7:$A$122,0))</f>
        <v>SRC-TI-FEIERTAGE-843200</v>
      </c>
      <c r="M113" t="str" s="71">
        <f>INDEX('Feiertagsregeln'!$Z$7:$Z$122,MATCH($K113,'Feiertagsregeln'!$A$7:$A$122,0))</f>
        <v>Art. 1</v>
      </c>
      <c r="N113" t="inlineStr" s="71">
        <is>
          <t>LPAmm-Zuordnung zur Fachprüfung. RG: provisorische Produktübersetzung.</t>
        </is>
      </c>
    </row>
    <row r="114" ht="42" customHeight="1">
      <c r="A114" t="n" s="73">
        <f>INDEX('Feiertagsregeln'!$X$7:$X$122,MATCH($K114,'Feiertagsregeln'!$A$7:$A$122,0))</f>
        <v>46567</v>
      </c>
      <c r="B114" t="str" s="74">
        <f>IF(ISNUMBER(A114),CHOOSE(WEEKDAY(A114,2),"Montag","Dienstag","Mittwoch","Donnerstag","Freitag","Samstag","Sonntag"),"n.a.")</f>
        <v>Dienstag</v>
      </c>
      <c r="C114" t="str" s="74">
        <v>CH-TI</v>
      </c>
      <c r="D114" t="str" s="74">
        <v>Tessin, offizielle Feiertage</v>
      </c>
      <c r="E114" t="str" s="74">
        <f>INDEX('Feiertagsregeln'!$D$7:$D$122,MATCH($K114,'Feiertagsregeln'!$A$7:$A$122,0))</f>
        <v>Peter und Paul</v>
      </c>
      <c r="F114" t="str" s="74">
        <f>INDEX('Feiertagsregeln'!$E$7:$E$122,MATCH($K114,'Feiertagsregeln'!$A$7:$A$122,0))</f>
        <v>Saints Pierre et Paul</v>
      </c>
      <c r="G114" t="str" s="75">
        <f>IF(INDEX('Feiertagsregeln'!$F$7:$F$122,MATCH($K114,'Feiertagsregeln'!$A$7:$A$122,0))="","Noch zu erfassen",INDEX('Feiertagsregeln'!$F$7:$F$122,MATCH($K114,'Feiertagsregeln'!$A$7:$A$122,0)))</f>
        <v>San Pietro e Paolo</v>
      </c>
      <c r="H114" t="str" s="75">
        <f>IF(INDEX('Feiertagsregeln'!$G$7:$G$122,MATCH($K114,'Feiertagsregeln'!$A$7:$A$122,0))="","Noch zu erfassen",INDEX('Feiertagsregeln'!$G$7:$G$122,MATCH($K114,'Feiertagsregeln'!$A$7:$A$122,0)))</f>
        <v>Son Peder e son Paul</v>
      </c>
      <c r="I114" t="str" s="74">
        <f>INDEX('Feiertagsregeln'!$H$7:$H$122,MATCH($K114,'Feiertagsregeln'!$A$7:$A$122,0))</f>
        <v>publicHoliday</v>
      </c>
      <c r="J114" t="str" s="74">
        <v>open</v>
      </c>
      <c r="K114" t="str" s="74">
        <v>TI-CAL-DAY-ST-PETER-PAUL</v>
      </c>
      <c r="L114" t="str" s="74">
        <f>INDEX('Feiertagsregeln'!$Y$7:$Y$122,MATCH($K114,'Feiertagsregeln'!$A$7:$A$122,0))</f>
        <v>SRC-TI-FEIERTAGE-843200</v>
      </c>
      <c r="M114" t="str" s="74">
        <f>INDEX('Feiertagsregeln'!$Z$7:$Z$122,MATCH($K114,'Feiertagsregeln'!$A$7:$A$122,0))</f>
        <v>Art. 1</v>
      </c>
      <c r="N114" t="inlineStr" s="74">
        <is>
          <t>LPAmm-Zuordnung zur Fachprüfung. RG: provisorische Produktübersetzung.</t>
        </is>
      </c>
    </row>
    <row r="115" ht="42" customHeight="1">
      <c r="A115" t="n" s="70">
        <f>INDEX('Feiertagsregeln'!$X$7:$X$122,MATCH($K115,'Feiertagsregeln'!$A$7:$A$122,0))</f>
        <v>46600</v>
      </c>
      <c r="B115" t="str" s="71">
        <f>IF(ISNUMBER(A115),CHOOSE(WEEKDAY(A115,2),"Montag","Dienstag","Mittwoch","Donnerstag","Freitag","Samstag","Sonntag"),"n.a.")</f>
        <v>Sonntag</v>
      </c>
      <c r="C115" t="str" s="71">
        <v>CH-TI</v>
      </c>
      <c r="D115" t="str" s="71">
        <v>Tessin, offizielle Feiertage</v>
      </c>
      <c r="E115" t="str" s="71">
        <f>INDEX('Feiertagsregeln'!$D$7:$D$122,MATCH($K115,'Feiertagsregeln'!$A$7:$A$122,0))</f>
        <v>Bundesfeiertag</v>
      </c>
      <c r="F115" t="str" s="71">
        <f>INDEX('Feiertagsregeln'!$E$7:$E$122,MATCH($K115,'Feiertagsregeln'!$A$7:$A$122,0))</f>
        <v>Fête nationale</v>
      </c>
      <c r="G115" t="str" s="72">
        <f>IF(INDEX('Feiertagsregeln'!$F$7:$F$122,MATCH($K115,'Feiertagsregeln'!$A$7:$A$122,0))="","Noch zu erfassen",INDEX('Feiertagsregeln'!$F$7:$F$122,MATCH($K115,'Feiertagsregeln'!$A$7:$A$122,0)))</f>
        <v>Primo agosto</v>
      </c>
      <c r="H115" t="str" s="72">
        <f>IF(INDEX('Feiertagsregeln'!$G$7:$G$122,MATCH($K115,'Feiertagsregeln'!$A$7:$A$122,0))="","Noch zu erfassen",INDEX('Feiertagsregeln'!$G$7:$G$122,MATCH($K115,'Feiertagsregeln'!$A$7:$A$122,0)))</f>
        <v>Festa naziunala svizra</v>
      </c>
      <c r="I115" t="str" s="71">
        <f>INDEX('Feiertagsregeln'!$H$7:$H$122,MATCH($K115,'Feiertagsregeln'!$A$7:$A$122,0))</f>
        <v>publicHoliday</v>
      </c>
      <c r="J115" t="str" s="71">
        <v>open</v>
      </c>
      <c r="K115" t="str" s="71">
        <v>TI-CAL-DAY-NATIONAL-DAY</v>
      </c>
      <c r="L115" t="str" s="71">
        <f>INDEX('Feiertagsregeln'!$Y$7:$Y$122,MATCH($K115,'Feiertagsregeln'!$A$7:$A$122,0))</f>
        <v>SRC-TI-FEIERTAGE-843200</v>
      </c>
      <c r="M115" t="str" s="71">
        <f>INDEX('Feiertagsregeln'!$Z$7:$Z$122,MATCH($K115,'Feiertagsregeln'!$A$7:$A$122,0))</f>
        <v>Art. 1</v>
      </c>
      <c r="N115" t="str" s="71">
        <v>Offizielle Feiertage. LPAmm-Zuordnung zur Fachprüfung</v>
      </c>
    </row>
    <row r="116" ht="42" customHeight="1">
      <c r="A116" t="n" s="73">
        <f>INDEX('Feiertagsregeln'!$X$7:$X$122,MATCH($K116,'Feiertagsregeln'!$A$7:$A$122,0))</f>
        <v>46614</v>
      </c>
      <c r="B116" t="str" s="74">
        <f>IF(ISNUMBER(A116),CHOOSE(WEEKDAY(A116,2),"Montag","Dienstag","Mittwoch","Donnerstag","Freitag","Samstag","Sonntag"),"n.a.")</f>
        <v>Sonntag</v>
      </c>
      <c r="C116" t="str" s="74">
        <v>CH-TI</v>
      </c>
      <c r="D116" t="str" s="74">
        <v>Tessin, offizielle Feiertage</v>
      </c>
      <c r="E116" t="str" s="74">
        <f>INDEX('Feiertagsregeln'!$D$7:$D$122,MATCH($K116,'Feiertagsregeln'!$A$7:$A$122,0))</f>
        <v>Mariä Himmelfahrt</v>
      </c>
      <c r="F116" t="str" s="74">
        <f>INDEX('Feiertagsregeln'!$E$7:$E$122,MATCH($K116,'Feiertagsregeln'!$A$7:$A$122,0))</f>
        <v>Assomption</v>
      </c>
      <c r="G116" t="str" s="75">
        <f>IF(INDEX('Feiertagsregeln'!$F$7:$F$122,MATCH($K116,'Feiertagsregeln'!$A$7:$A$122,0))="","Noch zu erfassen",INDEX('Feiertagsregeln'!$F$7:$F$122,MATCH($K116,'Feiertagsregeln'!$A$7:$A$122,0)))</f>
        <v>Assunzione</v>
      </c>
      <c r="H116" t="str" s="75">
        <f>IF(INDEX('Feiertagsregeln'!$G$7:$G$122,MATCH($K116,'Feiertagsregeln'!$A$7:$A$122,0))="","Noch zu erfassen",INDEX('Feiertagsregeln'!$G$7:$G$122,MATCH($K116,'Feiertagsregeln'!$A$7:$A$122,0)))</f>
        <v>Nossadunna d’avust</v>
      </c>
      <c r="I116" t="str" s="74">
        <f>INDEX('Feiertagsregeln'!$H$7:$H$122,MATCH($K116,'Feiertagsregeln'!$A$7:$A$122,0))</f>
        <v>publicHoliday</v>
      </c>
      <c r="J116" t="str" s="74">
        <v>open</v>
      </c>
      <c r="K116" t="str" s="74">
        <v>TI-CAL-DAY-ASSUMPTION</v>
      </c>
      <c r="L116" t="str" s="74">
        <f>INDEX('Feiertagsregeln'!$Y$7:$Y$122,MATCH($K116,'Feiertagsregeln'!$A$7:$A$122,0))</f>
        <v>SRC-TI-FEIERTAGE-843200</v>
      </c>
      <c r="M116" t="str" s="74">
        <f>INDEX('Feiertagsregeln'!$Z$7:$Z$122,MATCH($K116,'Feiertagsregeln'!$A$7:$A$122,0))</f>
        <v>Art. 1</v>
      </c>
      <c r="N116" t="inlineStr" s="74">
        <is>
          <t>LPAmm-Zuordnung zur Fachprüfung. RG: provisorische Produktübersetzung.</t>
        </is>
      </c>
    </row>
    <row r="117" ht="42" customHeight="1">
      <c r="A117" t="n" s="70">
        <f>INDEX('Feiertagsregeln'!$X$7:$X$122,MATCH($K117,'Feiertagsregeln'!$A$7:$A$122,0))</f>
        <v>46692</v>
      </c>
      <c r="B117" t="str" s="71">
        <f>IF(ISNUMBER(A117),CHOOSE(WEEKDAY(A117,2),"Montag","Dienstag","Mittwoch","Donnerstag","Freitag","Samstag","Sonntag"),"n.a.")</f>
        <v>Montag</v>
      </c>
      <c r="C117" t="str" s="71">
        <v>CH-TI</v>
      </c>
      <c r="D117" t="str" s="71">
        <v>Tessin, offizielle Feiertage</v>
      </c>
      <c r="E117" t="str" s="71">
        <f>INDEX('Feiertagsregeln'!$D$7:$D$122,MATCH($K117,'Feiertagsregeln'!$A$7:$A$122,0))</f>
        <v>Allerheiligen</v>
      </c>
      <c r="F117" t="str" s="71">
        <f>INDEX('Feiertagsregeln'!$E$7:$E$122,MATCH($K117,'Feiertagsregeln'!$A$7:$A$122,0))</f>
        <v>Toussaint</v>
      </c>
      <c r="G117" t="str" s="72">
        <f>IF(INDEX('Feiertagsregeln'!$F$7:$F$122,MATCH($K117,'Feiertagsregeln'!$A$7:$A$122,0))="","Noch zu erfassen",INDEX('Feiertagsregeln'!$F$7:$F$122,MATCH($K117,'Feiertagsregeln'!$A$7:$A$122,0)))</f>
        <v>Ognissanti</v>
      </c>
      <c r="H117" t="str" s="72">
        <f>IF(INDEX('Feiertagsregeln'!$G$7:$G$122,MATCH($K117,'Feiertagsregeln'!$A$7:$A$122,0))="","Noch zu erfassen",INDEX('Feiertagsregeln'!$G$7:$G$122,MATCH($K117,'Feiertagsregeln'!$A$7:$A$122,0)))</f>
        <v>Numnasontga</v>
      </c>
      <c r="I117" t="str" s="71">
        <f>INDEX('Feiertagsregeln'!$H$7:$H$122,MATCH($K117,'Feiertagsregeln'!$A$7:$A$122,0))</f>
        <v>publicHoliday</v>
      </c>
      <c r="J117" t="str" s="71">
        <v>open</v>
      </c>
      <c r="K117" t="str" s="71">
        <v>TI-CAL-DAY-ALL-SAINTS</v>
      </c>
      <c r="L117" t="str" s="71">
        <f>INDEX('Feiertagsregeln'!$Y$7:$Y$122,MATCH($K117,'Feiertagsregeln'!$A$7:$A$122,0))</f>
        <v>SRC-TI-FEIERTAGE-843200</v>
      </c>
      <c r="M117" t="str" s="71">
        <f>INDEX('Feiertagsregeln'!$Z$7:$Z$122,MATCH($K117,'Feiertagsregeln'!$A$7:$A$122,0))</f>
        <v>Art. 1</v>
      </c>
      <c r="N117" t="inlineStr" s="71">
        <is>
          <t>LPAmm-Zuordnung zur Fachprüfung. RG: provisorische Produktübersetzung.</t>
        </is>
      </c>
    </row>
    <row r="118" ht="42" customHeight="1">
      <c r="A118" t="n" s="73">
        <f>INDEX('Feiertagsregeln'!$X$7:$X$122,MATCH($K118,'Feiertagsregeln'!$A$7:$A$122,0))</f>
        <v>46729</v>
      </c>
      <c r="B118" t="str" s="74">
        <f>IF(ISNUMBER(A118),CHOOSE(WEEKDAY(A118,2),"Montag","Dienstag","Mittwoch","Donnerstag","Freitag","Samstag","Sonntag"),"n.a.")</f>
        <v>Mittwoch</v>
      </c>
      <c r="C118" t="str" s="74">
        <v>CH-TI</v>
      </c>
      <c r="D118" t="str" s="74">
        <v>Tessin, offizielle Feiertage</v>
      </c>
      <c r="E118" t="str" s="74">
        <f>INDEX('Feiertagsregeln'!$D$7:$D$122,MATCH($K118,'Feiertagsregeln'!$A$7:$A$122,0))</f>
        <v>Mariä Empfängnis</v>
      </c>
      <c r="F118" t="str" s="74">
        <f>INDEX('Feiertagsregeln'!$E$7:$E$122,MATCH($K118,'Feiertagsregeln'!$A$7:$A$122,0))</f>
        <v>Immaculée Conception</v>
      </c>
      <c r="G118" t="str" s="75">
        <f>IF(INDEX('Feiertagsregeln'!$F$7:$F$122,MATCH($K118,'Feiertagsregeln'!$A$7:$A$122,0))="","Noch zu erfassen",INDEX('Feiertagsregeln'!$F$7:$F$122,MATCH($K118,'Feiertagsregeln'!$A$7:$A$122,0)))</f>
        <v>Immacolata</v>
      </c>
      <c r="H118" t="str" s="75">
        <f>IF(INDEX('Feiertagsregeln'!$G$7:$G$122,MATCH($K118,'Feiertagsregeln'!$A$7:$A$122,0))="","Noch zu erfassen",INDEX('Feiertagsregeln'!$G$7:$G$122,MATCH($K118,'Feiertagsregeln'!$A$7:$A$122,0)))</f>
        <v>Immaculada concepziun da Maria</v>
      </c>
      <c r="I118" t="str" s="74">
        <f>INDEX('Feiertagsregeln'!$H$7:$H$122,MATCH($K118,'Feiertagsregeln'!$A$7:$A$122,0))</f>
        <v>publicHoliday</v>
      </c>
      <c r="J118" t="str" s="74">
        <v>open</v>
      </c>
      <c r="K118" t="str" s="74">
        <v>TI-CAL-DAY-IMMACULATE-CONCEPTION</v>
      </c>
      <c r="L118" t="str" s="74">
        <f>INDEX('Feiertagsregeln'!$Y$7:$Y$122,MATCH($K118,'Feiertagsregeln'!$A$7:$A$122,0))</f>
        <v>SRC-TI-FEIERTAGE-843200</v>
      </c>
      <c r="M118" t="str" s="74">
        <f>INDEX('Feiertagsregeln'!$Z$7:$Z$122,MATCH($K118,'Feiertagsregeln'!$A$7:$A$122,0))</f>
        <v>Art. 1</v>
      </c>
      <c r="N118" t="inlineStr" s="74">
        <is>
          <t>LPAmm-Zuordnung zur Fachprüfung. RG: provisorische Produktübersetzung.</t>
        </is>
      </c>
    </row>
    <row r="119" ht="42" customHeight="1">
      <c r="A119" t="n" s="70">
        <f>INDEX('Feiertagsregeln'!$X$7:$X$122,MATCH($K119,'Feiertagsregeln'!$A$7:$A$122,0))</f>
        <v>46746</v>
      </c>
      <c r="B119" t="str" s="71">
        <f>IF(ISNUMBER(A119),CHOOSE(WEEKDAY(A119,2),"Montag","Dienstag","Mittwoch","Donnerstag","Freitag","Samstag","Sonntag"),"n.a.")</f>
        <v>Samstag</v>
      </c>
      <c r="C119" t="str" s="71">
        <v>CH-TI</v>
      </c>
      <c r="D119" t="str" s="71">
        <v>Tessin, offizielle Feiertage</v>
      </c>
      <c r="E119" t="str" s="71">
        <f>INDEX('Feiertagsregeln'!$D$7:$D$122,MATCH($K119,'Feiertagsregeln'!$A$7:$A$122,0))</f>
        <v>Weihnachten</v>
      </c>
      <c r="F119" t="str" s="71">
        <f>INDEX('Feiertagsregeln'!$E$7:$E$122,MATCH($K119,'Feiertagsregeln'!$A$7:$A$122,0))</f>
        <v>Noël</v>
      </c>
      <c r="G119" t="str" s="72">
        <f>IF(INDEX('Feiertagsregeln'!$F$7:$F$122,MATCH($K119,'Feiertagsregeln'!$A$7:$A$122,0))="","Noch zu erfassen",INDEX('Feiertagsregeln'!$F$7:$F$122,MATCH($K119,'Feiertagsregeln'!$A$7:$A$122,0)))</f>
        <v>Natale</v>
      </c>
      <c r="H119" t="str" s="72">
        <f>IF(INDEX('Feiertagsregeln'!$G$7:$G$122,MATCH($K119,'Feiertagsregeln'!$A$7:$A$122,0))="","Noch zu erfassen",INDEX('Feiertagsregeln'!$G$7:$G$122,MATCH($K119,'Feiertagsregeln'!$A$7:$A$122,0)))</f>
        <v>Di da Nadal</v>
      </c>
      <c r="I119" t="str" s="71">
        <f>INDEX('Feiertagsregeln'!$H$7:$H$122,MATCH($K119,'Feiertagsregeln'!$A$7:$A$122,0))</f>
        <v>publicHoliday</v>
      </c>
      <c r="J119" t="str" s="71">
        <v>open</v>
      </c>
      <c r="K119" t="str" s="71">
        <v>TI-CAL-DAY-CHRISTMAS</v>
      </c>
      <c r="L119" t="str" s="71">
        <f>INDEX('Feiertagsregeln'!$Y$7:$Y$122,MATCH($K119,'Feiertagsregeln'!$A$7:$A$122,0))</f>
        <v>SRC-TI-FEIERTAGE-843200</v>
      </c>
      <c r="M119" t="str" s="71">
        <f>INDEX('Feiertagsregeln'!$Z$7:$Z$122,MATCH($K119,'Feiertagsregeln'!$A$7:$A$122,0))</f>
        <v>Art. 1</v>
      </c>
      <c r="N119" t="str" s="71">
        <v>Offizielle Feiertage. LPAmm-Zuordnung zur Fachprüfung</v>
      </c>
    </row>
    <row r="120" ht="42" customHeight="1">
      <c r="A120" t="n" s="73">
        <f>INDEX('Feiertagsregeln'!$X$7:$X$122,MATCH($K120,'Feiertagsregeln'!$A$7:$A$122,0))</f>
        <v>46747</v>
      </c>
      <c r="B120" t="str" s="74">
        <f>IF(ISNUMBER(A120),CHOOSE(WEEKDAY(A120,2),"Montag","Dienstag","Mittwoch","Donnerstag","Freitag","Samstag","Sonntag"),"n.a.")</f>
        <v>Sonntag</v>
      </c>
      <c r="C120" t="str" s="74">
        <v>CH-TI</v>
      </c>
      <c r="D120" t="str" s="74">
        <v>Tessin, offizielle Feiertage</v>
      </c>
      <c r="E120" t="str" s="74">
        <f>INDEX('Feiertagsregeln'!$D$7:$D$122,MATCH($K120,'Feiertagsregeln'!$A$7:$A$122,0))</f>
        <v>Stephanstag</v>
      </c>
      <c r="F120" t="str" s="74">
        <f>INDEX('Feiertagsregeln'!$E$7:$E$122,MATCH($K120,'Feiertagsregeln'!$A$7:$A$122,0))</f>
        <v>Saint-Étienne</v>
      </c>
      <c r="G120" t="str" s="75">
        <f>IF(INDEX('Feiertagsregeln'!$F$7:$F$122,MATCH($K120,'Feiertagsregeln'!$A$7:$A$122,0))="","Noch zu erfassen",INDEX('Feiertagsregeln'!$F$7:$F$122,MATCH($K120,'Feiertagsregeln'!$A$7:$A$122,0)))</f>
        <v>Santo Stefano</v>
      </c>
      <c r="H120" t="str" s="75">
        <f>IF(INDEX('Feiertagsregeln'!$G$7:$G$122,MATCH($K120,'Feiertagsregeln'!$A$7:$A$122,0))="","Noch zu erfassen",INDEX('Feiertagsregeln'!$G$7:$G$122,MATCH($K120,'Feiertagsregeln'!$A$7:$A$122,0)))</f>
        <v>Son Steffan</v>
      </c>
      <c r="I120" t="str" s="74">
        <f>INDEX('Feiertagsregeln'!$H$7:$H$122,MATCH($K120,'Feiertagsregeln'!$A$7:$A$122,0))</f>
        <v>publicHoliday</v>
      </c>
      <c r="J120" t="str" s="74">
        <v>open</v>
      </c>
      <c r="K120" t="str" s="74">
        <v>TI-CAL-DAY-ST-STEPHEN</v>
      </c>
      <c r="L120" t="str" s="74">
        <f>INDEX('Feiertagsregeln'!$Y$7:$Y$122,MATCH($K120,'Feiertagsregeln'!$A$7:$A$122,0))</f>
        <v>SRC-TI-FEIERTAGE-843200</v>
      </c>
      <c r="M120" t="str" s="74">
        <f>INDEX('Feiertagsregeln'!$Z$7:$Z$122,MATCH($K120,'Feiertagsregeln'!$A$7:$A$122,0))</f>
        <v>Art. 1</v>
      </c>
      <c r="N120" t="str" s="74">
        <v>Offizielle Feiertage. LPAmm-Zuordnung zur Fachprüfung</v>
      </c>
    </row>
    <row r="121" ht="42" customHeight="1">
      <c r="A121" t="n" s="70">
        <f>INDEX('Feiertagsregeln'!$X$7:$X$122,MATCH($K121,'Feiertagsregeln'!$A$7:$A$122,0))</f>
        <v>46388</v>
      </c>
      <c r="B121" t="str" s="71">
        <f>IF(ISNUMBER(A121),CHOOSE(WEEKDAY(A121,2),"Montag","Dienstag","Mittwoch","Donnerstag","Freitag","Samstag","Sonntag"),"n.a.")</f>
        <v>Freitag</v>
      </c>
      <c r="C121" t="str" s="71">
        <v>CH-GR</v>
      </c>
      <c r="D121" t="str" s="71">
        <v>Graubünden, kantonale Grundliste</v>
      </c>
      <c r="E121" t="str" s="71">
        <f>INDEX('Feiertagsregeln'!$D$7:$D$122,MATCH($K121,'Feiertagsregeln'!$A$7:$A$122,0))</f>
        <v>Neujahr</v>
      </c>
      <c r="F121" t="str" s="71">
        <f>INDEX('Feiertagsregeln'!$E$7:$E$122,MATCH($K121,'Feiertagsregeln'!$A$7:$A$122,0))</f>
        <v>Nouvel An</v>
      </c>
      <c r="G121" t="str" s="72">
        <f>IF(INDEX('Feiertagsregeln'!$F$7:$F$122,MATCH($K121,'Feiertagsregeln'!$A$7:$A$122,0))="","Noch zu erfassen",INDEX('Feiertagsregeln'!$F$7:$F$122,MATCH($K121,'Feiertagsregeln'!$A$7:$A$122,0)))</f>
        <v>Capodanno</v>
      </c>
      <c r="H121" t="str" s="72">
        <f>IF(INDEX('Feiertagsregeln'!$G$7:$G$122,MATCH($K121,'Feiertagsregeln'!$A$7:$A$122,0))="","Noch zu erfassen",INDEX('Feiertagsregeln'!$G$7:$G$122,MATCH($K121,'Feiertagsregeln'!$A$7:$A$122,0)))</f>
        <v>Bumaun</v>
      </c>
      <c r="I121" t="str" s="71">
        <f>INDEX('Feiertagsregeln'!$H$7:$H$122,MATCH($K121,'Feiertagsregeln'!$A$7:$A$122,0))</f>
        <v>publicHoliday</v>
      </c>
      <c r="J121" t="str" s="71">
        <v>open</v>
      </c>
      <c r="K121" t="str" s="71">
        <v>GR-CAL-DAY-NEW-YEAR</v>
      </c>
      <c r="L121" t="str" s="71">
        <f>INDEX('Feiertagsregeln'!$Y$7:$Y$122,MATCH($K121,'Feiertagsregeln'!$A$7:$A$122,0))</f>
        <v>SRC-GR-RUHETAGE-520100-20160101</v>
      </c>
      <c r="M121" t="str" s="71">
        <f>INDEX('Feiertagsregeln'!$Z$7:$Z$122,MATCH($K121,'Feiertagsregeln'!$A$7:$A$122,0))</f>
        <v>Art. 2 Abs. 1 Bst. b</v>
      </c>
      <c r="N121" t="str" s="71">
        <v>Kantonale Grundliste. VRG-Annahme und örtliche Fristwirkung offen</v>
      </c>
    </row>
    <row r="122" ht="42" customHeight="1">
      <c r="A122" t="n" s="73">
        <f>INDEX('Feiertagsregeln'!$X$7:$X$122,MATCH($K122,'Feiertagsregeln'!$A$7:$A$122,0))</f>
        <v>46472</v>
      </c>
      <c r="B122" t="str" s="74">
        <f>IF(ISNUMBER(A122),CHOOSE(WEEKDAY(A122,2),"Montag","Dienstag","Mittwoch","Donnerstag","Freitag","Samstag","Sonntag"),"n.a.")</f>
        <v>Freitag</v>
      </c>
      <c r="C122" t="str" s="74">
        <v>CH-GR</v>
      </c>
      <c r="D122" t="str" s="74">
        <v>Graubünden, kantonale Grundliste</v>
      </c>
      <c r="E122" t="str" s="74">
        <f>INDEX('Feiertagsregeln'!$D$7:$D$122,MATCH($K122,'Feiertagsregeln'!$A$7:$A$122,0))</f>
        <v>Karfreitag</v>
      </c>
      <c r="F122" t="str" s="74">
        <f>INDEX('Feiertagsregeln'!$E$7:$E$122,MATCH($K122,'Feiertagsregeln'!$A$7:$A$122,0))</f>
        <v>Vendredi saint</v>
      </c>
      <c r="G122" t="str" s="75">
        <f>IF(INDEX('Feiertagsregeln'!$F$7:$F$122,MATCH($K122,'Feiertagsregeln'!$A$7:$A$122,0))="","Noch zu erfassen",INDEX('Feiertagsregeln'!$F$7:$F$122,MATCH($K122,'Feiertagsregeln'!$A$7:$A$122,0)))</f>
        <v>Venerdì Santo</v>
      </c>
      <c r="H122" t="str" s="75">
        <f>IF(INDEX('Feiertagsregeln'!$G$7:$G$122,MATCH($K122,'Feiertagsregeln'!$A$7:$A$122,0))="","Noch zu erfassen",INDEX('Feiertagsregeln'!$G$7:$G$122,MATCH($K122,'Feiertagsregeln'!$A$7:$A$122,0)))</f>
        <v>Venderdi sontg</v>
      </c>
      <c r="I122" t="str" s="74">
        <f>INDEX('Feiertagsregeln'!$H$7:$H$122,MATCH($K122,'Feiertagsregeln'!$A$7:$A$122,0))</f>
        <v>publicHoliday</v>
      </c>
      <c r="J122" t="str" s="74">
        <v>open</v>
      </c>
      <c r="K122" t="str" s="74">
        <v>GR-CAL-DAY-GOOD-FRIDAY</v>
      </c>
      <c r="L122" t="str" s="74">
        <f>INDEX('Feiertagsregeln'!$Y$7:$Y$122,MATCH($K122,'Feiertagsregeln'!$A$7:$A$122,0))</f>
        <v>SRC-GR-RUHETAGE-520100-20160101</v>
      </c>
      <c r="M122" t="str" s="74">
        <f>INDEX('Feiertagsregeln'!$Z$7:$Z$122,MATCH($K122,'Feiertagsregeln'!$A$7:$A$122,0))</f>
        <v>Art. 2 Abs. 1 Bst. b und Abs. 2</v>
      </c>
      <c r="N122" t="str" s="74">
        <v>Kantonale Grundliste. VRG-Annahme und örtliche Fristwirkung offen</v>
      </c>
    </row>
    <row r="123" ht="42" customHeight="1">
      <c r="A123" t="n" s="70">
        <f>INDEX('Feiertagsregeln'!$X$7:$X$122,MATCH($K123,'Feiertagsregeln'!$A$7:$A$122,0))</f>
        <v>46474</v>
      </c>
      <c r="B123" t="str" s="71">
        <f>IF(ISNUMBER(A123),CHOOSE(WEEKDAY(A123,2),"Montag","Dienstag","Mittwoch","Donnerstag","Freitag","Samstag","Sonntag"),"n.a.")</f>
        <v>Sonntag</v>
      </c>
      <c r="C123" t="str" s="71">
        <v>CH-GR</v>
      </c>
      <c r="D123" t="str" s="71">
        <v>Graubünden, kantonale Grundliste</v>
      </c>
      <c r="E123" t="str" s="71">
        <f>INDEX('Feiertagsregeln'!$D$7:$D$122,MATCH($K123,'Feiertagsregeln'!$A$7:$A$122,0))</f>
        <v>Ostersonntag</v>
      </c>
      <c r="F123" t="str" s="71">
        <f>INDEX('Feiertagsregeln'!$E$7:$E$122,MATCH($K123,'Feiertagsregeln'!$A$7:$A$122,0))</f>
        <v>Pâques</v>
      </c>
      <c r="G123" t="str" s="72">
        <f>IF(INDEX('Feiertagsregeln'!$F$7:$F$122,MATCH($K123,'Feiertagsregeln'!$A$7:$A$122,0))="","Noch zu erfassen",INDEX('Feiertagsregeln'!$F$7:$F$122,MATCH($K123,'Feiertagsregeln'!$A$7:$A$122,0)))</f>
        <v>Domenica di Pasqua</v>
      </c>
      <c r="H123" t="str" s="72">
        <f>IF(INDEX('Feiertagsregeln'!$G$7:$G$122,MATCH($K123,'Feiertagsregeln'!$A$7:$A$122,0))="","Noch zu erfassen",INDEX('Feiertagsregeln'!$G$7:$G$122,MATCH($K123,'Feiertagsregeln'!$A$7:$A$122,0)))</f>
        <v>Dumengia da Pasca</v>
      </c>
      <c r="I123" t="str" s="71">
        <f>INDEX('Feiertagsregeln'!$H$7:$H$122,MATCH($K123,'Feiertagsregeln'!$A$7:$A$122,0))</f>
        <v>publicHoliday</v>
      </c>
      <c r="J123" t="str" s="71">
        <v>open</v>
      </c>
      <c r="K123" t="str" s="71">
        <v>GR-CAL-DAY-EASTER</v>
      </c>
      <c r="L123" t="str" s="71">
        <f>INDEX('Feiertagsregeln'!$Y$7:$Y$122,MATCH($K123,'Feiertagsregeln'!$A$7:$A$122,0))</f>
        <v>SRC-GR-RUHETAGE-520100-20160101</v>
      </c>
      <c r="M123" t="str" s="71">
        <f>INDEX('Feiertagsregeln'!$Z$7:$Z$122,MATCH($K123,'Feiertagsregeln'!$A$7:$A$122,0))</f>
        <v>Art. 2 Abs. 2</v>
      </c>
      <c r="N123" t="str" s="71">
        <v>Kantonale Grundliste. VRG-Annahme und örtliche Fristwirkung offen</v>
      </c>
    </row>
    <row r="124" ht="42" customHeight="1">
      <c r="A124" t="n" s="73">
        <f>INDEX('Feiertagsregeln'!$X$7:$X$122,MATCH($K124,'Feiertagsregeln'!$A$7:$A$122,0))</f>
        <v>46475</v>
      </c>
      <c r="B124" t="str" s="74">
        <f>IF(ISNUMBER(A124),CHOOSE(WEEKDAY(A124,2),"Montag","Dienstag","Mittwoch","Donnerstag","Freitag","Samstag","Sonntag"),"n.a.")</f>
        <v>Montag</v>
      </c>
      <c r="C124" t="str" s="74">
        <v>CH-GR</v>
      </c>
      <c r="D124" t="str" s="74">
        <v>Graubünden, kantonale Grundliste</v>
      </c>
      <c r="E124" t="str" s="74">
        <f>INDEX('Feiertagsregeln'!$D$7:$D$122,MATCH($K124,'Feiertagsregeln'!$A$7:$A$122,0))</f>
        <v>Ostermontag</v>
      </c>
      <c r="F124" t="str" s="74">
        <f>INDEX('Feiertagsregeln'!$E$7:$E$122,MATCH($K124,'Feiertagsregeln'!$A$7:$A$122,0))</f>
        <v>Lundi de Pâques</v>
      </c>
      <c r="G124" t="str" s="75">
        <f>IF(INDEX('Feiertagsregeln'!$F$7:$F$122,MATCH($K124,'Feiertagsregeln'!$A$7:$A$122,0))="","Noch zu erfassen",INDEX('Feiertagsregeln'!$F$7:$F$122,MATCH($K124,'Feiertagsregeln'!$A$7:$A$122,0)))</f>
        <v>Lunedì di Pasqua</v>
      </c>
      <c r="H124" t="str" s="75">
        <f>IF(INDEX('Feiertagsregeln'!$G$7:$G$122,MATCH($K124,'Feiertagsregeln'!$A$7:$A$122,0))="","Noch zu erfassen",INDEX('Feiertagsregeln'!$G$7:$G$122,MATCH($K124,'Feiertagsregeln'!$A$7:$A$122,0)))</f>
        <v>Glindesdi da Pasca</v>
      </c>
      <c r="I124" t="str" s="74">
        <f>INDEX('Feiertagsregeln'!$H$7:$H$122,MATCH($K124,'Feiertagsregeln'!$A$7:$A$122,0))</f>
        <v>publicHoliday</v>
      </c>
      <c r="J124" t="str" s="74">
        <v>open</v>
      </c>
      <c r="K124" t="str" s="74">
        <v>GR-CAL-DAY-EASTER-MONDAY</v>
      </c>
      <c r="L124" t="str" s="74">
        <f>INDEX('Feiertagsregeln'!$Y$7:$Y$122,MATCH($K124,'Feiertagsregeln'!$A$7:$A$122,0))</f>
        <v>SRC-GR-RUHETAGE-520100-20160101</v>
      </c>
      <c r="M124" t="str" s="74">
        <f>INDEX('Feiertagsregeln'!$Z$7:$Z$122,MATCH($K124,'Feiertagsregeln'!$A$7:$A$122,0))</f>
        <v>Art. 2 Abs. 1 Bst. b</v>
      </c>
      <c r="N124" t="str" s="74">
        <v>Kantonale Grundliste. VRG-Annahme und örtliche Fristwirkung offen</v>
      </c>
    </row>
    <row r="125" ht="42" customHeight="1">
      <c r="A125" t="n" s="70">
        <f>INDEX('Feiertagsregeln'!$X$7:$X$122,MATCH($K125,'Feiertagsregeln'!$A$7:$A$122,0))</f>
        <v>46513</v>
      </c>
      <c r="B125" t="str" s="71">
        <f>IF(ISNUMBER(A125),CHOOSE(WEEKDAY(A125,2),"Montag","Dienstag","Mittwoch","Donnerstag","Freitag","Samstag","Sonntag"),"n.a.")</f>
        <v>Donnerstag</v>
      </c>
      <c r="C125" t="str" s="71">
        <v>CH-GR</v>
      </c>
      <c r="D125" t="str" s="71">
        <v>Graubünden, kantonale Grundliste</v>
      </c>
      <c r="E125" t="str" s="71">
        <f>INDEX('Feiertagsregeln'!$D$7:$D$122,MATCH($K125,'Feiertagsregeln'!$A$7:$A$122,0))</f>
        <v>Auffahrt</v>
      </c>
      <c r="F125" t="str" s="71">
        <f>INDEX('Feiertagsregeln'!$E$7:$E$122,MATCH($K125,'Feiertagsregeln'!$A$7:$A$122,0))</f>
        <v>Ascension</v>
      </c>
      <c r="G125" t="str" s="72">
        <f>IF(INDEX('Feiertagsregeln'!$F$7:$F$122,MATCH($K125,'Feiertagsregeln'!$A$7:$A$122,0))="","Noch zu erfassen",INDEX('Feiertagsregeln'!$F$7:$F$122,MATCH($K125,'Feiertagsregeln'!$A$7:$A$122,0)))</f>
        <v>Ascensione</v>
      </c>
      <c r="H125" t="str" s="72">
        <f>IF(INDEX('Feiertagsregeln'!$G$7:$G$122,MATCH($K125,'Feiertagsregeln'!$A$7:$A$122,0))="","Noch zu erfassen",INDEX('Feiertagsregeln'!$G$7:$G$122,MATCH($K125,'Feiertagsregeln'!$A$7:$A$122,0)))</f>
        <v>Ascensiun</v>
      </c>
      <c r="I125" t="str" s="71">
        <f>INDEX('Feiertagsregeln'!$H$7:$H$122,MATCH($K125,'Feiertagsregeln'!$A$7:$A$122,0))</f>
        <v>publicHoliday</v>
      </c>
      <c r="J125" t="str" s="71">
        <v>open</v>
      </c>
      <c r="K125" t="str" s="71">
        <v>GR-CAL-DAY-ASCENSION</v>
      </c>
      <c r="L125" t="str" s="71">
        <f>INDEX('Feiertagsregeln'!$Y$7:$Y$122,MATCH($K125,'Feiertagsregeln'!$A$7:$A$122,0))</f>
        <v>SRC-GR-RUHETAGE-520100-20160101</v>
      </c>
      <c r="M125" t="str" s="71">
        <f>INDEX('Feiertagsregeln'!$Z$7:$Z$122,MATCH($K125,'Feiertagsregeln'!$A$7:$A$122,0))</f>
        <v>Art. 2 Abs. 1 Bst. b</v>
      </c>
      <c r="N125" t="str" s="71">
        <v>Kantonale Grundliste. VRG-Annahme und örtliche Fristwirkung offen</v>
      </c>
    </row>
    <row r="126" ht="42" customHeight="1">
      <c r="A126" t="n" s="73">
        <f>INDEX('Feiertagsregeln'!$X$7:$X$122,MATCH($K126,'Feiertagsregeln'!$A$7:$A$122,0))</f>
        <v>46523</v>
      </c>
      <c r="B126" t="str" s="74">
        <f>IF(ISNUMBER(A126),CHOOSE(WEEKDAY(A126,2),"Montag","Dienstag","Mittwoch","Donnerstag","Freitag","Samstag","Sonntag"),"n.a.")</f>
        <v>Sonntag</v>
      </c>
      <c r="C126" t="str" s="74">
        <v>CH-GR</v>
      </c>
      <c r="D126" t="str" s="74">
        <v>Graubünden, kantonale Grundliste</v>
      </c>
      <c r="E126" t="str" s="74">
        <f>INDEX('Feiertagsregeln'!$D$7:$D$122,MATCH($K126,'Feiertagsregeln'!$A$7:$A$122,0))</f>
        <v>Pfingstsonntag</v>
      </c>
      <c r="F126" t="str" s="74">
        <f>INDEX('Feiertagsregeln'!$E$7:$E$122,MATCH($K126,'Feiertagsregeln'!$A$7:$A$122,0))</f>
        <v>Pentecôte</v>
      </c>
      <c r="G126" t="str" s="75">
        <f>IF(INDEX('Feiertagsregeln'!$F$7:$F$122,MATCH($K126,'Feiertagsregeln'!$A$7:$A$122,0))="","Noch zu erfassen",INDEX('Feiertagsregeln'!$F$7:$F$122,MATCH($K126,'Feiertagsregeln'!$A$7:$A$122,0)))</f>
        <v>Domenica di Pentecoste</v>
      </c>
      <c r="H126" t="str" s="75">
        <f>IF(INDEX('Feiertagsregeln'!$G$7:$G$122,MATCH($K126,'Feiertagsregeln'!$A$7:$A$122,0))="","Noch zu erfassen",INDEX('Feiertagsregeln'!$G$7:$G$122,MATCH($K126,'Feiertagsregeln'!$A$7:$A$122,0)))</f>
        <v>Dumengia da Tschuncaisma</v>
      </c>
      <c r="I126" t="str" s="74">
        <f>INDEX('Feiertagsregeln'!$H$7:$H$122,MATCH($K126,'Feiertagsregeln'!$A$7:$A$122,0))</f>
        <v>publicHoliday</v>
      </c>
      <c r="J126" t="str" s="74">
        <v>open</v>
      </c>
      <c r="K126" t="str" s="74">
        <v>GR-CAL-DAY-PENTECOST</v>
      </c>
      <c r="L126" t="str" s="74">
        <f>INDEX('Feiertagsregeln'!$Y$7:$Y$122,MATCH($K126,'Feiertagsregeln'!$A$7:$A$122,0))</f>
        <v>SRC-GR-RUHETAGE-520100-20160101</v>
      </c>
      <c r="M126" t="str" s="74">
        <f>INDEX('Feiertagsregeln'!$Z$7:$Z$122,MATCH($K126,'Feiertagsregeln'!$A$7:$A$122,0))</f>
        <v>Art. 2 Abs. 2</v>
      </c>
      <c r="N126" t="str" s="74">
        <v>Kantonale Grundliste. VRG-Annahme und örtliche Fristwirkung offen</v>
      </c>
    </row>
    <row r="127" ht="42" customHeight="1">
      <c r="A127" t="n" s="70">
        <f>INDEX('Feiertagsregeln'!$X$7:$X$122,MATCH($K127,'Feiertagsregeln'!$A$7:$A$122,0))</f>
        <v>46524</v>
      </c>
      <c r="B127" t="str" s="71">
        <f>IF(ISNUMBER(A127),CHOOSE(WEEKDAY(A127,2),"Montag","Dienstag","Mittwoch","Donnerstag","Freitag","Samstag","Sonntag"),"n.a.")</f>
        <v>Montag</v>
      </c>
      <c r="C127" t="str" s="71">
        <v>CH-GR</v>
      </c>
      <c r="D127" t="str" s="71">
        <v>Graubünden, kantonale Grundliste</v>
      </c>
      <c r="E127" t="str" s="71">
        <f>INDEX('Feiertagsregeln'!$D$7:$D$122,MATCH($K127,'Feiertagsregeln'!$A$7:$A$122,0))</f>
        <v>Pfingstmontag</v>
      </c>
      <c r="F127" t="str" s="71">
        <f>INDEX('Feiertagsregeln'!$E$7:$E$122,MATCH($K127,'Feiertagsregeln'!$A$7:$A$122,0))</f>
        <v>Lundi de Pentecôte</v>
      </c>
      <c r="G127" t="str" s="72">
        <f>IF(INDEX('Feiertagsregeln'!$F$7:$F$122,MATCH($K127,'Feiertagsregeln'!$A$7:$A$122,0))="","Noch zu erfassen",INDEX('Feiertagsregeln'!$F$7:$F$122,MATCH($K127,'Feiertagsregeln'!$A$7:$A$122,0)))</f>
        <v>Lunedì di Pentecoste</v>
      </c>
      <c r="H127" t="str" s="72">
        <f>IF(INDEX('Feiertagsregeln'!$G$7:$G$122,MATCH($K127,'Feiertagsregeln'!$A$7:$A$122,0))="","Noch zu erfassen",INDEX('Feiertagsregeln'!$G$7:$G$122,MATCH($K127,'Feiertagsregeln'!$A$7:$A$122,0)))</f>
        <v>Glindesdi da Tschuncaisma</v>
      </c>
      <c r="I127" t="str" s="71">
        <f>INDEX('Feiertagsregeln'!$H$7:$H$122,MATCH($K127,'Feiertagsregeln'!$A$7:$A$122,0))</f>
        <v>publicHoliday</v>
      </c>
      <c r="J127" t="str" s="71">
        <v>open</v>
      </c>
      <c r="K127" t="str" s="71">
        <v>GR-CAL-DAY-WHIT-MONDAY</v>
      </c>
      <c r="L127" t="str" s="71">
        <f>INDEX('Feiertagsregeln'!$Y$7:$Y$122,MATCH($K127,'Feiertagsregeln'!$A$7:$A$122,0))</f>
        <v>SRC-GR-RUHETAGE-520100-20160101</v>
      </c>
      <c r="M127" t="str" s="71">
        <f>INDEX('Feiertagsregeln'!$Z$7:$Z$122,MATCH($K127,'Feiertagsregeln'!$A$7:$A$122,0))</f>
        <v>Art. 2 Abs. 1 Bst. b</v>
      </c>
      <c r="N127" t="str" s="71">
        <v>Kantonale Grundliste. VRG-Annahme und örtliche Fristwirkung offen</v>
      </c>
    </row>
    <row r="128" ht="42" customHeight="1">
      <c r="A128" t="n" s="73">
        <f>INDEX('Feiertagsregeln'!$X$7:$X$122,MATCH($K128,'Feiertagsregeln'!$A$7:$A$122,0))</f>
        <v>46600</v>
      </c>
      <c r="B128" t="str" s="74">
        <f>IF(ISNUMBER(A128),CHOOSE(WEEKDAY(A128,2),"Montag","Dienstag","Mittwoch","Donnerstag","Freitag","Samstag","Sonntag"),"n.a.")</f>
        <v>Sonntag</v>
      </c>
      <c r="C128" t="str" s="74">
        <v>CH-GR</v>
      </c>
      <c r="D128" t="str" s="74">
        <v>Graubünden, kantonale Grundliste</v>
      </c>
      <c r="E128" t="str" s="74">
        <f>INDEX('Feiertagsregeln'!$D$7:$D$122,MATCH($K128,'Feiertagsregeln'!$A$7:$A$122,0))</f>
        <v>Bundesfeiertag</v>
      </c>
      <c r="F128" t="str" s="74">
        <f>INDEX('Feiertagsregeln'!$E$7:$E$122,MATCH($K128,'Feiertagsregeln'!$A$7:$A$122,0))</f>
        <v>Fête nationale</v>
      </c>
      <c r="G128" t="str" s="75">
        <f>IF(INDEX('Feiertagsregeln'!$F$7:$F$122,MATCH($K128,'Feiertagsregeln'!$A$7:$A$122,0))="","Noch zu erfassen",INDEX('Feiertagsregeln'!$F$7:$F$122,MATCH($K128,'Feiertagsregeln'!$A$7:$A$122,0)))</f>
        <v>Primo agosto</v>
      </c>
      <c r="H128" t="str" s="75">
        <f>IF(INDEX('Feiertagsregeln'!$G$7:$G$122,MATCH($K128,'Feiertagsregeln'!$A$7:$A$122,0))="","Noch zu erfassen",INDEX('Feiertagsregeln'!$G$7:$G$122,MATCH($K128,'Feiertagsregeln'!$A$7:$A$122,0)))</f>
        <v>Festa naziunala svizra</v>
      </c>
      <c r="I128" t="str" s="74">
        <f>INDEX('Feiertagsregeln'!$H$7:$H$122,MATCH($K128,'Feiertagsregeln'!$A$7:$A$122,0))</f>
        <v>publicHoliday</v>
      </c>
      <c r="J128" t="str" s="74">
        <v>open</v>
      </c>
      <c r="K128" t="str" s="74">
        <v>GR-CAL-DAY-NATIONAL-DAY</v>
      </c>
      <c r="L128" t="str" s="74">
        <f>INDEX('Feiertagsregeln'!$Y$7:$Y$122,MATCH($K128,'Feiertagsregeln'!$A$7:$A$122,0))</f>
        <v>SRC-BUNDESFEIERTAG-19940701</v>
      </c>
      <c r="M128" t="str" s="74">
        <f>INDEX('Feiertagsregeln'!$Z$7:$Z$122,MATCH($K128,'Feiertagsregeln'!$A$7:$A$122,0))</f>
        <v>Art. 1</v>
      </c>
      <c r="N128" t="str" s="74">
        <v>Kantonale Grundliste. VRG-Annahme und örtliche Fristwirkung offen</v>
      </c>
    </row>
    <row r="129" ht="42" customHeight="1">
      <c r="A129" t="n" s="70">
        <f>INDEX('Feiertagsregeln'!$X$7:$X$122,MATCH($K129,'Feiertagsregeln'!$A$7:$A$122,0))</f>
        <v>46649</v>
      </c>
      <c r="B129" t="str" s="71">
        <f>IF(ISNUMBER(A129),CHOOSE(WEEKDAY(A129,2),"Montag","Dienstag","Mittwoch","Donnerstag","Freitag","Samstag","Sonntag"),"n.a.")</f>
        <v>Sonntag</v>
      </c>
      <c r="C129" t="str" s="71">
        <v>CH-GR</v>
      </c>
      <c r="D129" t="str" s="71">
        <v>Graubünden, kantonale Grundliste</v>
      </c>
      <c r="E129" t="str" s="71">
        <f>INDEX('Feiertagsregeln'!$D$7:$D$122,MATCH($K129,'Feiertagsregeln'!$A$7:$A$122,0))</f>
        <v>Eidgenössischer Bettag</v>
      </c>
      <c r="F129" t="str" s="71">
        <f>INDEX('Feiertagsregeln'!$E$7:$E$122,MATCH($K129,'Feiertagsregeln'!$A$7:$A$122,0))</f>
        <v>Jeûne fédéral</v>
      </c>
      <c r="G129" t="str" s="72">
        <f>IF(INDEX('Feiertagsregeln'!$F$7:$F$122,MATCH($K129,'Feiertagsregeln'!$A$7:$A$122,0))="","Noch zu erfassen",INDEX('Feiertagsregeln'!$F$7:$F$122,MATCH($K129,'Feiertagsregeln'!$A$7:$A$122,0)))</f>
        <v>Festa federale di preghiera</v>
      </c>
      <c r="H129" t="str" s="72">
        <f>IF(INDEX('Feiertagsregeln'!$G$7:$G$122,MATCH($K129,'Feiertagsregeln'!$A$7:$A$122,0))="","Noch zu erfassen",INDEX('Feiertagsregeln'!$G$7:$G$122,MATCH($K129,'Feiertagsregeln'!$A$7:$A$122,0)))</f>
        <v>Di da la rogaziun federala</v>
      </c>
      <c r="I129" t="str" s="71">
        <f>INDEX('Feiertagsregeln'!$H$7:$H$122,MATCH($K129,'Feiertagsregeln'!$A$7:$A$122,0))</f>
        <v>publicHoliday</v>
      </c>
      <c r="J129" t="str" s="71">
        <v>open</v>
      </c>
      <c r="K129" t="str" s="71">
        <v>GR-CAL-DAY-FEDERAL-FAST</v>
      </c>
      <c r="L129" t="str" s="71">
        <f>INDEX('Feiertagsregeln'!$Y$7:$Y$122,MATCH($K129,'Feiertagsregeln'!$A$7:$A$122,0))</f>
        <v>SRC-GR-RUHETAGE-520100-20160101</v>
      </c>
      <c r="M129" t="str" s="71">
        <f>INDEX('Feiertagsregeln'!$Z$7:$Z$122,MATCH($K129,'Feiertagsregeln'!$A$7:$A$122,0))</f>
        <v>Art. 2 Abs. 2</v>
      </c>
      <c r="N129" t="str" s="71">
        <v>Kantonale Grundliste. VRG-Annahme und örtliche Fristwirkung offen</v>
      </c>
    </row>
    <row r="130" ht="42" customHeight="1">
      <c r="A130" t="n" s="73">
        <f>INDEX('Feiertagsregeln'!$X$7:$X$122,MATCH($K130,'Feiertagsregeln'!$A$7:$A$122,0))</f>
        <v>46746</v>
      </c>
      <c r="B130" t="str" s="74">
        <f>IF(ISNUMBER(A130),CHOOSE(WEEKDAY(A130,2),"Montag","Dienstag","Mittwoch","Donnerstag","Freitag","Samstag","Sonntag"),"n.a.")</f>
        <v>Samstag</v>
      </c>
      <c r="C130" t="str" s="74">
        <v>CH-GR</v>
      </c>
      <c r="D130" t="str" s="74">
        <v>Graubünden, kantonale Grundliste</v>
      </c>
      <c r="E130" t="str" s="74">
        <f>INDEX('Feiertagsregeln'!$D$7:$D$122,MATCH($K130,'Feiertagsregeln'!$A$7:$A$122,0))</f>
        <v>Weihnachtstag</v>
      </c>
      <c r="F130" t="str" s="74">
        <f>INDEX('Feiertagsregeln'!$E$7:$E$122,MATCH($K130,'Feiertagsregeln'!$A$7:$A$122,0))</f>
        <v>Noël</v>
      </c>
      <c r="G130" t="str" s="75">
        <f>IF(INDEX('Feiertagsregeln'!$F$7:$F$122,MATCH($K130,'Feiertagsregeln'!$A$7:$A$122,0))="","Noch zu erfassen",INDEX('Feiertagsregeln'!$F$7:$F$122,MATCH($K130,'Feiertagsregeln'!$A$7:$A$122,0)))</f>
        <v>Natale</v>
      </c>
      <c r="H130" t="str" s="75">
        <f>IF(INDEX('Feiertagsregeln'!$G$7:$G$122,MATCH($K130,'Feiertagsregeln'!$A$7:$A$122,0))="","Noch zu erfassen",INDEX('Feiertagsregeln'!$G$7:$G$122,MATCH($K130,'Feiertagsregeln'!$A$7:$A$122,0)))</f>
        <v>Di da Nadal</v>
      </c>
      <c r="I130" t="str" s="74">
        <f>INDEX('Feiertagsregeln'!$H$7:$H$122,MATCH($K130,'Feiertagsregeln'!$A$7:$A$122,0))</f>
        <v>publicHoliday</v>
      </c>
      <c r="J130" t="str" s="74">
        <v>open</v>
      </c>
      <c r="K130" t="str" s="74">
        <v>GR-CAL-DAY-CHRISTMAS</v>
      </c>
      <c r="L130" t="str" s="74">
        <f>INDEX('Feiertagsregeln'!$Y$7:$Y$122,MATCH($K130,'Feiertagsregeln'!$A$7:$A$122,0))</f>
        <v>SRC-GR-RUHETAGE-520100-20160101</v>
      </c>
      <c r="M130" t="str" s="74">
        <f>INDEX('Feiertagsregeln'!$Z$7:$Z$122,MATCH($K130,'Feiertagsregeln'!$A$7:$A$122,0))</f>
        <v>Art. 2 Abs. 1 Bst. b und Abs. 2</v>
      </c>
      <c r="N130" t="str" s="74">
        <v>Kantonale Grundliste. VRG-Annahme und örtliche Fristwirkung offen</v>
      </c>
    </row>
    <row r="131" ht="42" customHeight="1">
      <c r="A131" t="n" s="70">
        <f>INDEX('Feiertagsregeln'!$X$7:$X$122,MATCH($K131,'Feiertagsregeln'!$A$7:$A$122,0))</f>
        <v>46747</v>
      </c>
      <c r="B131" t="str" s="71">
        <f>IF(ISNUMBER(A131),CHOOSE(WEEKDAY(A131,2),"Montag","Dienstag","Mittwoch","Donnerstag","Freitag","Samstag","Sonntag"),"n.a.")</f>
        <v>Sonntag</v>
      </c>
      <c r="C131" t="str" s="71">
        <v>CH-GR</v>
      </c>
      <c r="D131" t="str" s="71">
        <v>Graubünden, kantonale Grundliste</v>
      </c>
      <c r="E131" t="str" s="71">
        <f>INDEX('Feiertagsregeln'!$D$7:$D$122,MATCH($K131,'Feiertagsregeln'!$A$7:$A$122,0))</f>
        <v>Stefanstag</v>
      </c>
      <c r="F131" t="str" s="71">
        <f>INDEX('Feiertagsregeln'!$E$7:$E$122,MATCH($K131,'Feiertagsregeln'!$A$7:$A$122,0))</f>
        <v>Saint-Étienne</v>
      </c>
      <c r="G131" t="str" s="72">
        <f>IF(INDEX('Feiertagsregeln'!$F$7:$F$122,MATCH($K131,'Feiertagsregeln'!$A$7:$A$122,0))="","Noch zu erfassen",INDEX('Feiertagsregeln'!$F$7:$F$122,MATCH($K131,'Feiertagsregeln'!$A$7:$A$122,0)))</f>
        <v>Santo Stefano</v>
      </c>
      <c r="H131" t="str" s="72">
        <f>IF(INDEX('Feiertagsregeln'!$G$7:$G$122,MATCH($K131,'Feiertagsregeln'!$A$7:$A$122,0))="","Noch zu erfassen",INDEX('Feiertagsregeln'!$G$7:$G$122,MATCH($K131,'Feiertagsregeln'!$A$7:$A$122,0)))</f>
        <v>Son Steffan</v>
      </c>
      <c r="I131" t="str" s="71">
        <f>INDEX('Feiertagsregeln'!$H$7:$H$122,MATCH($K131,'Feiertagsregeln'!$A$7:$A$122,0))</f>
        <v>publicHoliday</v>
      </c>
      <c r="J131" t="str" s="71">
        <v>open</v>
      </c>
      <c r="K131" t="str" s="71">
        <v>GR-CAL-DAY-ST-STEPHEN</v>
      </c>
      <c r="L131" t="str" s="71">
        <f>INDEX('Feiertagsregeln'!$Y$7:$Y$122,MATCH($K131,'Feiertagsregeln'!$A$7:$A$122,0))</f>
        <v>SRC-GR-RUHETAGE-520100-20160101</v>
      </c>
      <c r="M131" t="str" s="71">
        <f>INDEX('Feiertagsregeln'!$Z$7:$Z$122,MATCH($K131,'Feiertagsregeln'!$A$7:$A$122,0))</f>
        <v>Art. 2 Abs. 1 Bst. b</v>
      </c>
      <c r="N131" t="str" s="71">
        <v>Kantonale Grundliste. VRG-Annahme und örtliche Fristwirkung offen</v>
      </c>
    </row>
  </sheetData>
  <sheetProtection sheet="1" objects="1" scenarios="1" autoFilter="0" sort="0" selectLockedCells="0" selectUnlockedCells="0"/>
  <conditionalFormatting sqref="J7:J131">
    <cfRule type="containsText" dxfId="10" priority="1" operator="containsText" text="open"/>
    <cfRule type="containsText" dxfId="11" priority="2" operator="containsText" text="blocked"/>
  </conditionalFormatting>
  <dataValidations count="1">
    <dataValidation type="list" sqref="J7:J131">
      <formula1>"approved,open,blocked"</formula1>
    </dataValidation>
  </dataValidations>
  <pageMargins left="0.7" right="0.7" top="0.75" bottom="0.75" header="0.3" footer="0.3"/>
  <tableParts count="1">
    <tablePart ns1:id="R30d012bed9d140cd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15" hidden="0" customWidth="1"/>
    <col min="2" max="2" width="28" hidden="0" customWidth="1"/>
    <col min="3" max="3" width="31" hidden="0" customWidth="1"/>
    <col min="4" max="4" width="32" hidden="0" customWidth="1"/>
    <col min="5" max="5" width="32" hidden="0" customWidth="1"/>
    <col min="6" max="6" width="15" hidden="0" customWidth="1"/>
    <col min="7" max="7" width="30" hidden="0" customWidth="1"/>
    <col min="8" max="8" width="16" hidden="0" customWidth="1"/>
    <col min="9" max="9" width="64" hidden="0" customWidth="1"/>
  </cols>
  <sheetData>
    <row r="1" ht="24" customHeight="1">
      <c r="A1" s="60"/>
      <c r="B1" s="60"/>
      <c r="C1" s="60"/>
      <c r="F1" s="60"/>
      <c r="G1" s="60"/>
      <c r="H1" s="60"/>
      <c r="I1" s="60"/>
    </row>
    <row r="2" ht="24" customHeight="1">
      <c r="A2" s="61" t="str">
        <v>Gemeinwesen und Bearbeitungsstand</v>
      </c>
      <c r="B2" s="60"/>
      <c r="C2" s="60"/>
      <c r="F2" s="60"/>
      <c r="G2" s="60"/>
      <c r="H2" s="60"/>
      <c r="I2" s="60"/>
    </row>
    <row r="3" ht="24" customHeight="1">
      <c r="A3" s="62"/>
      <c r="B3" s="62"/>
      <c r="C3" s="62"/>
      <c r="F3" s="62"/>
      <c r="G3" s="62"/>
      <c r="H3" s="62"/>
      <c r="I3" s="62"/>
    </row>
    <row r="4" ht="24" customHeight="1">
      <c r="A4" s="67" t="str">
        <v>Erfassungsstand und fachliche Freigabe sind getrennt. Leere Quellen sind noch zu erheben.</v>
      </c>
      <c r="B4" s="60"/>
      <c r="C4" s="60"/>
      <c r="F4" s="60"/>
      <c r="G4" s="60"/>
      <c r="H4" s="60"/>
      <c r="I4" s="60"/>
    </row>
    <row r="5" ht="24" customHeight="1">
      <c r="A5" s="60"/>
      <c r="B5" s="60"/>
      <c r="C5" s="60"/>
      <c r="F5" s="60"/>
      <c r="G5" s="60"/>
      <c r="H5" s="60"/>
      <c r="I5" s="60"/>
    </row>
    <row r="6" ht="42" customHeight="1">
      <c r="A6" s="68" t="str">
        <v>Code</v>
      </c>
      <c r="B6" s="68" t="str">
        <v>Deutsch</v>
      </c>
      <c r="C6" s="68" t="str">
        <v>Französisch</v>
      </c>
      <c r="D6" s="69" t="str">
        <v>Italienisch</v>
      </c>
      <c r="E6" s="69" t="str">
        <v>Rumantsch Grischun</v>
      </c>
      <c r="F6" s="68" t="str">
        <v>Übergeordnet</v>
      </c>
      <c r="G6" s="68" t="str">
        <v>Erfassungsstand</v>
      </c>
      <c r="H6" s="68" t="str">
        <v>Fachstatus</v>
      </c>
      <c r="I6" s="68" t="str">
        <v>Amtliche Feiertagsquelle</v>
      </c>
    </row>
    <row r="7" ht="38" customHeight="1">
      <c r="A7" s="71" t="str">
        <v>CH</v>
      </c>
      <c r="B7" s="76" t="str">
        <v>Bund</v>
      </c>
      <c r="C7" s="76" t="str">
        <v>Confédération</v>
      </c>
      <c r="D7" s="77" t="str"/>
      <c r="E7" s="77" t="str"/>
      <c r="F7" s="76"/>
      <c r="G7" s="76" t="str">
        <v>Referenzpilot</v>
      </c>
      <c r="H7" s="76" t="str">
        <v>approved</v>
      </c>
      <c r="I7" s="76" t="str">
        <v>https://www.fedlex.admin.ch/eli/cc/1994/1340_1340_1340/de</v>
      </c>
    </row>
    <row r="8" ht="38" customHeight="1">
      <c r="A8" s="74" t="str">
        <v>CH-ZH</v>
      </c>
      <c r="B8" s="78" t="str">
        <v>Zürich</v>
      </c>
      <c r="C8" s="78" t="str">
        <v>Zurich</v>
      </c>
      <c r="D8" s="79" t="str"/>
      <c r="E8" s="79" t="str"/>
      <c r="F8" s="78" t="str">
        <v>CH</v>
      </c>
      <c r="G8" s="78" t="str">
        <v>Nicht erhoben</v>
      </c>
      <c r="H8" s="78" t="str">
        <v>open</v>
      </c>
      <c r="I8" s="78" t="str">
        <v>Noch zu erheben</v>
      </c>
    </row>
    <row r="9" ht="38" customHeight="1">
      <c r="A9" s="71" t="str">
        <v>CH-BE</v>
      </c>
      <c r="B9" s="76" t="str">
        <v>Bern</v>
      </c>
      <c r="C9" s="76" t="str">
        <v>Berne</v>
      </c>
      <c r="D9" s="77" t="str"/>
      <c r="E9" s="77" t="str"/>
      <c r="F9" s="76" t="str">
        <v>CH</v>
      </c>
      <c r="G9" s="76" t="str">
        <v>Referenzpilot</v>
      </c>
      <c r="H9" s="76" t="str">
        <v>approved</v>
      </c>
      <c r="I9" s="76" t="str">
        <v>https://www.belex.sites.be.ch/app/de/texts_of_law/555.1</v>
      </c>
    </row>
    <row r="10" ht="38" customHeight="1">
      <c r="A10" s="74" t="str">
        <v>CH-LU</v>
      </c>
      <c r="B10" s="78" t="str">
        <v>Luzern</v>
      </c>
      <c r="C10" s="78" t="str">
        <v>Lucerne</v>
      </c>
      <c r="D10" s="79" t="str"/>
      <c r="E10" s="79" t="str"/>
      <c r="F10" s="78" t="str">
        <v>CH</v>
      </c>
      <c r="G10" s="78" t="str">
        <v>Nicht erhoben</v>
      </c>
      <c r="H10" s="78" t="str">
        <v>open</v>
      </c>
      <c r="I10" s="78" t="str">
        <v>Noch zu erheben</v>
      </c>
    </row>
    <row r="11" ht="38" customHeight="1">
      <c r="A11" s="71" t="str">
        <v>CH-UR</v>
      </c>
      <c r="B11" s="76" t="str">
        <v>Uri</v>
      </c>
      <c r="C11" s="76" t="str">
        <v>Uri</v>
      </c>
      <c r="D11" s="77" t="str"/>
      <c r="E11" s="77" t="str"/>
      <c r="F11" s="76" t="str">
        <v>CH</v>
      </c>
      <c r="G11" s="76" t="str">
        <v>Nicht erhoben</v>
      </c>
      <c r="H11" s="76" t="str">
        <v>open</v>
      </c>
      <c r="I11" s="76" t="str">
        <v>Noch zu erheben</v>
      </c>
    </row>
    <row r="12" ht="38" customHeight="1">
      <c r="A12" s="74" t="str">
        <v>CH-SZ</v>
      </c>
      <c r="B12" s="78" t="str">
        <v>Schwyz</v>
      </c>
      <c r="C12" s="78" t="str">
        <v>Schwytz</v>
      </c>
      <c r="D12" s="79" t="str"/>
      <c r="E12" s="79" t="str"/>
      <c r="F12" s="78" t="str">
        <v>CH</v>
      </c>
      <c r="G12" s="78" t="str">
        <v>Nicht erhoben</v>
      </c>
      <c r="H12" s="78" t="str">
        <v>open</v>
      </c>
      <c r="I12" s="78" t="str">
        <v>Noch zu erheben</v>
      </c>
    </row>
    <row r="13" ht="38" customHeight="1">
      <c r="A13" s="71" t="str">
        <v>CH-OW</v>
      </c>
      <c r="B13" s="76" t="str">
        <v>Obwalden</v>
      </c>
      <c r="C13" s="76" t="str">
        <v>Obwald</v>
      </c>
      <c r="D13" s="77" t="str"/>
      <c r="E13" s="77" t="str"/>
      <c r="F13" s="76" t="str">
        <v>CH</v>
      </c>
      <c r="G13" s="76" t="str">
        <v>Nicht erhoben</v>
      </c>
      <c r="H13" s="76" t="str">
        <v>open</v>
      </c>
      <c r="I13" s="76" t="str">
        <v>Noch zu erheben</v>
      </c>
    </row>
    <row r="14" ht="38" customHeight="1">
      <c r="A14" s="74" t="str">
        <v>CH-NW</v>
      </c>
      <c r="B14" s="78" t="str">
        <v>Nidwalden</v>
      </c>
      <c r="C14" s="78" t="str">
        <v>Nidwald</v>
      </c>
      <c r="D14" s="79" t="str"/>
      <c r="E14" s="79" t="str"/>
      <c r="F14" s="78" t="str">
        <v>CH</v>
      </c>
      <c r="G14" s="78" t="str">
        <v>Nicht erhoben</v>
      </c>
      <c r="H14" s="78" t="str">
        <v>open</v>
      </c>
      <c r="I14" s="78" t="str">
        <v>Noch zu erheben</v>
      </c>
    </row>
    <row r="15" ht="38" customHeight="1">
      <c r="A15" s="71" t="str">
        <v>CH-GL</v>
      </c>
      <c r="B15" s="76" t="str">
        <v>Glarus</v>
      </c>
      <c r="C15" s="76" t="str">
        <v>Glaris</v>
      </c>
      <c r="D15" s="77" t="str"/>
      <c r="E15" s="77" t="str"/>
      <c r="F15" s="76" t="str">
        <v>CH</v>
      </c>
      <c r="G15" s="76" t="str">
        <v>Nicht erhoben</v>
      </c>
      <c r="H15" s="76" t="str">
        <v>open</v>
      </c>
      <c r="I15" s="76" t="str">
        <v>Noch zu erheben</v>
      </c>
    </row>
    <row r="16" ht="38" customHeight="1">
      <c r="A16" s="74" t="str">
        <v>CH-ZG</v>
      </c>
      <c r="B16" s="78" t="str">
        <v>Zug</v>
      </c>
      <c r="C16" s="78" t="str">
        <v>Zoug</v>
      </c>
      <c r="D16" s="79" t="str"/>
      <c r="E16" s="79" t="str"/>
      <c r="F16" s="78" t="str">
        <v>CH</v>
      </c>
      <c r="G16" s="78" t="str">
        <v>Nicht erhoben</v>
      </c>
      <c r="H16" s="78" t="str">
        <v>open</v>
      </c>
      <c r="I16" s="78" t="str">
        <v>Noch zu erheben</v>
      </c>
    </row>
    <row r="17" ht="38" customHeight="1">
      <c r="A17" s="71" t="str">
        <v>CH-FR</v>
      </c>
      <c r="B17" s="76" t="str">
        <v>Freiburg</v>
      </c>
      <c r="C17" s="76" t="str">
        <v>Fribourg</v>
      </c>
      <c r="D17" s="77" t="str"/>
      <c r="E17" s="77" t="str"/>
      <c r="F17" s="76" t="str">
        <v>CH</v>
      </c>
      <c r="G17" s="76" t="str">
        <v>Nicht erhoben</v>
      </c>
      <c r="H17" s="76" t="str">
        <v>open</v>
      </c>
      <c r="I17" s="76" t="str">
        <v>Noch zu erheben</v>
      </c>
    </row>
    <row r="18" ht="38" customHeight="1">
      <c r="A18" s="74" t="str">
        <v>CH-SO</v>
      </c>
      <c r="B18" s="78" t="str">
        <v>Solothurn</v>
      </c>
      <c r="C18" s="78" t="str">
        <v>Soleure</v>
      </c>
      <c r="D18" s="79" t="str"/>
      <c r="E18" s="79" t="str"/>
      <c r="F18" s="78" t="str">
        <v>CH</v>
      </c>
      <c r="G18" s="78" t="str">
        <v>Nicht erhoben</v>
      </c>
      <c r="H18" s="78" t="str">
        <v>open</v>
      </c>
      <c r="I18" s="78" t="str">
        <v>Noch zu erheben</v>
      </c>
    </row>
    <row r="19" ht="38" customHeight="1">
      <c r="A19" s="71" t="str">
        <v>CH-BS</v>
      </c>
      <c r="B19" s="76" t="str">
        <v>Basel-Stadt</v>
      </c>
      <c r="C19" s="76" t="str">
        <v>Bâle-Ville</v>
      </c>
      <c r="D19" s="77" t="str"/>
      <c r="E19" s="77" t="str"/>
      <c r="F19" s="76" t="str">
        <v>CH</v>
      </c>
      <c r="G19" s="76" t="str">
        <v>Nicht erhoben</v>
      </c>
      <c r="H19" s="76" t="str">
        <v>open</v>
      </c>
      <c r="I19" s="76" t="str">
        <v>Noch zu erheben</v>
      </c>
    </row>
    <row r="20" ht="38" customHeight="1">
      <c r="A20" s="74" t="str">
        <v>CH-BL</v>
      </c>
      <c r="B20" s="78" t="str">
        <v>Basel-Landschaft</v>
      </c>
      <c r="C20" s="78" t="str">
        <v>Bâle-Campagne</v>
      </c>
      <c r="D20" s="79" t="str"/>
      <c r="E20" s="79" t="str"/>
      <c r="F20" s="78" t="str">
        <v>CH</v>
      </c>
      <c r="G20" s="78" t="str">
        <v>Nicht erhoben</v>
      </c>
      <c r="H20" s="78" t="str">
        <v>open</v>
      </c>
      <c r="I20" s="78" t="str">
        <v>Noch zu erheben</v>
      </c>
    </row>
    <row r="21" ht="38" customHeight="1">
      <c r="A21" s="71" t="str">
        <v>CH-SH</v>
      </c>
      <c r="B21" s="76" t="str">
        <v>Schaffhausen</v>
      </c>
      <c r="C21" s="76" t="str">
        <v>Schaffhouse</v>
      </c>
      <c r="D21" s="77" t="str"/>
      <c r="E21" s="77" t="str"/>
      <c r="F21" s="76" t="str">
        <v>CH</v>
      </c>
      <c r="G21" s="76" t="str">
        <v>Nicht erhoben</v>
      </c>
      <c r="H21" s="76" t="str">
        <v>open</v>
      </c>
      <c r="I21" s="76" t="str">
        <v>Noch zu erheben</v>
      </c>
    </row>
    <row r="22" ht="38" customHeight="1">
      <c r="A22" s="74" t="str">
        <v>CH-AR</v>
      </c>
      <c r="B22" s="78" t="str">
        <v>Appenzell Ausserrhoden</v>
      </c>
      <c r="C22" s="78" t="str">
        <v>Appenzell Rhodes-Extérieures</v>
      </c>
      <c r="D22" s="79" t="str"/>
      <c r="E22" s="79" t="str"/>
      <c r="F22" s="78" t="str">
        <v>CH</v>
      </c>
      <c r="G22" s="78" t="str">
        <v>Nicht erhoben</v>
      </c>
      <c r="H22" s="78" t="str">
        <v>open</v>
      </c>
      <c r="I22" s="78" t="str">
        <v>Noch zu erheben</v>
      </c>
    </row>
    <row r="23" ht="38" customHeight="1">
      <c r="A23" s="71" t="str">
        <v>CH-AI</v>
      </c>
      <c r="B23" s="76" t="str">
        <v>Appenzell Innerrhoden</v>
      </c>
      <c r="C23" s="76" t="str">
        <v>Appenzell Rhodes-Intérieures</v>
      </c>
      <c r="D23" s="77" t="str"/>
      <c r="E23" s="77" t="str"/>
      <c r="F23" s="76" t="str">
        <v>CH</v>
      </c>
      <c r="G23" s="76" t="str">
        <v>Nicht erhoben</v>
      </c>
      <c r="H23" s="76" t="str">
        <v>open</v>
      </c>
      <c r="I23" s="76" t="str">
        <v>Noch zu erheben</v>
      </c>
    </row>
    <row r="24" ht="38" customHeight="1">
      <c r="A24" s="74" t="str">
        <v>CH-SG</v>
      </c>
      <c r="B24" s="78" t="str">
        <v>St. Gallen</v>
      </c>
      <c r="C24" s="78" t="str">
        <v>Saint-Gall</v>
      </c>
      <c r="D24" s="79" t="str"/>
      <c r="E24" s="79" t="str"/>
      <c r="F24" s="78" t="str">
        <v>CH</v>
      </c>
      <c r="G24" s="78" t="str">
        <v>Nicht erhoben</v>
      </c>
      <c r="H24" s="78" t="str">
        <v>open</v>
      </c>
      <c r="I24" s="78" t="str">
        <v>Noch zu erheben</v>
      </c>
    </row>
    <row r="25" ht="38" customHeight="1">
      <c r="A25" s="71" t="str">
        <v>CH-GR</v>
      </c>
      <c r="B25" s="76" t="str">
        <v>Graubünden</v>
      </c>
      <c r="C25" s="76" t="str">
        <v>Grisons</v>
      </c>
      <c r="D25" s="77" t="str">
        <v>Grigioni</v>
      </c>
      <c r="E25" s="77" t="str">
        <v>Grischun</v>
      </c>
      <c r="F25" s="76" t="str">
        <v>CH</v>
      </c>
      <c r="G25" s="76" t="str">
        <v>AP18B-02, kantonale Normliste erfasst, Fachabnahme offen</v>
      </c>
      <c r="H25" s="76" t="str">
        <v>open</v>
      </c>
      <c r="I25" s="76" t="str">
        <v>https://www.gr-lex.gr.ch/api/de/versions/2604/pdf_file</v>
      </c>
    </row>
    <row r="26" ht="38" customHeight="1">
      <c r="A26" s="74" t="str">
        <v>CH-AG</v>
      </c>
      <c r="B26" s="78" t="str">
        <v>Aargau</v>
      </c>
      <c r="C26" s="78" t="str">
        <v>Argovie</v>
      </c>
      <c r="D26" s="79" t="str"/>
      <c r="E26" s="79" t="str"/>
      <c r="F26" s="78" t="str">
        <v>CH</v>
      </c>
      <c r="G26" s="78" t="str">
        <v>Kantonspaket AP18B-01, Fachabnahme offen</v>
      </c>
      <c r="H26" s="78" t="str">
        <v>open</v>
      </c>
      <c r="I26" s="78" t="str">
        <v>https://gesetzessammlungen.ag.ch/app/de/texts_of_law/961.200</v>
      </c>
    </row>
    <row r="27" ht="38" customHeight="1">
      <c r="A27" s="71" t="str">
        <v>CH-TG</v>
      </c>
      <c r="B27" s="76" t="str">
        <v>Thurgau</v>
      </c>
      <c r="C27" s="76" t="str">
        <v>Thurgovie</v>
      </c>
      <c r="D27" s="77" t="str"/>
      <c r="E27" s="77" t="str"/>
      <c r="F27" s="76" t="str">
        <v>CH</v>
      </c>
      <c r="G27" s="76" t="str">
        <v>Nicht erhoben</v>
      </c>
      <c r="H27" s="76" t="str">
        <v>open</v>
      </c>
      <c r="I27" s="76" t="str">
        <v>Noch zu erheben</v>
      </c>
    </row>
    <row r="28" ht="38" customHeight="1">
      <c r="A28" s="74" t="str">
        <v>CH-TI</v>
      </c>
      <c r="B28" s="78" t="str">
        <v>Tessin</v>
      </c>
      <c r="C28" s="78" t="str">
        <v>Tessin</v>
      </c>
      <c r="D28" s="79" t="str">
        <v>Ticino</v>
      </c>
      <c r="E28" s="79" t="str">
        <v>Tessin</v>
      </c>
      <c r="F28" s="78" t="str">
        <v>CH</v>
      </c>
      <c r="G28" s="78" t="str">
        <v>AP18B-02, kantonale Normliste erfasst, Fachabnahme offen</v>
      </c>
      <c r="H28" s="78" t="str">
        <v>open</v>
      </c>
      <c r="I28" s="78" t="str">
        <v>https://www3.ti.ch/CAN/RLeggi/public/index.php/raccolta-leggi/legge/num/568</v>
      </c>
    </row>
    <row r="29" ht="38" customHeight="1">
      <c r="A29" s="71" t="str">
        <v>CH-VD</v>
      </c>
      <c r="B29" s="76" t="str">
        <v>Waadt</v>
      </c>
      <c r="C29" s="76" t="str">
        <v>Vaud</v>
      </c>
      <c r="D29" s="77" t="str"/>
      <c r="E29" s="77" t="str"/>
      <c r="F29" s="76" t="str">
        <v>CH</v>
      </c>
      <c r="G29" s="76" t="str">
        <v>Nicht erhoben</v>
      </c>
      <c r="H29" s="76" t="str">
        <v>open</v>
      </c>
      <c r="I29" s="76" t="str">
        <v>Noch zu erheben</v>
      </c>
    </row>
    <row r="30" ht="38" customHeight="1">
      <c r="A30" s="74" t="str">
        <v>CH-VS</v>
      </c>
      <c r="B30" s="78" t="str">
        <v>Wallis</v>
      </c>
      <c r="C30" s="78" t="str">
        <v>Valais</v>
      </c>
      <c r="D30" s="79" t="str"/>
      <c r="E30" s="79" t="str"/>
      <c r="F30" s="78" t="str">
        <v>CH</v>
      </c>
      <c r="G30" s="78" t="str">
        <v>Nicht erhoben</v>
      </c>
      <c r="H30" s="78" t="str">
        <v>open</v>
      </c>
      <c r="I30" s="78" t="str">
        <v>Noch zu erheben</v>
      </c>
    </row>
    <row r="31" ht="38" customHeight="1">
      <c r="A31" s="71" t="str">
        <v>CH-NE</v>
      </c>
      <c r="B31" s="76" t="str">
        <v>Neuenburg</v>
      </c>
      <c r="C31" s="76" t="str">
        <v>Neuchâtel</v>
      </c>
      <c r="D31" s="77" t="str"/>
      <c r="E31" s="77" t="str"/>
      <c r="F31" s="76" t="str">
        <v>CH</v>
      </c>
      <c r="G31" s="76" t="str">
        <v>Nicht erhoben</v>
      </c>
      <c r="H31" s="76" t="str">
        <v>open</v>
      </c>
      <c r="I31" s="76" t="str">
        <v>Noch zu erheben</v>
      </c>
    </row>
    <row r="32" ht="38" customHeight="1">
      <c r="A32" s="74" t="str">
        <v>CH-GE</v>
      </c>
      <c r="B32" s="78" t="str">
        <v>Genf</v>
      </c>
      <c r="C32" s="78" t="str">
        <v>Genève</v>
      </c>
      <c r="D32" s="79" t="str"/>
      <c r="E32" s="79" t="str"/>
      <c r="F32" s="78" t="str">
        <v>CH</v>
      </c>
      <c r="G32" s="78" t="str">
        <v>Nicht erhoben</v>
      </c>
      <c r="H32" s="78" t="str">
        <v>open</v>
      </c>
      <c r="I32" s="78" t="str">
        <v>Noch zu erheben</v>
      </c>
    </row>
    <row r="33" ht="38" customHeight="1">
      <c r="A33" s="71" t="str">
        <v>CH-JU</v>
      </c>
      <c r="B33" s="76" t="str">
        <v>Jura</v>
      </c>
      <c r="C33" s="76" t="str">
        <v>Jura</v>
      </c>
      <c r="D33" s="77" t="str"/>
      <c r="E33" s="77" t="str"/>
      <c r="F33" s="76" t="str">
        <v>CH</v>
      </c>
      <c r="G33" s="76" t="str">
        <v>Nicht erhoben</v>
      </c>
      <c r="H33" s="76" t="str">
        <v>open</v>
      </c>
      <c r="I33" s="76" t="str">
        <v>Noch zu erheben</v>
      </c>
    </row>
  </sheetData>
  <sheetProtection sheet="1" objects="1" scenarios="1" autoFilter="0" sort="0" selectLockedCells="0" selectUnlockedCells="0"/>
  <conditionalFormatting sqref="H7:H33">
    <cfRule type="containsText" dxfId="0" priority="1" operator="containsText" text="open"/>
    <cfRule type="containsText" dxfId="1" priority="2" operator="containsText" text="blocked"/>
  </conditionalFormatting>
  <conditionalFormatting sqref="D7:D33">
    <cfRule type="containsBlanks" dxfId="12" priority="3"/>
  </conditionalFormatting>
  <conditionalFormatting sqref="E7:E33">
    <cfRule type="containsBlanks" dxfId="13" priority="4"/>
  </conditionalFormatting>
  <dataValidations count="1">
    <dataValidation type="list" sqref="H7:H33">
      <formula1>"approved,open,blocked"</formula1>
    </dataValidation>
  </dataValidations>
  <pageMargins left="0.7" right="0.7" top="0.75" bottom="0.75" header="0.3" footer="0.3"/>
  <tableParts count="1">
    <tablePart ns1:id="R31792b8a397e425f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42" hidden="0" customWidth="1"/>
    <col min="2" max="2" width="16" hidden="0" customWidth="1"/>
    <col min="3" max="3" width="31" hidden="0" customWidth="1"/>
    <col min="4" max="4" width="35" hidden="0" customWidth="1"/>
    <col min="5" max="5" width="32" hidden="0" customWidth="1"/>
    <col min="6" max="6" width="32" hidden="0" customWidth="1"/>
    <col min="7" max="7" width="32" hidden="0" customWidth="1"/>
    <col min="8" max="8" width="27" hidden="0" customWidth="1"/>
    <col min="9" max="9" width="27" hidden="0" customWidth="1"/>
    <col min="10" max="10" width="10" hidden="0" customWidth="1"/>
    <col min="11" max="11" width="10" hidden="0" customWidth="1"/>
    <col min="12" max="12" width="13" hidden="0" customWidth="1"/>
    <col min="13" max="13" width="14" hidden="0" customWidth="1"/>
    <col min="14" max="14" width="13" hidden="0" customWidth="1"/>
    <col min="15" max="15" width="16" hidden="0" customWidth="1"/>
    <col min="16" max="16" width="16" hidden="0" customWidth="1"/>
    <col min="17" max="17" width="12" hidden="0" customWidth="1"/>
    <col min="18" max="18" width="15" hidden="0" customWidth="1"/>
    <col min="19" max="19" width="41" hidden="0" customWidth="1"/>
    <col min="20" max="20" width="13" hidden="0" customWidth="1"/>
    <col min="21" max="21" width="24" hidden="0" customWidth="1"/>
    <col min="22" max="22" width="24" hidden="0" customWidth="1"/>
    <col min="23" max="23" width="17" hidden="0" customWidth="1"/>
    <col min="24" max="24" width="24" hidden="0" customWidth="1"/>
    <col min="25" max="25" width="42" hidden="0" customWidth="1"/>
    <col min="26" max="26" width="32" hidden="0" customWidth="1"/>
    <col min="27" max="27" width="22" hidden="0" customWidth="1"/>
    <col min="28" max="28" width="18" hidden="0" customWidth="1"/>
  </cols>
  <sheetData>
    <row r="1" ht="24" customHeight="1">
      <c r="A1" s="60"/>
      <c r="B1" s="60"/>
      <c r="C1" s="60"/>
      <c r="D1" s="60"/>
      <c r="E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24" customHeight="1">
      <c r="A2" s="61" t="str">
        <v>Feiertagsregeln und Berechnung</v>
      </c>
      <c r="B2" s="60"/>
      <c r="C2" s="60"/>
      <c r="D2" s="60"/>
      <c r="E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24" customHeight="1">
      <c r="A3" s="62"/>
      <c r="B3" s="62"/>
      <c r="C3" s="62"/>
      <c r="D3" s="62"/>
      <c r="E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24" customHeight="1">
      <c r="A4" s="67" t="str">
        <v>Rechtskategorie und Geltungsbereich sind Pflicht. Datum und Gültigkeit rechts werden aus dem Kalenderjahr berechnet.</v>
      </c>
      <c r="B4" s="60"/>
      <c r="C4" s="60"/>
      <c r="D4" s="60"/>
      <c r="E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24" customHeight="1">
      <c r="A5" s="60"/>
      <c r="B5" s="60"/>
      <c r="C5" s="60"/>
      <c r="D5" s="60"/>
      <c r="E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42" customHeight="1">
      <c r="A6" s="68" t="str">
        <v>Regel-ID</v>
      </c>
      <c r="B6" s="68" t="str">
        <v>Gemeinwesen</v>
      </c>
      <c r="C6" s="68" t="str">
        <v>Geltungs-ID</v>
      </c>
      <c r="D6" s="68" t="str">
        <v>Deutsch</v>
      </c>
      <c r="E6" s="68" t="str">
        <v>Französisch</v>
      </c>
      <c r="F6" s="69" t="str">
        <v>Italienisch</v>
      </c>
      <c r="G6" s="69" t="str">
        <v>Rumantsch Grischun</v>
      </c>
      <c r="H6" s="68" t="str">
        <v>Rechtskategorie</v>
      </c>
      <c r="I6" s="68" t="str">
        <v>Regeltyp</v>
      </c>
      <c r="J6" s="68" t="str">
        <v>Monat</v>
      </c>
      <c r="K6" s="68" t="str">
        <v>Tag</v>
      </c>
      <c r="L6" s="68" t="str">
        <v>Osterversatz</v>
      </c>
      <c r="M6" s="68" t="str">
        <v>ISO-Wochentag</v>
      </c>
      <c r="N6" s="68" t="str">
        <v>Vorkommen</v>
      </c>
      <c r="O6" s="68" t="str">
        <v>Gültig ab</v>
      </c>
      <c r="P6" s="68" t="str">
        <v>Gültig bis</v>
      </c>
      <c r="Q6" s="68" t="str">
        <v>Priorität</v>
      </c>
      <c r="R6" s="68" t="str">
        <v>Fachstatus</v>
      </c>
      <c r="S6" s="68" t="str">
        <v>Freigabebasis</v>
      </c>
      <c r="T6" s="68" t="str">
        <v>Wirkung</v>
      </c>
      <c r="U6" s="68" t="str">
        <v>Zielregel</v>
      </c>
      <c r="V6" s="68" t="str">
        <v>Exportklasse</v>
      </c>
      <c r="W6" s="68" t="str">
        <v>Rohdatum</v>
      </c>
      <c r="X6" s="68" t="str">
        <v>Datum im Geltungszeitraum</v>
      </c>
      <c r="Y6" s="68" t="str">
        <v>Quellen-ID</v>
      </c>
      <c r="Z6" s="68" t="str">
        <v>Fundstelle</v>
      </c>
      <c r="AA6" s="80" t="str">
        <v>Osterrechnung</v>
      </c>
      <c r="AB6" s="80" t="str">
        <v>Wert</v>
      </c>
    </row>
    <row r="7" ht="38" customHeight="1">
      <c r="A7" s="71" t="str">
        <v>CH-CAL-HOL-NATIONAL-DAY</v>
      </c>
      <c r="B7" s="71" t="str">
        <v>CH</v>
      </c>
      <c r="C7" s="71" t="str">
        <v>CH-ALL</v>
      </c>
      <c r="D7" s="71" t="str">
        <v>Bundesfeiertag</v>
      </c>
      <c r="E7" s="71" t="str">
        <v>Fête nationale</v>
      </c>
      <c r="F7" s="77" t="str"/>
      <c r="G7" s="77" t="str"/>
      <c r="H7" s="71" t="str">
        <v>publicHoliday</v>
      </c>
      <c r="I7" s="71" t="str">
        <v>fixedMonthDay</v>
      </c>
      <c r="J7" s="81" t="n">
        <v>8</v>
      </c>
      <c r="K7" s="81" t="n">
        <v>1</v>
      </c>
      <c r="L7" s="71"/>
      <c r="M7" s="71"/>
      <c r="N7" s="71"/>
      <c r="O7" s="70" t="n">
        <v>34516</v>
      </c>
      <c r="P7" s="70"/>
      <c r="Q7" s="71" t="n">
        <v>100</v>
      </c>
      <c r="R7" s="71" t="str">
        <v>approved</v>
      </c>
      <c r="S7" s="71" t="str">
        <v>2026-08-31-mvp-03-approved.1</v>
      </c>
      <c r="T7" s="71" t="str">
        <v>add</v>
      </c>
      <c r="U7" s="71"/>
      <c r="V7" s="71" t="str">
        <v>referenceOnly</v>
      </c>
      <c r="W7" s="70" t="n">
        <f>IF(AND(ISNUMBER('Übersicht'!$B$4),'Übersicht'!$B$4=INT('Übersicht'!$B$4),'Übersicht'!$B$4&gt;=2026,'Übersicht'!$B$4&lt;=2028),IF(I7="fixedMonthDay",IF(AND(ISNUMBER(J7),ISNUMBER(K7),J7=INT(J7),K7=INT(K7),MONTH(DATE('Übersicht'!$B$4,J7,K7))=J7,DAY(DATE('Übersicht'!$B$4,J7,K7))=K7),DATE('Übersicht'!$B$4,J7,K7),NA()),IF(I7="easterOffsetDays",IF(AND(ISNUMBER(L7),L7=INT(L7),ABS(L7)&lt;=366),$AB$23+L7,NA()),IF(I7="nthWeekdayOfMonth",IF(AND(ISNUMBER(J7),ISNUMBER(M7),ISNUMBER(N7),J7=INT(J7),M7=INT(M7),N7=INT(N7),J7&gt;=1,J7&lt;=12,M7&gt;=1,M7&lt;=7,N7&gt;=1,N7&lt;=5,MONTH(DATE('Übersicht'!$B$4,J7,1)+MOD(M7-WEEKDAY(DATE('Übersicht'!$B$4,J7,1),2),7)+7*(N7-1))=J7),DATE('Übersicht'!$B$4,J7,1)+MOD(M7-WEEKDAY(DATE('Übersicht'!$B$4,J7,1),2),7)+7*(N7-1),NA()),NA()))),NA())</f>
        <v>46600</v>
      </c>
      <c r="X7" s="70" t="n">
        <f>IF(AND(W7&gt;=O7,OR(P7="",W7&lt;=P7)),W7,"Ausserhalb Geltung")</f>
        <v>46600</v>
      </c>
      <c r="Y7" s="71" t="str">
        <v>SRC-BUNDESFEIERTAG-19940701</v>
      </c>
      <c r="Z7" s="71" t="str">
        <v>Art. 1</v>
      </c>
      <c r="AA7" s="82" t="str">
        <v>Jahr</v>
      </c>
      <c r="AB7" s="82" t="n">
        <f>'Übersicht'!$B$4</f>
        <v>2027</v>
      </c>
    </row>
    <row r="8" ht="38" customHeight="1">
      <c r="A8" s="74" t="str">
        <v>BE-CAL-HOL-NEW-YEAR</v>
      </c>
      <c r="B8" s="74" t="str">
        <v>CH-BE</v>
      </c>
      <c r="C8" s="74" t="str">
        <v>BE-ALL</v>
      </c>
      <c r="D8" s="74" t="str">
        <v>Neujahr</v>
      </c>
      <c r="E8" s="74" t="str">
        <v>Nouvel An</v>
      </c>
      <c r="F8" s="79" t="str"/>
      <c r="G8" s="79" t="str"/>
      <c r="H8" s="74" t="str">
        <v>publicHoliday</v>
      </c>
      <c r="I8" s="74" t="str">
        <v>fixedMonthDay</v>
      </c>
      <c r="J8" s="83" t="n">
        <v>1</v>
      </c>
      <c r="K8" s="83" t="n">
        <v>1</v>
      </c>
      <c r="L8" s="74"/>
      <c r="M8" s="74"/>
      <c r="N8" s="74"/>
      <c r="O8" s="73" t="n">
        <v>46023</v>
      </c>
      <c r="P8" s="73"/>
      <c r="Q8" s="74" t="n">
        <v>100</v>
      </c>
      <c r="R8" s="74" t="str">
        <v>approved</v>
      </c>
      <c r="S8" s="74" t="str">
        <v>2026-08-31-mvp-03-approved.1</v>
      </c>
      <c r="T8" s="74" t="str">
        <v>add</v>
      </c>
      <c r="U8" s="74"/>
      <c r="V8" s="74" t="str">
        <v>referenceOnly</v>
      </c>
      <c r="W8" s="73" t="n">
        <f>IF(AND(ISNUMBER('Übersicht'!$B$4),'Übersicht'!$B$4=INT('Übersicht'!$B$4),'Übersicht'!$B$4&gt;=2026,'Übersicht'!$B$4&lt;=2028),IF(I8="fixedMonthDay",IF(AND(ISNUMBER(J8),ISNUMBER(K8),J8=INT(J8),K8=INT(K8),MONTH(DATE('Übersicht'!$B$4,J8,K8))=J8,DAY(DATE('Übersicht'!$B$4,J8,K8))=K8),DATE('Übersicht'!$B$4,J8,K8),NA()),IF(I8="easterOffsetDays",IF(AND(ISNUMBER(L8),L8=INT(L8),ABS(L8)&lt;=366),$AB$23+L8,NA()),IF(I8="nthWeekdayOfMonth",IF(AND(ISNUMBER(J8),ISNUMBER(M8),ISNUMBER(N8),J8=INT(J8),M8=INT(M8),N8=INT(N8),J8&gt;=1,J8&lt;=12,M8&gt;=1,M8&lt;=7,N8&gt;=1,N8&lt;=5,MONTH(DATE('Übersicht'!$B$4,J8,1)+MOD(M8-WEEKDAY(DATE('Übersicht'!$B$4,J8,1),2),7)+7*(N8-1))=J8),DATE('Übersicht'!$B$4,J8,1)+MOD(M8-WEEKDAY(DATE('Übersicht'!$B$4,J8,1),2),7)+7*(N8-1),NA()),NA()))),NA())</f>
        <v>46388</v>
      </c>
      <c r="X8" s="73" t="n">
        <f>IF(AND(W8&gt;=O8,OR(P8="",W8&lt;=P8)),W8,"Ausserhalb Geltung")</f>
        <v>46388</v>
      </c>
      <c r="Y8" s="74" t="str">
        <v>SRC-FRG-BE-20210401</v>
      </c>
      <c r="Z8" s="74" t="str">
        <v>Art. 2 Abs. 1 Bst. c</v>
      </c>
      <c r="AA8" s="82" t="str">
        <v>a</v>
      </c>
      <c r="AB8" s="82" t="n">
        <f>MOD(AB7,19)</f>
        <v>13</v>
      </c>
    </row>
    <row r="9" ht="38" customHeight="1">
      <c r="A9" s="71" t="str">
        <v>BE-CAL-HOL-BERCHTOLD-DAY</v>
      </c>
      <c r="B9" s="71" t="str">
        <v>CH-BE</v>
      </c>
      <c r="C9" s="71" t="str">
        <v>BE-ALL</v>
      </c>
      <c r="D9" s="71" t="str">
        <v>Berchtoldstag</v>
      </c>
      <c r="E9" s="71" t="str">
        <v>Saint-Berchtold</v>
      </c>
      <c r="F9" s="77" t="str"/>
      <c r="G9" s="77" t="str"/>
      <c r="H9" s="71" t="str">
        <v>publicHoliday</v>
      </c>
      <c r="I9" s="71" t="str">
        <v>fixedMonthDay</v>
      </c>
      <c r="J9" s="81" t="n">
        <v>1</v>
      </c>
      <c r="K9" s="81" t="n">
        <v>2</v>
      </c>
      <c r="L9" s="71"/>
      <c r="M9" s="71"/>
      <c r="N9" s="71"/>
      <c r="O9" s="70" t="n">
        <v>46023</v>
      </c>
      <c r="P9" s="70"/>
      <c r="Q9" s="71" t="n">
        <v>100</v>
      </c>
      <c r="R9" s="71" t="str">
        <v>approved</v>
      </c>
      <c r="S9" s="71" t="str">
        <v>2026-08-31-mvp-03-approved.1</v>
      </c>
      <c r="T9" s="71" t="str">
        <v>add</v>
      </c>
      <c r="U9" s="71"/>
      <c r="V9" s="71" t="str">
        <v>referenceOnly</v>
      </c>
      <c r="W9" s="70" t="n">
        <f>IF(AND(ISNUMBER('Übersicht'!$B$4),'Übersicht'!$B$4=INT('Übersicht'!$B$4),'Übersicht'!$B$4&gt;=2026,'Übersicht'!$B$4&lt;=2028),IF(I9="fixedMonthDay",IF(AND(ISNUMBER(J9),ISNUMBER(K9),J9=INT(J9),K9=INT(K9),MONTH(DATE('Übersicht'!$B$4,J9,K9))=J9,DAY(DATE('Übersicht'!$B$4,J9,K9))=K9),DATE('Übersicht'!$B$4,J9,K9),NA()),IF(I9="easterOffsetDays",IF(AND(ISNUMBER(L9),L9=INT(L9),ABS(L9)&lt;=366),$AB$23+L9,NA()),IF(I9="nthWeekdayOfMonth",IF(AND(ISNUMBER(J9),ISNUMBER(M9),ISNUMBER(N9),J9=INT(J9),M9=INT(M9),N9=INT(N9),J9&gt;=1,J9&lt;=12,M9&gt;=1,M9&lt;=7,N9&gt;=1,N9&lt;=5,MONTH(DATE('Übersicht'!$B$4,J9,1)+MOD(M9-WEEKDAY(DATE('Übersicht'!$B$4,J9,1),2),7)+7*(N9-1))=J9),DATE('Übersicht'!$B$4,J9,1)+MOD(M9-WEEKDAY(DATE('Übersicht'!$B$4,J9,1),2),7)+7*(N9-1),NA()),NA()))),NA())</f>
        <v>46389</v>
      </c>
      <c r="X9" s="70" t="n">
        <f>IF(AND(W9&gt;=O9,OR(P9="",W9&lt;=P9)),W9,"Ausserhalb Geltung")</f>
        <v>46389</v>
      </c>
      <c r="Y9" s="71" t="str">
        <v>SRC-FRG-BE-20210401</v>
      </c>
      <c r="Z9" s="71" t="str">
        <v>Art. 2 Abs. 1 Bst. c</v>
      </c>
      <c r="AA9" s="82" t="str">
        <v>b</v>
      </c>
      <c r="AB9" s="82" t="n">
        <f>INT(AB7/100)</f>
        <v>20</v>
      </c>
    </row>
    <row r="10" ht="38" customHeight="1">
      <c r="A10" s="74" t="str">
        <v>BE-CAL-HOL-GOOD-FRIDAY</v>
      </c>
      <c r="B10" s="74" t="str">
        <v>CH-BE</v>
      </c>
      <c r="C10" s="74" t="str">
        <v>BE-ALL</v>
      </c>
      <c r="D10" s="74" t="str">
        <v>Karfreitag</v>
      </c>
      <c r="E10" s="74" t="str">
        <v>Vendredi saint</v>
      </c>
      <c r="F10" s="79" t="str"/>
      <c r="G10" s="79" t="str"/>
      <c r="H10" s="74" t="str">
        <v>publicHoliday</v>
      </c>
      <c r="I10" s="74" t="str">
        <v>easterOffsetDays</v>
      </c>
      <c r="J10" s="83"/>
      <c r="K10" s="83"/>
      <c r="L10" s="74" t="n">
        <v>-2</v>
      </c>
      <c r="M10" s="74"/>
      <c r="N10" s="74"/>
      <c r="O10" s="73" t="n">
        <v>46023</v>
      </c>
      <c r="P10" s="73"/>
      <c r="Q10" s="74" t="n">
        <v>100</v>
      </c>
      <c r="R10" s="74" t="str">
        <v>approved</v>
      </c>
      <c r="S10" s="74" t="str">
        <v>2026-08-31-mvp-03-approved.1</v>
      </c>
      <c r="T10" s="74" t="str">
        <v>add</v>
      </c>
      <c r="U10" s="74"/>
      <c r="V10" s="74" t="str">
        <v>referenceOnly</v>
      </c>
      <c r="W10" s="73" t="n">
        <f>IF(AND(ISNUMBER('Übersicht'!$B$4),'Übersicht'!$B$4=INT('Übersicht'!$B$4),'Übersicht'!$B$4&gt;=2026,'Übersicht'!$B$4&lt;=2028),IF(I10="fixedMonthDay",IF(AND(ISNUMBER(J10),ISNUMBER(K10),J10=INT(J10),K10=INT(K10),MONTH(DATE('Übersicht'!$B$4,J10,K10))=J10,DAY(DATE('Übersicht'!$B$4,J10,K10))=K10),DATE('Übersicht'!$B$4,J10,K10),NA()),IF(I10="easterOffsetDays",IF(AND(ISNUMBER(L10),L10=INT(L10),ABS(L10)&lt;=366),$AB$23+L10,NA()),IF(I10="nthWeekdayOfMonth",IF(AND(ISNUMBER(J10),ISNUMBER(M10),ISNUMBER(N10),J10=INT(J10),M10=INT(M10),N10=INT(N10),J10&gt;=1,J10&lt;=12,M10&gt;=1,M10&lt;=7,N10&gt;=1,N10&lt;=5,MONTH(DATE('Übersicht'!$B$4,J10,1)+MOD(M10-WEEKDAY(DATE('Übersicht'!$B$4,J10,1),2),7)+7*(N10-1))=J10),DATE('Übersicht'!$B$4,J10,1)+MOD(M10-WEEKDAY(DATE('Übersicht'!$B$4,J10,1),2),7)+7*(N10-1),NA()),NA()))),NA())</f>
        <v>46472</v>
      </c>
      <c r="X10" s="73" t="n">
        <f>IF(AND(W10&gt;=O10,OR(P10="",W10&lt;=P10)),W10,"Ausserhalb Geltung")</f>
        <v>46472</v>
      </c>
      <c r="Y10" s="74" t="str">
        <v>SRC-FRG-BE-20210401</v>
      </c>
      <c r="Z10" s="74" t="str">
        <v>Art. 2 Abs. 1 Bst. b</v>
      </c>
      <c r="AA10" s="82" t="str">
        <v>c</v>
      </c>
      <c r="AB10" s="82" t="n">
        <f>MOD(AB7,100)</f>
        <v>27</v>
      </c>
    </row>
    <row r="11" ht="38" customHeight="1">
      <c r="A11" s="71" t="str">
        <v>BE-CAL-HOL-EASTER</v>
      </c>
      <c r="B11" s="71" t="str">
        <v>CH-BE</v>
      </c>
      <c r="C11" s="71" t="str">
        <v>BE-ALL</v>
      </c>
      <c r="D11" s="71" t="str">
        <v>Ostern</v>
      </c>
      <c r="E11" s="71" t="str">
        <v>Pâques</v>
      </c>
      <c r="F11" s="77" t="str"/>
      <c r="G11" s="77" t="str"/>
      <c r="H11" s="71" t="str">
        <v>publicHoliday</v>
      </c>
      <c r="I11" s="71" t="str">
        <v>easterOffsetDays</v>
      </c>
      <c r="J11" s="81"/>
      <c r="K11" s="81"/>
      <c r="L11" s="71" t="n">
        <v>0</v>
      </c>
      <c r="M11" s="71"/>
      <c r="N11" s="71"/>
      <c r="O11" s="70" t="n">
        <v>46023</v>
      </c>
      <c r="P11" s="70"/>
      <c r="Q11" s="71" t="n">
        <v>100</v>
      </c>
      <c r="R11" s="71" t="str">
        <v>approved</v>
      </c>
      <c r="S11" s="71" t="str">
        <v>2026-08-31-mvp-03-approved.1</v>
      </c>
      <c r="T11" s="71" t="str">
        <v>add</v>
      </c>
      <c r="U11" s="71"/>
      <c r="V11" s="71" t="str">
        <v>referenceOnly</v>
      </c>
      <c r="W11" s="70" t="n">
        <f>IF(AND(ISNUMBER('Übersicht'!$B$4),'Übersicht'!$B$4=INT('Übersicht'!$B$4),'Übersicht'!$B$4&gt;=2026,'Übersicht'!$B$4&lt;=2028),IF(I11="fixedMonthDay",IF(AND(ISNUMBER(J11),ISNUMBER(K11),J11=INT(J11),K11=INT(K11),MONTH(DATE('Übersicht'!$B$4,J11,K11))=J11,DAY(DATE('Übersicht'!$B$4,J11,K11))=K11),DATE('Übersicht'!$B$4,J11,K11),NA()),IF(I11="easterOffsetDays",IF(AND(ISNUMBER(L11),L11=INT(L11),ABS(L11)&lt;=366),$AB$23+L11,NA()),IF(I11="nthWeekdayOfMonth",IF(AND(ISNUMBER(J11),ISNUMBER(M11),ISNUMBER(N11),J11=INT(J11),M11=INT(M11),N11=INT(N11),J11&gt;=1,J11&lt;=12,M11&gt;=1,M11&lt;=7,N11&gt;=1,N11&lt;=5,MONTH(DATE('Übersicht'!$B$4,J11,1)+MOD(M11-WEEKDAY(DATE('Übersicht'!$B$4,J11,1),2),7)+7*(N11-1))=J11),DATE('Übersicht'!$B$4,J11,1)+MOD(M11-WEEKDAY(DATE('Übersicht'!$B$4,J11,1),2),7)+7*(N11-1),NA()),NA()))),NA())</f>
        <v>46474</v>
      </c>
      <c r="X11" s="70" t="n">
        <f>IF(AND(W11&gt;=O11,OR(P11="",W11&lt;=P11)),W11,"Ausserhalb Geltung")</f>
        <v>46474</v>
      </c>
      <c r="Y11" s="71" t="str">
        <v>SRC-FRG-BE-20210401</v>
      </c>
      <c r="Z11" s="71" t="str">
        <v>Art. 2 Abs. 1 Bst. b</v>
      </c>
      <c r="AA11" s="82" t="str">
        <v>d</v>
      </c>
      <c r="AB11" s="82" t="n">
        <f>INT(AB9/4)</f>
        <v>5</v>
      </c>
    </row>
    <row r="12" ht="38" customHeight="1">
      <c r="A12" s="74" t="str">
        <v>BE-CAL-HOL-EASTER-MONDAY</v>
      </c>
      <c r="B12" s="74" t="str">
        <v>CH-BE</v>
      </c>
      <c r="C12" s="74" t="str">
        <v>BE-ALL</v>
      </c>
      <c r="D12" s="74" t="str">
        <v>Ostermontag</v>
      </c>
      <c r="E12" s="74" t="str">
        <v>Lundi de Pâques</v>
      </c>
      <c r="F12" s="79" t="str"/>
      <c r="G12" s="79" t="str"/>
      <c r="H12" s="74" t="str">
        <v>publicHoliday</v>
      </c>
      <c r="I12" s="74" t="str">
        <v>easterOffsetDays</v>
      </c>
      <c r="J12" s="83"/>
      <c r="K12" s="83"/>
      <c r="L12" s="74" t="n">
        <v>1</v>
      </c>
      <c r="M12" s="74"/>
      <c r="N12" s="74"/>
      <c r="O12" s="73" t="n">
        <v>46023</v>
      </c>
      <c r="P12" s="73"/>
      <c r="Q12" s="74" t="n">
        <v>100</v>
      </c>
      <c r="R12" s="74" t="str">
        <v>approved</v>
      </c>
      <c r="S12" s="74" t="str">
        <v>2026-08-31-mvp-03-approved.1</v>
      </c>
      <c r="T12" s="74" t="str">
        <v>add</v>
      </c>
      <c r="U12" s="74"/>
      <c r="V12" s="74" t="str">
        <v>referenceOnly</v>
      </c>
      <c r="W12" s="73" t="n">
        <f>IF(AND(ISNUMBER('Übersicht'!$B$4),'Übersicht'!$B$4=INT('Übersicht'!$B$4),'Übersicht'!$B$4&gt;=2026,'Übersicht'!$B$4&lt;=2028),IF(I12="fixedMonthDay",IF(AND(ISNUMBER(J12),ISNUMBER(K12),J12=INT(J12),K12=INT(K12),MONTH(DATE('Übersicht'!$B$4,J12,K12))=J12,DAY(DATE('Übersicht'!$B$4,J12,K12))=K12),DATE('Übersicht'!$B$4,J12,K12),NA()),IF(I12="easterOffsetDays",IF(AND(ISNUMBER(L12),L12=INT(L12),ABS(L12)&lt;=366),$AB$23+L12,NA()),IF(I12="nthWeekdayOfMonth",IF(AND(ISNUMBER(J12),ISNUMBER(M12),ISNUMBER(N12),J12=INT(J12),M12=INT(M12),N12=INT(N12),J12&gt;=1,J12&lt;=12,M12&gt;=1,M12&lt;=7,N12&gt;=1,N12&lt;=5,MONTH(DATE('Übersicht'!$B$4,J12,1)+MOD(M12-WEEKDAY(DATE('Übersicht'!$B$4,J12,1),2),7)+7*(N12-1))=J12),DATE('Übersicht'!$B$4,J12,1)+MOD(M12-WEEKDAY(DATE('Übersicht'!$B$4,J12,1),2),7)+7*(N12-1),NA()),NA()))),NA())</f>
        <v>46475</v>
      </c>
      <c r="X12" s="73" t="n">
        <f>IF(AND(W12&gt;=O12,OR(P12="",W12&lt;=P12)),W12,"Ausserhalb Geltung")</f>
        <v>46475</v>
      </c>
      <c r="Y12" s="74" t="str">
        <v>SRC-FRG-BE-20210401</v>
      </c>
      <c r="Z12" s="74" t="str">
        <v>Art. 2 Abs. 1 Bst. c</v>
      </c>
      <c r="AA12" s="82" t="str">
        <v>e</v>
      </c>
      <c r="AB12" s="82" t="n">
        <f>MOD(AB9,4)</f>
        <v>0</v>
      </c>
    </row>
    <row r="13" ht="38" customHeight="1">
      <c r="A13" s="71" t="str">
        <v>BE-CAL-HOL-ASCENSION</v>
      </c>
      <c r="B13" s="71" t="str">
        <v>CH-BE</v>
      </c>
      <c r="C13" s="71" t="str">
        <v>BE-ALL</v>
      </c>
      <c r="D13" s="71" t="str">
        <v>Auffahrt</v>
      </c>
      <c r="E13" s="71" t="str">
        <v>Ascension</v>
      </c>
      <c r="F13" s="77" t="str"/>
      <c r="G13" s="77" t="str"/>
      <c r="H13" s="71" t="str">
        <v>publicHoliday</v>
      </c>
      <c r="I13" s="71" t="str">
        <v>easterOffsetDays</v>
      </c>
      <c r="J13" s="81"/>
      <c r="K13" s="81"/>
      <c r="L13" s="71" t="n">
        <v>39</v>
      </c>
      <c r="M13" s="71"/>
      <c r="N13" s="71"/>
      <c r="O13" s="70" t="n">
        <v>46023</v>
      </c>
      <c r="P13" s="70"/>
      <c r="Q13" s="71" t="n">
        <v>100</v>
      </c>
      <c r="R13" s="71" t="str">
        <v>approved</v>
      </c>
      <c r="S13" s="71" t="str">
        <v>2026-08-31-mvp-03-approved.1</v>
      </c>
      <c r="T13" s="71" t="str">
        <v>add</v>
      </c>
      <c r="U13" s="71"/>
      <c r="V13" s="71" t="str">
        <v>referenceOnly</v>
      </c>
      <c r="W13" s="70" t="n">
        <f>IF(AND(ISNUMBER('Übersicht'!$B$4),'Übersicht'!$B$4=INT('Übersicht'!$B$4),'Übersicht'!$B$4&gt;=2026,'Übersicht'!$B$4&lt;=2028),IF(I13="fixedMonthDay",IF(AND(ISNUMBER(J13),ISNUMBER(K13),J13=INT(J13),K13=INT(K13),MONTH(DATE('Übersicht'!$B$4,J13,K13))=J13,DAY(DATE('Übersicht'!$B$4,J13,K13))=K13),DATE('Übersicht'!$B$4,J13,K13),NA()),IF(I13="easterOffsetDays",IF(AND(ISNUMBER(L13),L13=INT(L13),ABS(L13)&lt;=366),$AB$23+L13,NA()),IF(I13="nthWeekdayOfMonth",IF(AND(ISNUMBER(J13),ISNUMBER(M13),ISNUMBER(N13),J13=INT(J13),M13=INT(M13),N13=INT(N13),J13&gt;=1,J13&lt;=12,M13&gt;=1,M13&lt;=7,N13&gt;=1,N13&lt;=5,MONTH(DATE('Übersicht'!$B$4,J13,1)+MOD(M13-WEEKDAY(DATE('Übersicht'!$B$4,J13,1),2),7)+7*(N13-1))=J13),DATE('Übersicht'!$B$4,J13,1)+MOD(M13-WEEKDAY(DATE('Übersicht'!$B$4,J13,1),2),7)+7*(N13-1),NA()),NA()))),NA())</f>
        <v>46513</v>
      </c>
      <c r="X13" s="70" t="n">
        <f>IF(AND(W13&gt;=O13,OR(P13="",W13&lt;=P13)),W13,"Ausserhalb Geltung")</f>
        <v>46513</v>
      </c>
      <c r="Y13" s="71" t="str">
        <v>SRC-FRG-BE-20210401</v>
      </c>
      <c r="Z13" s="71" t="str">
        <v>Art. 2 Abs. 1 Bst. b</v>
      </c>
      <c r="AA13" s="82" t="str">
        <v>f</v>
      </c>
      <c r="AB13" s="82" t="n">
        <f>INT((AB9+8)/25)</f>
        <v>1</v>
      </c>
    </row>
    <row r="14" ht="38" customHeight="1">
      <c r="A14" s="74" t="str">
        <v>BE-CAL-HOL-PENTECOST</v>
      </c>
      <c r="B14" s="74" t="str">
        <v>CH-BE</v>
      </c>
      <c r="C14" s="74" t="str">
        <v>BE-ALL</v>
      </c>
      <c r="D14" s="74" t="str">
        <v>Pfingsten</v>
      </c>
      <c r="E14" s="74" t="str">
        <v>Pentecôte</v>
      </c>
      <c r="F14" s="79" t="str"/>
      <c r="G14" s="79" t="str"/>
      <c r="H14" s="74" t="str">
        <v>publicHoliday</v>
      </c>
      <c r="I14" s="74" t="str">
        <v>easterOffsetDays</v>
      </c>
      <c r="J14" s="83"/>
      <c r="K14" s="83"/>
      <c r="L14" s="74" t="n">
        <v>49</v>
      </c>
      <c r="M14" s="74"/>
      <c r="N14" s="74"/>
      <c r="O14" s="73" t="n">
        <v>46023</v>
      </c>
      <c r="P14" s="73"/>
      <c r="Q14" s="74" t="n">
        <v>100</v>
      </c>
      <c r="R14" s="74" t="str">
        <v>approved</v>
      </c>
      <c r="S14" s="74" t="str">
        <v>2026-08-31-mvp-03-approved.1</v>
      </c>
      <c r="T14" s="74" t="str">
        <v>add</v>
      </c>
      <c r="U14" s="74"/>
      <c r="V14" s="74" t="str">
        <v>referenceOnly</v>
      </c>
      <c r="W14" s="73" t="n">
        <f>IF(AND(ISNUMBER('Übersicht'!$B$4),'Übersicht'!$B$4=INT('Übersicht'!$B$4),'Übersicht'!$B$4&gt;=2026,'Übersicht'!$B$4&lt;=2028),IF(I14="fixedMonthDay",IF(AND(ISNUMBER(J14),ISNUMBER(K14),J14=INT(J14),K14=INT(K14),MONTH(DATE('Übersicht'!$B$4,J14,K14))=J14,DAY(DATE('Übersicht'!$B$4,J14,K14))=K14),DATE('Übersicht'!$B$4,J14,K14),NA()),IF(I14="easterOffsetDays",IF(AND(ISNUMBER(L14),L14=INT(L14),ABS(L14)&lt;=366),$AB$23+L14,NA()),IF(I14="nthWeekdayOfMonth",IF(AND(ISNUMBER(J14),ISNUMBER(M14),ISNUMBER(N14),J14=INT(J14),M14=INT(M14),N14=INT(N14),J14&gt;=1,J14&lt;=12,M14&gt;=1,M14&lt;=7,N14&gt;=1,N14&lt;=5,MONTH(DATE('Übersicht'!$B$4,J14,1)+MOD(M14-WEEKDAY(DATE('Übersicht'!$B$4,J14,1),2),7)+7*(N14-1))=J14),DATE('Übersicht'!$B$4,J14,1)+MOD(M14-WEEKDAY(DATE('Übersicht'!$B$4,J14,1),2),7)+7*(N14-1),NA()),NA()))),NA())</f>
        <v>46523</v>
      </c>
      <c r="X14" s="73" t="n">
        <f>IF(AND(W14&gt;=O14,OR(P14="",W14&lt;=P14)),W14,"Ausserhalb Geltung")</f>
        <v>46523</v>
      </c>
      <c r="Y14" s="74" t="str">
        <v>SRC-FRG-BE-20210401</v>
      </c>
      <c r="Z14" s="74" t="str">
        <v>Art. 2 Abs. 1 Bst. b</v>
      </c>
      <c r="AA14" s="82" t="str">
        <v>g</v>
      </c>
      <c r="AB14" s="82" t="n">
        <f>INT((AB9-AB13+1)/3)</f>
        <v>6</v>
      </c>
    </row>
    <row r="15" ht="38" customHeight="1">
      <c r="A15" s="71" t="str">
        <v>BE-CAL-HOL-WHIT-MONDAY</v>
      </c>
      <c r="B15" s="71" t="str">
        <v>CH-BE</v>
      </c>
      <c r="C15" s="71" t="str">
        <v>BE-ALL</v>
      </c>
      <c r="D15" s="71" t="str">
        <v>Pfingstmontag</v>
      </c>
      <c r="E15" s="71" t="str">
        <v>Lundi de Pentecôte</v>
      </c>
      <c r="F15" s="77" t="str"/>
      <c r="G15" s="77" t="str"/>
      <c r="H15" s="71" t="str">
        <v>publicHoliday</v>
      </c>
      <c r="I15" s="71" t="str">
        <v>easterOffsetDays</v>
      </c>
      <c r="J15" s="81"/>
      <c r="K15" s="81"/>
      <c r="L15" s="71" t="n">
        <v>50</v>
      </c>
      <c r="M15" s="71"/>
      <c r="N15" s="71"/>
      <c r="O15" s="70" t="n">
        <v>46023</v>
      </c>
      <c r="P15" s="70"/>
      <c r="Q15" s="71" t="n">
        <v>100</v>
      </c>
      <c r="R15" s="71" t="str">
        <v>approved</v>
      </c>
      <c r="S15" s="71" t="str">
        <v>2026-08-31-mvp-03-approved.1</v>
      </c>
      <c r="T15" s="71" t="str">
        <v>add</v>
      </c>
      <c r="U15" s="71"/>
      <c r="V15" s="71" t="str">
        <v>referenceOnly</v>
      </c>
      <c r="W15" s="70" t="n">
        <f>IF(AND(ISNUMBER('Übersicht'!$B$4),'Übersicht'!$B$4=INT('Übersicht'!$B$4),'Übersicht'!$B$4&gt;=2026,'Übersicht'!$B$4&lt;=2028),IF(I15="fixedMonthDay",IF(AND(ISNUMBER(J15),ISNUMBER(K15),J15=INT(J15),K15=INT(K15),MONTH(DATE('Übersicht'!$B$4,J15,K15))=J15,DAY(DATE('Übersicht'!$B$4,J15,K15))=K15),DATE('Übersicht'!$B$4,J15,K15),NA()),IF(I15="easterOffsetDays",IF(AND(ISNUMBER(L15),L15=INT(L15),ABS(L15)&lt;=366),$AB$23+L15,NA()),IF(I15="nthWeekdayOfMonth",IF(AND(ISNUMBER(J15),ISNUMBER(M15),ISNUMBER(N15),J15=INT(J15),M15=INT(M15),N15=INT(N15),J15&gt;=1,J15&lt;=12,M15&gt;=1,M15&lt;=7,N15&gt;=1,N15&lt;=5,MONTH(DATE('Übersicht'!$B$4,J15,1)+MOD(M15-WEEKDAY(DATE('Übersicht'!$B$4,J15,1),2),7)+7*(N15-1))=J15),DATE('Übersicht'!$B$4,J15,1)+MOD(M15-WEEKDAY(DATE('Übersicht'!$B$4,J15,1),2),7)+7*(N15-1),NA()),NA()))),NA())</f>
        <v>46524</v>
      </c>
      <c r="X15" s="70" t="n">
        <f>IF(AND(W15&gt;=O15,OR(P15="",W15&lt;=P15)),W15,"Ausserhalb Geltung")</f>
        <v>46524</v>
      </c>
      <c r="Y15" s="71" t="str">
        <v>SRC-FRG-BE-20210401</v>
      </c>
      <c r="Z15" s="71" t="str">
        <v>Art. 2 Abs. 1 Bst. c</v>
      </c>
      <c r="AA15" s="82" t="str">
        <v>h</v>
      </c>
      <c r="AB15" s="82" t="n">
        <f>MOD(19*AB8+AB9-AB11-AB14+15,30)</f>
        <v>1</v>
      </c>
    </row>
    <row r="16" ht="38" customHeight="1">
      <c r="A16" s="74" t="str">
        <v>BE-CAL-HOL-FEDERAL-FAST</v>
      </c>
      <c r="B16" s="74" t="str">
        <v>CH-BE</v>
      </c>
      <c r="C16" s="74" t="str">
        <v>BE-ALL</v>
      </c>
      <c r="D16" s="74" t="str">
        <v>Eidgenössischer Dank-, Buss- und Bettag</v>
      </c>
      <c r="E16" s="74" t="str">
        <v>Jeûne fédéral</v>
      </c>
      <c r="F16" s="79" t="str"/>
      <c r="G16" s="79" t="str"/>
      <c r="H16" s="74" t="str">
        <v>publicHoliday</v>
      </c>
      <c r="I16" s="74" t="str">
        <v>nthWeekdayOfMonth</v>
      </c>
      <c r="J16" s="83" t="n">
        <v>9</v>
      </c>
      <c r="K16" s="83"/>
      <c r="L16" s="74"/>
      <c r="M16" s="74" t="n">
        <v>7</v>
      </c>
      <c r="N16" s="74" t="n">
        <v>3</v>
      </c>
      <c r="O16" s="73" t="n">
        <v>46023</v>
      </c>
      <c r="P16" s="73"/>
      <c r="Q16" s="74" t="n">
        <v>100</v>
      </c>
      <c r="R16" s="74" t="str">
        <v>approved</v>
      </c>
      <c r="S16" s="74" t="str">
        <v>2026-08-31-mvp-03-approved.1</v>
      </c>
      <c r="T16" s="74" t="str">
        <v>add</v>
      </c>
      <c r="U16" s="74"/>
      <c r="V16" s="74" t="str">
        <v>referenceOnly</v>
      </c>
      <c r="W16" s="73" t="n">
        <f>IF(AND(ISNUMBER('Übersicht'!$B$4),'Übersicht'!$B$4=INT('Übersicht'!$B$4),'Übersicht'!$B$4&gt;=2026,'Übersicht'!$B$4&lt;=2028),IF(I16="fixedMonthDay",IF(AND(ISNUMBER(J16),ISNUMBER(K16),J16=INT(J16),K16=INT(K16),MONTH(DATE('Übersicht'!$B$4,J16,K16))=J16,DAY(DATE('Übersicht'!$B$4,J16,K16))=K16),DATE('Übersicht'!$B$4,J16,K16),NA()),IF(I16="easterOffsetDays",IF(AND(ISNUMBER(L16),L16=INT(L16),ABS(L16)&lt;=366),$AB$23+L16,NA()),IF(I16="nthWeekdayOfMonth",IF(AND(ISNUMBER(J16),ISNUMBER(M16),ISNUMBER(N16),J16=INT(J16),M16=INT(M16),N16=INT(N16),J16&gt;=1,J16&lt;=12,M16&gt;=1,M16&lt;=7,N16&gt;=1,N16&lt;=5,MONTH(DATE('Übersicht'!$B$4,J16,1)+MOD(M16-WEEKDAY(DATE('Übersicht'!$B$4,J16,1),2),7)+7*(N16-1))=J16),DATE('Übersicht'!$B$4,J16,1)+MOD(M16-WEEKDAY(DATE('Übersicht'!$B$4,J16,1),2),7)+7*(N16-1),NA()),NA()))),NA())</f>
        <v>46649</v>
      </c>
      <c r="X16" s="73" t="n">
        <f>IF(AND(W16&gt;=O16,OR(P16="",W16&lt;=P16)),W16,"Ausserhalb Geltung")</f>
        <v>46649</v>
      </c>
      <c r="Y16" s="74" t="str">
        <v>SRC-FRG-BE-20210401</v>
      </c>
      <c r="Z16" s="74" t="str">
        <v>Art. 2 Abs. 1 Bst. b</v>
      </c>
      <c r="AA16" s="82" t="str">
        <v>i</v>
      </c>
      <c r="AB16" s="82" t="n">
        <f>INT(AB10/4)</f>
        <v>6</v>
      </c>
    </row>
    <row r="17" ht="38" customHeight="1">
      <c r="A17" s="71" t="str">
        <v>BE-CAL-HOL-CHRISTMAS</v>
      </c>
      <c r="B17" s="71" t="str">
        <v>CH-BE</v>
      </c>
      <c r="C17" s="71" t="str">
        <v>BE-ALL</v>
      </c>
      <c r="D17" s="71" t="str">
        <v>Weihnachten</v>
      </c>
      <c r="E17" s="71" t="str">
        <v>Noël</v>
      </c>
      <c r="F17" s="77" t="str"/>
      <c r="G17" s="77" t="str"/>
      <c r="H17" s="71" t="str">
        <v>publicHoliday</v>
      </c>
      <c r="I17" s="71" t="str">
        <v>fixedMonthDay</v>
      </c>
      <c r="J17" s="81" t="n">
        <v>12</v>
      </c>
      <c r="K17" s="81" t="n">
        <v>25</v>
      </c>
      <c r="L17" s="71"/>
      <c r="M17" s="71"/>
      <c r="N17" s="71"/>
      <c r="O17" s="70" t="n">
        <v>46023</v>
      </c>
      <c r="P17" s="70"/>
      <c r="Q17" s="71" t="n">
        <v>100</v>
      </c>
      <c r="R17" s="71" t="str">
        <v>approved</v>
      </c>
      <c r="S17" s="71" t="str">
        <v>2026-08-31-mvp-03-approved.1</v>
      </c>
      <c r="T17" s="71" t="str">
        <v>add</v>
      </c>
      <c r="U17" s="71"/>
      <c r="V17" s="71" t="str">
        <v>referenceOnly</v>
      </c>
      <c r="W17" s="70" t="n">
        <f>IF(AND(ISNUMBER('Übersicht'!$B$4),'Übersicht'!$B$4=INT('Übersicht'!$B$4),'Übersicht'!$B$4&gt;=2026,'Übersicht'!$B$4&lt;=2028),IF(I17="fixedMonthDay",IF(AND(ISNUMBER(J17),ISNUMBER(K17),J17=INT(J17),K17=INT(K17),MONTH(DATE('Übersicht'!$B$4,J17,K17))=J17,DAY(DATE('Übersicht'!$B$4,J17,K17))=K17),DATE('Übersicht'!$B$4,J17,K17),NA()),IF(I17="easterOffsetDays",IF(AND(ISNUMBER(L17),L17=INT(L17),ABS(L17)&lt;=366),$AB$23+L17,NA()),IF(I17="nthWeekdayOfMonth",IF(AND(ISNUMBER(J17),ISNUMBER(M17),ISNUMBER(N17),J17=INT(J17),M17=INT(M17),N17=INT(N17),J17&gt;=1,J17&lt;=12,M17&gt;=1,M17&lt;=7,N17&gt;=1,N17&lt;=5,MONTH(DATE('Übersicht'!$B$4,J17,1)+MOD(M17-WEEKDAY(DATE('Übersicht'!$B$4,J17,1),2),7)+7*(N17-1))=J17),DATE('Übersicht'!$B$4,J17,1)+MOD(M17-WEEKDAY(DATE('Übersicht'!$B$4,J17,1),2),7)+7*(N17-1),NA()),NA()))),NA())</f>
        <v>46746</v>
      </c>
      <c r="X17" s="70" t="n">
        <f>IF(AND(W17&gt;=O17,OR(P17="",W17&lt;=P17)),W17,"Ausserhalb Geltung")</f>
        <v>46746</v>
      </c>
      <c r="Y17" s="71" t="str">
        <v>SRC-FRG-BE-20210401</v>
      </c>
      <c r="Z17" s="71" t="str">
        <v>Art. 2 Abs. 1 Bst. b</v>
      </c>
      <c r="AA17" s="82" t="str">
        <v>k</v>
      </c>
      <c r="AB17" s="82" t="n">
        <f>MOD(AB10,4)</f>
        <v>3</v>
      </c>
    </row>
    <row r="18" ht="38" customHeight="1">
      <c r="A18" s="74" t="str">
        <v>BE-CAL-HOL-ST-STEPHEN</v>
      </c>
      <c r="B18" s="74" t="str">
        <v>CH-BE</v>
      </c>
      <c r="C18" s="74" t="str">
        <v>BE-ALL</v>
      </c>
      <c r="D18" s="74" t="str">
        <v>Stephanstag</v>
      </c>
      <c r="E18" s="74" t="str">
        <v>Saint-Étienne</v>
      </c>
      <c r="F18" s="79" t="str"/>
      <c r="G18" s="79" t="str"/>
      <c r="H18" s="74" t="str">
        <v>publicHoliday</v>
      </c>
      <c r="I18" s="74" t="str">
        <v>fixedMonthDay</v>
      </c>
      <c r="J18" s="83" t="n">
        <v>12</v>
      </c>
      <c r="K18" s="83" t="n">
        <v>26</v>
      </c>
      <c r="L18" s="74"/>
      <c r="M18" s="74"/>
      <c r="N18" s="74"/>
      <c r="O18" s="73" t="n">
        <v>46023</v>
      </c>
      <c r="P18" s="73"/>
      <c r="Q18" s="74" t="n">
        <v>100</v>
      </c>
      <c r="R18" s="74" t="str">
        <v>approved</v>
      </c>
      <c r="S18" s="74" t="str">
        <v>2026-08-31-mvp-03-approved.1</v>
      </c>
      <c r="T18" s="74" t="str">
        <v>add</v>
      </c>
      <c r="U18" s="74"/>
      <c r="V18" s="74" t="str">
        <v>referenceOnly</v>
      </c>
      <c r="W18" s="73" t="n">
        <f>IF(AND(ISNUMBER('Übersicht'!$B$4),'Übersicht'!$B$4=INT('Übersicht'!$B$4),'Übersicht'!$B$4&gt;=2026,'Übersicht'!$B$4&lt;=2028),IF(I18="fixedMonthDay",IF(AND(ISNUMBER(J18),ISNUMBER(K18),J18=INT(J18),K18=INT(K18),MONTH(DATE('Übersicht'!$B$4,J18,K18))=J18,DAY(DATE('Übersicht'!$B$4,J18,K18))=K18),DATE('Übersicht'!$B$4,J18,K18),NA()),IF(I18="easterOffsetDays",IF(AND(ISNUMBER(L18),L18=INT(L18),ABS(L18)&lt;=366),$AB$23+L18,NA()),IF(I18="nthWeekdayOfMonth",IF(AND(ISNUMBER(J18),ISNUMBER(M18),ISNUMBER(N18),J18=INT(J18),M18=INT(M18),N18=INT(N18),J18&gt;=1,J18&lt;=12,M18&gt;=1,M18&lt;=7,N18&gt;=1,N18&lt;=5,MONTH(DATE('Übersicht'!$B$4,J18,1)+MOD(M18-WEEKDAY(DATE('Übersicht'!$B$4,J18,1),2),7)+7*(N18-1))=J18),DATE('Übersicht'!$B$4,J18,1)+MOD(M18-WEEKDAY(DATE('Übersicht'!$B$4,J18,1),2),7)+7*(N18-1),NA()),NA()))),NA())</f>
        <v>46747</v>
      </c>
      <c r="X18" s="73" t="n">
        <f>IF(AND(W18&gt;=O18,OR(P18="",W18&lt;=P18)),W18,"Ausserhalb Geltung")</f>
        <v>46747</v>
      </c>
      <c r="Y18" s="74" t="str">
        <v>SRC-FRG-BE-20210401</v>
      </c>
      <c r="Z18" s="74" t="str">
        <v>Art. 2 Abs. 1 Bst. c</v>
      </c>
      <c r="AA18" s="82" t="str">
        <v>l</v>
      </c>
      <c r="AB18" s="82" t="n">
        <f>MOD(32+2*AB12+2*AB16-AB15-AB17,7)</f>
        <v>5</v>
      </c>
    </row>
    <row r="19" ht="38" customHeight="1">
      <c r="A19" s="71" t="str">
        <v>AG-WORK-HOL-CORPUS-CHRISTI</v>
      </c>
      <c r="B19" s="71" t="str">
        <v>CH-AG</v>
      </c>
      <c r="C19" s="71" t="str">
        <v>AG-ARG-BADEN</v>
      </c>
      <c r="D19" s="76" t="str">
        <v>Fronleichnam</v>
      </c>
      <c r="E19" s="76" t="str">
        <v>Fête-Dieu</v>
      </c>
      <c r="F19" s="77" t="str"/>
      <c r="G19" s="77" t="str"/>
      <c r="H19" s="71" t="str">
        <v>labourLawHoliday</v>
      </c>
      <c r="I19" s="71" t="str">
        <v>easterOffsetDays</v>
      </c>
      <c r="J19" s="84"/>
      <c r="K19" s="84"/>
      <c r="L19" s="76" t="n">
        <v>60</v>
      </c>
      <c r="M19" s="76"/>
      <c r="N19" s="76"/>
      <c r="O19" s="85" t="n">
        <v>46023</v>
      </c>
      <c r="P19" s="85"/>
      <c r="Q19" s="76" t="n">
        <v>100</v>
      </c>
      <c r="R19" s="76" t="str">
        <v>open</v>
      </c>
      <c r="S19" s="71"/>
      <c r="T19" s="71" t="str">
        <v>add</v>
      </c>
      <c r="U19" s="71"/>
      <c r="V19" s="71" t="str">
        <v>blockedScope</v>
      </c>
      <c r="W19" s="70" t="n">
        <f>IF(AND(ISNUMBER('Übersicht'!$B$4),'Übersicht'!$B$4=INT('Übersicht'!$B$4),'Übersicht'!$B$4&gt;=2026,'Übersicht'!$B$4&lt;=2028),IF(I19="fixedMonthDay",IF(AND(ISNUMBER(J19),ISNUMBER(K19),J19=INT(J19),K19=INT(K19),MONTH(DATE('Übersicht'!$B$4,J19,K19))=J19,DAY(DATE('Übersicht'!$B$4,J19,K19))=K19),DATE('Übersicht'!$B$4,J19,K19),NA()),IF(I19="easterOffsetDays",IF(AND(ISNUMBER(L19),L19=INT(L19),ABS(L19)&lt;=366),$AB$23+L19,NA()),IF(I19="nthWeekdayOfMonth",IF(AND(ISNUMBER(J19),ISNUMBER(M19),ISNUMBER(N19),J19=INT(J19),M19=INT(M19),N19=INT(N19),J19&gt;=1,J19&lt;=12,M19&gt;=1,M19&lt;=7,N19&gt;=1,N19&lt;=5,MONTH(DATE('Übersicht'!$B$4,J19,1)+MOD(M19-WEEKDAY(DATE('Übersicht'!$B$4,J19,1),2),7)+7*(N19-1))=J19),DATE('Übersicht'!$B$4,J19,1)+MOD(M19-WEEKDAY(DATE('Übersicht'!$B$4,J19,1),2),7)+7*(N19-1),NA()),NA()))),NA())</f>
        <v>46534</v>
      </c>
      <c r="X19" s="70" t="n">
        <f>IF(AND(W19&gt;=O19,OR(P19="",W19&lt;=P19)),W19,"Ausserhalb Geltung")</f>
        <v>46534</v>
      </c>
      <c r="Y19" s="71" t="str">
        <v>SRC-AG-EGARR-20250901</v>
      </c>
      <c r="Z19" s="71" t="str">
        <v>§ 6 Abs. 1 Bst. b Ziff. 2</v>
      </c>
      <c r="AA19" s="82" t="str">
        <v>m</v>
      </c>
      <c r="AB19" s="82" t="n">
        <f>INT((AB8+11*AB15+22*AB18)/451)</f>
        <v>0</v>
      </c>
    </row>
    <row r="20" ht="38" customHeight="1">
      <c r="A20" s="74" t="str">
        <v>AG-WORK-HOL-BERCHTOLD</v>
      </c>
      <c r="B20" s="74" t="str">
        <v>CH-AG</v>
      </c>
      <c r="C20" s="74" t="str">
        <v>AG-ARG-BERGDIETIKON</v>
      </c>
      <c r="D20" s="78" t="str">
        <v>Berchtoldstag</v>
      </c>
      <c r="E20" s="78" t="str">
        <v>Saint-Berchtold</v>
      </c>
      <c r="F20" s="79" t="str"/>
      <c r="G20" s="79" t="str"/>
      <c r="H20" s="74" t="str">
        <v>labourLawHoliday</v>
      </c>
      <c r="I20" s="74" t="str">
        <v>fixedMonthDay</v>
      </c>
      <c r="J20" s="86" t="n">
        <v>1</v>
      </c>
      <c r="K20" s="86" t="n">
        <v>2</v>
      </c>
      <c r="L20" s="78"/>
      <c r="M20" s="78"/>
      <c r="N20" s="78"/>
      <c r="O20" s="87" t="n">
        <v>46023</v>
      </c>
      <c r="P20" s="87"/>
      <c r="Q20" s="78" t="n">
        <v>100</v>
      </c>
      <c r="R20" s="78" t="str">
        <v>open</v>
      </c>
      <c r="S20" s="74"/>
      <c r="T20" s="74" t="str">
        <v>add</v>
      </c>
      <c r="U20" s="74"/>
      <c r="V20" s="74" t="str">
        <v>blockedScope</v>
      </c>
      <c r="W20" s="73" t="n">
        <f>IF(AND(ISNUMBER('Übersicht'!$B$4),'Übersicht'!$B$4=INT('Übersicht'!$B$4),'Übersicht'!$B$4&gt;=2026,'Übersicht'!$B$4&lt;=2028),IF(I20="fixedMonthDay",IF(AND(ISNUMBER(J20),ISNUMBER(K20),J20=INT(J20),K20=INT(K20),MONTH(DATE('Übersicht'!$B$4,J20,K20))=J20,DAY(DATE('Übersicht'!$B$4,J20,K20))=K20),DATE('Übersicht'!$B$4,J20,K20),NA()),IF(I20="easterOffsetDays",IF(AND(ISNUMBER(L20),L20=INT(L20),ABS(L20)&lt;=366),$AB$23+L20,NA()),IF(I20="nthWeekdayOfMonth",IF(AND(ISNUMBER(J20),ISNUMBER(M20),ISNUMBER(N20),J20=INT(J20),M20=INT(M20),N20=INT(N20),J20&gt;=1,J20&lt;=12,M20&gt;=1,M20&lt;=7,N20&gt;=1,N20&lt;=5,MONTH(DATE('Übersicht'!$B$4,J20,1)+MOD(M20-WEEKDAY(DATE('Übersicht'!$B$4,J20,1),2),7)+7*(N20-1))=J20),DATE('Übersicht'!$B$4,J20,1)+MOD(M20-WEEKDAY(DATE('Übersicht'!$B$4,J20,1),2),7)+7*(N20-1),NA()),NA()))),NA())</f>
        <v>46389</v>
      </c>
      <c r="X20" s="73" t="n">
        <f>IF(AND(W20&gt;=O20,OR(P20="",W20&lt;=P20)),W20,"Ausserhalb Geltung")</f>
        <v>46389</v>
      </c>
      <c r="Y20" s="74" t="str">
        <v>SRC-AG-EGARR-20250901</v>
      </c>
      <c r="Z20" s="74" t="str">
        <v>§ 6 Abs. 1 Bst. b Ziff. 1</v>
      </c>
      <c r="AA20" s="82" t="str">
        <v>n</v>
      </c>
      <c r="AB20" s="82" t="n">
        <f>AB15+AB18-7*AB19+114</f>
        <v>120</v>
      </c>
    </row>
    <row r="21" ht="38" customHeight="1">
      <c r="A21" s="71" t="str">
        <v>AG-PROC-DAY-ALL-SAINTS</v>
      </c>
      <c r="B21" s="71" t="str">
        <v>CH-AG</v>
      </c>
      <c r="C21" s="71" t="str">
        <v>AG-ZPO-ALL</v>
      </c>
      <c r="D21" s="76" t="str">
        <v>Allerheiligen</v>
      </c>
      <c r="E21" s="76" t="str">
        <v>Toussaint</v>
      </c>
      <c r="F21" s="77" t="str"/>
      <c r="G21" s="77" t="str"/>
      <c r="H21" s="71" t="str">
        <v>proceduralEquivalentDay</v>
      </c>
      <c r="I21" s="71" t="str">
        <v>fixedMonthDay</v>
      </c>
      <c r="J21" s="84" t="n">
        <v>11</v>
      </c>
      <c r="K21" s="84" t="n">
        <v>1</v>
      </c>
      <c r="L21" s="76"/>
      <c r="M21" s="76"/>
      <c r="N21" s="76"/>
      <c r="O21" s="85" t="n">
        <v>46023</v>
      </c>
      <c r="P21" s="85"/>
      <c r="Q21" s="76" t="n">
        <v>100</v>
      </c>
      <c r="R21" s="76" t="str">
        <v>open</v>
      </c>
      <c r="S21" s="71"/>
      <c r="T21" s="71" t="str">
        <v>add</v>
      </c>
      <c r="U21" s="71"/>
      <c r="V21" s="71" t="str">
        <v>blockedEffect</v>
      </c>
      <c r="W21" s="70" t="n">
        <f>IF(AND(ISNUMBER('Übersicht'!$B$4),'Übersicht'!$B$4=INT('Übersicht'!$B$4),'Übersicht'!$B$4&gt;=2026,'Übersicht'!$B$4&lt;=2028),IF(I21="fixedMonthDay",IF(AND(ISNUMBER(J21),ISNUMBER(K21),J21=INT(J21),K21=INT(K21),MONTH(DATE('Übersicht'!$B$4,J21,K21))=J21,DAY(DATE('Übersicht'!$B$4,J21,K21))=K21),DATE('Übersicht'!$B$4,J21,K21),NA()),IF(I21="easterOffsetDays",IF(AND(ISNUMBER(L21),L21=INT(L21),ABS(L21)&lt;=366),$AB$23+L21,NA()),IF(I21="nthWeekdayOfMonth",IF(AND(ISNUMBER(J21),ISNUMBER(M21),ISNUMBER(N21),J21=INT(J21),M21=INT(M21),N21=INT(N21),J21&gt;=1,J21&lt;=12,M21&gt;=1,M21&lt;=7,N21&gt;=1,N21&lt;=5,MONTH(DATE('Übersicht'!$B$4,J21,1)+MOD(M21-WEEKDAY(DATE('Übersicht'!$B$4,J21,1),2),7)+7*(N21-1))=J21),DATE('Übersicht'!$B$4,J21,1)+MOD(M21-WEEKDAY(DATE('Übersicht'!$B$4,J21,1),2),7)+7*(N21-1),NA()),NA()))),NA())</f>
        <v>46692</v>
      </c>
      <c r="X21" s="70" t="n">
        <f>IF(AND(W21&gt;=O21,OR(P21="",W21&lt;=P21)),W21,"Ausserhalb Geltung")</f>
        <v>46692</v>
      </c>
      <c r="Y21" s="71" t="str">
        <v>SRC-AG-EGZPO</v>
      </c>
      <c r="Z21" s="71" t="str">
        <v>§ 21</v>
      </c>
      <c r="AA21" s="82" t="str">
        <v>Ostermonat</v>
      </c>
      <c r="AB21" s="82" t="n">
        <f>INT(AB20/31)</f>
        <v>3</v>
      </c>
    </row>
    <row r="22" ht="38" customHeight="1">
      <c r="A22" s="74" t="str">
        <v>AG-WORK-HOL-A-NEW-YEAR</v>
      </c>
      <c r="B22" s="74" t="str">
        <v>CH-AG</v>
      </c>
      <c r="C22" s="74" t="str">
        <v>AG-ARG-AARAU-BRUGG-KULM-LENZBURG-ZOFINGEN</v>
      </c>
      <c r="D22" s="78" t="str">
        <v>Neujahr</v>
      </c>
      <c r="E22" s="78" t="str">
        <v>Nouvel An</v>
      </c>
      <c r="F22" s="79" t="str"/>
      <c r="G22" s="79" t="str"/>
      <c r="H22" s="74" t="str">
        <v>labourLawHoliday</v>
      </c>
      <c r="I22" s="74" t="str">
        <v>fixedMonthDay</v>
      </c>
      <c r="J22" s="86" t="n">
        <v>1</v>
      </c>
      <c r="K22" s="86" t="n">
        <v>1</v>
      </c>
      <c r="L22" s="78"/>
      <c r="M22" s="78"/>
      <c r="N22" s="78"/>
      <c r="O22" s="87" t="n">
        <v>46023</v>
      </c>
      <c r="P22" s="87"/>
      <c r="Q22" s="78" t="n">
        <v>100</v>
      </c>
      <c r="R22" s="78" t="str">
        <v>open</v>
      </c>
      <c r="S22" s="74"/>
      <c r="T22" s="74" t="str">
        <v>add</v>
      </c>
      <c r="U22" s="74"/>
      <c r="V22" s="74" t="str">
        <v>blockedScope</v>
      </c>
      <c r="W22" s="73" t="n">
        <f>IF(AND(ISNUMBER('Übersicht'!$B$4),'Übersicht'!$B$4=INT('Übersicht'!$B$4),'Übersicht'!$B$4&gt;=2026,'Übersicht'!$B$4&lt;=2028),IF(I22="fixedMonthDay",IF(AND(ISNUMBER(J22),ISNUMBER(K22),J22=INT(J22),K22=INT(K22),MONTH(DATE('Übersicht'!$B$4,J22,K22))=J22,DAY(DATE('Übersicht'!$B$4,J22,K22))=K22),DATE('Übersicht'!$B$4,J22,K22),NA()),IF(I22="easterOffsetDays",IF(AND(ISNUMBER(L22),L22=INT(L22),ABS(L22)&lt;=366),$AB$23+L22,NA()),IF(I22="nthWeekdayOfMonth",IF(AND(ISNUMBER(J22),ISNUMBER(M22),ISNUMBER(N22),J22=INT(J22),M22=INT(M22),N22=INT(N22),J22&gt;=1,J22&lt;=12,M22&gt;=1,M22&lt;=7,N22&gt;=1,N22&lt;=5,MONTH(DATE('Übersicht'!$B$4,J22,1)+MOD(M22-WEEKDAY(DATE('Übersicht'!$B$4,J22,1),2),7)+7*(N22-1))=J22),DATE('Übersicht'!$B$4,J22,1)+MOD(M22-WEEKDAY(DATE('Übersicht'!$B$4,J22,1),2),7)+7*(N22-1),NA()),NA()))),NA())</f>
        <v>46388</v>
      </c>
      <c r="X22" s="73" t="n">
        <f>IF(AND(W22&gt;=O22,OR(P22="",W22&lt;=P22)),W22,"Ausserhalb Geltung")</f>
        <v>46388</v>
      </c>
      <c r="Y22" s="74" t="str">
        <v>SRC-AG-EGARR-20250901</v>
      </c>
      <c r="Z22" s="74" t="str">
        <v>§ 6 Abs. 1 Bst. a</v>
      </c>
      <c r="AA22" s="82" t="str">
        <v>Ostertag</v>
      </c>
      <c r="AB22" s="82" t="n">
        <f>MOD(AB20,31)+1</f>
        <v>28</v>
      </c>
    </row>
    <row r="23" ht="38" customHeight="1">
      <c r="A23" s="71" t="str">
        <v>AG-WORK-HOL-A-BERCHTOLD</v>
      </c>
      <c r="B23" s="71" t="str">
        <v>CH-AG</v>
      </c>
      <c r="C23" s="71" t="str">
        <v>AG-ARG-AARAU-BRUGG-KULM-LENZBURG-ZOFINGEN</v>
      </c>
      <c r="D23" s="76" t="str">
        <v>Berchtoldstag</v>
      </c>
      <c r="E23" s="76" t="str">
        <v>Saint-Berchtold</v>
      </c>
      <c r="F23" s="77" t="str"/>
      <c r="G23" s="77" t="str"/>
      <c r="H23" s="71" t="str">
        <v>labourLawHoliday</v>
      </c>
      <c r="I23" s="71" t="str">
        <v>fixedMonthDay</v>
      </c>
      <c r="J23" s="84" t="n">
        <v>1</v>
      </c>
      <c r="K23" s="84" t="n">
        <v>2</v>
      </c>
      <c r="L23" s="76"/>
      <c r="M23" s="76"/>
      <c r="N23" s="76"/>
      <c r="O23" s="85" t="n">
        <v>46023</v>
      </c>
      <c r="P23" s="85"/>
      <c r="Q23" s="76" t="n">
        <v>100</v>
      </c>
      <c r="R23" s="76" t="str">
        <v>open</v>
      </c>
      <c r="S23" s="71"/>
      <c r="T23" s="71" t="str">
        <v>add</v>
      </c>
      <c r="U23" s="71"/>
      <c r="V23" s="71" t="str">
        <v>blockedScope</v>
      </c>
      <c r="W23" s="70" t="n">
        <f>IF(AND(ISNUMBER('Übersicht'!$B$4),'Übersicht'!$B$4=INT('Übersicht'!$B$4),'Übersicht'!$B$4&gt;=2026,'Übersicht'!$B$4&lt;=2028),IF(I23="fixedMonthDay",IF(AND(ISNUMBER(J23),ISNUMBER(K23),J23=INT(J23),K23=INT(K23),MONTH(DATE('Übersicht'!$B$4,J23,K23))=J23,DAY(DATE('Übersicht'!$B$4,J23,K23))=K23),DATE('Übersicht'!$B$4,J23,K23),NA()),IF(I23="easterOffsetDays",IF(AND(ISNUMBER(L23),L23=INT(L23),ABS(L23)&lt;=366),$AB$23+L23,NA()),IF(I23="nthWeekdayOfMonth",IF(AND(ISNUMBER(J23),ISNUMBER(M23),ISNUMBER(N23),J23=INT(J23),M23=INT(M23),N23=INT(N23),J23&gt;=1,J23&lt;=12,M23&gt;=1,M23&lt;=7,N23&gt;=1,N23&lt;=5,MONTH(DATE('Übersicht'!$B$4,J23,1)+MOD(M23-WEEKDAY(DATE('Übersicht'!$B$4,J23,1),2),7)+7*(N23-1))=J23),DATE('Übersicht'!$B$4,J23,1)+MOD(M23-WEEKDAY(DATE('Übersicht'!$B$4,J23,1),2),7)+7*(N23-1),NA()),NA()))),NA())</f>
        <v>46389</v>
      </c>
      <c r="X23" s="70" t="n">
        <f>IF(AND(W23&gt;=O23,OR(P23="",W23&lt;=P23)),W23,"Ausserhalb Geltung")</f>
        <v>46389</v>
      </c>
      <c r="Y23" s="71" t="str">
        <v>SRC-AG-EGARR-20250901</v>
      </c>
      <c r="Z23" s="71" t="str">
        <v>§ 6 Abs. 1 Bst. a</v>
      </c>
      <c r="AA23" s="82" t="str">
        <v>Ostersonntag</v>
      </c>
      <c r="AB23" s="88" t="n">
        <f>DATE(AB7,AB21,AB22)</f>
        <v>46474</v>
      </c>
    </row>
    <row r="24" ht="38" customHeight="1">
      <c r="A24" s="74" t="str">
        <v>AG-WORK-HOL-A-GOOD-FRIDAY</v>
      </c>
      <c r="B24" s="74" t="str">
        <v>CH-AG</v>
      </c>
      <c r="C24" s="74" t="str">
        <v>AG-ARG-AARAU-BRUGG-KULM-LENZBURG-ZOFINGEN</v>
      </c>
      <c r="D24" s="78" t="str">
        <v>Karfreitag</v>
      </c>
      <c r="E24" s="78" t="str">
        <v>Vendredi saint</v>
      </c>
      <c r="F24" s="79" t="str"/>
      <c r="G24" s="79" t="str"/>
      <c r="H24" s="74" t="str">
        <v>labourLawHoliday</v>
      </c>
      <c r="I24" s="74" t="str">
        <v>easterOffsetDays</v>
      </c>
      <c r="J24" s="86"/>
      <c r="K24" s="86"/>
      <c r="L24" s="78" t="n">
        <v>-2</v>
      </c>
      <c r="M24" s="78"/>
      <c r="N24" s="78"/>
      <c r="O24" s="87" t="n">
        <v>46023</v>
      </c>
      <c r="P24" s="87"/>
      <c r="Q24" s="78" t="n">
        <v>100</v>
      </c>
      <c r="R24" s="78" t="str">
        <v>open</v>
      </c>
      <c r="S24" s="74"/>
      <c r="T24" s="74" t="str">
        <v>add</v>
      </c>
      <c r="U24" s="74"/>
      <c r="V24" s="74" t="str">
        <v>blockedScope</v>
      </c>
      <c r="W24" s="73" t="n">
        <f>IF(AND(ISNUMBER('Übersicht'!$B$4),'Übersicht'!$B$4=INT('Übersicht'!$B$4),'Übersicht'!$B$4&gt;=2026,'Übersicht'!$B$4&lt;=2028),IF(I24="fixedMonthDay",IF(AND(ISNUMBER(J24),ISNUMBER(K24),J24=INT(J24),K24=INT(K24),MONTH(DATE('Übersicht'!$B$4,J24,K24))=J24,DAY(DATE('Übersicht'!$B$4,J24,K24))=K24),DATE('Übersicht'!$B$4,J24,K24),NA()),IF(I24="easterOffsetDays",IF(AND(ISNUMBER(L24),L24=INT(L24),ABS(L24)&lt;=366),$AB$23+L24,NA()),IF(I24="nthWeekdayOfMonth",IF(AND(ISNUMBER(J24),ISNUMBER(M24),ISNUMBER(N24),J24=INT(J24),M24=INT(M24),N24=INT(N24),J24&gt;=1,J24&lt;=12,M24&gt;=1,M24&lt;=7,N24&gt;=1,N24&lt;=5,MONTH(DATE('Übersicht'!$B$4,J24,1)+MOD(M24-WEEKDAY(DATE('Übersicht'!$B$4,J24,1),2),7)+7*(N24-1))=J24),DATE('Übersicht'!$B$4,J24,1)+MOD(M24-WEEKDAY(DATE('Übersicht'!$B$4,J24,1),2),7)+7*(N24-1),NA()),NA()))),NA())</f>
        <v>46472</v>
      </c>
      <c r="X24" s="73" t="n">
        <f>IF(AND(W24&gt;=O24,OR(P24="",W24&lt;=P24)),W24,"Ausserhalb Geltung")</f>
        <v>46472</v>
      </c>
      <c r="Y24" s="74" t="str">
        <v>SRC-AG-EGARR-20250901</v>
      </c>
      <c r="Z24" s="74" t="str">
        <v>§ 6 Abs. 1 Bst. a</v>
      </c>
    </row>
    <row r="25" ht="38" customHeight="1">
      <c r="A25" s="71" t="str">
        <v>AG-WORK-HOL-A-EASTER-MONDAY</v>
      </c>
      <c r="B25" s="71" t="str">
        <v>CH-AG</v>
      </c>
      <c r="C25" s="71" t="str">
        <v>AG-ARG-AARAU-BRUGG-KULM-LENZBURG-ZOFINGEN</v>
      </c>
      <c r="D25" s="76" t="str">
        <v>Ostermontag</v>
      </c>
      <c r="E25" s="76" t="str">
        <v>Lundi de Pâques</v>
      </c>
      <c r="F25" s="77" t="str"/>
      <c r="G25" s="77" t="str"/>
      <c r="H25" s="71" t="str">
        <v>labourLawHoliday</v>
      </c>
      <c r="I25" s="71" t="str">
        <v>easterOffsetDays</v>
      </c>
      <c r="J25" s="84"/>
      <c r="K25" s="84"/>
      <c r="L25" s="76" t="n">
        <v>1</v>
      </c>
      <c r="M25" s="76"/>
      <c r="N25" s="76"/>
      <c r="O25" s="85" t="n">
        <v>46023</v>
      </c>
      <c r="P25" s="85"/>
      <c r="Q25" s="76" t="n">
        <v>100</v>
      </c>
      <c r="R25" s="76" t="str">
        <v>open</v>
      </c>
      <c r="S25" s="71"/>
      <c r="T25" s="71" t="str">
        <v>add</v>
      </c>
      <c r="U25" s="71"/>
      <c r="V25" s="71" t="str">
        <v>blockedScope</v>
      </c>
      <c r="W25" s="70" t="n">
        <f>IF(AND(ISNUMBER('Übersicht'!$B$4),'Übersicht'!$B$4=INT('Übersicht'!$B$4),'Übersicht'!$B$4&gt;=2026,'Übersicht'!$B$4&lt;=2028),IF(I25="fixedMonthDay",IF(AND(ISNUMBER(J25),ISNUMBER(K25),J25=INT(J25),K25=INT(K25),MONTH(DATE('Übersicht'!$B$4,J25,K25))=J25,DAY(DATE('Übersicht'!$B$4,J25,K25))=K25),DATE('Übersicht'!$B$4,J25,K25),NA()),IF(I25="easterOffsetDays",IF(AND(ISNUMBER(L25),L25=INT(L25),ABS(L25)&lt;=366),$AB$23+L25,NA()),IF(I25="nthWeekdayOfMonth",IF(AND(ISNUMBER(J25),ISNUMBER(M25),ISNUMBER(N25),J25=INT(J25),M25=INT(M25),N25=INT(N25),J25&gt;=1,J25&lt;=12,M25&gt;=1,M25&lt;=7,N25&gt;=1,N25&lt;=5,MONTH(DATE('Übersicht'!$B$4,J25,1)+MOD(M25-WEEKDAY(DATE('Übersicht'!$B$4,J25,1),2),7)+7*(N25-1))=J25),DATE('Übersicht'!$B$4,J25,1)+MOD(M25-WEEKDAY(DATE('Übersicht'!$B$4,J25,1),2),7)+7*(N25-1),NA()),NA()))),NA())</f>
        <v>46475</v>
      </c>
      <c r="X25" s="70" t="n">
        <f>IF(AND(W25&gt;=O25,OR(P25="",W25&lt;=P25)),W25,"Ausserhalb Geltung")</f>
        <v>46475</v>
      </c>
      <c r="Y25" s="71" t="str">
        <v>SRC-AG-EGARR-20250901</v>
      </c>
      <c r="Z25" s="71" t="str">
        <v>§ 6 Abs. 1 Bst. a</v>
      </c>
    </row>
    <row r="26" ht="38" customHeight="1">
      <c r="A26" s="74" t="str">
        <v>AG-WORK-HOL-A-ASCENSION</v>
      </c>
      <c r="B26" s="74" t="str">
        <v>CH-AG</v>
      </c>
      <c r="C26" s="74" t="str">
        <v>AG-ARG-AARAU-BRUGG-KULM-LENZBURG-ZOFINGEN</v>
      </c>
      <c r="D26" s="78" t="str">
        <v>Auffahrt</v>
      </c>
      <c r="E26" s="78" t="str">
        <v>Ascension</v>
      </c>
      <c r="F26" s="79" t="str"/>
      <c r="G26" s="79" t="str"/>
      <c r="H26" s="74" t="str">
        <v>labourLawHoliday</v>
      </c>
      <c r="I26" s="74" t="str">
        <v>easterOffsetDays</v>
      </c>
      <c r="J26" s="86"/>
      <c r="K26" s="86"/>
      <c r="L26" s="78" t="n">
        <v>39</v>
      </c>
      <c r="M26" s="78"/>
      <c r="N26" s="78"/>
      <c r="O26" s="87" t="n">
        <v>46023</v>
      </c>
      <c r="P26" s="87"/>
      <c r="Q26" s="78" t="n">
        <v>100</v>
      </c>
      <c r="R26" s="78" t="str">
        <v>open</v>
      </c>
      <c r="S26" s="74"/>
      <c r="T26" s="74" t="str">
        <v>add</v>
      </c>
      <c r="U26" s="74"/>
      <c r="V26" s="74" t="str">
        <v>blockedScope</v>
      </c>
      <c r="W26" s="73" t="n">
        <f>IF(AND(ISNUMBER('Übersicht'!$B$4),'Übersicht'!$B$4=INT('Übersicht'!$B$4),'Übersicht'!$B$4&gt;=2026,'Übersicht'!$B$4&lt;=2028),IF(I26="fixedMonthDay",IF(AND(ISNUMBER(J26),ISNUMBER(K26),J26=INT(J26),K26=INT(K26),MONTH(DATE('Übersicht'!$B$4,J26,K26))=J26,DAY(DATE('Übersicht'!$B$4,J26,K26))=K26),DATE('Übersicht'!$B$4,J26,K26),NA()),IF(I26="easterOffsetDays",IF(AND(ISNUMBER(L26),L26=INT(L26),ABS(L26)&lt;=366),$AB$23+L26,NA()),IF(I26="nthWeekdayOfMonth",IF(AND(ISNUMBER(J26),ISNUMBER(M26),ISNUMBER(N26),J26=INT(J26),M26=INT(M26),N26=INT(N26),J26&gt;=1,J26&lt;=12,M26&gt;=1,M26&lt;=7,N26&gt;=1,N26&lt;=5,MONTH(DATE('Übersicht'!$B$4,J26,1)+MOD(M26-WEEKDAY(DATE('Übersicht'!$B$4,J26,1),2),7)+7*(N26-1))=J26),DATE('Übersicht'!$B$4,J26,1)+MOD(M26-WEEKDAY(DATE('Übersicht'!$B$4,J26,1),2),7)+7*(N26-1),NA()),NA()))),NA())</f>
        <v>46513</v>
      </c>
      <c r="X26" s="73" t="n">
        <f>IF(AND(W26&gt;=O26,OR(P26="",W26&lt;=P26)),W26,"Ausserhalb Geltung")</f>
        <v>46513</v>
      </c>
      <c r="Y26" s="74" t="str">
        <v>SRC-AG-EGARR-20250901</v>
      </c>
      <c r="Z26" s="74" t="str">
        <v>§ 6 Abs. 1 Bst. a</v>
      </c>
    </row>
    <row r="27" ht="38" customHeight="1">
      <c r="A27" s="71" t="str">
        <v>AG-WORK-HOL-A-WHIT-MONDAY</v>
      </c>
      <c r="B27" s="71" t="str">
        <v>CH-AG</v>
      </c>
      <c r="C27" s="71" t="str">
        <v>AG-ARG-AARAU-BRUGG-KULM-LENZBURG-ZOFINGEN</v>
      </c>
      <c r="D27" s="76" t="str">
        <v>Pfingstmontag</v>
      </c>
      <c r="E27" s="76" t="str">
        <v>Lundi de Pentecôte</v>
      </c>
      <c r="F27" s="77" t="str"/>
      <c r="G27" s="77" t="str"/>
      <c r="H27" s="71" t="str">
        <v>labourLawHoliday</v>
      </c>
      <c r="I27" s="71" t="str">
        <v>easterOffsetDays</v>
      </c>
      <c r="J27" s="84"/>
      <c r="K27" s="84"/>
      <c r="L27" s="76" t="n">
        <v>50</v>
      </c>
      <c r="M27" s="76"/>
      <c r="N27" s="76"/>
      <c r="O27" s="85" t="n">
        <v>46023</v>
      </c>
      <c r="P27" s="85"/>
      <c r="Q27" s="76" t="n">
        <v>100</v>
      </c>
      <c r="R27" s="76" t="str">
        <v>open</v>
      </c>
      <c r="S27" s="71"/>
      <c r="T27" s="71" t="str">
        <v>add</v>
      </c>
      <c r="U27" s="71"/>
      <c r="V27" s="71" t="str">
        <v>blockedScope</v>
      </c>
      <c r="W27" s="70" t="n">
        <f>IF(AND(ISNUMBER('Übersicht'!$B$4),'Übersicht'!$B$4=INT('Übersicht'!$B$4),'Übersicht'!$B$4&gt;=2026,'Übersicht'!$B$4&lt;=2028),IF(I27="fixedMonthDay",IF(AND(ISNUMBER(J27),ISNUMBER(K27),J27=INT(J27),K27=INT(K27),MONTH(DATE('Übersicht'!$B$4,J27,K27))=J27,DAY(DATE('Übersicht'!$B$4,J27,K27))=K27),DATE('Übersicht'!$B$4,J27,K27),NA()),IF(I27="easterOffsetDays",IF(AND(ISNUMBER(L27),L27=INT(L27),ABS(L27)&lt;=366),$AB$23+L27,NA()),IF(I27="nthWeekdayOfMonth",IF(AND(ISNUMBER(J27),ISNUMBER(M27),ISNUMBER(N27),J27=INT(J27),M27=INT(M27),N27=INT(N27),J27&gt;=1,J27&lt;=12,M27&gt;=1,M27&lt;=7,N27&gt;=1,N27&lt;=5,MONTH(DATE('Übersicht'!$B$4,J27,1)+MOD(M27-WEEKDAY(DATE('Übersicht'!$B$4,J27,1),2),7)+7*(N27-1))=J27),DATE('Übersicht'!$B$4,J27,1)+MOD(M27-WEEKDAY(DATE('Übersicht'!$B$4,J27,1),2),7)+7*(N27-1),NA()),NA()))),NA())</f>
        <v>46524</v>
      </c>
      <c r="X27" s="70" t="n">
        <f>IF(AND(W27&gt;=O27,OR(P27="",W27&lt;=P27)),W27,"Ausserhalb Geltung")</f>
        <v>46524</v>
      </c>
      <c r="Y27" s="71" t="str">
        <v>SRC-AG-EGARR-20250901</v>
      </c>
      <c r="Z27" s="71" t="str">
        <v>§ 6 Abs. 1 Bst. a</v>
      </c>
    </row>
    <row r="28" ht="38" customHeight="1">
      <c r="A28" s="74" t="str">
        <v>AG-WORK-HOL-A-CHRISTMAS</v>
      </c>
      <c r="B28" s="74" t="str">
        <v>CH-AG</v>
      </c>
      <c r="C28" s="74" t="str">
        <v>AG-ARG-AARAU-BRUGG-KULM-LENZBURG-ZOFINGEN</v>
      </c>
      <c r="D28" s="78" t="str">
        <v>Weihnachten</v>
      </c>
      <c r="E28" s="78" t="str">
        <v>Noël</v>
      </c>
      <c r="F28" s="79" t="str"/>
      <c r="G28" s="79" t="str"/>
      <c r="H28" s="74" t="str">
        <v>labourLawHoliday</v>
      </c>
      <c r="I28" s="74" t="str">
        <v>fixedMonthDay</v>
      </c>
      <c r="J28" s="86" t="n">
        <v>12</v>
      </c>
      <c r="K28" s="86" t="n">
        <v>25</v>
      </c>
      <c r="L28" s="78"/>
      <c r="M28" s="78"/>
      <c r="N28" s="78"/>
      <c r="O28" s="87" t="n">
        <v>46023</v>
      </c>
      <c r="P28" s="87"/>
      <c r="Q28" s="78" t="n">
        <v>100</v>
      </c>
      <c r="R28" s="78" t="str">
        <v>open</v>
      </c>
      <c r="S28" s="74"/>
      <c r="T28" s="74" t="str">
        <v>add</v>
      </c>
      <c r="U28" s="74"/>
      <c r="V28" s="74" t="str">
        <v>blockedScope</v>
      </c>
      <c r="W28" s="73" t="n">
        <f>IF(AND(ISNUMBER('Übersicht'!$B$4),'Übersicht'!$B$4=INT('Übersicht'!$B$4),'Übersicht'!$B$4&gt;=2026,'Übersicht'!$B$4&lt;=2028),IF(I28="fixedMonthDay",IF(AND(ISNUMBER(J28),ISNUMBER(K28),J28=INT(J28),K28=INT(K28),MONTH(DATE('Übersicht'!$B$4,J28,K28))=J28,DAY(DATE('Übersicht'!$B$4,J28,K28))=K28),DATE('Übersicht'!$B$4,J28,K28),NA()),IF(I28="easterOffsetDays",IF(AND(ISNUMBER(L28),L28=INT(L28),ABS(L28)&lt;=366),$AB$23+L28,NA()),IF(I28="nthWeekdayOfMonth",IF(AND(ISNUMBER(J28),ISNUMBER(M28),ISNUMBER(N28),J28=INT(J28),M28=INT(M28),N28=INT(N28),J28&gt;=1,J28&lt;=12,M28&gt;=1,M28&lt;=7,N28&gt;=1,N28&lt;=5,MONTH(DATE('Übersicht'!$B$4,J28,1)+MOD(M28-WEEKDAY(DATE('Übersicht'!$B$4,J28,1),2),7)+7*(N28-1))=J28),DATE('Übersicht'!$B$4,J28,1)+MOD(M28-WEEKDAY(DATE('Übersicht'!$B$4,J28,1),2),7)+7*(N28-1),NA()),NA()))),NA())</f>
        <v>46746</v>
      </c>
      <c r="X28" s="73" t="n">
        <f>IF(AND(W28&gt;=O28,OR(P28="",W28&lt;=P28)),W28,"Ausserhalb Geltung")</f>
        <v>46746</v>
      </c>
      <c r="Y28" s="74" t="str">
        <v>SRC-AG-EGARR-20250901</v>
      </c>
      <c r="Z28" s="74" t="str">
        <v>§ 6 Abs. 1 Bst. a</v>
      </c>
    </row>
    <row r="29" ht="38" customHeight="1">
      <c r="A29" s="71" t="str">
        <v>AG-WORK-HOL-A-ST-STEPHEN</v>
      </c>
      <c r="B29" s="71" t="str">
        <v>CH-AG</v>
      </c>
      <c r="C29" s="71" t="str">
        <v>AG-ARG-AARAU-BRUGG-KULM-LENZBURG-ZOFINGEN</v>
      </c>
      <c r="D29" s="76" t="str">
        <v>Stephanstag</v>
      </c>
      <c r="E29" s="76" t="str">
        <v>Saint-Étienne</v>
      </c>
      <c r="F29" s="77" t="str"/>
      <c r="G29" s="77" t="str"/>
      <c r="H29" s="71" t="str">
        <v>labourLawHoliday</v>
      </c>
      <c r="I29" s="71" t="str">
        <v>fixedMonthDay</v>
      </c>
      <c r="J29" s="84" t="n">
        <v>12</v>
      </c>
      <c r="K29" s="84" t="n">
        <v>26</v>
      </c>
      <c r="L29" s="76"/>
      <c r="M29" s="76"/>
      <c r="N29" s="76"/>
      <c r="O29" s="85" t="n">
        <v>46023</v>
      </c>
      <c r="P29" s="85"/>
      <c r="Q29" s="76" t="n">
        <v>100</v>
      </c>
      <c r="R29" s="76" t="str">
        <v>open</v>
      </c>
      <c r="S29" s="71"/>
      <c r="T29" s="71" t="str">
        <v>add</v>
      </c>
      <c r="U29" s="71"/>
      <c r="V29" s="71" t="str">
        <v>blockedScope</v>
      </c>
      <c r="W29" s="70" t="n">
        <f>IF(AND(ISNUMBER('Übersicht'!$B$4),'Übersicht'!$B$4=INT('Übersicht'!$B$4),'Übersicht'!$B$4&gt;=2026,'Übersicht'!$B$4&lt;=2028),IF(I29="fixedMonthDay",IF(AND(ISNUMBER(J29),ISNUMBER(K29),J29=INT(J29),K29=INT(K29),MONTH(DATE('Übersicht'!$B$4,J29,K29))=J29,DAY(DATE('Übersicht'!$B$4,J29,K29))=K29),DATE('Übersicht'!$B$4,J29,K29),NA()),IF(I29="easterOffsetDays",IF(AND(ISNUMBER(L29),L29=INT(L29),ABS(L29)&lt;=366),$AB$23+L29,NA()),IF(I29="nthWeekdayOfMonth",IF(AND(ISNUMBER(J29),ISNUMBER(M29),ISNUMBER(N29),J29=INT(J29),M29=INT(M29),N29=INT(N29),J29&gt;=1,J29&lt;=12,M29&gt;=1,M29&lt;=7,N29&gt;=1,N29&lt;=5,MONTH(DATE('Übersicht'!$B$4,J29,1)+MOD(M29-WEEKDAY(DATE('Übersicht'!$B$4,J29,1),2),7)+7*(N29-1))=J29),DATE('Übersicht'!$B$4,J29,1)+MOD(M29-WEEKDAY(DATE('Übersicht'!$B$4,J29,1),2),7)+7*(N29-1),NA()),NA()))),NA())</f>
        <v>46747</v>
      </c>
      <c r="X29" s="70" t="n">
        <f>IF(AND(W29&gt;=O29,OR(P29="",W29&lt;=P29)),W29,"Ausserhalb Geltung")</f>
        <v>46747</v>
      </c>
      <c r="Y29" s="71" t="str">
        <v>SRC-AG-EGARR-20250901</v>
      </c>
      <c r="Z29" s="71" t="str">
        <v>§ 6 Abs. 1 Bst. a</v>
      </c>
    </row>
    <row r="30" ht="38" customHeight="1">
      <c r="A30" s="74" t="str">
        <v>AG-WORK-HOL-B1-NEW-YEAR</v>
      </c>
      <c r="B30" s="74" t="str">
        <v>CH-AG</v>
      </c>
      <c r="C30" s="74" t="str">
        <v>AG-ARG-BERGDIETIKON</v>
      </c>
      <c r="D30" s="78" t="str">
        <v>Neujahr</v>
      </c>
      <c r="E30" s="78" t="str">
        <v>Nouvel An</v>
      </c>
      <c r="F30" s="79" t="str"/>
      <c r="G30" s="79" t="str"/>
      <c r="H30" s="74" t="str">
        <v>labourLawHoliday</v>
      </c>
      <c r="I30" s="74" t="str">
        <v>fixedMonthDay</v>
      </c>
      <c r="J30" s="86" t="n">
        <v>1</v>
      </c>
      <c r="K30" s="86" t="n">
        <v>1</v>
      </c>
      <c r="L30" s="78"/>
      <c r="M30" s="78"/>
      <c r="N30" s="78"/>
      <c r="O30" s="87" t="n">
        <v>46023</v>
      </c>
      <c r="P30" s="87"/>
      <c r="Q30" s="78" t="n">
        <v>100</v>
      </c>
      <c r="R30" s="78" t="str">
        <v>open</v>
      </c>
      <c r="S30" s="74"/>
      <c r="T30" s="74" t="str">
        <v>add</v>
      </c>
      <c r="U30" s="74"/>
      <c r="V30" s="74" t="str">
        <v>blockedScope</v>
      </c>
      <c r="W30" s="73" t="n">
        <f>IF(AND(ISNUMBER('Übersicht'!$B$4),'Übersicht'!$B$4=INT('Übersicht'!$B$4),'Übersicht'!$B$4&gt;=2026,'Übersicht'!$B$4&lt;=2028),IF(I30="fixedMonthDay",IF(AND(ISNUMBER(J30),ISNUMBER(K30),J30=INT(J30),K30=INT(K30),MONTH(DATE('Übersicht'!$B$4,J30,K30))=J30,DAY(DATE('Übersicht'!$B$4,J30,K30))=K30),DATE('Übersicht'!$B$4,J30,K30),NA()),IF(I30="easterOffsetDays",IF(AND(ISNUMBER(L30),L30=INT(L30),ABS(L30)&lt;=366),$AB$23+L30,NA()),IF(I30="nthWeekdayOfMonth",IF(AND(ISNUMBER(J30),ISNUMBER(M30),ISNUMBER(N30),J30=INT(J30),M30=INT(M30),N30=INT(N30),J30&gt;=1,J30&lt;=12,M30&gt;=1,M30&lt;=7,N30&gt;=1,N30&lt;=5,MONTH(DATE('Übersicht'!$B$4,J30,1)+MOD(M30-WEEKDAY(DATE('Übersicht'!$B$4,J30,1),2),7)+7*(N30-1))=J30),DATE('Übersicht'!$B$4,J30,1)+MOD(M30-WEEKDAY(DATE('Übersicht'!$B$4,J30,1),2),7)+7*(N30-1),NA()),NA()))),NA())</f>
        <v>46388</v>
      </c>
      <c r="X30" s="73" t="n">
        <f>IF(AND(W30&gt;=O30,OR(P30="",W30&lt;=P30)),W30,"Ausserhalb Geltung")</f>
        <v>46388</v>
      </c>
      <c r="Y30" s="74" t="str">
        <v>SRC-AG-EGARR-20250901</v>
      </c>
      <c r="Z30" s="74" t="str">
        <v>§ 6 Abs. 1 Bst. b Ziff. 1</v>
      </c>
    </row>
    <row r="31" ht="38" customHeight="1">
      <c r="A31" s="71" t="str">
        <v>AG-WORK-HOL-B1-GOOD-FRIDAY</v>
      </c>
      <c r="B31" s="71" t="str">
        <v>CH-AG</v>
      </c>
      <c r="C31" s="71" t="str">
        <v>AG-ARG-BERGDIETIKON</v>
      </c>
      <c r="D31" s="76" t="str">
        <v>Karfreitag</v>
      </c>
      <c r="E31" s="76" t="str">
        <v>Vendredi saint</v>
      </c>
      <c r="F31" s="77" t="str"/>
      <c r="G31" s="77" t="str"/>
      <c r="H31" s="71" t="str">
        <v>labourLawHoliday</v>
      </c>
      <c r="I31" s="71" t="str">
        <v>easterOffsetDays</v>
      </c>
      <c r="J31" s="84"/>
      <c r="K31" s="84"/>
      <c r="L31" s="76" t="n">
        <v>-2</v>
      </c>
      <c r="M31" s="76"/>
      <c r="N31" s="76"/>
      <c r="O31" s="85" t="n">
        <v>46023</v>
      </c>
      <c r="P31" s="85"/>
      <c r="Q31" s="76" t="n">
        <v>100</v>
      </c>
      <c r="R31" s="76" t="str">
        <v>open</v>
      </c>
      <c r="S31" s="71"/>
      <c r="T31" s="71" t="str">
        <v>add</v>
      </c>
      <c r="U31" s="71"/>
      <c r="V31" s="71" t="str">
        <v>blockedScope</v>
      </c>
      <c r="W31" s="70" t="n">
        <f>IF(AND(ISNUMBER('Übersicht'!$B$4),'Übersicht'!$B$4=INT('Übersicht'!$B$4),'Übersicht'!$B$4&gt;=2026,'Übersicht'!$B$4&lt;=2028),IF(I31="fixedMonthDay",IF(AND(ISNUMBER(J31),ISNUMBER(K31),J31=INT(J31),K31=INT(K31),MONTH(DATE('Übersicht'!$B$4,J31,K31))=J31,DAY(DATE('Übersicht'!$B$4,J31,K31))=K31),DATE('Übersicht'!$B$4,J31,K31),NA()),IF(I31="easterOffsetDays",IF(AND(ISNUMBER(L31),L31=INT(L31),ABS(L31)&lt;=366),$AB$23+L31,NA()),IF(I31="nthWeekdayOfMonth",IF(AND(ISNUMBER(J31),ISNUMBER(M31),ISNUMBER(N31),J31=INT(J31),M31=INT(M31),N31=INT(N31),J31&gt;=1,J31&lt;=12,M31&gt;=1,M31&lt;=7,N31&gt;=1,N31&lt;=5,MONTH(DATE('Übersicht'!$B$4,J31,1)+MOD(M31-WEEKDAY(DATE('Übersicht'!$B$4,J31,1),2),7)+7*(N31-1))=J31),DATE('Übersicht'!$B$4,J31,1)+MOD(M31-WEEKDAY(DATE('Übersicht'!$B$4,J31,1),2),7)+7*(N31-1),NA()),NA()))),NA())</f>
        <v>46472</v>
      </c>
      <c r="X31" s="70" t="n">
        <f>IF(AND(W31&gt;=O31,OR(P31="",W31&lt;=P31)),W31,"Ausserhalb Geltung")</f>
        <v>46472</v>
      </c>
      <c r="Y31" s="71" t="str">
        <v>SRC-AG-EGARR-20250901</v>
      </c>
      <c r="Z31" s="71" t="str">
        <v>§ 6 Abs. 1 Bst. b Ziff. 1</v>
      </c>
    </row>
    <row r="32" ht="38" customHeight="1">
      <c r="A32" s="74" t="str">
        <v>AG-WORK-HOL-B1-EASTER-MONDAY</v>
      </c>
      <c r="B32" s="74" t="str">
        <v>CH-AG</v>
      </c>
      <c r="C32" s="74" t="str">
        <v>AG-ARG-BERGDIETIKON</v>
      </c>
      <c r="D32" s="78" t="str">
        <v>Ostermontag</v>
      </c>
      <c r="E32" s="78" t="str">
        <v>Lundi de Pâques</v>
      </c>
      <c r="F32" s="79" t="str"/>
      <c r="G32" s="79" t="str"/>
      <c r="H32" s="74" t="str">
        <v>labourLawHoliday</v>
      </c>
      <c r="I32" s="74" t="str">
        <v>easterOffsetDays</v>
      </c>
      <c r="J32" s="86"/>
      <c r="K32" s="86"/>
      <c r="L32" s="78" t="n">
        <v>1</v>
      </c>
      <c r="M32" s="78"/>
      <c r="N32" s="78"/>
      <c r="O32" s="87" t="n">
        <v>46023</v>
      </c>
      <c r="P32" s="87"/>
      <c r="Q32" s="78" t="n">
        <v>100</v>
      </c>
      <c r="R32" s="78" t="str">
        <v>open</v>
      </c>
      <c r="S32" s="74"/>
      <c r="T32" s="74" t="str">
        <v>add</v>
      </c>
      <c r="U32" s="74"/>
      <c r="V32" s="74" t="str">
        <v>blockedScope</v>
      </c>
      <c r="W32" s="73" t="n">
        <f>IF(AND(ISNUMBER('Übersicht'!$B$4),'Übersicht'!$B$4=INT('Übersicht'!$B$4),'Übersicht'!$B$4&gt;=2026,'Übersicht'!$B$4&lt;=2028),IF(I32="fixedMonthDay",IF(AND(ISNUMBER(J32),ISNUMBER(K32),J32=INT(J32),K32=INT(K32),MONTH(DATE('Übersicht'!$B$4,J32,K32))=J32,DAY(DATE('Übersicht'!$B$4,J32,K32))=K32),DATE('Übersicht'!$B$4,J32,K32),NA()),IF(I32="easterOffsetDays",IF(AND(ISNUMBER(L32),L32=INT(L32),ABS(L32)&lt;=366),$AB$23+L32,NA()),IF(I32="nthWeekdayOfMonth",IF(AND(ISNUMBER(J32),ISNUMBER(M32),ISNUMBER(N32),J32=INT(J32),M32=INT(M32),N32=INT(N32),J32&gt;=1,J32&lt;=12,M32&gt;=1,M32&lt;=7,N32&gt;=1,N32&lt;=5,MONTH(DATE('Übersicht'!$B$4,J32,1)+MOD(M32-WEEKDAY(DATE('Übersicht'!$B$4,J32,1),2),7)+7*(N32-1))=J32),DATE('Übersicht'!$B$4,J32,1)+MOD(M32-WEEKDAY(DATE('Übersicht'!$B$4,J32,1),2),7)+7*(N32-1),NA()),NA()))),NA())</f>
        <v>46475</v>
      </c>
      <c r="X32" s="73" t="n">
        <f>IF(AND(W32&gt;=O32,OR(P32="",W32&lt;=P32)),W32,"Ausserhalb Geltung")</f>
        <v>46475</v>
      </c>
      <c r="Y32" s="74" t="str">
        <v>SRC-AG-EGARR-20250901</v>
      </c>
      <c r="Z32" s="74" t="str">
        <v>§ 6 Abs. 1 Bst. b Ziff. 1</v>
      </c>
    </row>
    <row r="33" ht="38" customHeight="1">
      <c r="A33" s="71" t="str">
        <v>AG-WORK-HOL-B1-ASCENSION</v>
      </c>
      <c r="B33" s="71" t="str">
        <v>CH-AG</v>
      </c>
      <c r="C33" s="71" t="str">
        <v>AG-ARG-BERGDIETIKON</v>
      </c>
      <c r="D33" s="76" t="str">
        <v>Auffahrt</v>
      </c>
      <c r="E33" s="76" t="str">
        <v>Ascension</v>
      </c>
      <c r="F33" s="77" t="str"/>
      <c r="G33" s="77" t="str"/>
      <c r="H33" s="71" t="str">
        <v>labourLawHoliday</v>
      </c>
      <c r="I33" s="71" t="str">
        <v>easterOffsetDays</v>
      </c>
      <c r="J33" s="84"/>
      <c r="K33" s="84"/>
      <c r="L33" s="76" t="n">
        <v>39</v>
      </c>
      <c r="M33" s="76"/>
      <c r="N33" s="76"/>
      <c r="O33" s="85" t="n">
        <v>46023</v>
      </c>
      <c r="P33" s="85"/>
      <c r="Q33" s="76" t="n">
        <v>100</v>
      </c>
      <c r="R33" s="76" t="str">
        <v>open</v>
      </c>
      <c r="S33" s="71"/>
      <c r="T33" s="71" t="str">
        <v>add</v>
      </c>
      <c r="U33" s="71"/>
      <c r="V33" s="71" t="str">
        <v>blockedScope</v>
      </c>
      <c r="W33" s="70" t="n">
        <f>IF(AND(ISNUMBER('Übersicht'!$B$4),'Übersicht'!$B$4=INT('Übersicht'!$B$4),'Übersicht'!$B$4&gt;=2026,'Übersicht'!$B$4&lt;=2028),IF(I33="fixedMonthDay",IF(AND(ISNUMBER(J33),ISNUMBER(K33),J33=INT(J33),K33=INT(K33),MONTH(DATE('Übersicht'!$B$4,J33,K33))=J33,DAY(DATE('Übersicht'!$B$4,J33,K33))=K33),DATE('Übersicht'!$B$4,J33,K33),NA()),IF(I33="easterOffsetDays",IF(AND(ISNUMBER(L33),L33=INT(L33),ABS(L33)&lt;=366),$AB$23+L33,NA()),IF(I33="nthWeekdayOfMonth",IF(AND(ISNUMBER(J33),ISNUMBER(M33),ISNUMBER(N33),J33=INT(J33),M33=INT(M33),N33=INT(N33),J33&gt;=1,J33&lt;=12,M33&gt;=1,M33&lt;=7,N33&gt;=1,N33&lt;=5,MONTH(DATE('Übersicht'!$B$4,J33,1)+MOD(M33-WEEKDAY(DATE('Übersicht'!$B$4,J33,1),2),7)+7*(N33-1))=J33),DATE('Übersicht'!$B$4,J33,1)+MOD(M33-WEEKDAY(DATE('Übersicht'!$B$4,J33,1),2),7)+7*(N33-1),NA()),NA()))),NA())</f>
        <v>46513</v>
      </c>
      <c r="X33" s="70" t="n">
        <f>IF(AND(W33&gt;=O33,OR(P33="",W33&lt;=P33)),W33,"Ausserhalb Geltung")</f>
        <v>46513</v>
      </c>
      <c r="Y33" s="71" t="str">
        <v>SRC-AG-EGARR-20250901</v>
      </c>
      <c r="Z33" s="71" t="str">
        <v>§ 6 Abs. 1 Bst. b Ziff. 1</v>
      </c>
    </row>
    <row r="34" ht="38" customHeight="1">
      <c r="A34" s="74" t="str">
        <v>AG-WORK-HOL-B1-WHIT-MONDAY</v>
      </c>
      <c r="B34" s="74" t="str">
        <v>CH-AG</v>
      </c>
      <c r="C34" s="74" t="str">
        <v>AG-ARG-BERGDIETIKON</v>
      </c>
      <c r="D34" s="78" t="str">
        <v>Pfingstmontag</v>
      </c>
      <c r="E34" s="78" t="str">
        <v>Lundi de Pentecôte</v>
      </c>
      <c r="F34" s="79" t="str"/>
      <c r="G34" s="79" t="str"/>
      <c r="H34" s="74" t="str">
        <v>labourLawHoliday</v>
      </c>
      <c r="I34" s="74" t="str">
        <v>easterOffsetDays</v>
      </c>
      <c r="J34" s="86"/>
      <c r="K34" s="86"/>
      <c r="L34" s="78" t="n">
        <v>50</v>
      </c>
      <c r="M34" s="78"/>
      <c r="N34" s="78"/>
      <c r="O34" s="87" t="n">
        <v>46023</v>
      </c>
      <c r="P34" s="87"/>
      <c r="Q34" s="78" t="n">
        <v>100</v>
      </c>
      <c r="R34" s="78" t="str">
        <v>open</v>
      </c>
      <c r="S34" s="74"/>
      <c r="T34" s="74" t="str">
        <v>add</v>
      </c>
      <c r="U34" s="74"/>
      <c r="V34" s="74" t="str">
        <v>blockedScope</v>
      </c>
      <c r="W34" s="73" t="n">
        <f>IF(AND(ISNUMBER('Übersicht'!$B$4),'Übersicht'!$B$4=INT('Übersicht'!$B$4),'Übersicht'!$B$4&gt;=2026,'Übersicht'!$B$4&lt;=2028),IF(I34="fixedMonthDay",IF(AND(ISNUMBER(J34),ISNUMBER(K34),J34=INT(J34),K34=INT(K34),MONTH(DATE('Übersicht'!$B$4,J34,K34))=J34,DAY(DATE('Übersicht'!$B$4,J34,K34))=K34),DATE('Übersicht'!$B$4,J34,K34),NA()),IF(I34="easterOffsetDays",IF(AND(ISNUMBER(L34),L34=INT(L34),ABS(L34)&lt;=366),$AB$23+L34,NA()),IF(I34="nthWeekdayOfMonth",IF(AND(ISNUMBER(J34),ISNUMBER(M34),ISNUMBER(N34),J34=INT(J34),M34=INT(M34),N34=INT(N34),J34&gt;=1,J34&lt;=12,M34&gt;=1,M34&lt;=7,N34&gt;=1,N34&lt;=5,MONTH(DATE('Übersicht'!$B$4,J34,1)+MOD(M34-WEEKDAY(DATE('Übersicht'!$B$4,J34,1),2),7)+7*(N34-1))=J34),DATE('Übersicht'!$B$4,J34,1)+MOD(M34-WEEKDAY(DATE('Übersicht'!$B$4,J34,1),2),7)+7*(N34-1),NA()),NA()))),NA())</f>
        <v>46524</v>
      </c>
      <c r="X34" s="73" t="n">
        <f>IF(AND(W34&gt;=O34,OR(P34="",W34&lt;=P34)),W34,"Ausserhalb Geltung")</f>
        <v>46524</v>
      </c>
      <c r="Y34" s="74" t="str">
        <v>SRC-AG-EGARR-20250901</v>
      </c>
      <c r="Z34" s="74" t="str">
        <v>§ 6 Abs. 1 Bst. b Ziff. 1</v>
      </c>
    </row>
    <row r="35" ht="38" customHeight="1">
      <c r="A35" s="71" t="str">
        <v>AG-WORK-HOL-B1-CHRISTMAS</v>
      </c>
      <c r="B35" s="71" t="str">
        <v>CH-AG</v>
      </c>
      <c r="C35" s="71" t="str">
        <v>AG-ARG-BERGDIETIKON</v>
      </c>
      <c r="D35" s="76" t="str">
        <v>Weihnachten</v>
      </c>
      <c r="E35" s="76" t="str">
        <v>Noël</v>
      </c>
      <c r="F35" s="77" t="str"/>
      <c r="G35" s="77" t="str"/>
      <c r="H35" s="71" t="str">
        <v>labourLawHoliday</v>
      </c>
      <c r="I35" s="71" t="str">
        <v>fixedMonthDay</v>
      </c>
      <c r="J35" s="84" t="n">
        <v>12</v>
      </c>
      <c r="K35" s="84" t="n">
        <v>25</v>
      </c>
      <c r="L35" s="76"/>
      <c r="M35" s="76"/>
      <c r="N35" s="76"/>
      <c r="O35" s="85" t="n">
        <v>46023</v>
      </c>
      <c r="P35" s="85"/>
      <c r="Q35" s="76" t="n">
        <v>100</v>
      </c>
      <c r="R35" s="76" t="str">
        <v>open</v>
      </c>
      <c r="S35" s="71"/>
      <c r="T35" s="71" t="str">
        <v>add</v>
      </c>
      <c r="U35" s="71"/>
      <c r="V35" s="71" t="str">
        <v>blockedScope</v>
      </c>
      <c r="W35" s="70" t="n">
        <f>IF(AND(ISNUMBER('Übersicht'!$B$4),'Übersicht'!$B$4=INT('Übersicht'!$B$4),'Übersicht'!$B$4&gt;=2026,'Übersicht'!$B$4&lt;=2028),IF(I35="fixedMonthDay",IF(AND(ISNUMBER(J35),ISNUMBER(K35),J35=INT(J35),K35=INT(K35),MONTH(DATE('Übersicht'!$B$4,J35,K35))=J35,DAY(DATE('Übersicht'!$B$4,J35,K35))=K35),DATE('Übersicht'!$B$4,J35,K35),NA()),IF(I35="easterOffsetDays",IF(AND(ISNUMBER(L35),L35=INT(L35),ABS(L35)&lt;=366),$AB$23+L35,NA()),IF(I35="nthWeekdayOfMonth",IF(AND(ISNUMBER(J35),ISNUMBER(M35),ISNUMBER(N35),J35=INT(J35),M35=INT(M35),N35=INT(N35),J35&gt;=1,J35&lt;=12,M35&gt;=1,M35&lt;=7,N35&gt;=1,N35&lt;=5,MONTH(DATE('Übersicht'!$B$4,J35,1)+MOD(M35-WEEKDAY(DATE('Übersicht'!$B$4,J35,1),2),7)+7*(N35-1))=J35),DATE('Übersicht'!$B$4,J35,1)+MOD(M35-WEEKDAY(DATE('Übersicht'!$B$4,J35,1),2),7)+7*(N35-1),NA()),NA()))),NA())</f>
        <v>46746</v>
      </c>
      <c r="X35" s="70" t="n">
        <f>IF(AND(W35&gt;=O35,OR(P35="",W35&lt;=P35)),W35,"Ausserhalb Geltung")</f>
        <v>46746</v>
      </c>
      <c r="Y35" s="71" t="str">
        <v>SRC-AG-EGARR-20250901</v>
      </c>
      <c r="Z35" s="71" t="str">
        <v>§ 6 Abs. 1 Bst. b Ziff. 1</v>
      </c>
    </row>
    <row r="36" ht="38" customHeight="1">
      <c r="A36" s="74" t="str">
        <v>AG-WORK-HOL-B1-ST-STEPHEN</v>
      </c>
      <c r="B36" s="74" t="str">
        <v>CH-AG</v>
      </c>
      <c r="C36" s="74" t="str">
        <v>AG-ARG-BERGDIETIKON</v>
      </c>
      <c r="D36" s="78" t="str">
        <v>Stephanstag</v>
      </c>
      <c r="E36" s="78" t="str">
        <v>Saint-Étienne</v>
      </c>
      <c r="F36" s="79" t="str"/>
      <c r="G36" s="79" t="str"/>
      <c r="H36" s="74" t="str">
        <v>labourLawHoliday</v>
      </c>
      <c r="I36" s="74" t="str">
        <v>fixedMonthDay</v>
      </c>
      <c r="J36" s="86" t="n">
        <v>12</v>
      </c>
      <c r="K36" s="86" t="n">
        <v>26</v>
      </c>
      <c r="L36" s="78"/>
      <c r="M36" s="78"/>
      <c r="N36" s="78"/>
      <c r="O36" s="87" t="n">
        <v>46023</v>
      </c>
      <c r="P36" s="87"/>
      <c r="Q36" s="78" t="n">
        <v>100</v>
      </c>
      <c r="R36" s="78" t="str">
        <v>open</v>
      </c>
      <c r="S36" s="74"/>
      <c r="T36" s="74" t="str">
        <v>add</v>
      </c>
      <c r="U36" s="74"/>
      <c r="V36" s="74" t="str">
        <v>blockedScope</v>
      </c>
      <c r="W36" s="73" t="n">
        <f>IF(AND(ISNUMBER('Übersicht'!$B$4),'Übersicht'!$B$4=INT('Übersicht'!$B$4),'Übersicht'!$B$4&gt;=2026,'Übersicht'!$B$4&lt;=2028),IF(I36="fixedMonthDay",IF(AND(ISNUMBER(J36),ISNUMBER(K36),J36=INT(J36),K36=INT(K36),MONTH(DATE('Übersicht'!$B$4,J36,K36))=J36,DAY(DATE('Übersicht'!$B$4,J36,K36))=K36),DATE('Übersicht'!$B$4,J36,K36),NA()),IF(I36="easterOffsetDays",IF(AND(ISNUMBER(L36),L36=INT(L36),ABS(L36)&lt;=366),$AB$23+L36,NA()),IF(I36="nthWeekdayOfMonth",IF(AND(ISNUMBER(J36),ISNUMBER(M36),ISNUMBER(N36),J36=INT(J36),M36=INT(M36),N36=INT(N36),J36&gt;=1,J36&lt;=12,M36&gt;=1,M36&lt;=7,N36&gt;=1,N36&lt;=5,MONTH(DATE('Übersicht'!$B$4,J36,1)+MOD(M36-WEEKDAY(DATE('Übersicht'!$B$4,J36,1),2),7)+7*(N36-1))=J36),DATE('Übersicht'!$B$4,J36,1)+MOD(M36-WEEKDAY(DATE('Übersicht'!$B$4,J36,1),2),7)+7*(N36-1),NA()),NA()))),NA())</f>
        <v>46747</v>
      </c>
      <c r="X36" s="73" t="n">
        <f>IF(AND(W36&gt;=O36,OR(P36="",W36&lt;=P36)),W36,"Ausserhalb Geltung")</f>
        <v>46747</v>
      </c>
      <c r="Y36" s="74" t="str">
        <v>SRC-AG-EGARR-20250901</v>
      </c>
      <c r="Z36" s="74" t="str">
        <v>§ 6 Abs. 1 Bst. b Ziff. 1</v>
      </c>
    </row>
    <row r="37" ht="38" customHeight="1">
      <c r="A37" s="71" t="str">
        <v>AG-WORK-HOL-B2-NEW-YEAR</v>
      </c>
      <c r="B37" s="71" t="str">
        <v>CH-AG</v>
      </c>
      <c r="C37" s="71" t="str">
        <v>AG-ARG-BADEN</v>
      </c>
      <c r="D37" s="76" t="str">
        <v>Neujahr</v>
      </c>
      <c r="E37" s="76" t="str">
        <v>Nouvel An</v>
      </c>
      <c r="F37" s="77" t="str"/>
      <c r="G37" s="77" t="str"/>
      <c r="H37" s="71" t="str">
        <v>labourLawHoliday</v>
      </c>
      <c r="I37" s="71" t="str">
        <v>fixedMonthDay</v>
      </c>
      <c r="J37" s="84" t="n">
        <v>1</v>
      </c>
      <c r="K37" s="84" t="n">
        <v>1</v>
      </c>
      <c r="L37" s="76"/>
      <c r="M37" s="76"/>
      <c r="N37" s="76"/>
      <c r="O37" s="85" t="n">
        <v>46023</v>
      </c>
      <c r="P37" s="85"/>
      <c r="Q37" s="76" t="n">
        <v>100</v>
      </c>
      <c r="R37" s="76" t="str">
        <v>open</v>
      </c>
      <c r="S37" s="71"/>
      <c r="T37" s="71" t="str">
        <v>add</v>
      </c>
      <c r="U37" s="71"/>
      <c r="V37" s="71" t="str">
        <v>blockedScope</v>
      </c>
      <c r="W37" s="70" t="n">
        <f>IF(AND(ISNUMBER('Übersicht'!$B$4),'Übersicht'!$B$4=INT('Übersicht'!$B$4),'Übersicht'!$B$4&gt;=2026,'Übersicht'!$B$4&lt;=2028),IF(I37="fixedMonthDay",IF(AND(ISNUMBER(J37),ISNUMBER(K37),J37=INT(J37),K37=INT(K37),MONTH(DATE('Übersicht'!$B$4,J37,K37))=J37,DAY(DATE('Übersicht'!$B$4,J37,K37))=K37),DATE('Übersicht'!$B$4,J37,K37),NA()),IF(I37="easterOffsetDays",IF(AND(ISNUMBER(L37),L37=INT(L37),ABS(L37)&lt;=366),$AB$23+L37,NA()),IF(I37="nthWeekdayOfMonth",IF(AND(ISNUMBER(J37),ISNUMBER(M37),ISNUMBER(N37),J37=INT(J37),M37=INT(M37),N37=INT(N37),J37&gt;=1,J37&lt;=12,M37&gt;=1,M37&lt;=7,N37&gt;=1,N37&lt;=5,MONTH(DATE('Übersicht'!$B$4,J37,1)+MOD(M37-WEEKDAY(DATE('Übersicht'!$B$4,J37,1),2),7)+7*(N37-1))=J37),DATE('Übersicht'!$B$4,J37,1)+MOD(M37-WEEKDAY(DATE('Übersicht'!$B$4,J37,1),2),7)+7*(N37-1),NA()),NA()))),NA())</f>
        <v>46388</v>
      </c>
      <c r="X37" s="70" t="n">
        <f>IF(AND(W37&gt;=O37,OR(P37="",W37&lt;=P37)),W37,"Ausserhalb Geltung")</f>
        <v>46388</v>
      </c>
      <c r="Y37" s="71" t="str">
        <v>SRC-AG-EGARR-20250901</v>
      </c>
      <c r="Z37" s="71" t="str">
        <v>§ 6 Abs. 1 Bst. b Ziff. 2</v>
      </c>
    </row>
    <row r="38" ht="38" customHeight="1">
      <c r="A38" s="74" t="str">
        <v>AG-WORK-HOL-B2-GOOD-FRIDAY</v>
      </c>
      <c r="B38" s="74" t="str">
        <v>CH-AG</v>
      </c>
      <c r="C38" s="74" t="str">
        <v>AG-ARG-BADEN</v>
      </c>
      <c r="D38" s="78" t="str">
        <v>Karfreitag</v>
      </c>
      <c r="E38" s="78" t="str">
        <v>Vendredi saint</v>
      </c>
      <c r="F38" s="79" t="str"/>
      <c r="G38" s="79" t="str"/>
      <c r="H38" s="74" t="str">
        <v>labourLawHoliday</v>
      </c>
      <c r="I38" s="74" t="str">
        <v>easterOffsetDays</v>
      </c>
      <c r="J38" s="86"/>
      <c r="K38" s="86"/>
      <c r="L38" s="78" t="n">
        <v>-2</v>
      </c>
      <c r="M38" s="78"/>
      <c r="N38" s="78"/>
      <c r="O38" s="87" t="n">
        <v>46023</v>
      </c>
      <c r="P38" s="87"/>
      <c r="Q38" s="78" t="n">
        <v>100</v>
      </c>
      <c r="R38" s="78" t="str">
        <v>open</v>
      </c>
      <c r="S38" s="74"/>
      <c r="T38" s="74" t="str">
        <v>add</v>
      </c>
      <c r="U38" s="74"/>
      <c r="V38" s="74" t="str">
        <v>blockedScope</v>
      </c>
      <c r="W38" s="73" t="n">
        <f>IF(AND(ISNUMBER('Übersicht'!$B$4),'Übersicht'!$B$4=INT('Übersicht'!$B$4),'Übersicht'!$B$4&gt;=2026,'Übersicht'!$B$4&lt;=2028),IF(I38="fixedMonthDay",IF(AND(ISNUMBER(J38),ISNUMBER(K38),J38=INT(J38),K38=INT(K38),MONTH(DATE('Übersicht'!$B$4,J38,K38))=J38,DAY(DATE('Übersicht'!$B$4,J38,K38))=K38),DATE('Übersicht'!$B$4,J38,K38),NA()),IF(I38="easterOffsetDays",IF(AND(ISNUMBER(L38),L38=INT(L38),ABS(L38)&lt;=366),$AB$23+L38,NA()),IF(I38="nthWeekdayOfMonth",IF(AND(ISNUMBER(J38),ISNUMBER(M38),ISNUMBER(N38),J38=INT(J38),M38=INT(M38),N38=INT(N38),J38&gt;=1,J38&lt;=12,M38&gt;=1,M38&lt;=7,N38&gt;=1,N38&lt;=5,MONTH(DATE('Übersicht'!$B$4,J38,1)+MOD(M38-WEEKDAY(DATE('Übersicht'!$B$4,J38,1),2),7)+7*(N38-1))=J38),DATE('Übersicht'!$B$4,J38,1)+MOD(M38-WEEKDAY(DATE('Übersicht'!$B$4,J38,1),2),7)+7*(N38-1),NA()),NA()))),NA())</f>
        <v>46472</v>
      </c>
      <c r="X38" s="73" t="n">
        <f>IF(AND(W38&gt;=O38,OR(P38="",W38&lt;=P38)),W38,"Ausserhalb Geltung")</f>
        <v>46472</v>
      </c>
      <c r="Y38" s="74" t="str">
        <v>SRC-AG-EGARR-20250901</v>
      </c>
      <c r="Z38" s="74" t="str">
        <v>§ 6 Abs. 1 Bst. b Ziff. 2</v>
      </c>
    </row>
    <row r="39" ht="38" customHeight="1">
      <c r="A39" s="71" t="str">
        <v>AG-WORK-HOL-B2-EASTER-MONDAY</v>
      </c>
      <c r="B39" s="71" t="str">
        <v>CH-AG</v>
      </c>
      <c r="C39" s="71" t="str">
        <v>AG-ARG-BADEN</v>
      </c>
      <c r="D39" s="76" t="str">
        <v>Ostermontag</v>
      </c>
      <c r="E39" s="76" t="str">
        <v>Lundi de Pâques</v>
      </c>
      <c r="F39" s="77" t="str"/>
      <c r="G39" s="77" t="str"/>
      <c r="H39" s="71" t="str">
        <v>labourLawHoliday</v>
      </c>
      <c r="I39" s="71" t="str">
        <v>easterOffsetDays</v>
      </c>
      <c r="J39" s="84"/>
      <c r="K39" s="84"/>
      <c r="L39" s="76" t="n">
        <v>1</v>
      </c>
      <c r="M39" s="76"/>
      <c r="N39" s="76"/>
      <c r="O39" s="85" t="n">
        <v>46023</v>
      </c>
      <c r="P39" s="85"/>
      <c r="Q39" s="76" t="n">
        <v>100</v>
      </c>
      <c r="R39" s="76" t="str">
        <v>open</v>
      </c>
      <c r="S39" s="71"/>
      <c r="T39" s="71" t="str">
        <v>add</v>
      </c>
      <c r="U39" s="71"/>
      <c r="V39" s="71" t="str">
        <v>blockedScope</v>
      </c>
      <c r="W39" s="70" t="n">
        <f>IF(AND(ISNUMBER('Übersicht'!$B$4),'Übersicht'!$B$4=INT('Übersicht'!$B$4),'Übersicht'!$B$4&gt;=2026,'Übersicht'!$B$4&lt;=2028),IF(I39="fixedMonthDay",IF(AND(ISNUMBER(J39),ISNUMBER(K39),J39=INT(J39),K39=INT(K39),MONTH(DATE('Übersicht'!$B$4,J39,K39))=J39,DAY(DATE('Übersicht'!$B$4,J39,K39))=K39),DATE('Übersicht'!$B$4,J39,K39),NA()),IF(I39="easterOffsetDays",IF(AND(ISNUMBER(L39),L39=INT(L39),ABS(L39)&lt;=366),$AB$23+L39,NA()),IF(I39="nthWeekdayOfMonth",IF(AND(ISNUMBER(J39),ISNUMBER(M39),ISNUMBER(N39),J39=INT(J39),M39=INT(M39),N39=INT(N39),J39&gt;=1,J39&lt;=12,M39&gt;=1,M39&lt;=7,N39&gt;=1,N39&lt;=5,MONTH(DATE('Übersicht'!$B$4,J39,1)+MOD(M39-WEEKDAY(DATE('Übersicht'!$B$4,J39,1),2),7)+7*(N39-1))=J39),DATE('Übersicht'!$B$4,J39,1)+MOD(M39-WEEKDAY(DATE('Übersicht'!$B$4,J39,1),2),7)+7*(N39-1),NA()),NA()))),NA())</f>
        <v>46475</v>
      </c>
      <c r="X39" s="70" t="n">
        <f>IF(AND(W39&gt;=O39,OR(P39="",W39&lt;=P39)),W39,"Ausserhalb Geltung")</f>
        <v>46475</v>
      </c>
      <c r="Y39" s="71" t="str">
        <v>SRC-AG-EGARR-20250901</v>
      </c>
      <c r="Z39" s="71" t="str">
        <v>§ 6 Abs. 1 Bst. b Ziff. 2</v>
      </c>
    </row>
    <row r="40" ht="38" customHeight="1">
      <c r="A40" s="74" t="str">
        <v>AG-WORK-HOL-B2-ASCENSION</v>
      </c>
      <c r="B40" s="74" t="str">
        <v>CH-AG</v>
      </c>
      <c r="C40" s="74" t="str">
        <v>AG-ARG-BADEN</v>
      </c>
      <c r="D40" s="78" t="str">
        <v>Auffahrt</v>
      </c>
      <c r="E40" s="78" t="str">
        <v>Ascension</v>
      </c>
      <c r="F40" s="79" t="str"/>
      <c r="G40" s="79" t="str"/>
      <c r="H40" s="74" t="str">
        <v>labourLawHoliday</v>
      </c>
      <c r="I40" s="74" t="str">
        <v>easterOffsetDays</v>
      </c>
      <c r="J40" s="86"/>
      <c r="K40" s="86"/>
      <c r="L40" s="78" t="n">
        <v>39</v>
      </c>
      <c r="M40" s="78"/>
      <c r="N40" s="78"/>
      <c r="O40" s="87" t="n">
        <v>46023</v>
      </c>
      <c r="P40" s="87"/>
      <c r="Q40" s="78" t="n">
        <v>100</v>
      </c>
      <c r="R40" s="78" t="str">
        <v>open</v>
      </c>
      <c r="S40" s="74"/>
      <c r="T40" s="74" t="str">
        <v>add</v>
      </c>
      <c r="U40" s="74"/>
      <c r="V40" s="74" t="str">
        <v>blockedScope</v>
      </c>
      <c r="W40" s="73" t="n">
        <f>IF(AND(ISNUMBER('Übersicht'!$B$4),'Übersicht'!$B$4=INT('Übersicht'!$B$4),'Übersicht'!$B$4&gt;=2026,'Übersicht'!$B$4&lt;=2028),IF(I40="fixedMonthDay",IF(AND(ISNUMBER(J40),ISNUMBER(K40),J40=INT(J40),K40=INT(K40),MONTH(DATE('Übersicht'!$B$4,J40,K40))=J40,DAY(DATE('Übersicht'!$B$4,J40,K40))=K40),DATE('Übersicht'!$B$4,J40,K40),NA()),IF(I40="easterOffsetDays",IF(AND(ISNUMBER(L40),L40=INT(L40),ABS(L40)&lt;=366),$AB$23+L40,NA()),IF(I40="nthWeekdayOfMonth",IF(AND(ISNUMBER(J40),ISNUMBER(M40),ISNUMBER(N40),J40=INT(J40),M40=INT(M40),N40=INT(N40),J40&gt;=1,J40&lt;=12,M40&gt;=1,M40&lt;=7,N40&gt;=1,N40&lt;=5,MONTH(DATE('Übersicht'!$B$4,J40,1)+MOD(M40-WEEKDAY(DATE('Übersicht'!$B$4,J40,1),2),7)+7*(N40-1))=J40),DATE('Übersicht'!$B$4,J40,1)+MOD(M40-WEEKDAY(DATE('Übersicht'!$B$4,J40,1),2),7)+7*(N40-1),NA()),NA()))),NA())</f>
        <v>46513</v>
      </c>
      <c r="X40" s="73" t="n">
        <f>IF(AND(W40&gt;=O40,OR(P40="",W40&lt;=P40)),W40,"Ausserhalb Geltung")</f>
        <v>46513</v>
      </c>
      <c r="Y40" s="74" t="str">
        <v>SRC-AG-EGARR-20250901</v>
      </c>
      <c r="Z40" s="74" t="str">
        <v>§ 6 Abs. 1 Bst. b Ziff. 2</v>
      </c>
    </row>
    <row r="41" ht="38" customHeight="1">
      <c r="A41" s="71" t="str">
        <v>AG-WORK-HOL-B2-WHIT-MONDAY</v>
      </c>
      <c r="B41" s="71" t="str">
        <v>CH-AG</v>
      </c>
      <c r="C41" s="71" t="str">
        <v>AG-ARG-BADEN</v>
      </c>
      <c r="D41" s="76" t="str">
        <v>Pfingstmontag</v>
      </c>
      <c r="E41" s="76" t="str">
        <v>Lundi de Pentecôte</v>
      </c>
      <c r="F41" s="77" t="str"/>
      <c r="G41" s="77" t="str"/>
      <c r="H41" s="71" t="str">
        <v>labourLawHoliday</v>
      </c>
      <c r="I41" s="71" t="str">
        <v>easterOffsetDays</v>
      </c>
      <c r="J41" s="84"/>
      <c r="K41" s="84"/>
      <c r="L41" s="76" t="n">
        <v>50</v>
      </c>
      <c r="M41" s="76"/>
      <c r="N41" s="76"/>
      <c r="O41" s="85" t="n">
        <v>46023</v>
      </c>
      <c r="P41" s="85"/>
      <c r="Q41" s="76" t="n">
        <v>100</v>
      </c>
      <c r="R41" s="76" t="str">
        <v>open</v>
      </c>
      <c r="S41" s="71"/>
      <c r="T41" s="71" t="str">
        <v>add</v>
      </c>
      <c r="U41" s="71"/>
      <c r="V41" s="71" t="str">
        <v>blockedScope</v>
      </c>
      <c r="W41" s="70" t="n">
        <f>IF(AND(ISNUMBER('Übersicht'!$B$4),'Übersicht'!$B$4=INT('Übersicht'!$B$4),'Übersicht'!$B$4&gt;=2026,'Übersicht'!$B$4&lt;=2028),IF(I41="fixedMonthDay",IF(AND(ISNUMBER(J41),ISNUMBER(K41),J41=INT(J41),K41=INT(K41),MONTH(DATE('Übersicht'!$B$4,J41,K41))=J41,DAY(DATE('Übersicht'!$B$4,J41,K41))=K41),DATE('Übersicht'!$B$4,J41,K41),NA()),IF(I41="easterOffsetDays",IF(AND(ISNUMBER(L41),L41=INT(L41),ABS(L41)&lt;=366),$AB$23+L41,NA()),IF(I41="nthWeekdayOfMonth",IF(AND(ISNUMBER(J41),ISNUMBER(M41),ISNUMBER(N41),J41=INT(J41),M41=INT(M41),N41=INT(N41),J41&gt;=1,J41&lt;=12,M41&gt;=1,M41&lt;=7,N41&gt;=1,N41&lt;=5,MONTH(DATE('Übersicht'!$B$4,J41,1)+MOD(M41-WEEKDAY(DATE('Übersicht'!$B$4,J41,1),2),7)+7*(N41-1))=J41),DATE('Übersicht'!$B$4,J41,1)+MOD(M41-WEEKDAY(DATE('Übersicht'!$B$4,J41,1),2),7)+7*(N41-1),NA()),NA()))),NA())</f>
        <v>46524</v>
      </c>
      <c r="X41" s="70" t="n">
        <f>IF(AND(W41&gt;=O41,OR(P41="",W41&lt;=P41)),W41,"Ausserhalb Geltung")</f>
        <v>46524</v>
      </c>
      <c r="Y41" s="71" t="str">
        <v>SRC-AG-EGARR-20250901</v>
      </c>
      <c r="Z41" s="71" t="str">
        <v>§ 6 Abs. 1 Bst. b Ziff. 2</v>
      </c>
    </row>
    <row r="42" ht="38" customHeight="1">
      <c r="A42" s="74" t="str">
        <v>AG-WORK-HOL-B2-CHRISTMAS</v>
      </c>
      <c r="B42" s="74" t="str">
        <v>CH-AG</v>
      </c>
      <c r="C42" s="74" t="str">
        <v>AG-ARG-BADEN</v>
      </c>
      <c r="D42" s="78" t="str">
        <v>Weihnachten</v>
      </c>
      <c r="E42" s="78" t="str">
        <v>Noël</v>
      </c>
      <c r="F42" s="79" t="str"/>
      <c r="G42" s="79" t="str"/>
      <c r="H42" s="74" t="str">
        <v>labourLawHoliday</v>
      </c>
      <c r="I42" s="74" t="str">
        <v>fixedMonthDay</v>
      </c>
      <c r="J42" s="86" t="n">
        <v>12</v>
      </c>
      <c r="K42" s="86" t="n">
        <v>25</v>
      </c>
      <c r="L42" s="78"/>
      <c r="M42" s="78"/>
      <c r="N42" s="78"/>
      <c r="O42" s="87" t="n">
        <v>46023</v>
      </c>
      <c r="P42" s="87"/>
      <c r="Q42" s="78" t="n">
        <v>100</v>
      </c>
      <c r="R42" s="78" t="str">
        <v>open</v>
      </c>
      <c r="S42" s="74"/>
      <c r="T42" s="74" t="str">
        <v>add</v>
      </c>
      <c r="U42" s="74"/>
      <c r="V42" s="74" t="str">
        <v>blockedScope</v>
      </c>
      <c r="W42" s="73" t="n">
        <f>IF(AND(ISNUMBER('Übersicht'!$B$4),'Übersicht'!$B$4=INT('Übersicht'!$B$4),'Übersicht'!$B$4&gt;=2026,'Übersicht'!$B$4&lt;=2028),IF(I42="fixedMonthDay",IF(AND(ISNUMBER(J42),ISNUMBER(K42),J42=INT(J42),K42=INT(K42),MONTH(DATE('Übersicht'!$B$4,J42,K42))=J42,DAY(DATE('Übersicht'!$B$4,J42,K42))=K42),DATE('Übersicht'!$B$4,J42,K42),NA()),IF(I42="easterOffsetDays",IF(AND(ISNUMBER(L42),L42=INT(L42),ABS(L42)&lt;=366),$AB$23+L42,NA()),IF(I42="nthWeekdayOfMonth",IF(AND(ISNUMBER(J42),ISNUMBER(M42),ISNUMBER(N42),J42=INT(J42),M42=INT(M42),N42=INT(N42),J42&gt;=1,J42&lt;=12,M42&gt;=1,M42&lt;=7,N42&gt;=1,N42&lt;=5,MONTH(DATE('Übersicht'!$B$4,J42,1)+MOD(M42-WEEKDAY(DATE('Übersicht'!$B$4,J42,1),2),7)+7*(N42-1))=J42),DATE('Übersicht'!$B$4,J42,1)+MOD(M42-WEEKDAY(DATE('Übersicht'!$B$4,J42,1),2),7)+7*(N42-1),NA()),NA()))),NA())</f>
        <v>46746</v>
      </c>
      <c r="X42" s="73" t="n">
        <f>IF(AND(W42&gt;=O42,OR(P42="",W42&lt;=P42)),W42,"Ausserhalb Geltung")</f>
        <v>46746</v>
      </c>
      <c r="Y42" s="74" t="str">
        <v>SRC-AG-EGARR-20250901</v>
      </c>
      <c r="Z42" s="74" t="str">
        <v>§ 6 Abs. 1 Bst. b Ziff. 2</v>
      </c>
    </row>
    <row r="43" ht="38" customHeight="1">
      <c r="A43" s="71" t="str">
        <v>AG-WORK-HOL-B2-ST-STEPHEN</v>
      </c>
      <c r="B43" s="71" t="str">
        <v>CH-AG</v>
      </c>
      <c r="C43" s="71" t="str">
        <v>AG-ARG-BADEN</v>
      </c>
      <c r="D43" s="76" t="str">
        <v>Stephanstag</v>
      </c>
      <c r="E43" s="76" t="str">
        <v>Saint-Étienne</v>
      </c>
      <c r="F43" s="77" t="str"/>
      <c r="G43" s="77" t="str"/>
      <c r="H43" s="71" t="str">
        <v>labourLawHoliday</v>
      </c>
      <c r="I43" s="71" t="str">
        <v>fixedMonthDay</v>
      </c>
      <c r="J43" s="84" t="n">
        <v>12</v>
      </c>
      <c r="K43" s="84" t="n">
        <v>26</v>
      </c>
      <c r="L43" s="76"/>
      <c r="M43" s="76"/>
      <c r="N43" s="76"/>
      <c r="O43" s="85" t="n">
        <v>46023</v>
      </c>
      <c r="P43" s="85"/>
      <c r="Q43" s="76" t="n">
        <v>100</v>
      </c>
      <c r="R43" s="76" t="str">
        <v>open</v>
      </c>
      <c r="S43" s="71"/>
      <c r="T43" s="71" t="str">
        <v>add</v>
      </c>
      <c r="U43" s="71"/>
      <c r="V43" s="71" t="str">
        <v>blockedScope</v>
      </c>
      <c r="W43" s="70" t="n">
        <f>IF(AND(ISNUMBER('Übersicht'!$B$4),'Übersicht'!$B$4=INT('Übersicht'!$B$4),'Übersicht'!$B$4&gt;=2026,'Übersicht'!$B$4&lt;=2028),IF(I43="fixedMonthDay",IF(AND(ISNUMBER(J43),ISNUMBER(K43),J43=INT(J43),K43=INT(K43),MONTH(DATE('Übersicht'!$B$4,J43,K43))=J43,DAY(DATE('Übersicht'!$B$4,J43,K43))=K43),DATE('Übersicht'!$B$4,J43,K43),NA()),IF(I43="easterOffsetDays",IF(AND(ISNUMBER(L43),L43=INT(L43),ABS(L43)&lt;=366),$AB$23+L43,NA()),IF(I43="nthWeekdayOfMonth",IF(AND(ISNUMBER(J43),ISNUMBER(M43),ISNUMBER(N43),J43=INT(J43),M43=INT(M43),N43=INT(N43),J43&gt;=1,J43&lt;=12,M43&gt;=1,M43&lt;=7,N43&gt;=1,N43&lt;=5,MONTH(DATE('Übersicht'!$B$4,J43,1)+MOD(M43-WEEKDAY(DATE('Übersicht'!$B$4,J43,1),2),7)+7*(N43-1))=J43),DATE('Übersicht'!$B$4,J43,1)+MOD(M43-WEEKDAY(DATE('Übersicht'!$B$4,J43,1),2),7)+7*(N43-1),NA()),NA()))),NA())</f>
        <v>46747</v>
      </c>
      <c r="X43" s="70" t="n">
        <f>IF(AND(W43&gt;=O43,OR(P43="",W43&lt;=P43)),W43,"Ausserhalb Geltung")</f>
        <v>46747</v>
      </c>
      <c r="Y43" s="71" t="str">
        <v>SRC-AG-EGARR-20250901</v>
      </c>
      <c r="Z43" s="71" t="str">
        <v>§ 6 Abs. 1 Bst. b Ziff. 2</v>
      </c>
    </row>
    <row r="44" ht="38" customHeight="1">
      <c r="A44" s="74" t="str">
        <v>AG-WORK-HOL-C-NEW-YEAR</v>
      </c>
      <c r="B44" s="74" t="str">
        <v>CH-AG</v>
      </c>
      <c r="C44" s="74" t="str">
        <v>AG-ARG-BREMGARTEN</v>
      </c>
      <c r="D44" s="78" t="str">
        <v>Neujahr</v>
      </c>
      <c r="E44" s="78" t="str">
        <v>Nouvel An</v>
      </c>
      <c r="F44" s="79" t="str"/>
      <c r="G44" s="79" t="str"/>
      <c r="H44" s="74" t="str">
        <v>labourLawHoliday</v>
      </c>
      <c r="I44" s="74" t="str">
        <v>fixedMonthDay</v>
      </c>
      <c r="J44" s="86" t="n">
        <v>1</v>
      </c>
      <c r="K44" s="86" t="n">
        <v>1</v>
      </c>
      <c r="L44" s="78"/>
      <c r="M44" s="78"/>
      <c r="N44" s="78"/>
      <c r="O44" s="87" t="n">
        <v>46023</v>
      </c>
      <c r="P44" s="87"/>
      <c r="Q44" s="78" t="n">
        <v>100</v>
      </c>
      <c r="R44" s="78" t="str">
        <v>open</v>
      </c>
      <c r="S44" s="74"/>
      <c r="T44" s="74" t="str">
        <v>add</v>
      </c>
      <c r="U44" s="74"/>
      <c r="V44" s="74" t="str">
        <v>blockedScope</v>
      </c>
      <c r="W44" s="73" t="n">
        <f>IF(AND(ISNUMBER('Übersicht'!$B$4),'Übersicht'!$B$4=INT('Übersicht'!$B$4),'Übersicht'!$B$4&gt;=2026,'Übersicht'!$B$4&lt;=2028),IF(I44="fixedMonthDay",IF(AND(ISNUMBER(J44),ISNUMBER(K44),J44=INT(J44),K44=INT(K44),MONTH(DATE('Übersicht'!$B$4,J44,K44))=J44,DAY(DATE('Übersicht'!$B$4,J44,K44))=K44),DATE('Übersicht'!$B$4,J44,K44),NA()),IF(I44="easterOffsetDays",IF(AND(ISNUMBER(L44),L44=INT(L44),ABS(L44)&lt;=366),$AB$23+L44,NA()),IF(I44="nthWeekdayOfMonth",IF(AND(ISNUMBER(J44),ISNUMBER(M44),ISNUMBER(N44),J44=INT(J44),M44=INT(M44),N44=INT(N44),J44&gt;=1,J44&lt;=12,M44&gt;=1,M44&lt;=7,N44&gt;=1,N44&lt;=5,MONTH(DATE('Übersicht'!$B$4,J44,1)+MOD(M44-WEEKDAY(DATE('Übersicht'!$B$4,J44,1),2),7)+7*(N44-1))=J44),DATE('Übersicht'!$B$4,J44,1)+MOD(M44-WEEKDAY(DATE('Übersicht'!$B$4,J44,1),2),7)+7*(N44-1),NA()),NA()))),NA())</f>
        <v>46388</v>
      </c>
      <c r="X44" s="73" t="n">
        <f>IF(AND(W44&gt;=O44,OR(P44="",W44&lt;=P44)),W44,"Ausserhalb Geltung")</f>
        <v>46388</v>
      </c>
      <c r="Y44" s="74" t="str">
        <v>SRC-AG-EGARR-20250901</v>
      </c>
      <c r="Z44" s="74" t="str">
        <v>§ 6 Abs. 1 Bst. c</v>
      </c>
    </row>
    <row r="45" ht="38" customHeight="1">
      <c r="A45" s="71" t="str">
        <v>AG-WORK-HOL-C-GOOD-FRIDAY</v>
      </c>
      <c r="B45" s="71" t="str">
        <v>CH-AG</v>
      </c>
      <c r="C45" s="71" t="str">
        <v>AG-ARG-BREMGARTEN</v>
      </c>
      <c r="D45" s="76" t="str">
        <v>Karfreitag</v>
      </c>
      <c r="E45" s="76" t="str">
        <v>Vendredi saint</v>
      </c>
      <c r="F45" s="77" t="str"/>
      <c r="G45" s="77" t="str"/>
      <c r="H45" s="71" t="str">
        <v>labourLawHoliday</v>
      </c>
      <c r="I45" s="71" t="str">
        <v>easterOffsetDays</v>
      </c>
      <c r="J45" s="84"/>
      <c r="K45" s="84"/>
      <c r="L45" s="76" t="n">
        <v>-2</v>
      </c>
      <c r="M45" s="76"/>
      <c r="N45" s="76"/>
      <c r="O45" s="85" t="n">
        <v>46023</v>
      </c>
      <c r="P45" s="85"/>
      <c r="Q45" s="76" t="n">
        <v>100</v>
      </c>
      <c r="R45" s="76" t="str">
        <v>open</v>
      </c>
      <c r="S45" s="71"/>
      <c r="T45" s="71" t="str">
        <v>add</v>
      </c>
      <c r="U45" s="71"/>
      <c r="V45" s="71" t="str">
        <v>blockedScope</v>
      </c>
      <c r="W45" s="70" t="n">
        <f>IF(AND(ISNUMBER('Übersicht'!$B$4),'Übersicht'!$B$4=INT('Übersicht'!$B$4),'Übersicht'!$B$4&gt;=2026,'Übersicht'!$B$4&lt;=2028),IF(I45="fixedMonthDay",IF(AND(ISNUMBER(J45),ISNUMBER(K45),J45=INT(J45),K45=INT(K45),MONTH(DATE('Übersicht'!$B$4,J45,K45))=J45,DAY(DATE('Übersicht'!$B$4,J45,K45))=K45),DATE('Übersicht'!$B$4,J45,K45),NA()),IF(I45="easterOffsetDays",IF(AND(ISNUMBER(L45),L45=INT(L45),ABS(L45)&lt;=366),$AB$23+L45,NA()),IF(I45="nthWeekdayOfMonth",IF(AND(ISNUMBER(J45),ISNUMBER(M45),ISNUMBER(N45),J45=INT(J45),M45=INT(M45),N45=INT(N45),J45&gt;=1,J45&lt;=12,M45&gt;=1,M45&lt;=7,N45&gt;=1,N45&lt;=5,MONTH(DATE('Übersicht'!$B$4,J45,1)+MOD(M45-WEEKDAY(DATE('Übersicht'!$B$4,J45,1),2),7)+7*(N45-1))=J45),DATE('Übersicht'!$B$4,J45,1)+MOD(M45-WEEKDAY(DATE('Übersicht'!$B$4,J45,1),2),7)+7*(N45-1),NA()),NA()))),NA())</f>
        <v>46472</v>
      </c>
      <c r="X45" s="70" t="n">
        <f>IF(AND(W45&gt;=O45,OR(P45="",W45&lt;=P45)),W45,"Ausserhalb Geltung")</f>
        <v>46472</v>
      </c>
      <c r="Y45" s="71" t="str">
        <v>SRC-AG-EGARR-20250901</v>
      </c>
      <c r="Z45" s="71" t="str">
        <v>§ 6 Abs. 1 Bst. c</v>
      </c>
    </row>
    <row r="46" ht="38" customHeight="1">
      <c r="A46" s="74" t="str">
        <v>AG-WORK-HOL-C-ASCENSION</v>
      </c>
      <c r="B46" s="74" t="str">
        <v>CH-AG</v>
      </c>
      <c r="C46" s="74" t="str">
        <v>AG-ARG-BREMGARTEN</v>
      </c>
      <c r="D46" s="78" t="str">
        <v>Auffahrt</v>
      </c>
      <c r="E46" s="78" t="str">
        <v>Ascension</v>
      </c>
      <c r="F46" s="79" t="str"/>
      <c r="G46" s="79" t="str"/>
      <c r="H46" s="74" t="str">
        <v>labourLawHoliday</v>
      </c>
      <c r="I46" s="74" t="str">
        <v>easterOffsetDays</v>
      </c>
      <c r="J46" s="86"/>
      <c r="K46" s="86"/>
      <c r="L46" s="78" t="n">
        <v>39</v>
      </c>
      <c r="M46" s="78"/>
      <c r="N46" s="78"/>
      <c r="O46" s="87" t="n">
        <v>46023</v>
      </c>
      <c r="P46" s="87"/>
      <c r="Q46" s="78" t="n">
        <v>100</v>
      </c>
      <c r="R46" s="78" t="str">
        <v>open</v>
      </c>
      <c r="S46" s="74"/>
      <c r="T46" s="74" t="str">
        <v>add</v>
      </c>
      <c r="U46" s="74"/>
      <c r="V46" s="74" t="str">
        <v>blockedScope</v>
      </c>
      <c r="W46" s="73" t="n">
        <f>IF(AND(ISNUMBER('Übersicht'!$B$4),'Übersicht'!$B$4=INT('Übersicht'!$B$4),'Übersicht'!$B$4&gt;=2026,'Übersicht'!$B$4&lt;=2028),IF(I46="fixedMonthDay",IF(AND(ISNUMBER(J46),ISNUMBER(K46),J46=INT(J46),K46=INT(K46),MONTH(DATE('Übersicht'!$B$4,J46,K46))=J46,DAY(DATE('Übersicht'!$B$4,J46,K46))=K46),DATE('Übersicht'!$B$4,J46,K46),NA()),IF(I46="easterOffsetDays",IF(AND(ISNUMBER(L46),L46=INT(L46),ABS(L46)&lt;=366),$AB$23+L46,NA()),IF(I46="nthWeekdayOfMonth",IF(AND(ISNUMBER(J46),ISNUMBER(M46),ISNUMBER(N46),J46=INT(J46),M46=INT(M46),N46=INT(N46),J46&gt;=1,J46&lt;=12,M46&gt;=1,M46&lt;=7,N46&gt;=1,N46&lt;=5,MONTH(DATE('Übersicht'!$B$4,J46,1)+MOD(M46-WEEKDAY(DATE('Übersicht'!$B$4,J46,1),2),7)+7*(N46-1))=J46),DATE('Übersicht'!$B$4,J46,1)+MOD(M46-WEEKDAY(DATE('Übersicht'!$B$4,J46,1),2),7)+7*(N46-1),NA()),NA()))),NA())</f>
        <v>46513</v>
      </c>
      <c r="X46" s="73" t="n">
        <f>IF(AND(W46&gt;=O46,OR(P46="",W46&lt;=P46)),W46,"Ausserhalb Geltung")</f>
        <v>46513</v>
      </c>
      <c r="Y46" s="74" t="str">
        <v>SRC-AG-EGARR-20250901</v>
      </c>
      <c r="Z46" s="74" t="str">
        <v>§ 6 Abs. 1 Bst. c</v>
      </c>
    </row>
    <row r="47" ht="38" customHeight="1">
      <c r="A47" s="71" t="str">
        <v>AG-WORK-HOL-C-CORPUS-CHRISTI</v>
      </c>
      <c r="B47" s="71" t="str">
        <v>CH-AG</v>
      </c>
      <c r="C47" s="71" t="str">
        <v>AG-ARG-BREMGARTEN</v>
      </c>
      <c r="D47" s="76" t="str">
        <v>Fronleichnam</v>
      </c>
      <c r="E47" s="76" t="str">
        <v>Fête-Dieu</v>
      </c>
      <c r="F47" s="77" t="str"/>
      <c r="G47" s="77" t="str"/>
      <c r="H47" s="71" t="str">
        <v>labourLawHoliday</v>
      </c>
      <c r="I47" s="71" t="str">
        <v>easterOffsetDays</v>
      </c>
      <c r="J47" s="84"/>
      <c r="K47" s="84"/>
      <c r="L47" s="76" t="n">
        <v>60</v>
      </c>
      <c r="M47" s="76"/>
      <c r="N47" s="76"/>
      <c r="O47" s="85" t="n">
        <v>46023</v>
      </c>
      <c r="P47" s="85"/>
      <c r="Q47" s="76" t="n">
        <v>100</v>
      </c>
      <c r="R47" s="76" t="str">
        <v>open</v>
      </c>
      <c r="S47" s="71"/>
      <c r="T47" s="71" t="str">
        <v>add</v>
      </c>
      <c r="U47" s="71"/>
      <c r="V47" s="71" t="str">
        <v>blockedScope</v>
      </c>
      <c r="W47" s="70" t="n">
        <f>IF(AND(ISNUMBER('Übersicht'!$B$4),'Übersicht'!$B$4=INT('Übersicht'!$B$4),'Übersicht'!$B$4&gt;=2026,'Übersicht'!$B$4&lt;=2028),IF(I47="fixedMonthDay",IF(AND(ISNUMBER(J47),ISNUMBER(K47),J47=INT(J47),K47=INT(K47),MONTH(DATE('Übersicht'!$B$4,J47,K47))=J47,DAY(DATE('Übersicht'!$B$4,J47,K47))=K47),DATE('Übersicht'!$B$4,J47,K47),NA()),IF(I47="easterOffsetDays",IF(AND(ISNUMBER(L47),L47=INT(L47),ABS(L47)&lt;=366),$AB$23+L47,NA()),IF(I47="nthWeekdayOfMonth",IF(AND(ISNUMBER(J47),ISNUMBER(M47),ISNUMBER(N47),J47=INT(J47),M47=INT(M47),N47=INT(N47),J47&gt;=1,J47&lt;=12,M47&gt;=1,M47&lt;=7,N47&gt;=1,N47&lt;=5,MONTH(DATE('Übersicht'!$B$4,J47,1)+MOD(M47-WEEKDAY(DATE('Übersicht'!$B$4,J47,1),2),7)+7*(N47-1))=J47),DATE('Übersicht'!$B$4,J47,1)+MOD(M47-WEEKDAY(DATE('Übersicht'!$B$4,J47,1),2),7)+7*(N47-1),NA()),NA()))),NA())</f>
        <v>46534</v>
      </c>
      <c r="X47" s="70" t="n">
        <f>IF(AND(W47&gt;=O47,OR(P47="",W47&lt;=P47)),W47,"Ausserhalb Geltung")</f>
        <v>46534</v>
      </c>
      <c r="Y47" s="71" t="str">
        <v>SRC-AG-EGARR-20250901</v>
      </c>
      <c r="Z47" s="71" t="str">
        <v>§ 6 Abs. 1 Bst. c</v>
      </c>
    </row>
    <row r="48" ht="38" customHeight="1">
      <c r="A48" s="74" t="str">
        <v>AG-WORK-HOL-C-ASSUMPTION</v>
      </c>
      <c r="B48" s="74" t="str">
        <v>CH-AG</v>
      </c>
      <c r="C48" s="74" t="str">
        <v>AG-ARG-BREMGARTEN</v>
      </c>
      <c r="D48" s="78" t="str">
        <v>Mariä Himmelfahrt</v>
      </c>
      <c r="E48" s="78" t="str">
        <v>Assomption</v>
      </c>
      <c r="F48" s="79" t="str"/>
      <c r="G48" s="79" t="str"/>
      <c r="H48" s="74" t="str">
        <v>labourLawHoliday</v>
      </c>
      <c r="I48" s="74" t="str">
        <v>fixedMonthDay</v>
      </c>
      <c r="J48" s="86" t="n">
        <v>8</v>
      </c>
      <c r="K48" s="86" t="n">
        <v>15</v>
      </c>
      <c r="L48" s="78"/>
      <c r="M48" s="78"/>
      <c r="N48" s="78"/>
      <c r="O48" s="87" t="n">
        <v>46023</v>
      </c>
      <c r="P48" s="87"/>
      <c r="Q48" s="78" t="n">
        <v>100</v>
      </c>
      <c r="R48" s="78" t="str">
        <v>open</v>
      </c>
      <c r="S48" s="74"/>
      <c r="T48" s="74" t="str">
        <v>add</v>
      </c>
      <c r="U48" s="74"/>
      <c r="V48" s="74" t="str">
        <v>blockedScope</v>
      </c>
      <c r="W48" s="73" t="n">
        <f>IF(AND(ISNUMBER('Übersicht'!$B$4),'Übersicht'!$B$4=INT('Übersicht'!$B$4),'Übersicht'!$B$4&gt;=2026,'Übersicht'!$B$4&lt;=2028),IF(I48="fixedMonthDay",IF(AND(ISNUMBER(J48),ISNUMBER(K48),J48=INT(J48),K48=INT(K48),MONTH(DATE('Übersicht'!$B$4,J48,K48))=J48,DAY(DATE('Übersicht'!$B$4,J48,K48))=K48),DATE('Übersicht'!$B$4,J48,K48),NA()),IF(I48="easterOffsetDays",IF(AND(ISNUMBER(L48),L48=INT(L48),ABS(L48)&lt;=366),$AB$23+L48,NA()),IF(I48="nthWeekdayOfMonth",IF(AND(ISNUMBER(J48),ISNUMBER(M48),ISNUMBER(N48),J48=INT(J48),M48=INT(M48),N48=INT(N48),J48&gt;=1,J48&lt;=12,M48&gt;=1,M48&lt;=7,N48&gt;=1,N48&lt;=5,MONTH(DATE('Übersicht'!$B$4,J48,1)+MOD(M48-WEEKDAY(DATE('Übersicht'!$B$4,J48,1),2),7)+7*(N48-1))=J48),DATE('Übersicht'!$B$4,J48,1)+MOD(M48-WEEKDAY(DATE('Übersicht'!$B$4,J48,1),2),7)+7*(N48-1),NA()),NA()))),NA())</f>
        <v>46614</v>
      </c>
      <c r="X48" s="73" t="n">
        <f>IF(AND(W48&gt;=O48,OR(P48="",W48&lt;=P48)),W48,"Ausserhalb Geltung")</f>
        <v>46614</v>
      </c>
      <c r="Y48" s="74" t="str">
        <v>SRC-AG-EGARR-20250901</v>
      </c>
      <c r="Z48" s="74" t="str">
        <v>§ 6 Abs. 1 Bst. c</v>
      </c>
    </row>
    <row r="49" ht="38" customHeight="1">
      <c r="A49" s="71" t="str">
        <v>AG-WORK-HOL-C-ALL-SAINTS</v>
      </c>
      <c r="B49" s="71" t="str">
        <v>CH-AG</v>
      </c>
      <c r="C49" s="71" t="str">
        <v>AG-ARG-BREMGARTEN</v>
      </c>
      <c r="D49" s="76" t="str">
        <v>Allerheiligen</v>
      </c>
      <c r="E49" s="76" t="str">
        <v>Toussaint</v>
      </c>
      <c r="F49" s="77" t="str"/>
      <c r="G49" s="77" t="str"/>
      <c r="H49" s="71" t="str">
        <v>labourLawHoliday</v>
      </c>
      <c r="I49" s="71" t="str">
        <v>fixedMonthDay</v>
      </c>
      <c r="J49" s="84" t="n">
        <v>11</v>
      </c>
      <c r="K49" s="84" t="n">
        <v>1</v>
      </c>
      <c r="L49" s="76"/>
      <c r="M49" s="76"/>
      <c r="N49" s="76"/>
      <c r="O49" s="85" t="n">
        <v>46023</v>
      </c>
      <c r="P49" s="85"/>
      <c r="Q49" s="76" t="n">
        <v>100</v>
      </c>
      <c r="R49" s="76" t="str">
        <v>open</v>
      </c>
      <c r="S49" s="71"/>
      <c r="T49" s="71" t="str">
        <v>add</v>
      </c>
      <c r="U49" s="71"/>
      <c r="V49" s="71" t="str">
        <v>blockedScope</v>
      </c>
      <c r="W49" s="70" t="n">
        <f>IF(AND(ISNUMBER('Übersicht'!$B$4),'Übersicht'!$B$4=INT('Übersicht'!$B$4),'Übersicht'!$B$4&gt;=2026,'Übersicht'!$B$4&lt;=2028),IF(I49="fixedMonthDay",IF(AND(ISNUMBER(J49),ISNUMBER(K49),J49=INT(J49),K49=INT(K49),MONTH(DATE('Übersicht'!$B$4,J49,K49))=J49,DAY(DATE('Übersicht'!$B$4,J49,K49))=K49),DATE('Übersicht'!$B$4,J49,K49),NA()),IF(I49="easterOffsetDays",IF(AND(ISNUMBER(L49),L49=INT(L49),ABS(L49)&lt;=366),$AB$23+L49,NA()),IF(I49="nthWeekdayOfMonth",IF(AND(ISNUMBER(J49),ISNUMBER(M49),ISNUMBER(N49),J49=INT(J49),M49=INT(M49),N49=INT(N49),J49&gt;=1,J49&lt;=12,M49&gt;=1,M49&lt;=7,N49&gt;=1,N49&lt;=5,MONTH(DATE('Übersicht'!$B$4,J49,1)+MOD(M49-WEEKDAY(DATE('Übersicht'!$B$4,J49,1),2),7)+7*(N49-1))=J49),DATE('Übersicht'!$B$4,J49,1)+MOD(M49-WEEKDAY(DATE('Übersicht'!$B$4,J49,1),2),7)+7*(N49-1),NA()),NA()))),NA())</f>
        <v>46692</v>
      </c>
      <c r="X49" s="70" t="n">
        <f>IF(AND(W49&gt;=O49,OR(P49="",W49&lt;=P49)),W49,"Ausserhalb Geltung")</f>
        <v>46692</v>
      </c>
      <c r="Y49" s="71" t="str">
        <v>SRC-AG-EGARR-20250901</v>
      </c>
      <c r="Z49" s="71" t="str">
        <v>§ 6 Abs. 1 Bst. c</v>
      </c>
    </row>
    <row r="50" ht="38" customHeight="1">
      <c r="A50" s="74" t="str">
        <v>AG-WORK-HOL-C-CHRISTMAS</v>
      </c>
      <c r="B50" s="74" t="str">
        <v>CH-AG</v>
      </c>
      <c r="C50" s="74" t="str">
        <v>AG-ARG-BREMGARTEN</v>
      </c>
      <c r="D50" s="78" t="str">
        <v>Weihnachten</v>
      </c>
      <c r="E50" s="78" t="str">
        <v>Noël</v>
      </c>
      <c r="F50" s="79" t="str"/>
      <c r="G50" s="79" t="str"/>
      <c r="H50" s="74" t="str">
        <v>labourLawHoliday</v>
      </c>
      <c r="I50" s="74" t="str">
        <v>fixedMonthDay</v>
      </c>
      <c r="J50" s="86" t="n">
        <v>12</v>
      </c>
      <c r="K50" s="86" t="n">
        <v>25</v>
      </c>
      <c r="L50" s="78"/>
      <c r="M50" s="78"/>
      <c r="N50" s="78"/>
      <c r="O50" s="87" t="n">
        <v>46023</v>
      </c>
      <c r="P50" s="87"/>
      <c r="Q50" s="78" t="n">
        <v>100</v>
      </c>
      <c r="R50" s="78" t="str">
        <v>open</v>
      </c>
      <c r="S50" s="74"/>
      <c r="T50" s="74" t="str">
        <v>add</v>
      </c>
      <c r="U50" s="74"/>
      <c r="V50" s="74" t="str">
        <v>blockedScope</v>
      </c>
      <c r="W50" s="73" t="n">
        <f>IF(AND(ISNUMBER('Übersicht'!$B$4),'Übersicht'!$B$4=INT('Übersicht'!$B$4),'Übersicht'!$B$4&gt;=2026,'Übersicht'!$B$4&lt;=2028),IF(I50="fixedMonthDay",IF(AND(ISNUMBER(J50),ISNUMBER(K50),J50=INT(J50),K50=INT(K50),MONTH(DATE('Übersicht'!$B$4,J50,K50))=J50,DAY(DATE('Übersicht'!$B$4,J50,K50))=K50),DATE('Übersicht'!$B$4,J50,K50),NA()),IF(I50="easterOffsetDays",IF(AND(ISNUMBER(L50),L50=INT(L50),ABS(L50)&lt;=366),$AB$23+L50,NA()),IF(I50="nthWeekdayOfMonth",IF(AND(ISNUMBER(J50),ISNUMBER(M50),ISNUMBER(N50),J50=INT(J50),M50=INT(M50),N50=INT(N50),J50&gt;=1,J50&lt;=12,M50&gt;=1,M50&lt;=7,N50&gt;=1,N50&lt;=5,MONTH(DATE('Übersicht'!$B$4,J50,1)+MOD(M50-WEEKDAY(DATE('Übersicht'!$B$4,J50,1),2),7)+7*(N50-1))=J50),DATE('Übersicht'!$B$4,J50,1)+MOD(M50-WEEKDAY(DATE('Übersicht'!$B$4,J50,1),2),7)+7*(N50-1),NA()),NA()))),NA())</f>
        <v>46746</v>
      </c>
      <c r="X50" s="73" t="n">
        <f>IF(AND(W50&gt;=O50,OR(P50="",W50&lt;=P50)),W50,"Ausserhalb Geltung")</f>
        <v>46746</v>
      </c>
      <c r="Y50" s="74" t="str">
        <v>SRC-AG-EGARR-20250901</v>
      </c>
      <c r="Z50" s="74" t="str">
        <v>§ 6 Abs. 1 Bst. c</v>
      </c>
    </row>
    <row r="51" ht="38" customHeight="1">
      <c r="A51" s="71" t="str">
        <v>AG-WORK-HOL-C-ST-STEPHEN</v>
      </c>
      <c r="B51" s="71" t="str">
        <v>CH-AG</v>
      </c>
      <c r="C51" s="71" t="str">
        <v>AG-ARG-BREMGARTEN</v>
      </c>
      <c r="D51" s="76" t="str">
        <v>Stephanstag</v>
      </c>
      <c r="E51" s="76" t="str">
        <v>Saint-Étienne</v>
      </c>
      <c r="F51" s="77" t="str"/>
      <c r="G51" s="77" t="str"/>
      <c r="H51" s="71" t="str">
        <v>labourLawHoliday</v>
      </c>
      <c r="I51" s="71" t="str">
        <v>fixedMonthDay</v>
      </c>
      <c r="J51" s="84" t="n">
        <v>12</v>
      </c>
      <c r="K51" s="84" t="n">
        <v>26</v>
      </c>
      <c r="L51" s="76"/>
      <c r="M51" s="76"/>
      <c r="N51" s="76"/>
      <c r="O51" s="85" t="n">
        <v>46023</v>
      </c>
      <c r="P51" s="85"/>
      <c r="Q51" s="76" t="n">
        <v>100</v>
      </c>
      <c r="R51" s="76" t="str">
        <v>open</v>
      </c>
      <c r="S51" s="71"/>
      <c r="T51" s="71" t="str">
        <v>add</v>
      </c>
      <c r="U51" s="71"/>
      <c r="V51" s="71" t="str">
        <v>blockedScope</v>
      </c>
      <c r="W51" s="70" t="n">
        <f>IF(AND(ISNUMBER('Übersicht'!$B$4),'Übersicht'!$B$4=INT('Übersicht'!$B$4),'Übersicht'!$B$4&gt;=2026,'Übersicht'!$B$4&lt;=2028),IF(I51="fixedMonthDay",IF(AND(ISNUMBER(J51),ISNUMBER(K51),J51=INT(J51),K51=INT(K51),MONTH(DATE('Übersicht'!$B$4,J51,K51))=J51,DAY(DATE('Übersicht'!$B$4,J51,K51))=K51),DATE('Übersicht'!$B$4,J51,K51),NA()),IF(I51="easterOffsetDays",IF(AND(ISNUMBER(L51),L51=INT(L51),ABS(L51)&lt;=366),$AB$23+L51,NA()),IF(I51="nthWeekdayOfMonth",IF(AND(ISNUMBER(J51),ISNUMBER(M51),ISNUMBER(N51),J51=INT(J51),M51=INT(M51),N51=INT(N51),J51&gt;=1,J51&lt;=12,M51&gt;=1,M51&lt;=7,N51&gt;=1,N51&lt;=5,MONTH(DATE('Übersicht'!$B$4,J51,1)+MOD(M51-WEEKDAY(DATE('Übersicht'!$B$4,J51,1),2),7)+7*(N51-1))=J51),DATE('Übersicht'!$B$4,J51,1)+MOD(M51-WEEKDAY(DATE('Übersicht'!$B$4,J51,1),2),7)+7*(N51-1),NA()),NA()))),NA())</f>
        <v>46747</v>
      </c>
      <c r="X51" s="70" t="n">
        <f>IF(AND(W51&gt;=O51,OR(P51="",W51&lt;=P51)),W51,"Ausserhalb Geltung")</f>
        <v>46747</v>
      </c>
      <c r="Y51" s="71" t="str">
        <v>SRC-AG-EGARR-20250901</v>
      </c>
      <c r="Z51" s="71" t="str">
        <v>§ 6 Abs. 1 Bst. c</v>
      </c>
    </row>
    <row r="52" ht="38" customHeight="1">
      <c r="A52" s="74" t="str">
        <v>AG-WORK-HOL-D-NEW-YEAR</v>
      </c>
      <c r="B52" s="74" t="str">
        <v>CH-AG</v>
      </c>
      <c r="C52" s="74" t="str">
        <v>AG-ARG-LAUFENBURG-MURI</v>
      </c>
      <c r="D52" s="78" t="str">
        <v>Neujahr</v>
      </c>
      <c r="E52" s="78" t="str">
        <v>Nouvel An</v>
      </c>
      <c r="F52" s="79" t="str"/>
      <c r="G52" s="79" t="str"/>
      <c r="H52" s="74" t="str">
        <v>labourLawHoliday</v>
      </c>
      <c r="I52" s="74" t="str">
        <v>fixedMonthDay</v>
      </c>
      <c r="J52" s="86" t="n">
        <v>1</v>
      </c>
      <c r="K52" s="86" t="n">
        <v>1</v>
      </c>
      <c r="L52" s="78"/>
      <c r="M52" s="78"/>
      <c r="N52" s="78"/>
      <c r="O52" s="87" t="n">
        <v>46023</v>
      </c>
      <c r="P52" s="87"/>
      <c r="Q52" s="78" t="n">
        <v>100</v>
      </c>
      <c r="R52" s="78" t="str">
        <v>open</v>
      </c>
      <c r="S52" s="74"/>
      <c r="T52" s="74" t="str">
        <v>add</v>
      </c>
      <c r="U52" s="74"/>
      <c r="V52" s="74" t="str">
        <v>blockedScope</v>
      </c>
      <c r="W52" s="73" t="n">
        <f>IF(AND(ISNUMBER('Übersicht'!$B$4),'Übersicht'!$B$4=INT('Übersicht'!$B$4),'Übersicht'!$B$4&gt;=2026,'Übersicht'!$B$4&lt;=2028),IF(I52="fixedMonthDay",IF(AND(ISNUMBER(J52),ISNUMBER(K52),J52=INT(J52),K52=INT(K52),MONTH(DATE('Übersicht'!$B$4,J52,K52))=J52,DAY(DATE('Übersicht'!$B$4,J52,K52))=K52),DATE('Übersicht'!$B$4,J52,K52),NA()),IF(I52="easterOffsetDays",IF(AND(ISNUMBER(L52),L52=INT(L52),ABS(L52)&lt;=366),$AB$23+L52,NA()),IF(I52="nthWeekdayOfMonth",IF(AND(ISNUMBER(J52),ISNUMBER(M52),ISNUMBER(N52),J52=INT(J52),M52=INT(M52),N52=INT(N52),J52&gt;=1,J52&lt;=12,M52&gt;=1,M52&lt;=7,N52&gt;=1,N52&lt;=5,MONTH(DATE('Übersicht'!$B$4,J52,1)+MOD(M52-WEEKDAY(DATE('Übersicht'!$B$4,J52,1),2),7)+7*(N52-1))=J52),DATE('Übersicht'!$B$4,J52,1)+MOD(M52-WEEKDAY(DATE('Übersicht'!$B$4,J52,1),2),7)+7*(N52-1),NA()),NA()))),NA())</f>
        <v>46388</v>
      </c>
      <c r="X52" s="73" t="n">
        <f>IF(AND(W52&gt;=O52,OR(P52="",W52&lt;=P52)),W52,"Ausserhalb Geltung")</f>
        <v>46388</v>
      </c>
      <c r="Y52" s="74" t="str">
        <v>SRC-AG-EGARR-20250901</v>
      </c>
      <c r="Z52" s="74" t="str">
        <v>§ 6 Abs. 1 Bst. d</v>
      </c>
    </row>
    <row r="53" ht="38" customHeight="1">
      <c r="A53" s="71" t="str">
        <v>AG-WORK-HOL-D-GOOD-FRIDAY</v>
      </c>
      <c r="B53" s="71" t="str">
        <v>CH-AG</v>
      </c>
      <c r="C53" s="71" t="str">
        <v>AG-ARG-LAUFENBURG-MURI</v>
      </c>
      <c r="D53" s="76" t="str">
        <v>Karfreitag</v>
      </c>
      <c r="E53" s="76" t="str">
        <v>Vendredi saint</v>
      </c>
      <c r="F53" s="77" t="str"/>
      <c r="G53" s="77" t="str"/>
      <c r="H53" s="71" t="str">
        <v>labourLawHoliday</v>
      </c>
      <c r="I53" s="71" t="str">
        <v>easterOffsetDays</v>
      </c>
      <c r="J53" s="84"/>
      <c r="K53" s="84"/>
      <c r="L53" s="76" t="n">
        <v>-2</v>
      </c>
      <c r="M53" s="76"/>
      <c r="N53" s="76"/>
      <c r="O53" s="85" t="n">
        <v>46023</v>
      </c>
      <c r="P53" s="85"/>
      <c r="Q53" s="76" t="n">
        <v>100</v>
      </c>
      <c r="R53" s="76" t="str">
        <v>open</v>
      </c>
      <c r="S53" s="71"/>
      <c r="T53" s="71" t="str">
        <v>add</v>
      </c>
      <c r="U53" s="71"/>
      <c r="V53" s="71" t="str">
        <v>blockedScope</v>
      </c>
      <c r="W53" s="70" t="n">
        <f>IF(AND(ISNUMBER('Übersicht'!$B$4),'Übersicht'!$B$4=INT('Übersicht'!$B$4),'Übersicht'!$B$4&gt;=2026,'Übersicht'!$B$4&lt;=2028),IF(I53="fixedMonthDay",IF(AND(ISNUMBER(J53),ISNUMBER(K53),J53=INT(J53),K53=INT(K53),MONTH(DATE('Übersicht'!$B$4,J53,K53))=J53,DAY(DATE('Übersicht'!$B$4,J53,K53))=K53),DATE('Übersicht'!$B$4,J53,K53),NA()),IF(I53="easterOffsetDays",IF(AND(ISNUMBER(L53),L53=INT(L53),ABS(L53)&lt;=366),$AB$23+L53,NA()),IF(I53="nthWeekdayOfMonth",IF(AND(ISNUMBER(J53),ISNUMBER(M53),ISNUMBER(N53),J53=INT(J53),M53=INT(M53),N53=INT(N53),J53&gt;=1,J53&lt;=12,M53&gt;=1,M53&lt;=7,N53&gt;=1,N53&lt;=5,MONTH(DATE('Übersicht'!$B$4,J53,1)+MOD(M53-WEEKDAY(DATE('Übersicht'!$B$4,J53,1),2),7)+7*(N53-1))=J53),DATE('Übersicht'!$B$4,J53,1)+MOD(M53-WEEKDAY(DATE('Übersicht'!$B$4,J53,1),2),7)+7*(N53-1),NA()),NA()))),NA())</f>
        <v>46472</v>
      </c>
      <c r="X53" s="70" t="n">
        <f>IF(AND(W53&gt;=O53,OR(P53="",W53&lt;=P53)),W53,"Ausserhalb Geltung")</f>
        <v>46472</v>
      </c>
      <c r="Y53" s="71" t="str">
        <v>SRC-AG-EGARR-20250901</v>
      </c>
      <c r="Z53" s="71" t="str">
        <v>§ 6 Abs. 1 Bst. d</v>
      </c>
    </row>
    <row r="54" ht="38" customHeight="1">
      <c r="A54" s="74" t="str">
        <v>AG-WORK-HOL-D-ASCENSION</v>
      </c>
      <c r="B54" s="74" t="str">
        <v>CH-AG</v>
      </c>
      <c r="C54" s="74" t="str">
        <v>AG-ARG-LAUFENBURG-MURI</v>
      </c>
      <c r="D54" s="78" t="str">
        <v>Auffahrt</v>
      </c>
      <c r="E54" s="78" t="str">
        <v>Ascension</v>
      </c>
      <c r="F54" s="79" t="str"/>
      <c r="G54" s="79" t="str"/>
      <c r="H54" s="74" t="str">
        <v>labourLawHoliday</v>
      </c>
      <c r="I54" s="74" t="str">
        <v>easterOffsetDays</v>
      </c>
      <c r="J54" s="86"/>
      <c r="K54" s="86"/>
      <c r="L54" s="78" t="n">
        <v>39</v>
      </c>
      <c r="M54" s="78"/>
      <c r="N54" s="78"/>
      <c r="O54" s="87" t="n">
        <v>46023</v>
      </c>
      <c r="P54" s="87"/>
      <c r="Q54" s="78" t="n">
        <v>100</v>
      </c>
      <c r="R54" s="78" t="str">
        <v>open</v>
      </c>
      <c r="S54" s="74"/>
      <c r="T54" s="74" t="str">
        <v>add</v>
      </c>
      <c r="U54" s="74"/>
      <c r="V54" s="74" t="str">
        <v>blockedScope</v>
      </c>
      <c r="W54" s="73" t="n">
        <f>IF(AND(ISNUMBER('Übersicht'!$B$4),'Übersicht'!$B$4=INT('Übersicht'!$B$4),'Übersicht'!$B$4&gt;=2026,'Übersicht'!$B$4&lt;=2028),IF(I54="fixedMonthDay",IF(AND(ISNUMBER(J54),ISNUMBER(K54),J54=INT(J54),K54=INT(K54),MONTH(DATE('Übersicht'!$B$4,J54,K54))=J54,DAY(DATE('Übersicht'!$B$4,J54,K54))=K54),DATE('Übersicht'!$B$4,J54,K54),NA()),IF(I54="easterOffsetDays",IF(AND(ISNUMBER(L54),L54=INT(L54),ABS(L54)&lt;=366),$AB$23+L54,NA()),IF(I54="nthWeekdayOfMonth",IF(AND(ISNUMBER(J54),ISNUMBER(M54),ISNUMBER(N54),J54=INT(J54),M54=INT(M54),N54=INT(N54),J54&gt;=1,J54&lt;=12,M54&gt;=1,M54&lt;=7,N54&gt;=1,N54&lt;=5,MONTH(DATE('Übersicht'!$B$4,J54,1)+MOD(M54-WEEKDAY(DATE('Übersicht'!$B$4,J54,1),2),7)+7*(N54-1))=J54),DATE('Übersicht'!$B$4,J54,1)+MOD(M54-WEEKDAY(DATE('Übersicht'!$B$4,J54,1),2),7)+7*(N54-1),NA()),NA()))),NA())</f>
        <v>46513</v>
      </c>
      <c r="X54" s="73" t="n">
        <f>IF(AND(W54&gt;=O54,OR(P54="",W54&lt;=P54)),W54,"Ausserhalb Geltung")</f>
        <v>46513</v>
      </c>
      <c r="Y54" s="74" t="str">
        <v>SRC-AG-EGARR-20250901</v>
      </c>
      <c r="Z54" s="74" t="str">
        <v>§ 6 Abs. 1 Bst. d</v>
      </c>
    </row>
    <row r="55" ht="38" customHeight="1">
      <c r="A55" s="71" t="str">
        <v>AG-WORK-HOL-D-CORPUS-CHRISTI</v>
      </c>
      <c r="B55" s="71" t="str">
        <v>CH-AG</v>
      </c>
      <c r="C55" s="71" t="str">
        <v>AG-ARG-LAUFENBURG-MURI</v>
      </c>
      <c r="D55" s="76" t="str">
        <v>Fronleichnam</v>
      </c>
      <c r="E55" s="76" t="str">
        <v>Fête-Dieu</v>
      </c>
      <c r="F55" s="77" t="str"/>
      <c r="G55" s="77" t="str"/>
      <c r="H55" s="71" t="str">
        <v>labourLawHoliday</v>
      </c>
      <c r="I55" s="71" t="str">
        <v>easterOffsetDays</v>
      </c>
      <c r="J55" s="84"/>
      <c r="K55" s="84"/>
      <c r="L55" s="76" t="n">
        <v>60</v>
      </c>
      <c r="M55" s="76"/>
      <c r="N55" s="76"/>
      <c r="O55" s="85" t="n">
        <v>46023</v>
      </c>
      <c r="P55" s="85"/>
      <c r="Q55" s="76" t="n">
        <v>100</v>
      </c>
      <c r="R55" s="76" t="str">
        <v>open</v>
      </c>
      <c r="S55" s="71"/>
      <c r="T55" s="71" t="str">
        <v>add</v>
      </c>
      <c r="U55" s="71"/>
      <c r="V55" s="71" t="str">
        <v>blockedScope</v>
      </c>
      <c r="W55" s="70" t="n">
        <f>IF(AND(ISNUMBER('Übersicht'!$B$4),'Übersicht'!$B$4=INT('Übersicht'!$B$4),'Übersicht'!$B$4&gt;=2026,'Übersicht'!$B$4&lt;=2028),IF(I55="fixedMonthDay",IF(AND(ISNUMBER(J55),ISNUMBER(K55),J55=INT(J55),K55=INT(K55),MONTH(DATE('Übersicht'!$B$4,J55,K55))=J55,DAY(DATE('Übersicht'!$B$4,J55,K55))=K55),DATE('Übersicht'!$B$4,J55,K55),NA()),IF(I55="easterOffsetDays",IF(AND(ISNUMBER(L55),L55=INT(L55),ABS(L55)&lt;=366),$AB$23+L55,NA()),IF(I55="nthWeekdayOfMonth",IF(AND(ISNUMBER(J55),ISNUMBER(M55),ISNUMBER(N55),J55=INT(J55),M55=INT(M55),N55=INT(N55),J55&gt;=1,J55&lt;=12,M55&gt;=1,M55&lt;=7,N55&gt;=1,N55&lt;=5,MONTH(DATE('Übersicht'!$B$4,J55,1)+MOD(M55-WEEKDAY(DATE('Übersicht'!$B$4,J55,1),2),7)+7*(N55-1))=J55),DATE('Übersicht'!$B$4,J55,1)+MOD(M55-WEEKDAY(DATE('Übersicht'!$B$4,J55,1),2),7)+7*(N55-1),NA()),NA()))),NA())</f>
        <v>46534</v>
      </c>
      <c r="X55" s="70" t="n">
        <f>IF(AND(W55&gt;=O55,OR(P55="",W55&lt;=P55)),W55,"Ausserhalb Geltung")</f>
        <v>46534</v>
      </c>
      <c r="Y55" s="71" t="str">
        <v>SRC-AG-EGARR-20250901</v>
      </c>
      <c r="Z55" s="71" t="str">
        <v>§ 6 Abs. 1 Bst. d</v>
      </c>
    </row>
    <row r="56" ht="38" customHeight="1">
      <c r="A56" s="74" t="str">
        <v>AG-WORK-HOL-D-ASSUMPTION</v>
      </c>
      <c r="B56" s="74" t="str">
        <v>CH-AG</v>
      </c>
      <c r="C56" s="74" t="str">
        <v>AG-ARG-LAUFENBURG-MURI</v>
      </c>
      <c r="D56" s="78" t="str">
        <v>Mariä Himmelfahrt</v>
      </c>
      <c r="E56" s="78" t="str">
        <v>Assomption</v>
      </c>
      <c r="F56" s="79" t="str"/>
      <c r="G56" s="79" t="str"/>
      <c r="H56" s="74" t="str">
        <v>labourLawHoliday</v>
      </c>
      <c r="I56" s="74" t="str">
        <v>fixedMonthDay</v>
      </c>
      <c r="J56" s="86" t="n">
        <v>8</v>
      </c>
      <c r="K56" s="86" t="n">
        <v>15</v>
      </c>
      <c r="L56" s="78"/>
      <c r="M56" s="78"/>
      <c r="N56" s="78"/>
      <c r="O56" s="87" t="n">
        <v>46023</v>
      </c>
      <c r="P56" s="87"/>
      <c r="Q56" s="78" t="n">
        <v>100</v>
      </c>
      <c r="R56" s="78" t="str">
        <v>open</v>
      </c>
      <c r="S56" s="74"/>
      <c r="T56" s="74" t="str">
        <v>add</v>
      </c>
      <c r="U56" s="74"/>
      <c r="V56" s="74" t="str">
        <v>blockedScope</v>
      </c>
      <c r="W56" s="73" t="n">
        <f>IF(AND(ISNUMBER('Übersicht'!$B$4),'Übersicht'!$B$4=INT('Übersicht'!$B$4),'Übersicht'!$B$4&gt;=2026,'Übersicht'!$B$4&lt;=2028),IF(I56="fixedMonthDay",IF(AND(ISNUMBER(J56),ISNUMBER(K56),J56=INT(J56),K56=INT(K56),MONTH(DATE('Übersicht'!$B$4,J56,K56))=J56,DAY(DATE('Übersicht'!$B$4,J56,K56))=K56),DATE('Übersicht'!$B$4,J56,K56),NA()),IF(I56="easterOffsetDays",IF(AND(ISNUMBER(L56),L56=INT(L56),ABS(L56)&lt;=366),$AB$23+L56,NA()),IF(I56="nthWeekdayOfMonth",IF(AND(ISNUMBER(J56),ISNUMBER(M56),ISNUMBER(N56),J56=INT(J56),M56=INT(M56),N56=INT(N56),J56&gt;=1,J56&lt;=12,M56&gt;=1,M56&lt;=7,N56&gt;=1,N56&lt;=5,MONTH(DATE('Übersicht'!$B$4,J56,1)+MOD(M56-WEEKDAY(DATE('Übersicht'!$B$4,J56,1),2),7)+7*(N56-1))=J56),DATE('Übersicht'!$B$4,J56,1)+MOD(M56-WEEKDAY(DATE('Übersicht'!$B$4,J56,1),2),7)+7*(N56-1),NA()),NA()))),NA())</f>
        <v>46614</v>
      </c>
      <c r="X56" s="73" t="n">
        <f>IF(AND(W56&gt;=O56,OR(P56="",W56&lt;=P56)),W56,"Ausserhalb Geltung")</f>
        <v>46614</v>
      </c>
      <c r="Y56" s="74" t="str">
        <v>SRC-AG-EGARR-20250901</v>
      </c>
      <c r="Z56" s="74" t="str">
        <v>§ 6 Abs. 1 Bst. d</v>
      </c>
    </row>
    <row r="57" ht="38" customHeight="1">
      <c r="A57" s="71" t="str">
        <v>AG-WORK-HOL-D-ALL-SAINTS</v>
      </c>
      <c r="B57" s="71" t="str">
        <v>CH-AG</v>
      </c>
      <c r="C57" s="71" t="str">
        <v>AG-ARG-LAUFENBURG-MURI</v>
      </c>
      <c r="D57" s="76" t="str">
        <v>Allerheiligen</v>
      </c>
      <c r="E57" s="76" t="str">
        <v>Toussaint</v>
      </c>
      <c r="F57" s="77" t="str"/>
      <c r="G57" s="77" t="str"/>
      <c r="H57" s="71" t="str">
        <v>labourLawHoliday</v>
      </c>
      <c r="I57" s="71" t="str">
        <v>fixedMonthDay</v>
      </c>
      <c r="J57" s="84" t="n">
        <v>11</v>
      </c>
      <c r="K57" s="84" t="n">
        <v>1</v>
      </c>
      <c r="L57" s="76"/>
      <c r="M57" s="76"/>
      <c r="N57" s="76"/>
      <c r="O57" s="85" t="n">
        <v>46023</v>
      </c>
      <c r="P57" s="85"/>
      <c r="Q57" s="76" t="n">
        <v>100</v>
      </c>
      <c r="R57" s="76" t="str">
        <v>open</v>
      </c>
      <c r="S57" s="71"/>
      <c r="T57" s="71" t="str">
        <v>add</v>
      </c>
      <c r="U57" s="71"/>
      <c r="V57" s="71" t="str">
        <v>blockedScope</v>
      </c>
      <c r="W57" s="70" t="n">
        <f>IF(AND(ISNUMBER('Übersicht'!$B$4),'Übersicht'!$B$4=INT('Übersicht'!$B$4),'Übersicht'!$B$4&gt;=2026,'Übersicht'!$B$4&lt;=2028),IF(I57="fixedMonthDay",IF(AND(ISNUMBER(J57),ISNUMBER(K57),J57=INT(J57),K57=INT(K57),MONTH(DATE('Übersicht'!$B$4,J57,K57))=J57,DAY(DATE('Übersicht'!$B$4,J57,K57))=K57),DATE('Übersicht'!$B$4,J57,K57),NA()),IF(I57="easterOffsetDays",IF(AND(ISNUMBER(L57),L57=INT(L57),ABS(L57)&lt;=366),$AB$23+L57,NA()),IF(I57="nthWeekdayOfMonth",IF(AND(ISNUMBER(J57),ISNUMBER(M57),ISNUMBER(N57),J57=INT(J57),M57=INT(M57),N57=INT(N57),J57&gt;=1,J57&lt;=12,M57&gt;=1,M57&lt;=7,N57&gt;=1,N57&lt;=5,MONTH(DATE('Übersicht'!$B$4,J57,1)+MOD(M57-WEEKDAY(DATE('Übersicht'!$B$4,J57,1),2),7)+7*(N57-1))=J57),DATE('Übersicht'!$B$4,J57,1)+MOD(M57-WEEKDAY(DATE('Übersicht'!$B$4,J57,1),2),7)+7*(N57-1),NA()),NA()))),NA())</f>
        <v>46692</v>
      </c>
      <c r="X57" s="70" t="n">
        <f>IF(AND(W57&gt;=O57,OR(P57="",W57&lt;=P57)),W57,"Ausserhalb Geltung")</f>
        <v>46692</v>
      </c>
      <c r="Y57" s="71" t="str">
        <v>SRC-AG-EGARR-20250901</v>
      </c>
      <c r="Z57" s="71" t="str">
        <v>§ 6 Abs. 1 Bst. d</v>
      </c>
    </row>
    <row r="58" ht="38" customHeight="1">
      <c r="A58" s="74" t="str">
        <v>AG-WORK-HOL-D-CHRISTMAS</v>
      </c>
      <c r="B58" s="74" t="str">
        <v>CH-AG</v>
      </c>
      <c r="C58" s="74" t="str">
        <v>AG-ARG-LAUFENBURG-MURI</v>
      </c>
      <c r="D58" s="78" t="str">
        <v>Weihnachten</v>
      </c>
      <c r="E58" s="78" t="str">
        <v>Noël</v>
      </c>
      <c r="F58" s="79" t="str"/>
      <c r="G58" s="79" t="str"/>
      <c r="H58" s="74" t="str">
        <v>labourLawHoliday</v>
      </c>
      <c r="I58" s="74" t="str">
        <v>fixedMonthDay</v>
      </c>
      <c r="J58" s="86" t="n">
        <v>12</v>
      </c>
      <c r="K58" s="86" t="n">
        <v>25</v>
      </c>
      <c r="L58" s="78"/>
      <c r="M58" s="78"/>
      <c r="N58" s="78"/>
      <c r="O58" s="87" t="n">
        <v>46023</v>
      </c>
      <c r="P58" s="87"/>
      <c r="Q58" s="78" t="n">
        <v>100</v>
      </c>
      <c r="R58" s="78" t="str">
        <v>open</v>
      </c>
      <c r="S58" s="74"/>
      <c r="T58" s="74" t="str">
        <v>add</v>
      </c>
      <c r="U58" s="74"/>
      <c r="V58" s="74" t="str">
        <v>blockedScope</v>
      </c>
      <c r="W58" s="73" t="n">
        <f>IF(AND(ISNUMBER('Übersicht'!$B$4),'Übersicht'!$B$4=INT('Übersicht'!$B$4),'Übersicht'!$B$4&gt;=2026,'Übersicht'!$B$4&lt;=2028),IF(I58="fixedMonthDay",IF(AND(ISNUMBER(J58),ISNUMBER(K58),J58=INT(J58),K58=INT(K58),MONTH(DATE('Übersicht'!$B$4,J58,K58))=J58,DAY(DATE('Übersicht'!$B$4,J58,K58))=K58),DATE('Übersicht'!$B$4,J58,K58),NA()),IF(I58="easterOffsetDays",IF(AND(ISNUMBER(L58),L58=INT(L58),ABS(L58)&lt;=366),$AB$23+L58,NA()),IF(I58="nthWeekdayOfMonth",IF(AND(ISNUMBER(J58),ISNUMBER(M58),ISNUMBER(N58),J58=INT(J58),M58=INT(M58),N58=INT(N58),J58&gt;=1,J58&lt;=12,M58&gt;=1,M58&lt;=7,N58&gt;=1,N58&lt;=5,MONTH(DATE('Übersicht'!$B$4,J58,1)+MOD(M58-WEEKDAY(DATE('Übersicht'!$B$4,J58,1),2),7)+7*(N58-1))=J58),DATE('Übersicht'!$B$4,J58,1)+MOD(M58-WEEKDAY(DATE('Übersicht'!$B$4,J58,1),2),7)+7*(N58-1),NA()),NA()))),NA())</f>
        <v>46746</v>
      </c>
      <c r="X58" s="73" t="n">
        <f>IF(AND(W58&gt;=O58,OR(P58="",W58&lt;=P58)),W58,"Ausserhalb Geltung")</f>
        <v>46746</v>
      </c>
      <c r="Y58" s="74" t="str">
        <v>SRC-AG-EGARR-20250901</v>
      </c>
      <c r="Z58" s="74" t="str">
        <v>§ 6 Abs. 1 Bst. d</v>
      </c>
    </row>
    <row r="59" ht="38" customHeight="1">
      <c r="A59" s="71" t="str">
        <v>AG-WORK-HOL-D-IMMACULATE-CONCEPTION</v>
      </c>
      <c r="B59" s="71" t="str">
        <v>CH-AG</v>
      </c>
      <c r="C59" s="71" t="str">
        <v>AG-ARG-LAUFENBURG-MURI</v>
      </c>
      <c r="D59" s="76" t="str">
        <v>Mariä Empfängnis</v>
      </c>
      <c r="E59" s="76" t="str">
        <v>Immaculée Conception</v>
      </c>
      <c r="F59" s="77" t="str"/>
      <c r="G59" s="77" t="str"/>
      <c r="H59" s="71" t="str">
        <v>labourLawHoliday</v>
      </c>
      <c r="I59" s="71" t="str">
        <v>fixedMonthDay</v>
      </c>
      <c r="J59" s="84" t="n">
        <v>12</v>
      </c>
      <c r="K59" s="84" t="n">
        <v>8</v>
      </c>
      <c r="L59" s="76"/>
      <c r="M59" s="76"/>
      <c r="N59" s="76"/>
      <c r="O59" s="85" t="n">
        <v>46023</v>
      </c>
      <c r="P59" s="85"/>
      <c r="Q59" s="76" t="n">
        <v>100</v>
      </c>
      <c r="R59" s="76" t="str">
        <v>open</v>
      </c>
      <c r="S59" s="71"/>
      <c r="T59" s="71" t="str">
        <v>add</v>
      </c>
      <c r="U59" s="71"/>
      <c r="V59" s="71" t="str">
        <v>blockedScope</v>
      </c>
      <c r="W59" s="70" t="n">
        <f>IF(AND(ISNUMBER('Übersicht'!$B$4),'Übersicht'!$B$4=INT('Übersicht'!$B$4),'Übersicht'!$B$4&gt;=2026,'Übersicht'!$B$4&lt;=2028),IF(I59="fixedMonthDay",IF(AND(ISNUMBER(J59),ISNUMBER(K59),J59=INT(J59),K59=INT(K59),MONTH(DATE('Übersicht'!$B$4,J59,K59))=J59,DAY(DATE('Übersicht'!$B$4,J59,K59))=K59),DATE('Übersicht'!$B$4,J59,K59),NA()),IF(I59="easterOffsetDays",IF(AND(ISNUMBER(L59),L59=INT(L59),ABS(L59)&lt;=366),$AB$23+L59,NA()),IF(I59="nthWeekdayOfMonth",IF(AND(ISNUMBER(J59),ISNUMBER(M59),ISNUMBER(N59),J59=INT(J59),M59=INT(M59),N59=INT(N59),J59&gt;=1,J59&lt;=12,M59&gt;=1,M59&lt;=7,N59&gt;=1,N59&lt;=5,MONTH(DATE('Übersicht'!$B$4,J59,1)+MOD(M59-WEEKDAY(DATE('Übersicht'!$B$4,J59,1),2),7)+7*(N59-1))=J59),DATE('Übersicht'!$B$4,J59,1)+MOD(M59-WEEKDAY(DATE('Übersicht'!$B$4,J59,1),2),7)+7*(N59-1),NA()),NA()))),NA())</f>
        <v>46729</v>
      </c>
      <c r="X59" s="70" t="n">
        <f>IF(AND(W59&gt;=O59,OR(P59="",W59&lt;=P59)),W59,"Ausserhalb Geltung")</f>
        <v>46729</v>
      </c>
      <c r="Y59" s="71" t="str">
        <v>SRC-AG-EGARR-20250901</v>
      </c>
      <c r="Z59" s="71" t="str">
        <v>§ 6 Abs. 1 Bst. d</v>
      </c>
    </row>
    <row r="60" ht="38" customHeight="1">
      <c r="A60" s="74" t="str">
        <v>AG-WORK-HOL-E1-NEW-YEAR</v>
      </c>
      <c r="B60" s="74" t="str">
        <v>CH-AG</v>
      </c>
      <c r="C60" s="74" t="str">
        <v>AG-ARG-RHEINFELDEN-E1</v>
      </c>
      <c r="D60" s="78" t="str">
        <v>Neujahr</v>
      </c>
      <c r="E60" s="78" t="str">
        <v>Nouvel An</v>
      </c>
      <c r="F60" s="79" t="str"/>
      <c r="G60" s="79" t="str"/>
      <c r="H60" s="74" t="str">
        <v>labourLawHoliday</v>
      </c>
      <c r="I60" s="74" t="str">
        <v>fixedMonthDay</v>
      </c>
      <c r="J60" s="86" t="n">
        <v>1</v>
      </c>
      <c r="K60" s="86" t="n">
        <v>1</v>
      </c>
      <c r="L60" s="78"/>
      <c r="M60" s="78"/>
      <c r="N60" s="78"/>
      <c r="O60" s="87" t="n">
        <v>46023</v>
      </c>
      <c r="P60" s="87"/>
      <c r="Q60" s="78" t="n">
        <v>100</v>
      </c>
      <c r="R60" s="78" t="str">
        <v>open</v>
      </c>
      <c r="S60" s="74"/>
      <c r="T60" s="74" t="str">
        <v>add</v>
      </c>
      <c r="U60" s="74"/>
      <c r="V60" s="74" t="str">
        <v>blockedScope</v>
      </c>
      <c r="W60" s="73" t="n">
        <f>IF(AND(ISNUMBER('Übersicht'!$B$4),'Übersicht'!$B$4=INT('Übersicht'!$B$4),'Übersicht'!$B$4&gt;=2026,'Übersicht'!$B$4&lt;=2028),IF(I60="fixedMonthDay",IF(AND(ISNUMBER(J60),ISNUMBER(K60),J60=INT(J60),K60=INT(K60),MONTH(DATE('Übersicht'!$B$4,J60,K60))=J60,DAY(DATE('Übersicht'!$B$4,J60,K60))=K60),DATE('Übersicht'!$B$4,J60,K60),NA()),IF(I60="easterOffsetDays",IF(AND(ISNUMBER(L60),L60=INT(L60),ABS(L60)&lt;=366),$AB$23+L60,NA()),IF(I60="nthWeekdayOfMonth",IF(AND(ISNUMBER(J60),ISNUMBER(M60),ISNUMBER(N60),J60=INT(J60),M60=INT(M60),N60=INT(N60),J60&gt;=1,J60&lt;=12,M60&gt;=1,M60&lt;=7,N60&gt;=1,N60&lt;=5,MONTH(DATE('Übersicht'!$B$4,J60,1)+MOD(M60-WEEKDAY(DATE('Übersicht'!$B$4,J60,1),2),7)+7*(N60-1))=J60),DATE('Übersicht'!$B$4,J60,1)+MOD(M60-WEEKDAY(DATE('Übersicht'!$B$4,J60,1),2),7)+7*(N60-1),NA()),NA()))),NA())</f>
        <v>46388</v>
      </c>
      <c r="X60" s="73" t="n">
        <f>IF(AND(W60&gt;=O60,OR(P60="",W60&lt;=P60)),W60,"Ausserhalb Geltung")</f>
        <v>46388</v>
      </c>
      <c r="Y60" s="74" t="str">
        <v>SRC-AG-EGARR-20250901</v>
      </c>
      <c r="Z60" s="74" t="str">
        <v>§ 6 Abs. 1 Bst. e Ziff. 1</v>
      </c>
    </row>
    <row r="61" ht="38" customHeight="1">
      <c r="A61" s="71" t="str">
        <v>AG-WORK-HOL-E1-GOOD-FRIDAY</v>
      </c>
      <c r="B61" s="71" t="str">
        <v>CH-AG</v>
      </c>
      <c r="C61" s="71" t="str">
        <v>AG-ARG-RHEINFELDEN-E1</v>
      </c>
      <c r="D61" s="76" t="str">
        <v>Karfreitag</v>
      </c>
      <c r="E61" s="76" t="str">
        <v>Vendredi saint</v>
      </c>
      <c r="F61" s="77" t="str"/>
      <c r="G61" s="77" t="str"/>
      <c r="H61" s="71" t="str">
        <v>labourLawHoliday</v>
      </c>
      <c r="I61" s="71" t="str">
        <v>easterOffsetDays</v>
      </c>
      <c r="J61" s="84"/>
      <c r="K61" s="84"/>
      <c r="L61" s="76" t="n">
        <v>-2</v>
      </c>
      <c r="M61" s="76"/>
      <c r="N61" s="76"/>
      <c r="O61" s="85" t="n">
        <v>46023</v>
      </c>
      <c r="P61" s="85"/>
      <c r="Q61" s="76" t="n">
        <v>100</v>
      </c>
      <c r="R61" s="76" t="str">
        <v>open</v>
      </c>
      <c r="S61" s="71"/>
      <c r="T61" s="71" t="str">
        <v>add</v>
      </c>
      <c r="U61" s="71"/>
      <c r="V61" s="71" t="str">
        <v>blockedScope</v>
      </c>
      <c r="W61" s="70" t="n">
        <f>IF(AND(ISNUMBER('Übersicht'!$B$4),'Übersicht'!$B$4=INT('Übersicht'!$B$4),'Übersicht'!$B$4&gt;=2026,'Übersicht'!$B$4&lt;=2028),IF(I61="fixedMonthDay",IF(AND(ISNUMBER(J61),ISNUMBER(K61),J61=INT(J61),K61=INT(K61),MONTH(DATE('Übersicht'!$B$4,J61,K61))=J61,DAY(DATE('Übersicht'!$B$4,J61,K61))=K61),DATE('Übersicht'!$B$4,J61,K61),NA()),IF(I61="easterOffsetDays",IF(AND(ISNUMBER(L61),L61=INT(L61),ABS(L61)&lt;=366),$AB$23+L61,NA()),IF(I61="nthWeekdayOfMonth",IF(AND(ISNUMBER(J61),ISNUMBER(M61),ISNUMBER(N61),J61=INT(J61),M61=INT(M61),N61=INT(N61),J61&gt;=1,J61&lt;=12,M61&gt;=1,M61&lt;=7,N61&gt;=1,N61&lt;=5,MONTH(DATE('Übersicht'!$B$4,J61,1)+MOD(M61-WEEKDAY(DATE('Übersicht'!$B$4,J61,1),2),7)+7*(N61-1))=J61),DATE('Übersicht'!$B$4,J61,1)+MOD(M61-WEEKDAY(DATE('Übersicht'!$B$4,J61,1),2),7)+7*(N61-1),NA()),NA()))),NA())</f>
        <v>46472</v>
      </c>
      <c r="X61" s="70" t="n">
        <f>IF(AND(W61&gt;=O61,OR(P61="",W61&lt;=P61)),W61,"Ausserhalb Geltung")</f>
        <v>46472</v>
      </c>
      <c r="Y61" s="71" t="str">
        <v>SRC-AG-EGARR-20250901</v>
      </c>
      <c r="Z61" s="71" t="str">
        <v>§ 6 Abs. 1 Bst. e Ziff. 1</v>
      </c>
    </row>
    <row r="62" ht="38" customHeight="1">
      <c r="A62" s="74" t="str">
        <v>AG-WORK-HOL-E1-ASCENSION</v>
      </c>
      <c r="B62" s="74" t="str">
        <v>CH-AG</v>
      </c>
      <c r="C62" s="74" t="str">
        <v>AG-ARG-RHEINFELDEN-E1</v>
      </c>
      <c r="D62" s="78" t="str">
        <v>Auffahrt</v>
      </c>
      <c r="E62" s="78" t="str">
        <v>Ascension</v>
      </c>
      <c r="F62" s="79" t="str"/>
      <c r="G62" s="79" t="str"/>
      <c r="H62" s="74" t="str">
        <v>labourLawHoliday</v>
      </c>
      <c r="I62" s="74" t="str">
        <v>easterOffsetDays</v>
      </c>
      <c r="J62" s="86"/>
      <c r="K62" s="86"/>
      <c r="L62" s="78" t="n">
        <v>39</v>
      </c>
      <c r="M62" s="78"/>
      <c r="N62" s="78"/>
      <c r="O62" s="87" t="n">
        <v>46023</v>
      </c>
      <c r="P62" s="87"/>
      <c r="Q62" s="78" t="n">
        <v>100</v>
      </c>
      <c r="R62" s="78" t="str">
        <v>open</v>
      </c>
      <c r="S62" s="74"/>
      <c r="T62" s="74" t="str">
        <v>add</v>
      </c>
      <c r="U62" s="74"/>
      <c r="V62" s="74" t="str">
        <v>blockedScope</v>
      </c>
      <c r="W62" s="73" t="n">
        <f>IF(AND(ISNUMBER('Übersicht'!$B$4),'Übersicht'!$B$4=INT('Übersicht'!$B$4),'Übersicht'!$B$4&gt;=2026,'Übersicht'!$B$4&lt;=2028),IF(I62="fixedMonthDay",IF(AND(ISNUMBER(J62),ISNUMBER(K62),J62=INT(J62),K62=INT(K62),MONTH(DATE('Übersicht'!$B$4,J62,K62))=J62,DAY(DATE('Übersicht'!$B$4,J62,K62))=K62),DATE('Übersicht'!$B$4,J62,K62),NA()),IF(I62="easterOffsetDays",IF(AND(ISNUMBER(L62),L62=INT(L62),ABS(L62)&lt;=366),$AB$23+L62,NA()),IF(I62="nthWeekdayOfMonth",IF(AND(ISNUMBER(J62),ISNUMBER(M62),ISNUMBER(N62),J62=INT(J62),M62=INT(M62),N62=INT(N62),J62&gt;=1,J62&lt;=12,M62&gt;=1,M62&lt;=7,N62&gt;=1,N62&lt;=5,MONTH(DATE('Übersicht'!$B$4,J62,1)+MOD(M62-WEEKDAY(DATE('Übersicht'!$B$4,J62,1),2),7)+7*(N62-1))=J62),DATE('Übersicht'!$B$4,J62,1)+MOD(M62-WEEKDAY(DATE('Übersicht'!$B$4,J62,1),2),7)+7*(N62-1),NA()),NA()))),NA())</f>
        <v>46513</v>
      </c>
      <c r="X62" s="73" t="n">
        <f>IF(AND(W62&gt;=O62,OR(P62="",W62&lt;=P62)),W62,"Ausserhalb Geltung")</f>
        <v>46513</v>
      </c>
      <c r="Y62" s="74" t="str">
        <v>SRC-AG-EGARR-20250901</v>
      </c>
      <c r="Z62" s="74" t="str">
        <v>§ 6 Abs. 1 Bst. e Ziff. 1</v>
      </c>
    </row>
    <row r="63" ht="38" customHeight="1">
      <c r="A63" s="71" t="str">
        <v>AG-WORK-HOL-E1-CORPUS-CHRISTI</v>
      </c>
      <c r="B63" s="71" t="str">
        <v>CH-AG</v>
      </c>
      <c r="C63" s="71" t="str">
        <v>AG-ARG-RHEINFELDEN-E1</v>
      </c>
      <c r="D63" s="76" t="str">
        <v>Fronleichnam</v>
      </c>
      <c r="E63" s="76" t="str">
        <v>Fête-Dieu</v>
      </c>
      <c r="F63" s="77" t="str"/>
      <c r="G63" s="77" t="str"/>
      <c r="H63" s="71" t="str">
        <v>labourLawHoliday</v>
      </c>
      <c r="I63" s="71" t="str">
        <v>easterOffsetDays</v>
      </c>
      <c r="J63" s="84"/>
      <c r="K63" s="84"/>
      <c r="L63" s="76" t="n">
        <v>60</v>
      </c>
      <c r="M63" s="76"/>
      <c r="N63" s="76"/>
      <c r="O63" s="85" t="n">
        <v>46023</v>
      </c>
      <c r="P63" s="85"/>
      <c r="Q63" s="76" t="n">
        <v>100</v>
      </c>
      <c r="R63" s="76" t="str">
        <v>open</v>
      </c>
      <c r="S63" s="71"/>
      <c r="T63" s="71" t="str">
        <v>add</v>
      </c>
      <c r="U63" s="71"/>
      <c r="V63" s="71" t="str">
        <v>blockedScope</v>
      </c>
      <c r="W63" s="70" t="n">
        <f>IF(AND(ISNUMBER('Übersicht'!$B$4),'Übersicht'!$B$4=INT('Übersicht'!$B$4),'Übersicht'!$B$4&gt;=2026,'Übersicht'!$B$4&lt;=2028),IF(I63="fixedMonthDay",IF(AND(ISNUMBER(J63),ISNUMBER(K63),J63=INT(J63),K63=INT(K63),MONTH(DATE('Übersicht'!$B$4,J63,K63))=J63,DAY(DATE('Übersicht'!$B$4,J63,K63))=K63),DATE('Übersicht'!$B$4,J63,K63),NA()),IF(I63="easterOffsetDays",IF(AND(ISNUMBER(L63),L63=INT(L63),ABS(L63)&lt;=366),$AB$23+L63,NA()),IF(I63="nthWeekdayOfMonth",IF(AND(ISNUMBER(J63),ISNUMBER(M63),ISNUMBER(N63),J63=INT(J63),M63=INT(M63),N63=INT(N63),J63&gt;=1,J63&lt;=12,M63&gt;=1,M63&lt;=7,N63&gt;=1,N63&lt;=5,MONTH(DATE('Übersicht'!$B$4,J63,1)+MOD(M63-WEEKDAY(DATE('Übersicht'!$B$4,J63,1),2),7)+7*(N63-1))=J63),DATE('Übersicht'!$B$4,J63,1)+MOD(M63-WEEKDAY(DATE('Übersicht'!$B$4,J63,1),2),7)+7*(N63-1),NA()),NA()))),NA())</f>
        <v>46534</v>
      </c>
      <c r="X63" s="70" t="n">
        <f>IF(AND(W63&gt;=O63,OR(P63="",W63&lt;=P63)),W63,"Ausserhalb Geltung")</f>
        <v>46534</v>
      </c>
      <c r="Y63" s="71" t="str">
        <v>SRC-AG-EGARR-20250901</v>
      </c>
      <c r="Z63" s="71" t="str">
        <v>§ 6 Abs. 1 Bst. e Ziff. 1</v>
      </c>
    </row>
    <row r="64" ht="38" customHeight="1">
      <c r="A64" s="74" t="str">
        <v>AG-WORK-HOL-E1-ASSUMPTION</v>
      </c>
      <c r="B64" s="74" t="str">
        <v>CH-AG</v>
      </c>
      <c r="C64" s="74" t="str">
        <v>AG-ARG-RHEINFELDEN-E1</v>
      </c>
      <c r="D64" s="78" t="str">
        <v>Mariä Himmelfahrt</v>
      </c>
      <c r="E64" s="78" t="str">
        <v>Assomption</v>
      </c>
      <c r="F64" s="79" t="str"/>
      <c r="G64" s="79" t="str"/>
      <c r="H64" s="74" t="str">
        <v>labourLawHoliday</v>
      </c>
      <c r="I64" s="74" t="str">
        <v>fixedMonthDay</v>
      </c>
      <c r="J64" s="86" t="n">
        <v>8</v>
      </c>
      <c r="K64" s="86" t="n">
        <v>15</v>
      </c>
      <c r="L64" s="78"/>
      <c r="M64" s="78"/>
      <c r="N64" s="78"/>
      <c r="O64" s="87" t="n">
        <v>46023</v>
      </c>
      <c r="P64" s="87"/>
      <c r="Q64" s="78" t="n">
        <v>100</v>
      </c>
      <c r="R64" s="78" t="str">
        <v>open</v>
      </c>
      <c r="S64" s="74"/>
      <c r="T64" s="74" t="str">
        <v>add</v>
      </c>
      <c r="U64" s="74"/>
      <c r="V64" s="74" t="str">
        <v>blockedScope</v>
      </c>
      <c r="W64" s="73" t="n">
        <f>IF(AND(ISNUMBER('Übersicht'!$B$4),'Übersicht'!$B$4=INT('Übersicht'!$B$4),'Übersicht'!$B$4&gt;=2026,'Übersicht'!$B$4&lt;=2028),IF(I64="fixedMonthDay",IF(AND(ISNUMBER(J64),ISNUMBER(K64),J64=INT(J64),K64=INT(K64),MONTH(DATE('Übersicht'!$B$4,J64,K64))=J64,DAY(DATE('Übersicht'!$B$4,J64,K64))=K64),DATE('Übersicht'!$B$4,J64,K64),NA()),IF(I64="easterOffsetDays",IF(AND(ISNUMBER(L64),L64=INT(L64),ABS(L64)&lt;=366),$AB$23+L64,NA()),IF(I64="nthWeekdayOfMonth",IF(AND(ISNUMBER(J64),ISNUMBER(M64),ISNUMBER(N64),J64=INT(J64),M64=INT(M64),N64=INT(N64),J64&gt;=1,J64&lt;=12,M64&gt;=1,M64&lt;=7,N64&gt;=1,N64&lt;=5,MONTH(DATE('Übersicht'!$B$4,J64,1)+MOD(M64-WEEKDAY(DATE('Übersicht'!$B$4,J64,1),2),7)+7*(N64-1))=J64),DATE('Übersicht'!$B$4,J64,1)+MOD(M64-WEEKDAY(DATE('Übersicht'!$B$4,J64,1),2),7)+7*(N64-1),NA()),NA()))),NA())</f>
        <v>46614</v>
      </c>
      <c r="X64" s="73" t="n">
        <f>IF(AND(W64&gt;=O64,OR(P64="",W64&lt;=P64)),W64,"Ausserhalb Geltung")</f>
        <v>46614</v>
      </c>
      <c r="Y64" s="74" t="str">
        <v>SRC-AG-EGARR-20250901</v>
      </c>
      <c r="Z64" s="74" t="str">
        <v>§ 6 Abs. 1 Bst. e Ziff. 1</v>
      </c>
    </row>
    <row r="65" ht="38" customHeight="1">
      <c r="A65" s="71" t="str">
        <v>AG-WORK-HOL-E1-ALL-SAINTS</v>
      </c>
      <c r="B65" s="71" t="str">
        <v>CH-AG</v>
      </c>
      <c r="C65" s="71" t="str">
        <v>AG-ARG-RHEINFELDEN-E1</v>
      </c>
      <c r="D65" s="76" t="str">
        <v>Allerheiligen</v>
      </c>
      <c r="E65" s="76" t="str">
        <v>Toussaint</v>
      </c>
      <c r="F65" s="77" t="str"/>
      <c r="G65" s="77" t="str"/>
      <c r="H65" s="71" t="str">
        <v>labourLawHoliday</v>
      </c>
      <c r="I65" s="71" t="str">
        <v>fixedMonthDay</v>
      </c>
      <c r="J65" s="84" t="n">
        <v>11</v>
      </c>
      <c r="K65" s="84" t="n">
        <v>1</v>
      </c>
      <c r="L65" s="76"/>
      <c r="M65" s="76"/>
      <c r="N65" s="76"/>
      <c r="O65" s="85" t="n">
        <v>46023</v>
      </c>
      <c r="P65" s="85"/>
      <c r="Q65" s="76" t="n">
        <v>100</v>
      </c>
      <c r="R65" s="76" t="str">
        <v>open</v>
      </c>
      <c r="S65" s="71"/>
      <c r="T65" s="71" t="str">
        <v>add</v>
      </c>
      <c r="U65" s="71"/>
      <c r="V65" s="71" t="str">
        <v>blockedScope</v>
      </c>
      <c r="W65" s="70" t="n">
        <f>IF(AND(ISNUMBER('Übersicht'!$B$4),'Übersicht'!$B$4=INT('Übersicht'!$B$4),'Übersicht'!$B$4&gt;=2026,'Übersicht'!$B$4&lt;=2028),IF(I65="fixedMonthDay",IF(AND(ISNUMBER(J65),ISNUMBER(K65),J65=INT(J65),K65=INT(K65),MONTH(DATE('Übersicht'!$B$4,J65,K65))=J65,DAY(DATE('Übersicht'!$B$4,J65,K65))=K65),DATE('Übersicht'!$B$4,J65,K65),NA()),IF(I65="easterOffsetDays",IF(AND(ISNUMBER(L65),L65=INT(L65),ABS(L65)&lt;=366),$AB$23+L65,NA()),IF(I65="nthWeekdayOfMonth",IF(AND(ISNUMBER(J65),ISNUMBER(M65),ISNUMBER(N65),J65=INT(J65),M65=INT(M65),N65=INT(N65),J65&gt;=1,J65&lt;=12,M65&gt;=1,M65&lt;=7,N65&gt;=1,N65&lt;=5,MONTH(DATE('Übersicht'!$B$4,J65,1)+MOD(M65-WEEKDAY(DATE('Übersicht'!$B$4,J65,1),2),7)+7*(N65-1))=J65),DATE('Übersicht'!$B$4,J65,1)+MOD(M65-WEEKDAY(DATE('Übersicht'!$B$4,J65,1),2),7)+7*(N65-1),NA()),NA()))),NA())</f>
        <v>46692</v>
      </c>
      <c r="X65" s="70" t="n">
        <f>IF(AND(W65&gt;=O65,OR(P65="",W65&lt;=P65)),W65,"Ausserhalb Geltung")</f>
        <v>46692</v>
      </c>
      <c r="Y65" s="71" t="str">
        <v>SRC-AG-EGARR-20250901</v>
      </c>
      <c r="Z65" s="71" t="str">
        <v>§ 6 Abs. 1 Bst. e Ziff. 1</v>
      </c>
    </row>
    <row r="66" ht="38" customHeight="1">
      <c r="A66" s="74" t="str">
        <v>AG-WORK-HOL-E1-CHRISTMAS</v>
      </c>
      <c r="B66" s="74" t="str">
        <v>CH-AG</v>
      </c>
      <c r="C66" s="74" t="str">
        <v>AG-ARG-RHEINFELDEN-E1</v>
      </c>
      <c r="D66" s="78" t="str">
        <v>Weihnachten</v>
      </c>
      <c r="E66" s="78" t="str">
        <v>Noël</v>
      </c>
      <c r="F66" s="79" t="str"/>
      <c r="G66" s="79" t="str"/>
      <c r="H66" s="74" t="str">
        <v>labourLawHoliday</v>
      </c>
      <c r="I66" s="74" t="str">
        <v>fixedMonthDay</v>
      </c>
      <c r="J66" s="86" t="n">
        <v>12</v>
      </c>
      <c r="K66" s="86" t="n">
        <v>25</v>
      </c>
      <c r="L66" s="78"/>
      <c r="M66" s="78"/>
      <c r="N66" s="78"/>
      <c r="O66" s="87" t="n">
        <v>46023</v>
      </c>
      <c r="P66" s="87"/>
      <c r="Q66" s="78" t="n">
        <v>100</v>
      </c>
      <c r="R66" s="78" t="str">
        <v>open</v>
      </c>
      <c r="S66" s="74"/>
      <c r="T66" s="74" t="str">
        <v>add</v>
      </c>
      <c r="U66" s="74"/>
      <c r="V66" s="74" t="str">
        <v>blockedScope</v>
      </c>
      <c r="W66" s="73" t="n">
        <f>IF(AND(ISNUMBER('Übersicht'!$B$4),'Übersicht'!$B$4=INT('Übersicht'!$B$4),'Übersicht'!$B$4&gt;=2026,'Übersicht'!$B$4&lt;=2028),IF(I66="fixedMonthDay",IF(AND(ISNUMBER(J66),ISNUMBER(K66),J66=INT(J66),K66=INT(K66),MONTH(DATE('Übersicht'!$B$4,J66,K66))=J66,DAY(DATE('Übersicht'!$B$4,J66,K66))=K66),DATE('Übersicht'!$B$4,J66,K66),NA()),IF(I66="easterOffsetDays",IF(AND(ISNUMBER(L66),L66=INT(L66),ABS(L66)&lt;=366),$AB$23+L66,NA()),IF(I66="nthWeekdayOfMonth",IF(AND(ISNUMBER(J66),ISNUMBER(M66),ISNUMBER(N66),J66=INT(J66),M66=INT(M66),N66=INT(N66),J66&gt;=1,J66&lt;=12,M66&gt;=1,M66&lt;=7,N66&gt;=1,N66&lt;=5,MONTH(DATE('Übersicht'!$B$4,J66,1)+MOD(M66-WEEKDAY(DATE('Übersicht'!$B$4,J66,1),2),7)+7*(N66-1))=J66),DATE('Übersicht'!$B$4,J66,1)+MOD(M66-WEEKDAY(DATE('Übersicht'!$B$4,J66,1),2),7)+7*(N66-1),NA()),NA()))),NA())</f>
        <v>46746</v>
      </c>
      <c r="X66" s="73" t="n">
        <f>IF(AND(W66&gt;=O66,OR(P66="",W66&lt;=P66)),W66,"Ausserhalb Geltung")</f>
        <v>46746</v>
      </c>
      <c r="Y66" s="74" t="str">
        <v>SRC-AG-EGARR-20250901</v>
      </c>
      <c r="Z66" s="74" t="str">
        <v>§ 6 Abs. 1 Bst. e Ziff. 1</v>
      </c>
    </row>
    <row r="67" ht="38" customHeight="1">
      <c r="A67" s="71" t="str">
        <v>AG-WORK-HOL-E1-IMMACULATE-CONCEPTION</v>
      </c>
      <c r="B67" s="71" t="str">
        <v>CH-AG</v>
      </c>
      <c r="C67" s="71" t="str">
        <v>AG-ARG-RHEINFELDEN-E1</v>
      </c>
      <c r="D67" s="76" t="str">
        <v>Mariä Empfängnis</v>
      </c>
      <c r="E67" s="76" t="str">
        <v>Immaculée Conception</v>
      </c>
      <c r="F67" s="77" t="str"/>
      <c r="G67" s="77" t="str"/>
      <c r="H67" s="71" t="str">
        <v>labourLawHoliday</v>
      </c>
      <c r="I67" s="71" t="str">
        <v>fixedMonthDay</v>
      </c>
      <c r="J67" s="84" t="n">
        <v>12</v>
      </c>
      <c r="K67" s="84" t="n">
        <v>8</v>
      </c>
      <c r="L67" s="76"/>
      <c r="M67" s="76"/>
      <c r="N67" s="76"/>
      <c r="O67" s="85" t="n">
        <v>46023</v>
      </c>
      <c r="P67" s="85"/>
      <c r="Q67" s="76" t="n">
        <v>100</v>
      </c>
      <c r="R67" s="76" t="str">
        <v>open</v>
      </c>
      <c r="S67" s="71"/>
      <c r="T67" s="71" t="str">
        <v>add</v>
      </c>
      <c r="U67" s="71"/>
      <c r="V67" s="71" t="str">
        <v>blockedScope</v>
      </c>
      <c r="W67" s="70" t="n">
        <f>IF(AND(ISNUMBER('Übersicht'!$B$4),'Übersicht'!$B$4=INT('Übersicht'!$B$4),'Übersicht'!$B$4&gt;=2026,'Übersicht'!$B$4&lt;=2028),IF(I67="fixedMonthDay",IF(AND(ISNUMBER(J67),ISNUMBER(K67),J67=INT(J67),K67=INT(K67),MONTH(DATE('Übersicht'!$B$4,J67,K67))=J67,DAY(DATE('Übersicht'!$B$4,J67,K67))=K67),DATE('Übersicht'!$B$4,J67,K67),NA()),IF(I67="easterOffsetDays",IF(AND(ISNUMBER(L67),L67=INT(L67),ABS(L67)&lt;=366),$AB$23+L67,NA()),IF(I67="nthWeekdayOfMonth",IF(AND(ISNUMBER(J67),ISNUMBER(M67),ISNUMBER(N67),J67=INT(J67),M67=INT(M67),N67=INT(N67),J67&gt;=1,J67&lt;=12,M67&gt;=1,M67&lt;=7,N67&gt;=1,N67&lt;=5,MONTH(DATE('Übersicht'!$B$4,J67,1)+MOD(M67-WEEKDAY(DATE('Übersicht'!$B$4,J67,1),2),7)+7*(N67-1))=J67),DATE('Übersicht'!$B$4,J67,1)+MOD(M67-WEEKDAY(DATE('Übersicht'!$B$4,J67,1),2),7)+7*(N67-1),NA()),NA()))),NA())</f>
        <v>46729</v>
      </c>
      <c r="X67" s="70" t="n">
        <f>IF(AND(W67&gt;=O67,OR(P67="",W67&lt;=P67)),W67,"Ausserhalb Geltung")</f>
        <v>46729</v>
      </c>
      <c r="Y67" s="71" t="str">
        <v>SRC-AG-EGARR-20250901</v>
      </c>
      <c r="Z67" s="71" t="str">
        <v>§ 6 Abs. 1 Bst. e Ziff. 1</v>
      </c>
    </row>
    <row r="68" ht="38" customHeight="1">
      <c r="A68" s="74" t="str">
        <v>AG-WORK-HOL-E2-NEW-YEAR</v>
      </c>
      <c r="B68" s="74" t="str">
        <v>CH-AG</v>
      </c>
      <c r="C68" s="74" t="str">
        <v>AG-ARG-RHEINFELDEN-E2</v>
      </c>
      <c r="D68" s="78" t="str">
        <v>Neujahr</v>
      </c>
      <c r="E68" s="78" t="str">
        <v>Nouvel An</v>
      </c>
      <c r="F68" s="79" t="str"/>
      <c r="G68" s="79" t="str"/>
      <c r="H68" s="74" t="str">
        <v>labourLawHoliday</v>
      </c>
      <c r="I68" s="74" t="str">
        <v>fixedMonthDay</v>
      </c>
      <c r="J68" s="86" t="n">
        <v>1</v>
      </c>
      <c r="K68" s="86" t="n">
        <v>1</v>
      </c>
      <c r="L68" s="78"/>
      <c r="M68" s="78"/>
      <c r="N68" s="78"/>
      <c r="O68" s="87" t="n">
        <v>46023</v>
      </c>
      <c r="P68" s="87"/>
      <c r="Q68" s="78" t="n">
        <v>100</v>
      </c>
      <c r="R68" s="78" t="str">
        <v>open</v>
      </c>
      <c r="S68" s="74"/>
      <c r="T68" s="74" t="str">
        <v>add</v>
      </c>
      <c r="U68" s="74"/>
      <c r="V68" s="74" t="str">
        <v>blockedScope</v>
      </c>
      <c r="W68" s="73" t="n">
        <f>IF(AND(ISNUMBER('Übersicht'!$B$4),'Übersicht'!$B$4=INT('Übersicht'!$B$4),'Übersicht'!$B$4&gt;=2026,'Übersicht'!$B$4&lt;=2028),IF(I68="fixedMonthDay",IF(AND(ISNUMBER(J68),ISNUMBER(K68),J68=INT(J68),K68=INT(K68),MONTH(DATE('Übersicht'!$B$4,J68,K68))=J68,DAY(DATE('Übersicht'!$B$4,J68,K68))=K68),DATE('Übersicht'!$B$4,J68,K68),NA()),IF(I68="easterOffsetDays",IF(AND(ISNUMBER(L68),L68=INT(L68),ABS(L68)&lt;=366),$AB$23+L68,NA()),IF(I68="nthWeekdayOfMonth",IF(AND(ISNUMBER(J68),ISNUMBER(M68),ISNUMBER(N68),J68=INT(J68),M68=INT(M68),N68=INT(N68),J68&gt;=1,J68&lt;=12,M68&gt;=1,M68&lt;=7,N68&gt;=1,N68&lt;=5,MONTH(DATE('Übersicht'!$B$4,J68,1)+MOD(M68-WEEKDAY(DATE('Übersicht'!$B$4,J68,1),2),7)+7*(N68-1))=J68),DATE('Übersicht'!$B$4,J68,1)+MOD(M68-WEEKDAY(DATE('Übersicht'!$B$4,J68,1),2),7)+7*(N68-1),NA()),NA()))),NA())</f>
        <v>46388</v>
      </c>
      <c r="X68" s="73" t="n">
        <f>IF(AND(W68&gt;=O68,OR(P68="",W68&lt;=P68)),W68,"Ausserhalb Geltung")</f>
        <v>46388</v>
      </c>
      <c r="Y68" s="74" t="str">
        <v>SRC-AG-EGARR-20250901</v>
      </c>
      <c r="Z68" s="74" t="str">
        <v>§ 6 Abs. 1 Bst. e Ziff. 2</v>
      </c>
    </row>
    <row r="69" ht="38" customHeight="1">
      <c r="A69" s="71" t="str">
        <v>AG-WORK-HOL-E2-GOOD-FRIDAY</v>
      </c>
      <c r="B69" s="71" t="str">
        <v>CH-AG</v>
      </c>
      <c r="C69" s="71" t="str">
        <v>AG-ARG-RHEINFELDEN-E2</v>
      </c>
      <c r="D69" s="76" t="str">
        <v>Karfreitag</v>
      </c>
      <c r="E69" s="76" t="str">
        <v>Vendredi saint</v>
      </c>
      <c r="F69" s="77" t="str"/>
      <c r="G69" s="77" t="str"/>
      <c r="H69" s="71" t="str">
        <v>labourLawHoliday</v>
      </c>
      <c r="I69" s="71" t="str">
        <v>easterOffsetDays</v>
      </c>
      <c r="J69" s="84"/>
      <c r="K69" s="84"/>
      <c r="L69" s="76" t="n">
        <v>-2</v>
      </c>
      <c r="M69" s="76"/>
      <c r="N69" s="76"/>
      <c r="O69" s="85" t="n">
        <v>46023</v>
      </c>
      <c r="P69" s="85"/>
      <c r="Q69" s="76" t="n">
        <v>100</v>
      </c>
      <c r="R69" s="76" t="str">
        <v>open</v>
      </c>
      <c r="S69" s="71"/>
      <c r="T69" s="71" t="str">
        <v>add</v>
      </c>
      <c r="U69" s="71"/>
      <c r="V69" s="71" t="str">
        <v>blockedScope</v>
      </c>
      <c r="W69" s="70" t="n">
        <f>IF(AND(ISNUMBER('Übersicht'!$B$4),'Übersicht'!$B$4=INT('Übersicht'!$B$4),'Übersicht'!$B$4&gt;=2026,'Übersicht'!$B$4&lt;=2028),IF(I69="fixedMonthDay",IF(AND(ISNUMBER(J69),ISNUMBER(K69),J69=INT(J69),K69=INT(K69),MONTH(DATE('Übersicht'!$B$4,J69,K69))=J69,DAY(DATE('Übersicht'!$B$4,J69,K69))=K69),DATE('Übersicht'!$B$4,J69,K69),NA()),IF(I69="easterOffsetDays",IF(AND(ISNUMBER(L69),L69=INT(L69),ABS(L69)&lt;=366),$AB$23+L69,NA()),IF(I69="nthWeekdayOfMonth",IF(AND(ISNUMBER(J69),ISNUMBER(M69),ISNUMBER(N69),J69=INT(J69),M69=INT(M69),N69=INT(N69),J69&gt;=1,J69&lt;=12,M69&gt;=1,M69&lt;=7,N69&gt;=1,N69&lt;=5,MONTH(DATE('Übersicht'!$B$4,J69,1)+MOD(M69-WEEKDAY(DATE('Übersicht'!$B$4,J69,1),2),7)+7*(N69-1))=J69),DATE('Übersicht'!$B$4,J69,1)+MOD(M69-WEEKDAY(DATE('Übersicht'!$B$4,J69,1),2),7)+7*(N69-1),NA()),NA()))),NA())</f>
        <v>46472</v>
      </c>
      <c r="X69" s="70" t="n">
        <f>IF(AND(W69&gt;=O69,OR(P69="",W69&lt;=P69)),W69,"Ausserhalb Geltung")</f>
        <v>46472</v>
      </c>
      <c r="Y69" s="71" t="str">
        <v>SRC-AG-EGARR-20250901</v>
      </c>
      <c r="Z69" s="71" t="str">
        <v>§ 6 Abs. 1 Bst. e Ziff. 2</v>
      </c>
    </row>
    <row r="70" ht="38" customHeight="1">
      <c r="A70" s="74" t="str">
        <v>AG-WORK-HOL-E2-EASTER-MONDAY</v>
      </c>
      <c r="B70" s="74" t="str">
        <v>CH-AG</v>
      </c>
      <c r="C70" s="74" t="str">
        <v>AG-ARG-RHEINFELDEN-E2</v>
      </c>
      <c r="D70" s="78" t="str">
        <v>Ostermontag</v>
      </c>
      <c r="E70" s="78" t="str">
        <v>Lundi de Pâques</v>
      </c>
      <c r="F70" s="79" t="str"/>
      <c r="G70" s="79" t="str"/>
      <c r="H70" s="74" t="str">
        <v>labourLawHoliday</v>
      </c>
      <c r="I70" s="74" t="str">
        <v>easterOffsetDays</v>
      </c>
      <c r="J70" s="86"/>
      <c r="K70" s="86"/>
      <c r="L70" s="78" t="n">
        <v>1</v>
      </c>
      <c r="M70" s="78"/>
      <c r="N70" s="78"/>
      <c r="O70" s="87" t="n">
        <v>46023</v>
      </c>
      <c r="P70" s="87"/>
      <c r="Q70" s="78" t="n">
        <v>100</v>
      </c>
      <c r="R70" s="78" t="str">
        <v>open</v>
      </c>
      <c r="S70" s="74"/>
      <c r="T70" s="74" t="str">
        <v>add</v>
      </c>
      <c r="U70" s="74"/>
      <c r="V70" s="74" t="str">
        <v>blockedScope</v>
      </c>
      <c r="W70" s="73" t="n">
        <f>IF(AND(ISNUMBER('Übersicht'!$B$4),'Übersicht'!$B$4=INT('Übersicht'!$B$4),'Übersicht'!$B$4&gt;=2026,'Übersicht'!$B$4&lt;=2028),IF(I70="fixedMonthDay",IF(AND(ISNUMBER(J70),ISNUMBER(K70),J70=INT(J70),K70=INT(K70),MONTH(DATE('Übersicht'!$B$4,J70,K70))=J70,DAY(DATE('Übersicht'!$B$4,J70,K70))=K70),DATE('Übersicht'!$B$4,J70,K70),NA()),IF(I70="easterOffsetDays",IF(AND(ISNUMBER(L70),L70=INT(L70),ABS(L70)&lt;=366),$AB$23+L70,NA()),IF(I70="nthWeekdayOfMonth",IF(AND(ISNUMBER(J70),ISNUMBER(M70),ISNUMBER(N70),J70=INT(J70),M70=INT(M70),N70=INT(N70),J70&gt;=1,J70&lt;=12,M70&gt;=1,M70&lt;=7,N70&gt;=1,N70&lt;=5,MONTH(DATE('Übersicht'!$B$4,J70,1)+MOD(M70-WEEKDAY(DATE('Übersicht'!$B$4,J70,1),2),7)+7*(N70-1))=J70),DATE('Übersicht'!$B$4,J70,1)+MOD(M70-WEEKDAY(DATE('Übersicht'!$B$4,J70,1),2),7)+7*(N70-1),NA()),NA()))),NA())</f>
        <v>46475</v>
      </c>
      <c r="X70" s="73" t="n">
        <f>IF(AND(W70&gt;=O70,OR(P70="",W70&lt;=P70)),W70,"Ausserhalb Geltung")</f>
        <v>46475</v>
      </c>
      <c r="Y70" s="74" t="str">
        <v>SRC-AG-EGARR-20250901</v>
      </c>
      <c r="Z70" s="74" t="str">
        <v>§ 6 Abs. 1 Bst. e Ziff. 2</v>
      </c>
    </row>
    <row r="71" ht="38" customHeight="1">
      <c r="A71" s="71" t="str">
        <v>AG-WORK-HOL-E2-ASCENSION</v>
      </c>
      <c r="B71" s="71" t="str">
        <v>CH-AG</v>
      </c>
      <c r="C71" s="71" t="str">
        <v>AG-ARG-RHEINFELDEN-E2</v>
      </c>
      <c r="D71" s="76" t="str">
        <v>Auffahrt</v>
      </c>
      <c r="E71" s="76" t="str">
        <v>Ascension</v>
      </c>
      <c r="F71" s="77" t="str"/>
      <c r="G71" s="77" t="str"/>
      <c r="H71" s="71" t="str">
        <v>labourLawHoliday</v>
      </c>
      <c r="I71" s="71" t="str">
        <v>easterOffsetDays</v>
      </c>
      <c r="J71" s="84"/>
      <c r="K71" s="84"/>
      <c r="L71" s="76" t="n">
        <v>39</v>
      </c>
      <c r="M71" s="76"/>
      <c r="N71" s="76"/>
      <c r="O71" s="85" t="n">
        <v>46023</v>
      </c>
      <c r="P71" s="85"/>
      <c r="Q71" s="76" t="n">
        <v>100</v>
      </c>
      <c r="R71" s="76" t="str">
        <v>open</v>
      </c>
      <c r="S71" s="71"/>
      <c r="T71" s="71" t="str">
        <v>add</v>
      </c>
      <c r="U71" s="71"/>
      <c r="V71" s="71" t="str">
        <v>blockedScope</v>
      </c>
      <c r="W71" s="70" t="n">
        <f>IF(AND(ISNUMBER('Übersicht'!$B$4),'Übersicht'!$B$4=INT('Übersicht'!$B$4),'Übersicht'!$B$4&gt;=2026,'Übersicht'!$B$4&lt;=2028),IF(I71="fixedMonthDay",IF(AND(ISNUMBER(J71),ISNUMBER(K71),J71=INT(J71),K71=INT(K71),MONTH(DATE('Übersicht'!$B$4,J71,K71))=J71,DAY(DATE('Übersicht'!$B$4,J71,K71))=K71),DATE('Übersicht'!$B$4,J71,K71),NA()),IF(I71="easterOffsetDays",IF(AND(ISNUMBER(L71),L71=INT(L71),ABS(L71)&lt;=366),$AB$23+L71,NA()),IF(I71="nthWeekdayOfMonth",IF(AND(ISNUMBER(J71),ISNUMBER(M71),ISNUMBER(N71),J71=INT(J71),M71=INT(M71),N71=INT(N71),J71&gt;=1,J71&lt;=12,M71&gt;=1,M71&lt;=7,N71&gt;=1,N71&lt;=5,MONTH(DATE('Übersicht'!$B$4,J71,1)+MOD(M71-WEEKDAY(DATE('Übersicht'!$B$4,J71,1),2),7)+7*(N71-1))=J71),DATE('Übersicht'!$B$4,J71,1)+MOD(M71-WEEKDAY(DATE('Übersicht'!$B$4,J71,1),2),7)+7*(N71-1),NA()),NA()))),NA())</f>
        <v>46513</v>
      </c>
      <c r="X71" s="70" t="n">
        <f>IF(AND(W71&gt;=O71,OR(P71="",W71&lt;=P71)),W71,"Ausserhalb Geltung")</f>
        <v>46513</v>
      </c>
      <c r="Y71" s="71" t="str">
        <v>SRC-AG-EGARR-20250901</v>
      </c>
      <c r="Z71" s="71" t="str">
        <v>§ 6 Abs. 1 Bst. e Ziff. 2</v>
      </c>
    </row>
    <row r="72" ht="38" customHeight="1">
      <c r="A72" s="74" t="str">
        <v>AG-WORK-HOL-E2-WHIT-MONDAY</v>
      </c>
      <c r="B72" s="74" t="str">
        <v>CH-AG</v>
      </c>
      <c r="C72" s="74" t="str">
        <v>AG-ARG-RHEINFELDEN-E2</v>
      </c>
      <c r="D72" s="78" t="str">
        <v>Pfingstmontag</v>
      </c>
      <c r="E72" s="78" t="str">
        <v>Lundi de Pentecôte</v>
      </c>
      <c r="F72" s="79" t="str"/>
      <c r="G72" s="79" t="str"/>
      <c r="H72" s="74" t="str">
        <v>labourLawHoliday</v>
      </c>
      <c r="I72" s="74" t="str">
        <v>easterOffsetDays</v>
      </c>
      <c r="J72" s="86"/>
      <c r="K72" s="86"/>
      <c r="L72" s="78" t="n">
        <v>50</v>
      </c>
      <c r="M72" s="78"/>
      <c r="N72" s="78"/>
      <c r="O72" s="87" t="n">
        <v>46023</v>
      </c>
      <c r="P72" s="87"/>
      <c r="Q72" s="78" t="n">
        <v>100</v>
      </c>
      <c r="R72" s="78" t="str">
        <v>open</v>
      </c>
      <c r="S72" s="74"/>
      <c r="T72" s="74" t="str">
        <v>add</v>
      </c>
      <c r="U72" s="74"/>
      <c r="V72" s="74" t="str">
        <v>blockedScope</v>
      </c>
      <c r="W72" s="73" t="n">
        <f>IF(AND(ISNUMBER('Übersicht'!$B$4),'Übersicht'!$B$4=INT('Übersicht'!$B$4),'Übersicht'!$B$4&gt;=2026,'Übersicht'!$B$4&lt;=2028),IF(I72="fixedMonthDay",IF(AND(ISNUMBER(J72),ISNUMBER(K72),J72=INT(J72),K72=INT(K72),MONTH(DATE('Übersicht'!$B$4,J72,K72))=J72,DAY(DATE('Übersicht'!$B$4,J72,K72))=K72),DATE('Übersicht'!$B$4,J72,K72),NA()),IF(I72="easterOffsetDays",IF(AND(ISNUMBER(L72),L72=INT(L72),ABS(L72)&lt;=366),$AB$23+L72,NA()),IF(I72="nthWeekdayOfMonth",IF(AND(ISNUMBER(J72),ISNUMBER(M72),ISNUMBER(N72),J72=INT(J72),M72=INT(M72),N72=INT(N72),J72&gt;=1,J72&lt;=12,M72&gt;=1,M72&lt;=7,N72&gt;=1,N72&lt;=5,MONTH(DATE('Übersicht'!$B$4,J72,1)+MOD(M72-WEEKDAY(DATE('Übersicht'!$B$4,J72,1),2),7)+7*(N72-1))=J72),DATE('Übersicht'!$B$4,J72,1)+MOD(M72-WEEKDAY(DATE('Übersicht'!$B$4,J72,1),2),7)+7*(N72-1),NA()),NA()))),NA())</f>
        <v>46524</v>
      </c>
      <c r="X72" s="73" t="n">
        <f>IF(AND(W72&gt;=O72,OR(P72="",W72&lt;=P72)),W72,"Ausserhalb Geltung")</f>
        <v>46524</v>
      </c>
      <c r="Y72" s="74" t="str">
        <v>SRC-AG-EGARR-20250901</v>
      </c>
      <c r="Z72" s="74" t="str">
        <v>§ 6 Abs. 1 Bst. e Ziff. 2</v>
      </c>
    </row>
    <row r="73" ht="38" customHeight="1">
      <c r="A73" s="71" t="str">
        <v>AG-WORK-HOL-E2-CHRISTMAS</v>
      </c>
      <c r="B73" s="71" t="str">
        <v>CH-AG</v>
      </c>
      <c r="C73" s="71" t="str">
        <v>AG-ARG-RHEINFELDEN-E2</v>
      </c>
      <c r="D73" s="76" t="str">
        <v>Weihnachten</v>
      </c>
      <c r="E73" s="76" t="str">
        <v>Noël</v>
      </c>
      <c r="F73" s="77" t="str"/>
      <c r="G73" s="77" t="str"/>
      <c r="H73" s="71" t="str">
        <v>labourLawHoliday</v>
      </c>
      <c r="I73" s="71" t="str">
        <v>fixedMonthDay</v>
      </c>
      <c r="J73" s="84" t="n">
        <v>12</v>
      </c>
      <c r="K73" s="84" t="n">
        <v>25</v>
      </c>
      <c r="L73" s="76"/>
      <c r="M73" s="76"/>
      <c r="N73" s="76"/>
      <c r="O73" s="85" t="n">
        <v>46023</v>
      </c>
      <c r="P73" s="85"/>
      <c r="Q73" s="76" t="n">
        <v>100</v>
      </c>
      <c r="R73" s="76" t="str">
        <v>open</v>
      </c>
      <c r="S73" s="71"/>
      <c r="T73" s="71" t="str">
        <v>add</v>
      </c>
      <c r="U73" s="71"/>
      <c r="V73" s="71" t="str">
        <v>blockedScope</v>
      </c>
      <c r="W73" s="70" t="n">
        <f>IF(AND(ISNUMBER('Übersicht'!$B$4),'Übersicht'!$B$4=INT('Übersicht'!$B$4),'Übersicht'!$B$4&gt;=2026,'Übersicht'!$B$4&lt;=2028),IF(I73="fixedMonthDay",IF(AND(ISNUMBER(J73),ISNUMBER(K73),J73=INT(J73),K73=INT(K73),MONTH(DATE('Übersicht'!$B$4,J73,K73))=J73,DAY(DATE('Übersicht'!$B$4,J73,K73))=K73),DATE('Übersicht'!$B$4,J73,K73),NA()),IF(I73="easterOffsetDays",IF(AND(ISNUMBER(L73),L73=INT(L73),ABS(L73)&lt;=366),$AB$23+L73,NA()),IF(I73="nthWeekdayOfMonth",IF(AND(ISNUMBER(J73),ISNUMBER(M73),ISNUMBER(N73),J73=INT(J73),M73=INT(M73),N73=INT(N73),J73&gt;=1,J73&lt;=12,M73&gt;=1,M73&lt;=7,N73&gt;=1,N73&lt;=5,MONTH(DATE('Übersicht'!$B$4,J73,1)+MOD(M73-WEEKDAY(DATE('Übersicht'!$B$4,J73,1),2),7)+7*(N73-1))=J73),DATE('Übersicht'!$B$4,J73,1)+MOD(M73-WEEKDAY(DATE('Übersicht'!$B$4,J73,1),2),7)+7*(N73-1),NA()),NA()))),NA())</f>
        <v>46746</v>
      </c>
      <c r="X73" s="70" t="n">
        <f>IF(AND(W73&gt;=O73,OR(P73="",W73&lt;=P73)),W73,"Ausserhalb Geltung")</f>
        <v>46746</v>
      </c>
      <c r="Y73" s="71" t="str">
        <v>SRC-AG-EGARR-20250901</v>
      </c>
      <c r="Z73" s="71" t="str">
        <v>§ 6 Abs. 1 Bst. e Ziff. 2</v>
      </c>
    </row>
    <row r="74" ht="38" customHeight="1">
      <c r="A74" s="74" t="str">
        <v>AG-WORK-HOL-E2-ST-STEPHEN</v>
      </c>
      <c r="B74" s="74" t="str">
        <v>CH-AG</v>
      </c>
      <c r="C74" s="74" t="str">
        <v>AG-ARG-RHEINFELDEN-E2</v>
      </c>
      <c r="D74" s="78" t="str">
        <v>Stephanstag</v>
      </c>
      <c r="E74" s="78" t="str">
        <v>Saint-Étienne</v>
      </c>
      <c r="F74" s="79" t="str"/>
      <c r="G74" s="79" t="str"/>
      <c r="H74" s="74" t="str">
        <v>labourLawHoliday</v>
      </c>
      <c r="I74" s="74" t="str">
        <v>fixedMonthDay</v>
      </c>
      <c r="J74" s="86" t="n">
        <v>12</v>
      </c>
      <c r="K74" s="86" t="n">
        <v>26</v>
      </c>
      <c r="L74" s="78"/>
      <c r="M74" s="78"/>
      <c r="N74" s="78"/>
      <c r="O74" s="87" t="n">
        <v>46023</v>
      </c>
      <c r="P74" s="87"/>
      <c r="Q74" s="78" t="n">
        <v>100</v>
      </c>
      <c r="R74" s="78" t="str">
        <v>open</v>
      </c>
      <c r="S74" s="74"/>
      <c r="T74" s="74" t="str">
        <v>add</v>
      </c>
      <c r="U74" s="74"/>
      <c r="V74" s="74" t="str">
        <v>blockedScope</v>
      </c>
      <c r="W74" s="73" t="n">
        <f>IF(AND(ISNUMBER('Übersicht'!$B$4),'Übersicht'!$B$4=INT('Übersicht'!$B$4),'Übersicht'!$B$4&gt;=2026,'Übersicht'!$B$4&lt;=2028),IF(I74="fixedMonthDay",IF(AND(ISNUMBER(J74),ISNUMBER(K74),J74=INT(J74),K74=INT(K74),MONTH(DATE('Übersicht'!$B$4,J74,K74))=J74,DAY(DATE('Übersicht'!$B$4,J74,K74))=K74),DATE('Übersicht'!$B$4,J74,K74),NA()),IF(I74="easterOffsetDays",IF(AND(ISNUMBER(L74),L74=INT(L74),ABS(L74)&lt;=366),$AB$23+L74,NA()),IF(I74="nthWeekdayOfMonth",IF(AND(ISNUMBER(J74),ISNUMBER(M74),ISNUMBER(N74),J74=INT(J74),M74=INT(M74),N74=INT(N74),J74&gt;=1,J74&lt;=12,M74&gt;=1,M74&lt;=7,N74&gt;=1,N74&lt;=5,MONTH(DATE('Übersicht'!$B$4,J74,1)+MOD(M74-WEEKDAY(DATE('Übersicht'!$B$4,J74,1),2),7)+7*(N74-1))=J74),DATE('Übersicht'!$B$4,J74,1)+MOD(M74-WEEKDAY(DATE('Übersicht'!$B$4,J74,1),2),7)+7*(N74-1),NA()),NA()))),NA())</f>
        <v>46747</v>
      </c>
      <c r="X74" s="73" t="n">
        <f>IF(AND(W74&gt;=O74,OR(P74="",W74&lt;=P74)),W74,"Ausserhalb Geltung")</f>
        <v>46747</v>
      </c>
      <c r="Y74" s="74" t="str">
        <v>SRC-AG-EGARR-20250901</v>
      </c>
      <c r="Z74" s="74" t="str">
        <v>§ 6 Abs. 1 Bst. e Ziff. 2</v>
      </c>
    </row>
    <row r="75" ht="38" customHeight="1">
      <c r="A75" s="71" t="str">
        <v>AG-WORK-HOL-E2-ALL-SAINTS</v>
      </c>
      <c r="B75" s="71" t="str">
        <v>CH-AG</v>
      </c>
      <c r="C75" s="71" t="str">
        <v>AG-ARG-RHEINFELDEN-E2</v>
      </c>
      <c r="D75" s="76" t="str">
        <v>Allerheiligen</v>
      </c>
      <c r="E75" s="76" t="str">
        <v>Toussaint</v>
      </c>
      <c r="F75" s="77" t="str"/>
      <c r="G75" s="77" t="str"/>
      <c r="H75" s="71" t="str">
        <v>labourLawHoliday</v>
      </c>
      <c r="I75" s="71" t="str">
        <v>fixedMonthDay</v>
      </c>
      <c r="J75" s="84" t="n">
        <v>11</v>
      </c>
      <c r="K75" s="84" t="n">
        <v>1</v>
      </c>
      <c r="L75" s="76"/>
      <c r="M75" s="76"/>
      <c r="N75" s="76"/>
      <c r="O75" s="85" t="n">
        <v>46023</v>
      </c>
      <c r="P75" s="85"/>
      <c r="Q75" s="76" t="n">
        <v>100</v>
      </c>
      <c r="R75" s="76" t="str">
        <v>open</v>
      </c>
      <c r="S75" s="71"/>
      <c r="T75" s="71" t="str">
        <v>add</v>
      </c>
      <c r="U75" s="71"/>
      <c r="V75" s="71" t="str">
        <v>blockedScope</v>
      </c>
      <c r="W75" s="70" t="n">
        <f>IF(AND(ISNUMBER('Übersicht'!$B$4),'Übersicht'!$B$4=INT('Übersicht'!$B$4),'Übersicht'!$B$4&gt;=2026,'Übersicht'!$B$4&lt;=2028),IF(I75="fixedMonthDay",IF(AND(ISNUMBER(J75),ISNUMBER(K75),J75=INT(J75),K75=INT(K75),MONTH(DATE('Übersicht'!$B$4,J75,K75))=J75,DAY(DATE('Übersicht'!$B$4,J75,K75))=K75),DATE('Übersicht'!$B$4,J75,K75),NA()),IF(I75="easterOffsetDays",IF(AND(ISNUMBER(L75),L75=INT(L75),ABS(L75)&lt;=366),$AB$23+L75,NA()),IF(I75="nthWeekdayOfMonth",IF(AND(ISNUMBER(J75),ISNUMBER(M75),ISNUMBER(N75),J75=INT(J75),M75=INT(M75),N75=INT(N75),J75&gt;=1,J75&lt;=12,M75&gt;=1,M75&lt;=7,N75&gt;=1,N75&lt;=5,MONTH(DATE('Übersicht'!$B$4,J75,1)+MOD(M75-WEEKDAY(DATE('Übersicht'!$B$4,J75,1),2),7)+7*(N75-1))=J75),DATE('Übersicht'!$B$4,J75,1)+MOD(M75-WEEKDAY(DATE('Übersicht'!$B$4,J75,1),2),7)+7*(N75-1),NA()),NA()))),NA())</f>
        <v>46692</v>
      </c>
      <c r="X75" s="70" t="n">
        <f>IF(AND(W75&gt;=O75,OR(P75="",W75&lt;=P75)),W75,"Ausserhalb Geltung")</f>
        <v>46692</v>
      </c>
      <c r="Y75" s="71" t="str">
        <v>SRC-AG-EGARR-20250901</v>
      </c>
      <c r="Z75" s="71" t="str">
        <v>§ 6 Abs. 1 Bst. e Ziff. 2</v>
      </c>
    </row>
    <row r="76" ht="38" customHeight="1">
      <c r="A76" s="74" t="str">
        <v>AG-WORK-HOL-F-NEW-YEAR</v>
      </c>
      <c r="B76" s="74" t="str">
        <v>CH-AG</v>
      </c>
      <c r="C76" s="74" t="str">
        <v>AG-ARG-ZURZACH</v>
      </c>
      <c r="D76" s="78" t="str">
        <v>Neujahr</v>
      </c>
      <c r="E76" s="78" t="str">
        <v>Nouvel An</v>
      </c>
      <c r="F76" s="79" t="str"/>
      <c r="G76" s="79" t="str"/>
      <c r="H76" s="74" t="str">
        <v>labourLawHoliday</v>
      </c>
      <c r="I76" s="74" t="str">
        <v>fixedMonthDay</v>
      </c>
      <c r="J76" s="86" t="n">
        <v>1</v>
      </c>
      <c r="K76" s="86" t="n">
        <v>1</v>
      </c>
      <c r="L76" s="78"/>
      <c r="M76" s="78"/>
      <c r="N76" s="78"/>
      <c r="O76" s="87" t="n">
        <v>46023</v>
      </c>
      <c r="P76" s="87"/>
      <c r="Q76" s="78" t="n">
        <v>100</v>
      </c>
      <c r="R76" s="78" t="str">
        <v>open</v>
      </c>
      <c r="S76" s="74"/>
      <c r="T76" s="74" t="str">
        <v>add</v>
      </c>
      <c r="U76" s="74"/>
      <c r="V76" s="74" t="str">
        <v>blockedScope</v>
      </c>
      <c r="W76" s="73" t="n">
        <f>IF(AND(ISNUMBER('Übersicht'!$B$4),'Übersicht'!$B$4=INT('Übersicht'!$B$4),'Übersicht'!$B$4&gt;=2026,'Übersicht'!$B$4&lt;=2028),IF(I76="fixedMonthDay",IF(AND(ISNUMBER(J76),ISNUMBER(K76),J76=INT(J76),K76=INT(K76),MONTH(DATE('Übersicht'!$B$4,J76,K76))=J76,DAY(DATE('Übersicht'!$B$4,J76,K76))=K76),DATE('Übersicht'!$B$4,J76,K76),NA()),IF(I76="easterOffsetDays",IF(AND(ISNUMBER(L76),L76=INT(L76),ABS(L76)&lt;=366),$AB$23+L76,NA()),IF(I76="nthWeekdayOfMonth",IF(AND(ISNUMBER(J76),ISNUMBER(M76),ISNUMBER(N76),J76=INT(J76),M76=INT(M76),N76=INT(N76),J76&gt;=1,J76&lt;=12,M76&gt;=1,M76&lt;=7,N76&gt;=1,N76&lt;=5,MONTH(DATE('Übersicht'!$B$4,J76,1)+MOD(M76-WEEKDAY(DATE('Übersicht'!$B$4,J76,1),2),7)+7*(N76-1))=J76),DATE('Übersicht'!$B$4,J76,1)+MOD(M76-WEEKDAY(DATE('Übersicht'!$B$4,J76,1),2),7)+7*(N76-1),NA()),NA()))),NA())</f>
        <v>46388</v>
      </c>
      <c r="X76" s="73" t="n">
        <f>IF(AND(W76&gt;=O76,OR(P76="",W76&lt;=P76)),W76,"Ausserhalb Geltung")</f>
        <v>46388</v>
      </c>
      <c r="Y76" s="74" t="str">
        <v>SRC-AG-EGARR-20250901</v>
      </c>
      <c r="Z76" s="74" t="str">
        <v>§ 6 Abs. 1 Bst. f</v>
      </c>
    </row>
    <row r="77" ht="38" customHeight="1">
      <c r="A77" s="71" t="str">
        <v>AG-WORK-HOL-F-BERCHTOLD</v>
      </c>
      <c r="B77" s="71" t="str">
        <v>CH-AG</v>
      </c>
      <c r="C77" s="71" t="str">
        <v>AG-ARG-ZURZACH</v>
      </c>
      <c r="D77" s="76" t="str">
        <v>Berchtoldstag</v>
      </c>
      <c r="E77" s="76" t="str">
        <v>Saint-Berchtold</v>
      </c>
      <c r="F77" s="77" t="str"/>
      <c r="G77" s="77" t="str"/>
      <c r="H77" s="71" t="str">
        <v>labourLawHoliday</v>
      </c>
      <c r="I77" s="71" t="str">
        <v>fixedMonthDay</v>
      </c>
      <c r="J77" s="84" t="n">
        <v>1</v>
      </c>
      <c r="K77" s="84" t="n">
        <v>2</v>
      </c>
      <c r="L77" s="76"/>
      <c r="M77" s="76"/>
      <c r="N77" s="76"/>
      <c r="O77" s="85" t="n">
        <v>46023</v>
      </c>
      <c r="P77" s="85"/>
      <c r="Q77" s="76" t="n">
        <v>100</v>
      </c>
      <c r="R77" s="76" t="str">
        <v>open</v>
      </c>
      <c r="S77" s="71"/>
      <c r="T77" s="71" t="str">
        <v>add</v>
      </c>
      <c r="U77" s="71"/>
      <c r="V77" s="71" t="str">
        <v>blockedScope</v>
      </c>
      <c r="W77" s="70" t="n">
        <f>IF(AND(ISNUMBER('Übersicht'!$B$4),'Übersicht'!$B$4=INT('Übersicht'!$B$4),'Übersicht'!$B$4&gt;=2026,'Übersicht'!$B$4&lt;=2028),IF(I77="fixedMonthDay",IF(AND(ISNUMBER(J77),ISNUMBER(K77),J77=INT(J77),K77=INT(K77),MONTH(DATE('Übersicht'!$B$4,J77,K77))=J77,DAY(DATE('Übersicht'!$B$4,J77,K77))=K77),DATE('Übersicht'!$B$4,J77,K77),NA()),IF(I77="easterOffsetDays",IF(AND(ISNUMBER(L77),L77=INT(L77),ABS(L77)&lt;=366),$AB$23+L77,NA()),IF(I77="nthWeekdayOfMonth",IF(AND(ISNUMBER(J77),ISNUMBER(M77),ISNUMBER(N77),J77=INT(J77),M77=INT(M77),N77=INT(N77),J77&gt;=1,J77&lt;=12,M77&gt;=1,M77&lt;=7,N77&gt;=1,N77&lt;=5,MONTH(DATE('Übersicht'!$B$4,J77,1)+MOD(M77-WEEKDAY(DATE('Übersicht'!$B$4,J77,1),2),7)+7*(N77-1))=J77),DATE('Übersicht'!$B$4,J77,1)+MOD(M77-WEEKDAY(DATE('Übersicht'!$B$4,J77,1),2),7)+7*(N77-1),NA()),NA()))),NA())</f>
        <v>46389</v>
      </c>
      <c r="X77" s="70" t="n">
        <f>IF(AND(W77&gt;=O77,OR(P77="",W77&lt;=P77)),W77,"Ausserhalb Geltung")</f>
        <v>46389</v>
      </c>
      <c r="Y77" s="71" t="str">
        <v>SRC-AG-EGARR-20250901</v>
      </c>
      <c r="Z77" s="71" t="str">
        <v>§ 6 Abs. 1 Bst. f</v>
      </c>
    </row>
    <row r="78" ht="38" customHeight="1">
      <c r="A78" s="74" t="str">
        <v>AG-WORK-HOL-F-GOOD-FRIDAY</v>
      </c>
      <c r="B78" s="74" t="str">
        <v>CH-AG</v>
      </c>
      <c r="C78" s="74" t="str">
        <v>AG-ARG-ZURZACH</v>
      </c>
      <c r="D78" s="78" t="str">
        <v>Karfreitag</v>
      </c>
      <c r="E78" s="78" t="str">
        <v>Vendredi saint</v>
      </c>
      <c r="F78" s="79" t="str"/>
      <c r="G78" s="79" t="str"/>
      <c r="H78" s="74" t="str">
        <v>labourLawHoliday</v>
      </c>
      <c r="I78" s="74" t="str">
        <v>easterOffsetDays</v>
      </c>
      <c r="J78" s="86"/>
      <c r="K78" s="86"/>
      <c r="L78" s="78" t="n">
        <v>-2</v>
      </c>
      <c r="M78" s="78"/>
      <c r="N78" s="78"/>
      <c r="O78" s="87" t="n">
        <v>46023</v>
      </c>
      <c r="P78" s="87"/>
      <c r="Q78" s="78" t="n">
        <v>100</v>
      </c>
      <c r="R78" s="78" t="str">
        <v>open</v>
      </c>
      <c r="S78" s="74"/>
      <c r="T78" s="74" t="str">
        <v>add</v>
      </c>
      <c r="U78" s="74"/>
      <c r="V78" s="74" t="str">
        <v>blockedScope</v>
      </c>
      <c r="W78" s="73" t="n">
        <f>IF(AND(ISNUMBER('Übersicht'!$B$4),'Übersicht'!$B$4=INT('Übersicht'!$B$4),'Übersicht'!$B$4&gt;=2026,'Übersicht'!$B$4&lt;=2028),IF(I78="fixedMonthDay",IF(AND(ISNUMBER(J78),ISNUMBER(K78),J78=INT(J78),K78=INT(K78),MONTH(DATE('Übersicht'!$B$4,J78,K78))=J78,DAY(DATE('Übersicht'!$B$4,J78,K78))=K78),DATE('Übersicht'!$B$4,J78,K78),NA()),IF(I78="easterOffsetDays",IF(AND(ISNUMBER(L78),L78=INT(L78),ABS(L78)&lt;=366),$AB$23+L78,NA()),IF(I78="nthWeekdayOfMonth",IF(AND(ISNUMBER(J78),ISNUMBER(M78),ISNUMBER(N78),J78=INT(J78),M78=INT(M78),N78=INT(N78),J78&gt;=1,J78&lt;=12,M78&gt;=1,M78&lt;=7,N78&gt;=1,N78&lt;=5,MONTH(DATE('Übersicht'!$B$4,J78,1)+MOD(M78-WEEKDAY(DATE('Übersicht'!$B$4,J78,1),2),7)+7*(N78-1))=J78),DATE('Übersicht'!$B$4,J78,1)+MOD(M78-WEEKDAY(DATE('Übersicht'!$B$4,J78,1),2),7)+7*(N78-1),NA()),NA()))),NA())</f>
        <v>46472</v>
      </c>
      <c r="X78" s="73" t="n">
        <f>IF(AND(W78&gt;=O78,OR(P78="",W78&lt;=P78)),W78,"Ausserhalb Geltung")</f>
        <v>46472</v>
      </c>
      <c r="Y78" s="74" t="str">
        <v>SRC-AG-EGARR-20250901</v>
      </c>
      <c r="Z78" s="74" t="str">
        <v>§ 6 Abs. 1 Bst. f</v>
      </c>
    </row>
    <row r="79" ht="38" customHeight="1">
      <c r="A79" s="71" t="str">
        <v>AG-WORK-HOL-F-ASCENSION</v>
      </c>
      <c r="B79" s="71" t="str">
        <v>CH-AG</v>
      </c>
      <c r="C79" s="71" t="str">
        <v>AG-ARG-ZURZACH</v>
      </c>
      <c r="D79" s="76" t="str">
        <v>Auffahrt</v>
      </c>
      <c r="E79" s="76" t="str">
        <v>Ascension</v>
      </c>
      <c r="F79" s="77" t="str"/>
      <c r="G79" s="77" t="str"/>
      <c r="H79" s="71" t="str">
        <v>labourLawHoliday</v>
      </c>
      <c r="I79" s="71" t="str">
        <v>easterOffsetDays</v>
      </c>
      <c r="J79" s="84"/>
      <c r="K79" s="84"/>
      <c r="L79" s="76" t="n">
        <v>39</v>
      </c>
      <c r="M79" s="76"/>
      <c r="N79" s="76"/>
      <c r="O79" s="85" t="n">
        <v>46023</v>
      </c>
      <c r="P79" s="85"/>
      <c r="Q79" s="76" t="n">
        <v>100</v>
      </c>
      <c r="R79" s="76" t="str">
        <v>open</v>
      </c>
      <c r="S79" s="71"/>
      <c r="T79" s="71" t="str">
        <v>add</v>
      </c>
      <c r="U79" s="71"/>
      <c r="V79" s="71" t="str">
        <v>blockedScope</v>
      </c>
      <c r="W79" s="70" t="n">
        <f>IF(AND(ISNUMBER('Übersicht'!$B$4),'Übersicht'!$B$4=INT('Übersicht'!$B$4),'Übersicht'!$B$4&gt;=2026,'Übersicht'!$B$4&lt;=2028),IF(I79="fixedMonthDay",IF(AND(ISNUMBER(J79),ISNUMBER(K79),J79=INT(J79),K79=INT(K79),MONTH(DATE('Übersicht'!$B$4,J79,K79))=J79,DAY(DATE('Übersicht'!$B$4,J79,K79))=K79),DATE('Übersicht'!$B$4,J79,K79),NA()),IF(I79="easterOffsetDays",IF(AND(ISNUMBER(L79),L79=INT(L79),ABS(L79)&lt;=366),$AB$23+L79,NA()),IF(I79="nthWeekdayOfMonth",IF(AND(ISNUMBER(J79),ISNUMBER(M79),ISNUMBER(N79),J79=INT(J79),M79=INT(M79),N79=INT(N79),J79&gt;=1,J79&lt;=12,M79&gt;=1,M79&lt;=7,N79&gt;=1,N79&lt;=5,MONTH(DATE('Übersicht'!$B$4,J79,1)+MOD(M79-WEEKDAY(DATE('Übersicht'!$B$4,J79,1),2),7)+7*(N79-1))=J79),DATE('Übersicht'!$B$4,J79,1)+MOD(M79-WEEKDAY(DATE('Übersicht'!$B$4,J79,1),2),7)+7*(N79-1),NA()),NA()))),NA())</f>
        <v>46513</v>
      </c>
      <c r="X79" s="70" t="n">
        <f>IF(AND(W79&gt;=O79,OR(P79="",W79&lt;=P79)),W79,"Ausserhalb Geltung")</f>
        <v>46513</v>
      </c>
      <c r="Y79" s="71" t="str">
        <v>SRC-AG-EGARR-20250901</v>
      </c>
      <c r="Z79" s="71" t="str">
        <v>§ 6 Abs. 1 Bst. f</v>
      </c>
    </row>
    <row r="80" ht="38" customHeight="1">
      <c r="A80" s="74" t="str">
        <v>AG-WORK-HOL-F-CORPUS-CHRISTI</v>
      </c>
      <c r="B80" s="74" t="str">
        <v>CH-AG</v>
      </c>
      <c r="C80" s="74" t="str">
        <v>AG-ARG-ZURZACH</v>
      </c>
      <c r="D80" s="78" t="str">
        <v>Fronleichnam</v>
      </c>
      <c r="E80" s="78" t="str">
        <v>Fête-Dieu</v>
      </c>
      <c r="F80" s="79" t="str"/>
      <c r="G80" s="79" t="str"/>
      <c r="H80" s="74" t="str">
        <v>labourLawHoliday</v>
      </c>
      <c r="I80" s="74" t="str">
        <v>easterOffsetDays</v>
      </c>
      <c r="J80" s="86"/>
      <c r="K80" s="86"/>
      <c r="L80" s="78" t="n">
        <v>60</v>
      </c>
      <c r="M80" s="78"/>
      <c r="N80" s="78"/>
      <c r="O80" s="87" t="n">
        <v>46023</v>
      </c>
      <c r="P80" s="87"/>
      <c r="Q80" s="78" t="n">
        <v>100</v>
      </c>
      <c r="R80" s="78" t="str">
        <v>open</v>
      </c>
      <c r="S80" s="74"/>
      <c r="T80" s="74" t="str">
        <v>add</v>
      </c>
      <c r="U80" s="74"/>
      <c r="V80" s="74" t="str">
        <v>blockedScope</v>
      </c>
      <c r="W80" s="73" t="n">
        <f>IF(AND(ISNUMBER('Übersicht'!$B$4),'Übersicht'!$B$4=INT('Übersicht'!$B$4),'Übersicht'!$B$4&gt;=2026,'Übersicht'!$B$4&lt;=2028),IF(I80="fixedMonthDay",IF(AND(ISNUMBER(J80),ISNUMBER(K80),J80=INT(J80),K80=INT(K80),MONTH(DATE('Übersicht'!$B$4,J80,K80))=J80,DAY(DATE('Übersicht'!$B$4,J80,K80))=K80),DATE('Übersicht'!$B$4,J80,K80),NA()),IF(I80="easterOffsetDays",IF(AND(ISNUMBER(L80),L80=INT(L80),ABS(L80)&lt;=366),$AB$23+L80,NA()),IF(I80="nthWeekdayOfMonth",IF(AND(ISNUMBER(J80),ISNUMBER(M80),ISNUMBER(N80),J80=INT(J80),M80=INT(M80),N80=INT(N80),J80&gt;=1,J80&lt;=12,M80&gt;=1,M80&lt;=7,N80&gt;=1,N80&lt;=5,MONTH(DATE('Übersicht'!$B$4,J80,1)+MOD(M80-WEEKDAY(DATE('Übersicht'!$B$4,J80,1),2),7)+7*(N80-1))=J80),DATE('Übersicht'!$B$4,J80,1)+MOD(M80-WEEKDAY(DATE('Übersicht'!$B$4,J80,1),2),7)+7*(N80-1),NA()),NA()))),NA())</f>
        <v>46534</v>
      </c>
      <c r="X80" s="73" t="n">
        <f>IF(AND(W80&gt;=O80,OR(P80="",W80&lt;=P80)),W80,"Ausserhalb Geltung")</f>
        <v>46534</v>
      </c>
      <c r="Y80" s="74" t="str">
        <v>SRC-AG-EGARR-20250901</v>
      </c>
      <c r="Z80" s="74" t="str">
        <v>§ 6 Abs. 1 Bst. f</v>
      </c>
    </row>
    <row r="81" ht="38" customHeight="1">
      <c r="A81" s="71" t="str">
        <v>AG-WORK-HOL-F-ALL-SAINTS</v>
      </c>
      <c r="B81" s="71" t="str">
        <v>CH-AG</v>
      </c>
      <c r="C81" s="71" t="str">
        <v>AG-ARG-ZURZACH</v>
      </c>
      <c r="D81" s="76" t="str">
        <v>Allerheiligen</v>
      </c>
      <c r="E81" s="76" t="str">
        <v>Toussaint</v>
      </c>
      <c r="F81" s="77" t="str"/>
      <c r="G81" s="77" t="str"/>
      <c r="H81" s="71" t="str">
        <v>labourLawHoliday</v>
      </c>
      <c r="I81" s="71" t="str">
        <v>fixedMonthDay</v>
      </c>
      <c r="J81" s="84" t="n">
        <v>11</v>
      </c>
      <c r="K81" s="84" t="n">
        <v>1</v>
      </c>
      <c r="L81" s="76"/>
      <c r="M81" s="76"/>
      <c r="N81" s="76"/>
      <c r="O81" s="85" t="n">
        <v>46023</v>
      </c>
      <c r="P81" s="85"/>
      <c r="Q81" s="76" t="n">
        <v>100</v>
      </c>
      <c r="R81" s="76" t="str">
        <v>open</v>
      </c>
      <c r="S81" s="71"/>
      <c r="T81" s="71" t="str">
        <v>add</v>
      </c>
      <c r="U81" s="71"/>
      <c r="V81" s="71" t="str">
        <v>blockedScope</v>
      </c>
      <c r="W81" s="70" t="n">
        <f>IF(AND(ISNUMBER('Übersicht'!$B$4),'Übersicht'!$B$4=INT('Übersicht'!$B$4),'Übersicht'!$B$4&gt;=2026,'Übersicht'!$B$4&lt;=2028),IF(I81="fixedMonthDay",IF(AND(ISNUMBER(J81),ISNUMBER(K81),J81=INT(J81),K81=INT(K81),MONTH(DATE('Übersicht'!$B$4,J81,K81))=J81,DAY(DATE('Übersicht'!$B$4,J81,K81))=K81),DATE('Übersicht'!$B$4,J81,K81),NA()),IF(I81="easterOffsetDays",IF(AND(ISNUMBER(L81),L81=INT(L81),ABS(L81)&lt;=366),$AB$23+L81,NA()),IF(I81="nthWeekdayOfMonth",IF(AND(ISNUMBER(J81),ISNUMBER(M81),ISNUMBER(N81),J81=INT(J81),M81=INT(M81),N81=INT(N81),J81&gt;=1,J81&lt;=12,M81&gt;=1,M81&lt;=7,N81&gt;=1,N81&lt;=5,MONTH(DATE('Übersicht'!$B$4,J81,1)+MOD(M81-WEEKDAY(DATE('Übersicht'!$B$4,J81,1),2),7)+7*(N81-1))=J81),DATE('Übersicht'!$B$4,J81,1)+MOD(M81-WEEKDAY(DATE('Übersicht'!$B$4,J81,1),2),7)+7*(N81-1),NA()),NA()))),NA())</f>
        <v>46692</v>
      </c>
      <c r="X81" s="70" t="n">
        <f>IF(AND(W81&gt;=O81,OR(P81="",W81&lt;=P81)),W81,"Ausserhalb Geltung")</f>
        <v>46692</v>
      </c>
      <c r="Y81" s="71" t="str">
        <v>SRC-AG-EGARR-20250901</v>
      </c>
      <c r="Z81" s="71" t="str">
        <v>§ 6 Abs. 1 Bst. f</v>
      </c>
    </row>
    <row r="82" ht="38" customHeight="1">
      <c r="A82" s="74" t="str">
        <v>AG-WORK-HOL-F-CHRISTMAS</v>
      </c>
      <c r="B82" s="74" t="str">
        <v>CH-AG</v>
      </c>
      <c r="C82" s="74" t="str">
        <v>AG-ARG-ZURZACH</v>
      </c>
      <c r="D82" s="78" t="str">
        <v>Weihnachten</v>
      </c>
      <c r="E82" s="78" t="str">
        <v>Noël</v>
      </c>
      <c r="F82" s="79" t="str"/>
      <c r="G82" s="79" t="str"/>
      <c r="H82" s="74" t="str">
        <v>labourLawHoliday</v>
      </c>
      <c r="I82" s="74" t="str">
        <v>fixedMonthDay</v>
      </c>
      <c r="J82" s="86" t="n">
        <v>12</v>
      </c>
      <c r="K82" s="86" t="n">
        <v>25</v>
      </c>
      <c r="L82" s="78"/>
      <c r="M82" s="78"/>
      <c r="N82" s="78"/>
      <c r="O82" s="87" t="n">
        <v>46023</v>
      </c>
      <c r="P82" s="87"/>
      <c r="Q82" s="78" t="n">
        <v>100</v>
      </c>
      <c r="R82" s="78" t="str">
        <v>open</v>
      </c>
      <c r="S82" s="74"/>
      <c r="T82" s="74" t="str">
        <v>add</v>
      </c>
      <c r="U82" s="74"/>
      <c r="V82" s="74" t="str">
        <v>blockedScope</v>
      </c>
      <c r="W82" s="73" t="n">
        <f>IF(AND(ISNUMBER('Übersicht'!$B$4),'Übersicht'!$B$4=INT('Übersicht'!$B$4),'Übersicht'!$B$4&gt;=2026,'Übersicht'!$B$4&lt;=2028),IF(I82="fixedMonthDay",IF(AND(ISNUMBER(J82),ISNUMBER(K82),J82=INT(J82),K82=INT(K82),MONTH(DATE('Übersicht'!$B$4,J82,K82))=J82,DAY(DATE('Übersicht'!$B$4,J82,K82))=K82),DATE('Übersicht'!$B$4,J82,K82),NA()),IF(I82="easterOffsetDays",IF(AND(ISNUMBER(L82),L82=INT(L82),ABS(L82)&lt;=366),$AB$23+L82,NA()),IF(I82="nthWeekdayOfMonth",IF(AND(ISNUMBER(J82),ISNUMBER(M82),ISNUMBER(N82),J82=INT(J82),M82=INT(M82),N82=INT(N82),J82&gt;=1,J82&lt;=12,M82&gt;=1,M82&lt;=7,N82&gt;=1,N82&lt;=5,MONTH(DATE('Übersicht'!$B$4,J82,1)+MOD(M82-WEEKDAY(DATE('Übersicht'!$B$4,J82,1),2),7)+7*(N82-1))=J82),DATE('Übersicht'!$B$4,J82,1)+MOD(M82-WEEKDAY(DATE('Übersicht'!$B$4,J82,1),2),7)+7*(N82-1),NA()),NA()))),NA())</f>
        <v>46746</v>
      </c>
      <c r="X82" s="73" t="n">
        <f>IF(AND(W82&gt;=O82,OR(P82="",W82&lt;=P82)),W82,"Ausserhalb Geltung")</f>
        <v>46746</v>
      </c>
      <c r="Y82" s="74" t="str">
        <v>SRC-AG-EGARR-20250901</v>
      </c>
      <c r="Z82" s="74" t="str">
        <v>§ 6 Abs. 1 Bst. f</v>
      </c>
    </row>
    <row r="83" ht="38" customHeight="1">
      <c r="A83" s="71" t="str">
        <v>AG-WORK-HOL-F-ST-STEPHEN</v>
      </c>
      <c r="B83" s="71" t="str">
        <v>CH-AG</v>
      </c>
      <c r="C83" s="71" t="str">
        <v>AG-ARG-ZURZACH</v>
      </c>
      <c r="D83" s="76" t="str">
        <v>Stephanstag</v>
      </c>
      <c r="E83" s="76" t="str">
        <v>Saint-Étienne</v>
      </c>
      <c r="F83" s="77" t="str"/>
      <c r="G83" s="77" t="str"/>
      <c r="H83" s="71" t="str">
        <v>labourLawHoliday</v>
      </c>
      <c r="I83" s="71" t="str">
        <v>fixedMonthDay</v>
      </c>
      <c r="J83" s="84" t="n">
        <v>12</v>
      </c>
      <c r="K83" s="84" t="n">
        <v>26</v>
      </c>
      <c r="L83" s="76"/>
      <c r="M83" s="76"/>
      <c r="N83" s="76"/>
      <c r="O83" s="85" t="n">
        <v>46023</v>
      </c>
      <c r="P83" s="85"/>
      <c r="Q83" s="76" t="n">
        <v>100</v>
      </c>
      <c r="R83" s="76" t="str">
        <v>open</v>
      </c>
      <c r="S83" s="71"/>
      <c r="T83" s="71" t="str">
        <v>add</v>
      </c>
      <c r="U83" s="71"/>
      <c r="V83" s="71" t="str">
        <v>blockedScope</v>
      </c>
      <c r="W83" s="70" t="n">
        <f>IF(AND(ISNUMBER('Übersicht'!$B$4),'Übersicht'!$B$4=INT('Übersicht'!$B$4),'Übersicht'!$B$4&gt;=2026,'Übersicht'!$B$4&lt;=2028),IF(I83="fixedMonthDay",IF(AND(ISNUMBER(J83),ISNUMBER(K83),J83=INT(J83),K83=INT(K83),MONTH(DATE('Übersicht'!$B$4,J83,K83))=J83,DAY(DATE('Übersicht'!$B$4,J83,K83))=K83),DATE('Übersicht'!$B$4,J83,K83),NA()),IF(I83="easterOffsetDays",IF(AND(ISNUMBER(L83),L83=INT(L83),ABS(L83)&lt;=366),$AB$23+L83,NA()),IF(I83="nthWeekdayOfMonth",IF(AND(ISNUMBER(J83),ISNUMBER(M83),ISNUMBER(N83),J83=INT(J83),M83=INT(M83),N83=INT(N83),J83&gt;=1,J83&lt;=12,M83&gt;=1,M83&lt;=7,N83&gt;=1,N83&lt;=5,MONTH(DATE('Übersicht'!$B$4,J83,1)+MOD(M83-WEEKDAY(DATE('Übersicht'!$B$4,J83,1),2),7)+7*(N83-1))=J83),DATE('Übersicht'!$B$4,J83,1)+MOD(M83-WEEKDAY(DATE('Übersicht'!$B$4,J83,1),2),7)+7*(N83-1),NA()),NA()))),NA())</f>
        <v>46747</v>
      </c>
      <c r="X83" s="70" t="n">
        <f>IF(AND(W83&gt;=O83,OR(P83="",W83&lt;=P83)),W83,"Ausserhalb Geltung")</f>
        <v>46747</v>
      </c>
      <c r="Y83" s="71" t="str">
        <v>SRC-AG-EGARR-20250901</v>
      </c>
      <c r="Z83" s="71" t="str">
        <v>§ 6 Abs. 1 Bst. f</v>
      </c>
    </row>
    <row r="84" ht="38" customHeight="1">
      <c r="A84" s="74" t="str">
        <v>AG-PROC-DAY-NEW-YEAR</v>
      </c>
      <c r="B84" s="74" t="str">
        <v>CH-AG</v>
      </c>
      <c r="C84" s="74" t="str">
        <v>AG-ZPO-ALL</v>
      </c>
      <c r="D84" s="78" t="str">
        <v>Neujahr</v>
      </c>
      <c r="E84" s="78" t="str">
        <v>Nouvel An</v>
      </c>
      <c r="F84" s="79" t="str"/>
      <c r="G84" s="79" t="str"/>
      <c r="H84" s="74" t="str">
        <v>proceduralEquivalentDay</v>
      </c>
      <c r="I84" s="74" t="str">
        <v>fixedMonthDay</v>
      </c>
      <c r="J84" s="86" t="n">
        <v>1</v>
      </c>
      <c r="K84" s="86" t="n">
        <v>1</v>
      </c>
      <c r="L84" s="78"/>
      <c r="M84" s="78"/>
      <c r="N84" s="78"/>
      <c r="O84" s="87" t="n">
        <v>46023</v>
      </c>
      <c r="P84" s="87"/>
      <c r="Q84" s="78" t="n">
        <v>100</v>
      </c>
      <c r="R84" s="78" t="str">
        <v>open</v>
      </c>
      <c r="S84" s="74"/>
      <c r="T84" s="74" t="str">
        <v>add</v>
      </c>
      <c r="U84" s="74"/>
      <c r="V84" s="74" t="str">
        <v>blockedEffect</v>
      </c>
      <c r="W84" s="73" t="n">
        <f>IF(AND(ISNUMBER('Übersicht'!$B$4),'Übersicht'!$B$4=INT('Übersicht'!$B$4),'Übersicht'!$B$4&gt;=2026,'Übersicht'!$B$4&lt;=2028),IF(I84="fixedMonthDay",IF(AND(ISNUMBER(J84),ISNUMBER(K84),J84=INT(J84),K84=INT(K84),MONTH(DATE('Übersicht'!$B$4,J84,K84))=J84,DAY(DATE('Übersicht'!$B$4,J84,K84))=K84),DATE('Übersicht'!$B$4,J84,K84),NA()),IF(I84="easterOffsetDays",IF(AND(ISNUMBER(L84),L84=INT(L84),ABS(L84)&lt;=366),$AB$23+L84,NA()),IF(I84="nthWeekdayOfMonth",IF(AND(ISNUMBER(J84),ISNUMBER(M84),ISNUMBER(N84),J84=INT(J84),M84=INT(M84),N84=INT(N84),J84&gt;=1,J84&lt;=12,M84&gt;=1,M84&lt;=7,N84&gt;=1,N84&lt;=5,MONTH(DATE('Übersicht'!$B$4,J84,1)+MOD(M84-WEEKDAY(DATE('Übersicht'!$B$4,J84,1),2),7)+7*(N84-1))=J84),DATE('Übersicht'!$B$4,J84,1)+MOD(M84-WEEKDAY(DATE('Übersicht'!$B$4,J84,1),2),7)+7*(N84-1),NA()),NA()))),NA())</f>
        <v>46388</v>
      </c>
      <c r="X84" s="73" t="n">
        <f>IF(AND(W84&gt;=O84,OR(P84="",W84&lt;=P84)),W84,"Ausserhalb Geltung")</f>
        <v>46388</v>
      </c>
      <c r="Y84" s="74" t="str">
        <v>SRC-AG-EGZPO</v>
      </c>
      <c r="Z84" s="74" t="str">
        <v>§ 21</v>
      </c>
    </row>
    <row r="85" ht="38" customHeight="1">
      <c r="A85" s="71" t="str">
        <v>AG-PROC-DAY-BERCHTOLD</v>
      </c>
      <c r="B85" s="71" t="str">
        <v>CH-AG</v>
      </c>
      <c r="C85" s="71" t="str">
        <v>AG-ZPO-ALL</v>
      </c>
      <c r="D85" s="76" t="str">
        <v>Berchtoldstag</v>
      </c>
      <c r="E85" s="76" t="str">
        <v>Saint-Berchtold</v>
      </c>
      <c r="F85" s="77" t="str"/>
      <c r="G85" s="77" t="str"/>
      <c r="H85" s="71" t="str">
        <v>proceduralEquivalentDay</v>
      </c>
      <c r="I85" s="71" t="str">
        <v>fixedMonthDay</v>
      </c>
      <c r="J85" s="84" t="n">
        <v>1</v>
      </c>
      <c r="K85" s="84" t="n">
        <v>2</v>
      </c>
      <c r="L85" s="76"/>
      <c r="M85" s="76"/>
      <c r="N85" s="76"/>
      <c r="O85" s="85" t="n">
        <v>46023</v>
      </c>
      <c r="P85" s="85"/>
      <c r="Q85" s="76" t="n">
        <v>100</v>
      </c>
      <c r="R85" s="76" t="str">
        <v>open</v>
      </c>
      <c r="S85" s="71"/>
      <c r="T85" s="71" t="str">
        <v>add</v>
      </c>
      <c r="U85" s="71"/>
      <c r="V85" s="71" t="str">
        <v>blockedEffect</v>
      </c>
      <c r="W85" s="70" t="n">
        <f>IF(AND(ISNUMBER('Übersicht'!$B$4),'Übersicht'!$B$4=INT('Übersicht'!$B$4),'Übersicht'!$B$4&gt;=2026,'Übersicht'!$B$4&lt;=2028),IF(I85="fixedMonthDay",IF(AND(ISNUMBER(J85),ISNUMBER(K85),J85=INT(J85),K85=INT(K85),MONTH(DATE('Übersicht'!$B$4,J85,K85))=J85,DAY(DATE('Übersicht'!$B$4,J85,K85))=K85),DATE('Übersicht'!$B$4,J85,K85),NA()),IF(I85="easterOffsetDays",IF(AND(ISNUMBER(L85),L85=INT(L85),ABS(L85)&lt;=366),$AB$23+L85,NA()),IF(I85="nthWeekdayOfMonth",IF(AND(ISNUMBER(J85),ISNUMBER(M85),ISNUMBER(N85),J85=INT(J85),M85=INT(M85),N85=INT(N85),J85&gt;=1,J85&lt;=12,M85&gt;=1,M85&lt;=7,N85&gt;=1,N85&lt;=5,MONTH(DATE('Übersicht'!$B$4,J85,1)+MOD(M85-WEEKDAY(DATE('Übersicht'!$B$4,J85,1),2),7)+7*(N85-1))=J85),DATE('Übersicht'!$B$4,J85,1)+MOD(M85-WEEKDAY(DATE('Übersicht'!$B$4,J85,1),2),7)+7*(N85-1),NA()),NA()))),NA())</f>
        <v>46389</v>
      </c>
      <c r="X85" s="70" t="n">
        <f>IF(AND(W85&gt;=O85,OR(P85="",W85&lt;=P85)),W85,"Ausserhalb Geltung")</f>
        <v>46389</v>
      </c>
      <c r="Y85" s="71" t="str">
        <v>SRC-AG-EGZPO</v>
      </c>
      <c r="Z85" s="71" t="str">
        <v>§ 21</v>
      </c>
    </row>
    <row r="86" ht="38" customHeight="1">
      <c r="A86" s="74" t="str">
        <v>AG-PROC-DAY-GOOD-FRIDAY</v>
      </c>
      <c r="B86" s="74" t="str">
        <v>CH-AG</v>
      </c>
      <c r="C86" s="74" t="str">
        <v>AG-ZPO-ALL</v>
      </c>
      <c r="D86" s="78" t="str">
        <v>Karfreitag</v>
      </c>
      <c r="E86" s="78" t="str">
        <v>Vendredi saint</v>
      </c>
      <c r="F86" s="79" t="str"/>
      <c r="G86" s="79" t="str"/>
      <c r="H86" s="74" t="str">
        <v>proceduralEquivalentDay</v>
      </c>
      <c r="I86" s="74" t="str">
        <v>easterOffsetDays</v>
      </c>
      <c r="J86" s="86"/>
      <c r="K86" s="86"/>
      <c r="L86" s="78" t="n">
        <v>-2</v>
      </c>
      <c r="M86" s="78"/>
      <c r="N86" s="78"/>
      <c r="O86" s="87" t="n">
        <v>46023</v>
      </c>
      <c r="P86" s="87"/>
      <c r="Q86" s="78" t="n">
        <v>100</v>
      </c>
      <c r="R86" s="78" t="str">
        <v>open</v>
      </c>
      <c r="S86" s="74"/>
      <c r="T86" s="74" t="str">
        <v>add</v>
      </c>
      <c r="U86" s="74"/>
      <c r="V86" s="74" t="str">
        <v>blockedEffect</v>
      </c>
      <c r="W86" s="73" t="n">
        <f>IF(AND(ISNUMBER('Übersicht'!$B$4),'Übersicht'!$B$4=INT('Übersicht'!$B$4),'Übersicht'!$B$4&gt;=2026,'Übersicht'!$B$4&lt;=2028),IF(I86="fixedMonthDay",IF(AND(ISNUMBER(J86),ISNUMBER(K86),J86=INT(J86),K86=INT(K86),MONTH(DATE('Übersicht'!$B$4,J86,K86))=J86,DAY(DATE('Übersicht'!$B$4,J86,K86))=K86),DATE('Übersicht'!$B$4,J86,K86),NA()),IF(I86="easterOffsetDays",IF(AND(ISNUMBER(L86),L86=INT(L86),ABS(L86)&lt;=366),$AB$23+L86,NA()),IF(I86="nthWeekdayOfMonth",IF(AND(ISNUMBER(J86),ISNUMBER(M86),ISNUMBER(N86),J86=INT(J86),M86=INT(M86),N86=INT(N86),J86&gt;=1,J86&lt;=12,M86&gt;=1,M86&lt;=7,N86&gt;=1,N86&lt;=5,MONTH(DATE('Übersicht'!$B$4,J86,1)+MOD(M86-WEEKDAY(DATE('Übersicht'!$B$4,J86,1),2),7)+7*(N86-1))=J86),DATE('Übersicht'!$B$4,J86,1)+MOD(M86-WEEKDAY(DATE('Übersicht'!$B$4,J86,1),2),7)+7*(N86-1),NA()),NA()))),NA())</f>
        <v>46472</v>
      </c>
      <c r="X86" s="73" t="n">
        <f>IF(AND(W86&gt;=O86,OR(P86="",W86&lt;=P86)),W86,"Ausserhalb Geltung")</f>
        <v>46472</v>
      </c>
      <c r="Y86" s="74" t="str">
        <v>SRC-AG-EGZPO</v>
      </c>
      <c r="Z86" s="74" t="str">
        <v>§ 21</v>
      </c>
    </row>
    <row r="87" ht="38" customHeight="1">
      <c r="A87" s="71" t="str">
        <v>AG-PROC-DAY-EASTER-MONDAY</v>
      </c>
      <c r="B87" s="71" t="str">
        <v>CH-AG</v>
      </c>
      <c r="C87" s="71" t="str">
        <v>AG-ZPO-ALL</v>
      </c>
      <c r="D87" s="76" t="str">
        <v>Ostermontag</v>
      </c>
      <c r="E87" s="76" t="str">
        <v>Lundi de Pâques</v>
      </c>
      <c r="F87" s="77" t="str"/>
      <c r="G87" s="77" t="str"/>
      <c r="H87" s="71" t="str">
        <v>proceduralEquivalentDay</v>
      </c>
      <c r="I87" s="71" t="str">
        <v>easterOffsetDays</v>
      </c>
      <c r="J87" s="84"/>
      <c r="K87" s="84"/>
      <c r="L87" s="76" t="n">
        <v>1</v>
      </c>
      <c r="M87" s="76"/>
      <c r="N87" s="76"/>
      <c r="O87" s="85" t="n">
        <v>46023</v>
      </c>
      <c r="P87" s="85"/>
      <c r="Q87" s="76" t="n">
        <v>100</v>
      </c>
      <c r="R87" s="76" t="str">
        <v>open</v>
      </c>
      <c r="S87" s="71"/>
      <c r="T87" s="71" t="str">
        <v>add</v>
      </c>
      <c r="U87" s="71"/>
      <c r="V87" s="71" t="str">
        <v>blockedEffect</v>
      </c>
      <c r="W87" s="70" t="n">
        <f>IF(AND(ISNUMBER('Übersicht'!$B$4),'Übersicht'!$B$4=INT('Übersicht'!$B$4),'Übersicht'!$B$4&gt;=2026,'Übersicht'!$B$4&lt;=2028),IF(I87="fixedMonthDay",IF(AND(ISNUMBER(J87),ISNUMBER(K87),J87=INT(J87),K87=INT(K87),MONTH(DATE('Übersicht'!$B$4,J87,K87))=J87,DAY(DATE('Übersicht'!$B$4,J87,K87))=K87),DATE('Übersicht'!$B$4,J87,K87),NA()),IF(I87="easterOffsetDays",IF(AND(ISNUMBER(L87),L87=INT(L87),ABS(L87)&lt;=366),$AB$23+L87,NA()),IF(I87="nthWeekdayOfMonth",IF(AND(ISNUMBER(J87),ISNUMBER(M87),ISNUMBER(N87),J87=INT(J87),M87=INT(M87),N87=INT(N87),J87&gt;=1,J87&lt;=12,M87&gt;=1,M87&lt;=7,N87&gt;=1,N87&lt;=5,MONTH(DATE('Übersicht'!$B$4,J87,1)+MOD(M87-WEEKDAY(DATE('Übersicht'!$B$4,J87,1),2),7)+7*(N87-1))=J87),DATE('Übersicht'!$B$4,J87,1)+MOD(M87-WEEKDAY(DATE('Übersicht'!$B$4,J87,1),2),7)+7*(N87-1),NA()),NA()))),NA())</f>
        <v>46475</v>
      </c>
      <c r="X87" s="70" t="n">
        <f>IF(AND(W87&gt;=O87,OR(P87="",W87&lt;=P87)),W87,"Ausserhalb Geltung")</f>
        <v>46475</v>
      </c>
      <c r="Y87" s="71" t="str">
        <v>SRC-AG-EGZPO</v>
      </c>
      <c r="Z87" s="71" t="str">
        <v>§ 21</v>
      </c>
    </row>
    <row r="88" ht="38" customHeight="1">
      <c r="A88" s="74" t="str">
        <v>AG-PROC-DAY-MAY1</v>
      </c>
      <c r="B88" s="74" t="str">
        <v>CH-AG</v>
      </c>
      <c r="C88" s="74" t="str">
        <v>AG-ZPO-ALL</v>
      </c>
      <c r="D88" s="78" t="str">
        <v>Tag der Arbeit (1. Mai)</v>
      </c>
      <c r="E88" s="78" t="str">
        <v>Fête du travail (1er mai)</v>
      </c>
      <c r="F88" s="79" t="str"/>
      <c r="G88" s="79" t="str"/>
      <c r="H88" s="74" t="str">
        <v>proceduralEquivalentDay</v>
      </c>
      <c r="I88" s="74" t="str">
        <v>fixedMonthDay</v>
      </c>
      <c r="J88" s="86" t="n">
        <v>5</v>
      </c>
      <c r="K88" s="86" t="n">
        <v>1</v>
      </c>
      <c r="L88" s="78"/>
      <c r="M88" s="78"/>
      <c r="N88" s="78"/>
      <c r="O88" s="87" t="n">
        <v>46023</v>
      </c>
      <c r="P88" s="87"/>
      <c r="Q88" s="78" t="n">
        <v>100</v>
      </c>
      <c r="R88" s="78" t="str">
        <v>open</v>
      </c>
      <c r="S88" s="74"/>
      <c r="T88" s="74" t="str">
        <v>add</v>
      </c>
      <c r="U88" s="74"/>
      <c r="V88" s="74" t="str">
        <v>blockedEffect</v>
      </c>
      <c r="W88" s="73" t="n">
        <f>IF(AND(ISNUMBER('Übersicht'!$B$4),'Übersicht'!$B$4=INT('Übersicht'!$B$4),'Übersicht'!$B$4&gt;=2026,'Übersicht'!$B$4&lt;=2028),IF(I88="fixedMonthDay",IF(AND(ISNUMBER(J88),ISNUMBER(K88),J88=INT(J88),K88=INT(K88),MONTH(DATE('Übersicht'!$B$4,J88,K88))=J88,DAY(DATE('Übersicht'!$B$4,J88,K88))=K88),DATE('Übersicht'!$B$4,J88,K88),NA()),IF(I88="easterOffsetDays",IF(AND(ISNUMBER(L88),L88=INT(L88),ABS(L88)&lt;=366),$AB$23+L88,NA()),IF(I88="nthWeekdayOfMonth",IF(AND(ISNUMBER(J88),ISNUMBER(M88),ISNUMBER(N88),J88=INT(J88),M88=INT(M88),N88=INT(N88),J88&gt;=1,J88&lt;=12,M88&gt;=1,M88&lt;=7,N88&gt;=1,N88&lt;=5,MONTH(DATE('Übersicht'!$B$4,J88,1)+MOD(M88-WEEKDAY(DATE('Übersicht'!$B$4,J88,1),2),7)+7*(N88-1))=J88),DATE('Übersicht'!$B$4,J88,1)+MOD(M88-WEEKDAY(DATE('Übersicht'!$B$4,J88,1),2),7)+7*(N88-1),NA()),NA()))),NA())</f>
        <v>46508</v>
      </c>
      <c r="X88" s="73" t="n">
        <f>IF(AND(W88&gt;=O88,OR(P88="",W88&lt;=P88)),W88,"Ausserhalb Geltung")</f>
        <v>46508</v>
      </c>
      <c r="Y88" s="74" t="str">
        <v>SRC-AG-EGZPO</v>
      </c>
      <c r="Z88" s="74" t="str">
        <v>§ 21</v>
      </c>
    </row>
    <row r="89" ht="38" customHeight="1">
      <c r="A89" s="71" t="str">
        <v>AG-PROC-DAY-ASCENSION</v>
      </c>
      <c r="B89" s="71" t="str">
        <v>CH-AG</v>
      </c>
      <c r="C89" s="71" t="str">
        <v>AG-ZPO-ALL</v>
      </c>
      <c r="D89" s="76" t="str">
        <v>Auffahrt</v>
      </c>
      <c r="E89" s="76" t="str">
        <v>Ascension</v>
      </c>
      <c r="F89" s="77" t="str"/>
      <c r="G89" s="77" t="str"/>
      <c r="H89" s="71" t="str">
        <v>proceduralEquivalentDay</v>
      </c>
      <c r="I89" s="71" t="str">
        <v>easterOffsetDays</v>
      </c>
      <c r="J89" s="84"/>
      <c r="K89" s="84"/>
      <c r="L89" s="76" t="n">
        <v>39</v>
      </c>
      <c r="M89" s="76"/>
      <c r="N89" s="76"/>
      <c r="O89" s="85" t="n">
        <v>46023</v>
      </c>
      <c r="P89" s="85"/>
      <c r="Q89" s="76" t="n">
        <v>100</v>
      </c>
      <c r="R89" s="76" t="str">
        <v>open</v>
      </c>
      <c r="S89" s="71"/>
      <c r="T89" s="71" t="str">
        <v>add</v>
      </c>
      <c r="U89" s="71"/>
      <c r="V89" s="71" t="str">
        <v>blockedEffect</v>
      </c>
      <c r="W89" s="70" t="n">
        <f>IF(AND(ISNUMBER('Übersicht'!$B$4),'Übersicht'!$B$4=INT('Übersicht'!$B$4),'Übersicht'!$B$4&gt;=2026,'Übersicht'!$B$4&lt;=2028),IF(I89="fixedMonthDay",IF(AND(ISNUMBER(J89),ISNUMBER(K89),J89=INT(J89),K89=INT(K89),MONTH(DATE('Übersicht'!$B$4,J89,K89))=J89,DAY(DATE('Übersicht'!$B$4,J89,K89))=K89),DATE('Übersicht'!$B$4,J89,K89),NA()),IF(I89="easterOffsetDays",IF(AND(ISNUMBER(L89),L89=INT(L89),ABS(L89)&lt;=366),$AB$23+L89,NA()),IF(I89="nthWeekdayOfMonth",IF(AND(ISNUMBER(J89),ISNUMBER(M89),ISNUMBER(N89),J89=INT(J89),M89=INT(M89),N89=INT(N89),J89&gt;=1,J89&lt;=12,M89&gt;=1,M89&lt;=7,N89&gt;=1,N89&lt;=5,MONTH(DATE('Übersicht'!$B$4,J89,1)+MOD(M89-WEEKDAY(DATE('Übersicht'!$B$4,J89,1),2),7)+7*(N89-1))=J89),DATE('Übersicht'!$B$4,J89,1)+MOD(M89-WEEKDAY(DATE('Übersicht'!$B$4,J89,1),2),7)+7*(N89-1),NA()),NA()))),NA())</f>
        <v>46513</v>
      </c>
      <c r="X89" s="70" t="n">
        <f>IF(AND(W89&gt;=O89,OR(P89="",W89&lt;=P89)),W89,"Ausserhalb Geltung")</f>
        <v>46513</v>
      </c>
      <c r="Y89" s="71" t="str">
        <v>SRC-AG-EGZPO</v>
      </c>
      <c r="Z89" s="71" t="str">
        <v>§ 21</v>
      </c>
    </row>
    <row r="90" ht="38" customHeight="1">
      <c r="A90" s="74" t="str">
        <v>AG-PROC-DAY-WHIT-MONDAY</v>
      </c>
      <c r="B90" s="74" t="str">
        <v>CH-AG</v>
      </c>
      <c r="C90" s="74" t="str">
        <v>AG-ZPO-ALL</v>
      </c>
      <c r="D90" s="78" t="str">
        <v>Pfingstmontag</v>
      </c>
      <c r="E90" s="78" t="str">
        <v>Lundi de Pentecôte</v>
      </c>
      <c r="F90" s="79" t="str"/>
      <c r="G90" s="79" t="str"/>
      <c r="H90" s="74" t="str">
        <v>proceduralEquivalentDay</v>
      </c>
      <c r="I90" s="74" t="str">
        <v>easterOffsetDays</v>
      </c>
      <c r="J90" s="86"/>
      <c r="K90" s="86"/>
      <c r="L90" s="78" t="n">
        <v>50</v>
      </c>
      <c r="M90" s="78"/>
      <c r="N90" s="78"/>
      <c r="O90" s="87" t="n">
        <v>46023</v>
      </c>
      <c r="P90" s="87"/>
      <c r="Q90" s="78" t="n">
        <v>100</v>
      </c>
      <c r="R90" s="78" t="str">
        <v>open</v>
      </c>
      <c r="S90" s="74"/>
      <c r="T90" s="74" t="str">
        <v>add</v>
      </c>
      <c r="U90" s="74"/>
      <c r="V90" s="74" t="str">
        <v>blockedEffect</v>
      </c>
      <c r="W90" s="73" t="n">
        <f>IF(AND(ISNUMBER('Übersicht'!$B$4),'Übersicht'!$B$4=INT('Übersicht'!$B$4),'Übersicht'!$B$4&gt;=2026,'Übersicht'!$B$4&lt;=2028),IF(I90="fixedMonthDay",IF(AND(ISNUMBER(J90),ISNUMBER(K90),J90=INT(J90),K90=INT(K90),MONTH(DATE('Übersicht'!$B$4,J90,K90))=J90,DAY(DATE('Übersicht'!$B$4,J90,K90))=K90),DATE('Übersicht'!$B$4,J90,K90),NA()),IF(I90="easterOffsetDays",IF(AND(ISNUMBER(L90),L90=INT(L90),ABS(L90)&lt;=366),$AB$23+L90,NA()),IF(I90="nthWeekdayOfMonth",IF(AND(ISNUMBER(J90),ISNUMBER(M90),ISNUMBER(N90),J90=INT(J90),M90=INT(M90),N90=INT(N90),J90&gt;=1,J90&lt;=12,M90&gt;=1,M90&lt;=7,N90&gt;=1,N90&lt;=5,MONTH(DATE('Übersicht'!$B$4,J90,1)+MOD(M90-WEEKDAY(DATE('Übersicht'!$B$4,J90,1),2),7)+7*(N90-1))=J90),DATE('Übersicht'!$B$4,J90,1)+MOD(M90-WEEKDAY(DATE('Übersicht'!$B$4,J90,1),2),7)+7*(N90-1),NA()),NA()))),NA())</f>
        <v>46524</v>
      </c>
      <c r="X90" s="73" t="n">
        <f>IF(AND(W90&gt;=O90,OR(P90="",W90&lt;=P90)),W90,"Ausserhalb Geltung")</f>
        <v>46524</v>
      </c>
      <c r="Y90" s="74" t="str">
        <v>SRC-AG-EGZPO</v>
      </c>
      <c r="Z90" s="74" t="str">
        <v>§ 21</v>
      </c>
    </row>
    <row r="91" ht="38" customHeight="1">
      <c r="A91" s="71" t="str">
        <v>AG-PROC-DAY-CORPUS-CHRISTI</v>
      </c>
      <c r="B91" s="71" t="str">
        <v>CH-AG</v>
      </c>
      <c r="C91" s="71" t="str">
        <v>AG-ZPO-ALL</v>
      </c>
      <c r="D91" s="76" t="str">
        <v>Fronleichnam</v>
      </c>
      <c r="E91" s="76" t="str">
        <v>Fête-Dieu</v>
      </c>
      <c r="F91" s="77" t="str"/>
      <c r="G91" s="77" t="str"/>
      <c r="H91" s="71" t="str">
        <v>proceduralEquivalentDay</v>
      </c>
      <c r="I91" s="71" t="str">
        <v>easterOffsetDays</v>
      </c>
      <c r="J91" s="84"/>
      <c r="K91" s="84"/>
      <c r="L91" s="76" t="n">
        <v>60</v>
      </c>
      <c r="M91" s="76"/>
      <c r="N91" s="76"/>
      <c r="O91" s="85" t="n">
        <v>46023</v>
      </c>
      <c r="P91" s="85"/>
      <c r="Q91" s="76" t="n">
        <v>100</v>
      </c>
      <c r="R91" s="76" t="str">
        <v>open</v>
      </c>
      <c r="S91" s="71"/>
      <c r="T91" s="71" t="str">
        <v>add</v>
      </c>
      <c r="U91" s="71"/>
      <c r="V91" s="71" t="str">
        <v>blockedEffect</v>
      </c>
      <c r="W91" s="70" t="n">
        <f>IF(AND(ISNUMBER('Übersicht'!$B$4),'Übersicht'!$B$4=INT('Übersicht'!$B$4),'Übersicht'!$B$4&gt;=2026,'Übersicht'!$B$4&lt;=2028),IF(I91="fixedMonthDay",IF(AND(ISNUMBER(J91),ISNUMBER(K91),J91=INT(J91),K91=INT(K91),MONTH(DATE('Übersicht'!$B$4,J91,K91))=J91,DAY(DATE('Übersicht'!$B$4,J91,K91))=K91),DATE('Übersicht'!$B$4,J91,K91),NA()),IF(I91="easterOffsetDays",IF(AND(ISNUMBER(L91),L91=INT(L91),ABS(L91)&lt;=366),$AB$23+L91,NA()),IF(I91="nthWeekdayOfMonth",IF(AND(ISNUMBER(J91),ISNUMBER(M91),ISNUMBER(N91),J91=INT(J91),M91=INT(M91),N91=INT(N91),J91&gt;=1,J91&lt;=12,M91&gt;=1,M91&lt;=7,N91&gt;=1,N91&lt;=5,MONTH(DATE('Übersicht'!$B$4,J91,1)+MOD(M91-WEEKDAY(DATE('Übersicht'!$B$4,J91,1),2),7)+7*(N91-1))=J91),DATE('Übersicht'!$B$4,J91,1)+MOD(M91-WEEKDAY(DATE('Übersicht'!$B$4,J91,1),2),7)+7*(N91-1),NA()),NA()))),NA())</f>
        <v>46534</v>
      </c>
      <c r="X91" s="70" t="n">
        <f>IF(AND(W91&gt;=O91,OR(P91="",W91&lt;=P91)),W91,"Ausserhalb Geltung")</f>
        <v>46534</v>
      </c>
      <c r="Y91" s="71" t="str">
        <v>SRC-AG-EGZPO</v>
      </c>
      <c r="Z91" s="71" t="str">
        <v>§ 21</v>
      </c>
    </row>
    <row r="92" ht="38" customHeight="1">
      <c r="A92" s="74" t="str">
        <v>AG-PROC-DAY-NATIONAL-DAY</v>
      </c>
      <c r="B92" s="74" t="str">
        <v>CH-AG</v>
      </c>
      <c r="C92" s="74" t="str">
        <v>AG-ZPO-ALL</v>
      </c>
      <c r="D92" s="78" t="str">
        <v>Bundesfeiertag</v>
      </c>
      <c r="E92" s="78" t="str">
        <v>Fête nationale</v>
      </c>
      <c r="F92" s="79" t="str"/>
      <c r="G92" s="79" t="str"/>
      <c r="H92" s="74" t="str">
        <v>proceduralEquivalentDay</v>
      </c>
      <c r="I92" s="74" t="str">
        <v>fixedMonthDay</v>
      </c>
      <c r="J92" s="86" t="n">
        <v>8</v>
      </c>
      <c r="K92" s="86" t="n">
        <v>1</v>
      </c>
      <c r="L92" s="78"/>
      <c r="M92" s="78"/>
      <c r="N92" s="78"/>
      <c r="O92" s="87" t="n">
        <v>46023</v>
      </c>
      <c r="P92" s="87"/>
      <c r="Q92" s="78" t="n">
        <v>100</v>
      </c>
      <c r="R92" s="78" t="str">
        <v>open</v>
      </c>
      <c r="S92" s="74"/>
      <c r="T92" s="74" t="str">
        <v>add</v>
      </c>
      <c r="U92" s="74"/>
      <c r="V92" s="74" t="str">
        <v>blockedEffect</v>
      </c>
      <c r="W92" s="73" t="n">
        <f>IF(AND(ISNUMBER('Übersicht'!$B$4),'Übersicht'!$B$4=INT('Übersicht'!$B$4),'Übersicht'!$B$4&gt;=2026,'Übersicht'!$B$4&lt;=2028),IF(I92="fixedMonthDay",IF(AND(ISNUMBER(J92),ISNUMBER(K92),J92=INT(J92),K92=INT(K92),MONTH(DATE('Übersicht'!$B$4,J92,K92))=J92,DAY(DATE('Übersicht'!$B$4,J92,K92))=K92),DATE('Übersicht'!$B$4,J92,K92),NA()),IF(I92="easterOffsetDays",IF(AND(ISNUMBER(L92),L92=INT(L92),ABS(L92)&lt;=366),$AB$23+L92,NA()),IF(I92="nthWeekdayOfMonth",IF(AND(ISNUMBER(J92),ISNUMBER(M92),ISNUMBER(N92),J92=INT(J92),M92=INT(M92),N92=INT(N92),J92&gt;=1,J92&lt;=12,M92&gt;=1,M92&lt;=7,N92&gt;=1,N92&lt;=5,MONTH(DATE('Übersicht'!$B$4,J92,1)+MOD(M92-WEEKDAY(DATE('Übersicht'!$B$4,J92,1),2),7)+7*(N92-1))=J92),DATE('Übersicht'!$B$4,J92,1)+MOD(M92-WEEKDAY(DATE('Übersicht'!$B$4,J92,1),2),7)+7*(N92-1),NA()),NA()))),NA())</f>
        <v>46600</v>
      </c>
      <c r="X92" s="73" t="n">
        <f>IF(AND(W92&gt;=O92,OR(P92="",W92&lt;=P92)),W92,"Ausserhalb Geltung")</f>
        <v>46600</v>
      </c>
      <c r="Y92" s="74" t="str">
        <v>SRC-AG-EGZPO</v>
      </c>
      <c r="Z92" s="74" t="str">
        <v>§ 21</v>
      </c>
    </row>
    <row r="93" ht="38" customHeight="1">
      <c r="A93" s="71" t="str">
        <v>AG-PROC-DAY-ASSUMPTION</v>
      </c>
      <c r="B93" s="71" t="str">
        <v>CH-AG</v>
      </c>
      <c r="C93" s="71" t="str">
        <v>AG-ZPO-ALL</v>
      </c>
      <c r="D93" s="76" t="str">
        <v>Mariä Himmelfahrt</v>
      </c>
      <c r="E93" s="76" t="str">
        <v>Assomption</v>
      </c>
      <c r="F93" s="77" t="str"/>
      <c r="G93" s="77" t="str"/>
      <c r="H93" s="71" t="str">
        <v>proceduralEquivalentDay</v>
      </c>
      <c r="I93" s="71" t="str">
        <v>fixedMonthDay</v>
      </c>
      <c r="J93" s="84" t="n">
        <v>8</v>
      </c>
      <c r="K93" s="84" t="n">
        <v>15</v>
      </c>
      <c r="L93" s="76"/>
      <c r="M93" s="76"/>
      <c r="N93" s="76"/>
      <c r="O93" s="85" t="n">
        <v>46023</v>
      </c>
      <c r="P93" s="85"/>
      <c r="Q93" s="76" t="n">
        <v>100</v>
      </c>
      <c r="R93" s="76" t="str">
        <v>open</v>
      </c>
      <c r="S93" s="71"/>
      <c r="T93" s="71" t="str">
        <v>add</v>
      </c>
      <c r="U93" s="71"/>
      <c r="V93" s="71" t="str">
        <v>blockedEffect</v>
      </c>
      <c r="W93" s="70" t="n">
        <f>IF(AND(ISNUMBER('Übersicht'!$B$4),'Übersicht'!$B$4=INT('Übersicht'!$B$4),'Übersicht'!$B$4&gt;=2026,'Übersicht'!$B$4&lt;=2028),IF(I93="fixedMonthDay",IF(AND(ISNUMBER(J93),ISNUMBER(K93),J93=INT(J93),K93=INT(K93),MONTH(DATE('Übersicht'!$B$4,J93,K93))=J93,DAY(DATE('Übersicht'!$B$4,J93,K93))=K93),DATE('Übersicht'!$B$4,J93,K93),NA()),IF(I93="easterOffsetDays",IF(AND(ISNUMBER(L93),L93=INT(L93),ABS(L93)&lt;=366),$AB$23+L93,NA()),IF(I93="nthWeekdayOfMonth",IF(AND(ISNUMBER(J93),ISNUMBER(M93),ISNUMBER(N93),J93=INT(J93),M93=INT(M93),N93=INT(N93),J93&gt;=1,J93&lt;=12,M93&gt;=1,M93&lt;=7,N93&gt;=1,N93&lt;=5,MONTH(DATE('Übersicht'!$B$4,J93,1)+MOD(M93-WEEKDAY(DATE('Übersicht'!$B$4,J93,1),2),7)+7*(N93-1))=J93),DATE('Übersicht'!$B$4,J93,1)+MOD(M93-WEEKDAY(DATE('Übersicht'!$B$4,J93,1),2),7)+7*(N93-1),NA()),NA()))),NA())</f>
        <v>46614</v>
      </c>
      <c r="X93" s="70" t="n">
        <f>IF(AND(W93&gt;=O93,OR(P93="",W93&lt;=P93)),W93,"Ausserhalb Geltung")</f>
        <v>46614</v>
      </c>
      <c r="Y93" s="71" t="str">
        <v>SRC-AG-EGZPO</v>
      </c>
      <c r="Z93" s="71" t="str">
        <v>§ 21</v>
      </c>
    </row>
    <row r="94" ht="38" customHeight="1">
      <c r="A94" s="74" t="str">
        <v>AG-PROC-DAY-IMMACULATE-CONCEPTION</v>
      </c>
      <c r="B94" s="74" t="str">
        <v>CH-AG</v>
      </c>
      <c r="C94" s="74" t="str">
        <v>AG-ZPO-ALL</v>
      </c>
      <c r="D94" s="78" t="str">
        <v>Mariä Empfängnis</v>
      </c>
      <c r="E94" s="78" t="str">
        <v>Immaculée Conception</v>
      </c>
      <c r="F94" s="79" t="str"/>
      <c r="G94" s="79" t="str"/>
      <c r="H94" s="74" t="str">
        <v>proceduralEquivalentDay</v>
      </c>
      <c r="I94" s="74" t="str">
        <v>fixedMonthDay</v>
      </c>
      <c r="J94" s="86" t="n">
        <v>12</v>
      </c>
      <c r="K94" s="86" t="n">
        <v>8</v>
      </c>
      <c r="L94" s="78"/>
      <c r="M94" s="78"/>
      <c r="N94" s="78"/>
      <c r="O94" s="87" t="n">
        <v>46023</v>
      </c>
      <c r="P94" s="87"/>
      <c r="Q94" s="78" t="n">
        <v>100</v>
      </c>
      <c r="R94" s="78" t="str">
        <v>open</v>
      </c>
      <c r="S94" s="74"/>
      <c r="T94" s="74" t="str">
        <v>add</v>
      </c>
      <c r="U94" s="74"/>
      <c r="V94" s="74" t="str">
        <v>blockedEffect</v>
      </c>
      <c r="W94" s="73" t="n">
        <f>IF(AND(ISNUMBER('Übersicht'!$B$4),'Übersicht'!$B$4=INT('Übersicht'!$B$4),'Übersicht'!$B$4&gt;=2026,'Übersicht'!$B$4&lt;=2028),IF(I94="fixedMonthDay",IF(AND(ISNUMBER(J94),ISNUMBER(K94),J94=INT(J94),K94=INT(K94),MONTH(DATE('Übersicht'!$B$4,J94,K94))=J94,DAY(DATE('Übersicht'!$B$4,J94,K94))=K94),DATE('Übersicht'!$B$4,J94,K94),NA()),IF(I94="easterOffsetDays",IF(AND(ISNUMBER(L94),L94=INT(L94),ABS(L94)&lt;=366),$AB$23+L94,NA()),IF(I94="nthWeekdayOfMonth",IF(AND(ISNUMBER(J94),ISNUMBER(M94),ISNUMBER(N94),J94=INT(J94),M94=INT(M94),N94=INT(N94),J94&gt;=1,J94&lt;=12,M94&gt;=1,M94&lt;=7,N94&gt;=1,N94&lt;=5,MONTH(DATE('Übersicht'!$B$4,J94,1)+MOD(M94-WEEKDAY(DATE('Übersicht'!$B$4,J94,1),2),7)+7*(N94-1))=J94),DATE('Übersicht'!$B$4,J94,1)+MOD(M94-WEEKDAY(DATE('Übersicht'!$B$4,J94,1),2),7)+7*(N94-1),NA()),NA()))),NA())</f>
        <v>46729</v>
      </c>
      <c r="X94" s="73" t="n">
        <f>IF(AND(W94&gt;=O94,OR(P94="",W94&lt;=P94)),W94,"Ausserhalb Geltung")</f>
        <v>46729</v>
      </c>
      <c r="Y94" s="74" t="str">
        <v>SRC-AG-EGZPO</v>
      </c>
      <c r="Z94" s="74" t="str">
        <v>§ 21</v>
      </c>
    </row>
    <row r="95" ht="38" customHeight="1">
      <c r="A95" s="71" t="str">
        <v>AG-PROC-DAY-CHRISTMAS</v>
      </c>
      <c r="B95" s="71" t="str">
        <v>CH-AG</v>
      </c>
      <c r="C95" s="71" t="str">
        <v>AG-ZPO-ALL</v>
      </c>
      <c r="D95" s="76" t="str">
        <v>Weihnachten</v>
      </c>
      <c r="E95" s="76" t="str">
        <v>Noël</v>
      </c>
      <c r="F95" s="77" t="str"/>
      <c r="G95" s="77" t="str"/>
      <c r="H95" s="71" t="str">
        <v>proceduralEquivalentDay</v>
      </c>
      <c r="I95" s="71" t="str">
        <v>fixedMonthDay</v>
      </c>
      <c r="J95" s="84" t="n">
        <v>12</v>
      </c>
      <c r="K95" s="84" t="n">
        <v>25</v>
      </c>
      <c r="L95" s="76"/>
      <c r="M95" s="76"/>
      <c r="N95" s="76"/>
      <c r="O95" s="85" t="n">
        <v>46023</v>
      </c>
      <c r="P95" s="85"/>
      <c r="Q95" s="76" t="n">
        <v>100</v>
      </c>
      <c r="R95" s="76" t="str">
        <v>open</v>
      </c>
      <c r="S95" s="71"/>
      <c r="T95" s="71" t="str">
        <v>add</v>
      </c>
      <c r="U95" s="71"/>
      <c r="V95" s="71" t="str">
        <v>blockedEffect</v>
      </c>
      <c r="W95" s="70" t="n">
        <f>IF(AND(ISNUMBER('Übersicht'!$B$4),'Übersicht'!$B$4=INT('Übersicht'!$B$4),'Übersicht'!$B$4&gt;=2026,'Übersicht'!$B$4&lt;=2028),IF(I95="fixedMonthDay",IF(AND(ISNUMBER(J95),ISNUMBER(K95),J95=INT(J95),K95=INT(K95),MONTH(DATE('Übersicht'!$B$4,J95,K95))=J95,DAY(DATE('Übersicht'!$B$4,J95,K95))=K95),DATE('Übersicht'!$B$4,J95,K95),NA()),IF(I95="easterOffsetDays",IF(AND(ISNUMBER(L95),L95=INT(L95),ABS(L95)&lt;=366),$AB$23+L95,NA()),IF(I95="nthWeekdayOfMonth",IF(AND(ISNUMBER(J95),ISNUMBER(M95),ISNUMBER(N95),J95=INT(J95),M95=INT(M95),N95=INT(N95),J95&gt;=1,J95&lt;=12,M95&gt;=1,M95&lt;=7,N95&gt;=1,N95&lt;=5,MONTH(DATE('Übersicht'!$B$4,J95,1)+MOD(M95-WEEKDAY(DATE('Übersicht'!$B$4,J95,1),2),7)+7*(N95-1))=J95),DATE('Übersicht'!$B$4,J95,1)+MOD(M95-WEEKDAY(DATE('Übersicht'!$B$4,J95,1),2),7)+7*(N95-1),NA()),NA()))),NA())</f>
        <v>46746</v>
      </c>
      <c r="X95" s="70" t="n">
        <f>IF(AND(W95&gt;=O95,OR(P95="",W95&lt;=P95)),W95,"Ausserhalb Geltung")</f>
        <v>46746</v>
      </c>
      <c r="Y95" s="71" t="str">
        <v>SRC-AG-EGZPO</v>
      </c>
      <c r="Z95" s="71" t="str">
        <v>§ 21</v>
      </c>
    </row>
    <row r="96" ht="38" customHeight="1">
      <c r="A96" s="74" t="str">
        <v>AG-PROC-DAY-ST-STEPHEN</v>
      </c>
      <c r="B96" s="74" t="str">
        <v>CH-AG</v>
      </c>
      <c r="C96" s="74" t="str">
        <v>AG-ZPO-ALL</v>
      </c>
      <c r="D96" s="78" t="str">
        <v>Stephanstag</v>
      </c>
      <c r="E96" s="78" t="str">
        <v>Saint-Étienne</v>
      </c>
      <c r="F96" s="79" t="str"/>
      <c r="G96" s="79" t="str"/>
      <c r="H96" s="74" t="str">
        <v>proceduralEquivalentDay</v>
      </c>
      <c r="I96" s="74" t="str">
        <v>fixedMonthDay</v>
      </c>
      <c r="J96" s="86" t="n">
        <v>12</v>
      </c>
      <c r="K96" s="86" t="n">
        <v>26</v>
      </c>
      <c r="L96" s="78"/>
      <c r="M96" s="78"/>
      <c r="N96" s="78"/>
      <c r="O96" s="87" t="n">
        <v>46023</v>
      </c>
      <c r="P96" s="87"/>
      <c r="Q96" s="78" t="n">
        <v>100</v>
      </c>
      <c r="R96" s="78" t="str">
        <v>open</v>
      </c>
      <c r="S96" s="74"/>
      <c r="T96" s="74" t="str">
        <v>add</v>
      </c>
      <c r="U96" s="74"/>
      <c r="V96" s="74" t="str">
        <v>blockedEffect</v>
      </c>
      <c r="W96" s="73" t="n">
        <f>IF(AND(ISNUMBER('Übersicht'!$B$4),'Übersicht'!$B$4=INT('Übersicht'!$B$4),'Übersicht'!$B$4&gt;=2026,'Übersicht'!$B$4&lt;=2028),IF(I96="fixedMonthDay",IF(AND(ISNUMBER(J96),ISNUMBER(K96),J96=INT(J96),K96=INT(K96),MONTH(DATE('Übersicht'!$B$4,J96,K96))=J96,DAY(DATE('Übersicht'!$B$4,J96,K96))=K96),DATE('Übersicht'!$B$4,J96,K96),NA()),IF(I96="easterOffsetDays",IF(AND(ISNUMBER(L96),L96=INT(L96),ABS(L96)&lt;=366),$AB$23+L96,NA()),IF(I96="nthWeekdayOfMonth",IF(AND(ISNUMBER(J96),ISNUMBER(M96),ISNUMBER(N96),J96=INT(J96),M96=INT(M96),N96=INT(N96),J96&gt;=1,J96&lt;=12,M96&gt;=1,M96&lt;=7,N96&gt;=1,N96&lt;=5,MONTH(DATE('Übersicht'!$B$4,J96,1)+MOD(M96-WEEKDAY(DATE('Übersicht'!$B$4,J96,1),2),7)+7*(N96-1))=J96),DATE('Übersicht'!$B$4,J96,1)+MOD(M96-WEEKDAY(DATE('Übersicht'!$B$4,J96,1),2),7)+7*(N96-1),NA()),NA()))),NA())</f>
        <v>46747</v>
      </c>
      <c r="X96" s="73" t="n">
        <f>IF(AND(W96&gt;=O96,OR(P96="",W96&lt;=P96)),W96,"Ausserhalb Geltung")</f>
        <v>46747</v>
      </c>
      <c r="Y96" s="74" t="str">
        <v>SRC-AG-EGZPO</v>
      </c>
      <c r="Z96" s="74" t="str">
        <v>§ 21</v>
      </c>
    </row>
    <row r="97" ht="42" customHeight="1">
      <c r="A97" t="str" s="71">
        <v>TI-CAL-DAY-NEW-YEAR</v>
      </c>
      <c r="B97" t="str" s="71">
        <v>CH-TI</v>
      </c>
      <c r="C97" t="str" s="71">
        <v>TI-OFFICIAL-ALL</v>
      </c>
      <c r="D97" t="str" s="76">
        <v>Neujahr</v>
      </c>
      <c r="E97" t="str" s="76">
        <v>Nouvel An</v>
      </c>
      <c r="F97" t="str" s="77">
        <v>Capo d’anno</v>
      </c>
      <c r="G97" t="str" s="77">
        <v>Bumaun</v>
      </c>
      <c r="H97" t="str" s="71">
        <v>publicHoliday</v>
      </c>
      <c r="I97" t="str" s="71">
        <v>fixedMonthDay</v>
      </c>
      <c r="J97" t="n" s="84">
        <v>1</v>
      </c>
      <c r="K97" t="n" s="84">
        <v>1</v>
      </c>
      <c r="L97" s="76"/>
      <c r="M97" s="76"/>
      <c r="N97" s="76"/>
      <c r="O97" t="n" s="85">
        <v>46023</v>
      </c>
      <c r="P97" s="85"/>
      <c r="Q97" t="n" s="76">
        <v>100</v>
      </c>
      <c r="R97" t="str" s="76">
        <v>open</v>
      </c>
      <c r="S97" s="71"/>
      <c r="T97" t="str" s="71">
        <v>add</v>
      </c>
      <c r="U97" s="71"/>
      <c r="V97" t="str" s="71">
        <v>blockedEffect</v>
      </c>
      <c r="W97" t="n" s="70">
        <f>IF(AND(ISNUMBER('Übersicht'!$B$4),'Übersicht'!$B$4=INT('Übersicht'!$B$4),'Übersicht'!$B$4&gt;=2026,'Übersicht'!$B$4&lt;=2028),IF(I97="fixedMonthDay",IF(AND(ISNUMBER(J97),ISNUMBER(K97),J97=INT(J97),K97=INT(K97),MONTH(DATE('Übersicht'!$B$4,J97,K97))=J97,DAY(DATE('Übersicht'!$B$4,J97,K97))=K97),DATE('Übersicht'!$B$4,J97,K97),NA()),IF(I97="easterOffsetDays",IF(AND(ISNUMBER(L97),L97=INT(L97),ABS(L97)&lt;=366),$AB$23+L97,NA()),IF(I97="nthWeekdayOfMonth",IF(AND(ISNUMBER(J97),ISNUMBER(M97),ISNUMBER(N97),J97=INT(J97),M97=INT(M97),N97=INT(N97),J97&gt;=1,J97&lt;=12,M97&gt;=1,M97&lt;=7,N97&gt;=1,N97&lt;=5,MONTH(DATE('Übersicht'!$B$4,J97,1)+MOD(M97-WEEKDAY(DATE('Übersicht'!$B$4,J97,1),2),7)+7*(N97-1))=J97),DATE('Übersicht'!$B$4,J97,1)+MOD(M97-WEEKDAY(DATE('Übersicht'!$B$4,J97,1),2),7)+7*(N97-1),NA()),NA()))),NA())</f>
        <v>46388</v>
      </c>
      <c r="X97" t="n" s="70">
        <f>IF(AND(W97&gt;=O97,OR(P97="",W97&lt;=P97)),W97,"Ausserhalb Geltung")</f>
        <v>46388</v>
      </c>
      <c r="Y97" t="str" s="71">
        <v>SRC-TI-FEIERTAGE-843200</v>
      </c>
      <c r="Z97" t="str" s="71">
        <v>Art. 1</v>
      </c>
    </row>
    <row r="98" ht="42" customHeight="1">
      <c r="A98" t="str" s="74">
        <v>TI-CAL-DAY-EPIPHANY</v>
      </c>
      <c r="B98" t="str" s="74">
        <v>CH-TI</v>
      </c>
      <c r="C98" t="str" s="74">
        <v>TI-OFFICIAL-ALL</v>
      </c>
      <c r="D98" t="str" s="78">
        <v>Heilige Drei Könige</v>
      </c>
      <c r="E98" t="str" s="78">
        <v>Épiphanie</v>
      </c>
      <c r="F98" t="str" s="79">
        <v>Epifania</v>
      </c>
      <c r="G98" t="inlineStr" s="79">
        <is>
          <t>Bavania</t>
        </is>
      </c>
      <c r="H98" t="str" s="74">
        <v>publicHoliday</v>
      </c>
      <c r="I98" t="str" s="74">
        <v>fixedMonthDay</v>
      </c>
      <c r="J98" t="n" s="86">
        <v>1</v>
      </c>
      <c r="K98" t="n" s="86">
        <v>6</v>
      </c>
      <c r="L98" s="78"/>
      <c r="M98" s="78"/>
      <c r="N98" s="78"/>
      <c r="O98" t="n" s="87">
        <v>46023</v>
      </c>
      <c r="P98" s="87"/>
      <c r="Q98" t="n" s="78">
        <v>100</v>
      </c>
      <c r="R98" t="str" s="78">
        <v>open</v>
      </c>
      <c r="S98" s="74"/>
      <c r="T98" t="str" s="74">
        <v>add</v>
      </c>
      <c r="U98" s="74"/>
      <c r="V98" t="str" s="74">
        <v>blockedEffect</v>
      </c>
      <c r="W98" t="n" s="73">
        <f>IF(AND(ISNUMBER('Übersicht'!$B$4),'Übersicht'!$B$4=INT('Übersicht'!$B$4),'Übersicht'!$B$4&gt;=2026,'Übersicht'!$B$4&lt;=2028),IF(I98="fixedMonthDay",IF(AND(ISNUMBER(J98),ISNUMBER(K98),J98=INT(J98),K98=INT(K98),MONTH(DATE('Übersicht'!$B$4,J98,K98))=J98,DAY(DATE('Übersicht'!$B$4,J98,K98))=K98),DATE('Übersicht'!$B$4,J98,K98),NA()),IF(I98="easterOffsetDays",IF(AND(ISNUMBER(L98),L98=INT(L98),ABS(L98)&lt;=366),$AB$23+L98,NA()),IF(I98="nthWeekdayOfMonth",IF(AND(ISNUMBER(J98),ISNUMBER(M98),ISNUMBER(N98),J98=INT(J98),M98=INT(M98),N98=INT(N98),J98&gt;=1,J98&lt;=12,M98&gt;=1,M98&lt;=7,N98&gt;=1,N98&lt;=5,MONTH(DATE('Übersicht'!$B$4,J98,1)+MOD(M98-WEEKDAY(DATE('Übersicht'!$B$4,J98,1),2),7)+7*(N98-1))=J98),DATE('Übersicht'!$B$4,J98,1)+MOD(M98-WEEKDAY(DATE('Übersicht'!$B$4,J98,1),2),7)+7*(N98-1),NA()),NA()))),NA())</f>
        <v>46393</v>
      </c>
      <c r="X98" t="n" s="73">
        <f>IF(AND(W98&gt;=O98,OR(P98="",W98&lt;=P98)),W98,"Ausserhalb Geltung")</f>
        <v>46393</v>
      </c>
      <c r="Y98" t="str" s="74">
        <v>SRC-TI-FEIERTAGE-843200</v>
      </c>
      <c r="Z98" t="str" s="74">
        <v>Art. 1</v>
      </c>
    </row>
    <row r="99" ht="42" customHeight="1">
      <c r="A99" t="str" s="71">
        <v>TI-CAL-DAY-ST-JOSEPH</v>
      </c>
      <c r="B99" t="str" s="71">
        <v>CH-TI</v>
      </c>
      <c r="C99" t="str" s="71">
        <v>TI-OFFICIAL-ALL</v>
      </c>
      <c r="D99" t="str" s="76">
        <v>Josefstag</v>
      </c>
      <c r="E99" t="str" s="76">
        <v>Saint-Joseph</v>
      </c>
      <c r="F99" t="str" s="77">
        <v>San Giuseppe</v>
      </c>
      <c r="G99" t="inlineStr" s="77">
        <is>
          <t>Son Giusep</t>
        </is>
      </c>
      <c r="H99" t="str" s="71">
        <v>publicHoliday</v>
      </c>
      <c r="I99" t="str" s="71">
        <v>fixedMonthDay</v>
      </c>
      <c r="J99" t="n" s="84">
        <v>3</v>
      </c>
      <c r="K99" t="n" s="84">
        <v>19</v>
      </c>
      <c r="L99" s="76"/>
      <c r="M99" s="76"/>
      <c r="N99" s="76"/>
      <c r="O99" t="n" s="85">
        <v>46023</v>
      </c>
      <c r="P99" s="85"/>
      <c r="Q99" t="n" s="76">
        <v>100</v>
      </c>
      <c r="R99" t="str" s="76">
        <v>open</v>
      </c>
      <c r="S99" s="71"/>
      <c r="T99" t="str" s="71">
        <v>add</v>
      </c>
      <c r="U99" s="71"/>
      <c r="V99" t="str" s="71">
        <v>blockedEffect</v>
      </c>
      <c r="W99" t="n" s="70">
        <f>IF(AND(ISNUMBER('Übersicht'!$B$4),'Übersicht'!$B$4=INT('Übersicht'!$B$4),'Übersicht'!$B$4&gt;=2026,'Übersicht'!$B$4&lt;=2028),IF(I99="fixedMonthDay",IF(AND(ISNUMBER(J99),ISNUMBER(K99),J99=INT(J99),K99=INT(K99),MONTH(DATE('Übersicht'!$B$4,J99,K99))=J99,DAY(DATE('Übersicht'!$B$4,J99,K99))=K99),DATE('Übersicht'!$B$4,J99,K99),NA()),IF(I99="easterOffsetDays",IF(AND(ISNUMBER(L99),L99=INT(L99),ABS(L99)&lt;=366),$AB$23+L99,NA()),IF(I99="nthWeekdayOfMonth",IF(AND(ISNUMBER(J99),ISNUMBER(M99),ISNUMBER(N99),J99=INT(J99),M99=INT(M99),N99=INT(N99),J99&gt;=1,J99&lt;=12,M99&gt;=1,M99&lt;=7,N99&gt;=1,N99&lt;=5,MONTH(DATE('Übersicht'!$B$4,J99,1)+MOD(M99-WEEKDAY(DATE('Übersicht'!$B$4,J99,1),2),7)+7*(N99-1))=J99),DATE('Übersicht'!$B$4,J99,1)+MOD(M99-WEEKDAY(DATE('Übersicht'!$B$4,J99,1),2),7)+7*(N99-1),NA()),NA()))),NA())</f>
        <v>46465</v>
      </c>
      <c r="X99" t="n" s="70">
        <f>IF(AND(W99&gt;=O99,OR(P99="",W99&lt;=P99)),W99,"Ausserhalb Geltung")</f>
        <v>46465</v>
      </c>
      <c r="Y99" t="str" s="71">
        <v>SRC-TI-FEIERTAGE-843200</v>
      </c>
      <c r="Z99" t="str" s="71">
        <v>Art. 1</v>
      </c>
    </row>
    <row r="100" ht="42" customHeight="1">
      <c r="A100" t="str" s="74">
        <v>TI-CAL-DAY-EASTER-MONDAY</v>
      </c>
      <c r="B100" t="str" s="74">
        <v>CH-TI</v>
      </c>
      <c r="C100" t="str" s="74">
        <v>TI-OFFICIAL-ALL</v>
      </c>
      <c r="D100" t="str" s="78">
        <v>Ostermontag</v>
      </c>
      <c r="E100" t="str" s="78">
        <v>Lundi de Pâques</v>
      </c>
      <c r="F100" t="str" s="79">
        <v>Lunedì di Pasqua</v>
      </c>
      <c r="G100" t="str" s="79">
        <v>Glindesdi da Pasca</v>
      </c>
      <c r="H100" t="str" s="74">
        <v>publicHoliday</v>
      </c>
      <c r="I100" t="str" s="74">
        <v>easterOffsetDays</v>
      </c>
      <c r="J100" s="86"/>
      <c r="K100" s="86"/>
      <c r="L100" t="n" s="78">
        <v>1</v>
      </c>
      <c r="M100" s="78"/>
      <c r="N100" s="78"/>
      <c r="O100" t="n" s="87">
        <v>46023</v>
      </c>
      <c r="P100" s="87"/>
      <c r="Q100" t="n" s="78">
        <v>100</v>
      </c>
      <c r="R100" t="str" s="78">
        <v>open</v>
      </c>
      <c r="S100" s="74"/>
      <c r="T100" t="str" s="74">
        <v>add</v>
      </c>
      <c r="U100" s="74"/>
      <c r="V100" t="str" s="74">
        <v>blockedEffect</v>
      </c>
      <c r="W100" t="n" s="73">
        <f>IF(AND(ISNUMBER('Übersicht'!$B$4),'Übersicht'!$B$4=INT('Übersicht'!$B$4),'Übersicht'!$B$4&gt;=2026,'Übersicht'!$B$4&lt;=2028),IF(I100="fixedMonthDay",IF(AND(ISNUMBER(J100),ISNUMBER(K100),J100=INT(J100),K100=INT(K100),MONTH(DATE('Übersicht'!$B$4,J100,K100))=J100,DAY(DATE('Übersicht'!$B$4,J100,K100))=K100),DATE('Übersicht'!$B$4,J100,K100),NA()),IF(I100="easterOffsetDays",IF(AND(ISNUMBER(L100),L100=INT(L100),ABS(L100)&lt;=366),$AB$23+L100,NA()),IF(I100="nthWeekdayOfMonth",IF(AND(ISNUMBER(J100),ISNUMBER(M100),ISNUMBER(N100),J100=INT(J100),M100=INT(M100),N100=INT(N100),J100&gt;=1,J100&lt;=12,M100&gt;=1,M100&lt;=7,N100&gt;=1,N100&lt;=5,MONTH(DATE('Übersicht'!$B$4,J100,1)+MOD(M100-WEEKDAY(DATE('Übersicht'!$B$4,J100,1),2),7)+7*(N100-1))=J100),DATE('Übersicht'!$B$4,J100,1)+MOD(M100-WEEKDAY(DATE('Übersicht'!$B$4,J100,1),2),7)+7*(N100-1),NA()),NA()))),NA())</f>
        <v>46475</v>
      </c>
      <c r="X100" t="n" s="73">
        <f>IF(AND(W100&gt;=O100,OR(P100="",W100&lt;=P100)),W100,"Ausserhalb Geltung")</f>
        <v>46475</v>
      </c>
      <c r="Y100" t="str" s="74">
        <v>SRC-TI-FEIERTAGE-843200</v>
      </c>
      <c r="Z100" t="str" s="74">
        <v>Art. 1</v>
      </c>
    </row>
    <row r="101" ht="42" customHeight="1">
      <c r="A101" t="str" s="71">
        <v>TI-CAL-DAY-MAY1</v>
      </c>
      <c r="B101" t="str" s="71">
        <v>CH-TI</v>
      </c>
      <c r="C101" t="str" s="71">
        <v>TI-OFFICIAL-ALL</v>
      </c>
      <c r="D101" t="str" s="76">
        <v>Tag der Arbeit (1. Mai)</v>
      </c>
      <c r="E101" t="str" s="76">
        <v>Fête du travail (1er mai)</v>
      </c>
      <c r="F101" t="str" s="77">
        <v>Primo maggio</v>
      </c>
      <c r="G101" t="inlineStr" s="77">
        <is>
          <t>Di da la lavur (1. da matg)</t>
        </is>
      </c>
      <c r="H101" t="str" s="71">
        <v>publicHoliday</v>
      </c>
      <c r="I101" t="str" s="71">
        <v>fixedMonthDay</v>
      </c>
      <c r="J101" t="n" s="84">
        <v>5</v>
      </c>
      <c r="K101" t="n" s="84">
        <v>1</v>
      </c>
      <c r="L101" s="76"/>
      <c r="M101" s="76"/>
      <c r="N101" s="76"/>
      <c r="O101" t="n" s="85">
        <v>46023</v>
      </c>
      <c r="P101" s="85"/>
      <c r="Q101" t="n" s="76">
        <v>100</v>
      </c>
      <c r="R101" t="str" s="76">
        <v>open</v>
      </c>
      <c r="S101" s="71"/>
      <c r="T101" t="str" s="71">
        <v>add</v>
      </c>
      <c r="U101" s="71"/>
      <c r="V101" t="str" s="71">
        <v>blockedEffect</v>
      </c>
      <c r="W101" t="n" s="70">
        <f>IF(AND(ISNUMBER('Übersicht'!$B$4),'Übersicht'!$B$4=INT('Übersicht'!$B$4),'Übersicht'!$B$4&gt;=2026,'Übersicht'!$B$4&lt;=2028),IF(I101="fixedMonthDay",IF(AND(ISNUMBER(J101),ISNUMBER(K101),J101=INT(J101),K101=INT(K101),MONTH(DATE('Übersicht'!$B$4,J101,K101))=J101,DAY(DATE('Übersicht'!$B$4,J101,K101))=K101),DATE('Übersicht'!$B$4,J101,K101),NA()),IF(I101="easterOffsetDays",IF(AND(ISNUMBER(L101),L101=INT(L101),ABS(L101)&lt;=366),$AB$23+L101,NA()),IF(I101="nthWeekdayOfMonth",IF(AND(ISNUMBER(J101),ISNUMBER(M101),ISNUMBER(N101),J101=INT(J101),M101=INT(M101),N101=INT(N101),J101&gt;=1,J101&lt;=12,M101&gt;=1,M101&lt;=7,N101&gt;=1,N101&lt;=5,MONTH(DATE('Übersicht'!$B$4,J101,1)+MOD(M101-WEEKDAY(DATE('Übersicht'!$B$4,J101,1),2),7)+7*(N101-1))=J101),DATE('Übersicht'!$B$4,J101,1)+MOD(M101-WEEKDAY(DATE('Übersicht'!$B$4,J101,1),2),7)+7*(N101-1),NA()),NA()))),NA())</f>
        <v>46508</v>
      </c>
      <c r="X101" t="n" s="70">
        <f>IF(AND(W101&gt;=O101,OR(P101="",W101&lt;=P101)),W101,"Ausserhalb Geltung")</f>
        <v>46508</v>
      </c>
      <c r="Y101" t="str" s="71">
        <v>SRC-TI-FEIERTAGE-843200</v>
      </c>
      <c r="Z101" t="str" s="71">
        <v>Art. 1</v>
      </c>
    </row>
    <row r="102" ht="42" customHeight="1">
      <c r="A102" t="str" s="74">
        <v>TI-CAL-DAY-ASCENSION</v>
      </c>
      <c r="B102" t="str" s="74">
        <v>CH-TI</v>
      </c>
      <c r="C102" t="str" s="74">
        <v>TI-OFFICIAL-ALL</v>
      </c>
      <c r="D102" t="str" s="78">
        <v>Auffahrt</v>
      </c>
      <c r="E102" t="str" s="78">
        <v>Ascension</v>
      </c>
      <c r="F102" t="str" s="79">
        <v>Ascensione</v>
      </c>
      <c r="G102" t="str" s="79">
        <v>Ascensiun</v>
      </c>
      <c r="H102" t="str" s="74">
        <v>publicHoliday</v>
      </c>
      <c r="I102" t="str" s="74">
        <v>easterOffsetDays</v>
      </c>
      <c r="J102" s="86"/>
      <c r="K102" s="86"/>
      <c r="L102" t="n" s="78">
        <v>39</v>
      </c>
      <c r="M102" s="78"/>
      <c r="N102" s="78"/>
      <c r="O102" t="n" s="87">
        <v>46023</v>
      </c>
      <c r="P102" s="87"/>
      <c r="Q102" t="n" s="78">
        <v>100</v>
      </c>
      <c r="R102" t="str" s="78">
        <v>open</v>
      </c>
      <c r="S102" s="74"/>
      <c r="T102" t="str" s="74">
        <v>add</v>
      </c>
      <c r="U102" s="74"/>
      <c r="V102" t="str" s="74">
        <v>blockedEffect</v>
      </c>
      <c r="W102" t="n" s="73">
        <f>IF(AND(ISNUMBER('Übersicht'!$B$4),'Übersicht'!$B$4=INT('Übersicht'!$B$4),'Übersicht'!$B$4&gt;=2026,'Übersicht'!$B$4&lt;=2028),IF(I102="fixedMonthDay",IF(AND(ISNUMBER(J102),ISNUMBER(K102),J102=INT(J102),K102=INT(K102),MONTH(DATE('Übersicht'!$B$4,J102,K102))=J102,DAY(DATE('Übersicht'!$B$4,J102,K102))=K102),DATE('Übersicht'!$B$4,J102,K102),NA()),IF(I102="easterOffsetDays",IF(AND(ISNUMBER(L102),L102=INT(L102),ABS(L102)&lt;=366),$AB$23+L102,NA()),IF(I102="nthWeekdayOfMonth",IF(AND(ISNUMBER(J102),ISNUMBER(M102),ISNUMBER(N102),J102=INT(J102),M102=INT(M102),N102=INT(N102),J102&gt;=1,J102&lt;=12,M102&gt;=1,M102&lt;=7,N102&gt;=1,N102&lt;=5,MONTH(DATE('Übersicht'!$B$4,J102,1)+MOD(M102-WEEKDAY(DATE('Übersicht'!$B$4,J102,1),2),7)+7*(N102-1))=J102),DATE('Übersicht'!$B$4,J102,1)+MOD(M102-WEEKDAY(DATE('Übersicht'!$B$4,J102,1),2),7)+7*(N102-1),NA()),NA()))),NA())</f>
        <v>46513</v>
      </c>
      <c r="X102" t="n" s="73">
        <f>IF(AND(W102&gt;=O102,OR(P102="",W102&lt;=P102)),W102,"Ausserhalb Geltung")</f>
        <v>46513</v>
      </c>
      <c r="Y102" t="str" s="74">
        <v>SRC-TI-FEIERTAGE-843200</v>
      </c>
      <c r="Z102" t="str" s="74">
        <v>Art. 1</v>
      </c>
    </row>
    <row r="103" ht="42" customHeight="1">
      <c r="A103" t="str" s="71">
        <v>TI-CAL-DAY-WHIT-MONDAY</v>
      </c>
      <c r="B103" t="str" s="71">
        <v>CH-TI</v>
      </c>
      <c r="C103" t="str" s="71">
        <v>TI-OFFICIAL-ALL</v>
      </c>
      <c r="D103" t="str" s="76">
        <v>Pfingstmontag</v>
      </c>
      <c r="E103" t="str" s="76">
        <v>Lundi de Pentecôte</v>
      </c>
      <c r="F103" t="str" s="77">
        <v>Lunedì di Pentecoste</v>
      </c>
      <c r="G103" t="str" s="77">
        <v>Glindesdi da Tschuncaisma</v>
      </c>
      <c r="H103" t="str" s="71">
        <v>publicHoliday</v>
      </c>
      <c r="I103" t="str" s="71">
        <v>easterOffsetDays</v>
      </c>
      <c r="J103" s="84"/>
      <c r="K103" s="84"/>
      <c r="L103" t="n" s="76">
        <v>50</v>
      </c>
      <c r="M103" s="76"/>
      <c r="N103" s="76"/>
      <c r="O103" t="n" s="85">
        <v>46023</v>
      </c>
      <c r="P103" s="85"/>
      <c r="Q103" t="n" s="76">
        <v>100</v>
      </c>
      <c r="R103" t="str" s="76">
        <v>open</v>
      </c>
      <c r="S103" s="71"/>
      <c r="T103" t="str" s="71">
        <v>add</v>
      </c>
      <c r="U103" s="71"/>
      <c r="V103" t="str" s="71">
        <v>blockedEffect</v>
      </c>
      <c r="W103" t="n" s="70">
        <f>IF(AND(ISNUMBER('Übersicht'!$B$4),'Übersicht'!$B$4=INT('Übersicht'!$B$4),'Übersicht'!$B$4&gt;=2026,'Übersicht'!$B$4&lt;=2028),IF(I103="fixedMonthDay",IF(AND(ISNUMBER(J103),ISNUMBER(K103),J103=INT(J103),K103=INT(K103),MONTH(DATE('Übersicht'!$B$4,J103,K103))=J103,DAY(DATE('Übersicht'!$B$4,J103,K103))=K103),DATE('Übersicht'!$B$4,J103,K103),NA()),IF(I103="easterOffsetDays",IF(AND(ISNUMBER(L103),L103=INT(L103),ABS(L103)&lt;=366),$AB$23+L103,NA()),IF(I103="nthWeekdayOfMonth",IF(AND(ISNUMBER(J103),ISNUMBER(M103),ISNUMBER(N103),J103=INT(J103),M103=INT(M103),N103=INT(N103),J103&gt;=1,J103&lt;=12,M103&gt;=1,M103&lt;=7,N103&gt;=1,N103&lt;=5,MONTH(DATE('Übersicht'!$B$4,J103,1)+MOD(M103-WEEKDAY(DATE('Übersicht'!$B$4,J103,1),2),7)+7*(N103-1))=J103),DATE('Übersicht'!$B$4,J103,1)+MOD(M103-WEEKDAY(DATE('Übersicht'!$B$4,J103,1),2),7)+7*(N103-1),NA()),NA()))),NA())</f>
        <v>46524</v>
      </c>
      <c r="X103" t="n" s="70">
        <f>IF(AND(W103&gt;=O103,OR(P103="",W103&lt;=P103)),W103,"Ausserhalb Geltung")</f>
        <v>46524</v>
      </c>
      <c r="Y103" t="str" s="71">
        <v>SRC-TI-FEIERTAGE-843200</v>
      </c>
      <c r="Z103" t="str" s="71">
        <v>Art. 1</v>
      </c>
    </row>
    <row r="104" ht="42" customHeight="1">
      <c r="A104" t="str" s="74">
        <v>TI-CAL-DAY-CORPUS-CHRISTI</v>
      </c>
      <c r="B104" t="str" s="74">
        <v>CH-TI</v>
      </c>
      <c r="C104" t="str" s="74">
        <v>TI-OFFICIAL-ALL</v>
      </c>
      <c r="D104" t="str" s="78">
        <v>Fronleichnam</v>
      </c>
      <c r="E104" t="str" s="78">
        <v>Fête-Dieu</v>
      </c>
      <c r="F104" t="str" s="79">
        <v>Corpus Domini</v>
      </c>
      <c r="G104" t="inlineStr" s="79">
        <is>
          <t>Sontgilcrest</t>
        </is>
      </c>
      <c r="H104" t="str" s="74">
        <v>publicHoliday</v>
      </c>
      <c r="I104" t="str" s="74">
        <v>easterOffsetDays</v>
      </c>
      <c r="J104" s="86"/>
      <c r="K104" s="86"/>
      <c r="L104" t="n" s="78">
        <v>60</v>
      </c>
      <c r="M104" s="78"/>
      <c r="N104" s="78"/>
      <c r="O104" t="n" s="87">
        <v>46023</v>
      </c>
      <c r="P104" s="87"/>
      <c r="Q104" t="n" s="78">
        <v>100</v>
      </c>
      <c r="R104" t="str" s="78">
        <v>open</v>
      </c>
      <c r="S104" s="74"/>
      <c r="T104" t="str" s="74">
        <v>add</v>
      </c>
      <c r="U104" s="74"/>
      <c r="V104" t="str" s="74">
        <v>blockedEffect</v>
      </c>
      <c r="W104" t="n" s="73">
        <f>IF(AND(ISNUMBER('Übersicht'!$B$4),'Übersicht'!$B$4=INT('Übersicht'!$B$4),'Übersicht'!$B$4&gt;=2026,'Übersicht'!$B$4&lt;=2028),IF(I104="fixedMonthDay",IF(AND(ISNUMBER(J104),ISNUMBER(K104),J104=INT(J104),K104=INT(K104),MONTH(DATE('Übersicht'!$B$4,J104,K104))=J104,DAY(DATE('Übersicht'!$B$4,J104,K104))=K104),DATE('Übersicht'!$B$4,J104,K104),NA()),IF(I104="easterOffsetDays",IF(AND(ISNUMBER(L104),L104=INT(L104),ABS(L104)&lt;=366),$AB$23+L104,NA()),IF(I104="nthWeekdayOfMonth",IF(AND(ISNUMBER(J104),ISNUMBER(M104),ISNUMBER(N104),J104=INT(J104),M104=INT(M104),N104=INT(N104),J104&gt;=1,J104&lt;=12,M104&gt;=1,M104&lt;=7,N104&gt;=1,N104&lt;=5,MONTH(DATE('Übersicht'!$B$4,J104,1)+MOD(M104-WEEKDAY(DATE('Übersicht'!$B$4,J104,1),2),7)+7*(N104-1))=J104),DATE('Übersicht'!$B$4,J104,1)+MOD(M104-WEEKDAY(DATE('Übersicht'!$B$4,J104,1),2),7)+7*(N104-1),NA()),NA()))),NA())</f>
        <v>46534</v>
      </c>
      <c r="X104" t="n" s="73">
        <f>IF(AND(W104&gt;=O104,OR(P104="",W104&lt;=P104)),W104,"Ausserhalb Geltung")</f>
        <v>46534</v>
      </c>
      <c r="Y104" t="str" s="74">
        <v>SRC-TI-FEIERTAGE-843200</v>
      </c>
      <c r="Z104" t="str" s="74">
        <v>Art. 1</v>
      </c>
    </row>
    <row r="105" ht="42" customHeight="1">
      <c r="A105" t="str" s="71">
        <v>TI-CAL-DAY-ST-PETER-PAUL</v>
      </c>
      <c r="B105" t="str" s="71">
        <v>CH-TI</v>
      </c>
      <c r="C105" t="str" s="71">
        <v>TI-OFFICIAL-ALL</v>
      </c>
      <c r="D105" t="str" s="76">
        <v>Peter und Paul</v>
      </c>
      <c r="E105" t="str" s="76">
        <v>Saints Pierre et Paul</v>
      </c>
      <c r="F105" t="str" s="77">
        <v>San Pietro e Paolo</v>
      </c>
      <c r="G105" t="inlineStr" s="77">
        <is>
          <t>Son Peder e son Paul</t>
        </is>
      </c>
      <c r="H105" t="str" s="71">
        <v>publicHoliday</v>
      </c>
      <c r="I105" t="str" s="71">
        <v>fixedMonthDay</v>
      </c>
      <c r="J105" t="n" s="84">
        <v>6</v>
      </c>
      <c r="K105" t="n" s="84">
        <v>29</v>
      </c>
      <c r="L105" s="76"/>
      <c r="M105" s="76"/>
      <c r="N105" s="76"/>
      <c r="O105" t="n" s="85">
        <v>46023</v>
      </c>
      <c r="P105" s="85"/>
      <c r="Q105" t="n" s="76">
        <v>100</v>
      </c>
      <c r="R105" t="str" s="76">
        <v>open</v>
      </c>
      <c r="S105" s="71"/>
      <c r="T105" t="str" s="71">
        <v>add</v>
      </c>
      <c r="U105" s="71"/>
      <c r="V105" t="str" s="71">
        <v>blockedEffect</v>
      </c>
      <c r="W105" t="n" s="70">
        <f>IF(AND(ISNUMBER('Übersicht'!$B$4),'Übersicht'!$B$4=INT('Übersicht'!$B$4),'Übersicht'!$B$4&gt;=2026,'Übersicht'!$B$4&lt;=2028),IF(I105="fixedMonthDay",IF(AND(ISNUMBER(J105),ISNUMBER(K105),J105=INT(J105),K105=INT(K105),MONTH(DATE('Übersicht'!$B$4,J105,K105))=J105,DAY(DATE('Übersicht'!$B$4,J105,K105))=K105),DATE('Übersicht'!$B$4,J105,K105),NA()),IF(I105="easterOffsetDays",IF(AND(ISNUMBER(L105),L105=INT(L105),ABS(L105)&lt;=366),$AB$23+L105,NA()),IF(I105="nthWeekdayOfMonth",IF(AND(ISNUMBER(J105),ISNUMBER(M105),ISNUMBER(N105),J105=INT(J105),M105=INT(M105),N105=INT(N105),J105&gt;=1,J105&lt;=12,M105&gt;=1,M105&lt;=7,N105&gt;=1,N105&lt;=5,MONTH(DATE('Übersicht'!$B$4,J105,1)+MOD(M105-WEEKDAY(DATE('Übersicht'!$B$4,J105,1),2),7)+7*(N105-1))=J105),DATE('Übersicht'!$B$4,J105,1)+MOD(M105-WEEKDAY(DATE('Übersicht'!$B$4,J105,1),2),7)+7*(N105-1),NA()),NA()))),NA())</f>
        <v>46567</v>
      </c>
      <c r="X105" t="n" s="70">
        <f>IF(AND(W105&gt;=O105,OR(P105="",W105&lt;=P105)),W105,"Ausserhalb Geltung")</f>
        <v>46567</v>
      </c>
      <c r="Y105" t="str" s="71">
        <v>SRC-TI-FEIERTAGE-843200</v>
      </c>
      <c r="Z105" t="str" s="71">
        <v>Art. 1</v>
      </c>
    </row>
    <row r="106" ht="42" customHeight="1">
      <c r="A106" t="str" s="74">
        <v>TI-CAL-DAY-NATIONAL-DAY</v>
      </c>
      <c r="B106" t="str" s="74">
        <v>CH-TI</v>
      </c>
      <c r="C106" t="str" s="74">
        <v>TI-OFFICIAL-ALL</v>
      </c>
      <c r="D106" t="str" s="78">
        <v>Bundesfeiertag</v>
      </c>
      <c r="E106" t="str" s="78">
        <v>Fête nationale</v>
      </c>
      <c r="F106" t="str" s="79">
        <v>Primo agosto</v>
      </c>
      <c r="G106" t="str" s="79">
        <v>Festa naziunala svizra</v>
      </c>
      <c r="H106" t="str" s="74">
        <v>publicHoliday</v>
      </c>
      <c r="I106" t="str" s="74">
        <v>fixedMonthDay</v>
      </c>
      <c r="J106" t="n" s="86">
        <v>8</v>
      </c>
      <c r="K106" t="n" s="86">
        <v>1</v>
      </c>
      <c r="L106" s="78"/>
      <c r="M106" s="78"/>
      <c r="N106" s="78"/>
      <c r="O106" t="n" s="87">
        <v>46023</v>
      </c>
      <c r="P106" s="87"/>
      <c r="Q106" t="n" s="78">
        <v>100</v>
      </c>
      <c r="R106" t="str" s="78">
        <v>open</v>
      </c>
      <c r="S106" s="74"/>
      <c r="T106" t="str" s="74">
        <v>add</v>
      </c>
      <c r="U106" s="74"/>
      <c r="V106" t="str" s="74">
        <v>blockedEffect</v>
      </c>
      <c r="W106" t="n" s="73">
        <f>IF(AND(ISNUMBER('Übersicht'!$B$4),'Übersicht'!$B$4=INT('Übersicht'!$B$4),'Übersicht'!$B$4&gt;=2026,'Übersicht'!$B$4&lt;=2028),IF(I106="fixedMonthDay",IF(AND(ISNUMBER(J106),ISNUMBER(K106),J106=INT(J106),K106=INT(K106),MONTH(DATE('Übersicht'!$B$4,J106,K106))=J106,DAY(DATE('Übersicht'!$B$4,J106,K106))=K106),DATE('Übersicht'!$B$4,J106,K106),NA()),IF(I106="easterOffsetDays",IF(AND(ISNUMBER(L106),L106=INT(L106),ABS(L106)&lt;=366),$AB$23+L106,NA()),IF(I106="nthWeekdayOfMonth",IF(AND(ISNUMBER(J106),ISNUMBER(M106),ISNUMBER(N106),J106=INT(J106),M106=INT(M106),N106=INT(N106),J106&gt;=1,J106&lt;=12,M106&gt;=1,M106&lt;=7,N106&gt;=1,N106&lt;=5,MONTH(DATE('Übersicht'!$B$4,J106,1)+MOD(M106-WEEKDAY(DATE('Übersicht'!$B$4,J106,1),2),7)+7*(N106-1))=J106),DATE('Übersicht'!$B$4,J106,1)+MOD(M106-WEEKDAY(DATE('Übersicht'!$B$4,J106,1),2),7)+7*(N106-1),NA()),NA()))),NA())</f>
        <v>46600</v>
      </c>
      <c r="X106" t="n" s="73">
        <f>IF(AND(W106&gt;=O106,OR(P106="",W106&lt;=P106)),W106,"Ausserhalb Geltung")</f>
        <v>46600</v>
      </c>
      <c r="Y106" t="str" s="74">
        <v>SRC-TI-FEIERTAGE-843200</v>
      </c>
      <c r="Z106" t="str" s="74">
        <v>Art. 1</v>
      </c>
    </row>
    <row r="107" ht="42" customHeight="1">
      <c r="A107" t="str" s="71">
        <v>TI-CAL-DAY-ASSUMPTION</v>
      </c>
      <c r="B107" t="str" s="71">
        <v>CH-TI</v>
      </c>
      <c r="C107" t="str" s="71">
        <v>TI-OFFICIAL-ALL</v>
      </c>
      <c r="D107" t="str" s="76">
        <v>Mariä Himmelfahrt</v>
      </c>
      <c r="E107" t="str" s="76">
        <v>Assomption</v>
      </c>
      <c r="F107" t="str" s="77">
        <v>Assunzione</v>
      </c>
      <c r="G107" t="inlineStr" s="77">
        <is>
          <t>Nossadunna d’avust</t>
        </is>
      </c>
      <c r="H107" t="str" s="71">
        <v>publicHoliday</v>
      </c>
      <c r="I107" t="str" s="71">
        <v>fixedMonthDay</v>
      </c>
      <c r="J107" t="n" s="84">
        <v>8</v>
      </c>
      <c r="K107" t="n" s="84">
        <v>15</v>
      </c>
      <c r="L107" s="76"/>
      <c r="M107" s="76"/>
      <c r="N107" s="76"/>
      <c r="O107" t="n" s="85">
        <v>46023</v>
      </c>
      <c r="P107" s="85"/>
      <c r="Q107" t="n" s="76">
        <v>100</v>
      </c>
      <c r="R107" t="str" s="76">
        <v>open</v>
      </c>
      <c r="S107" s="71"/>
      <c r="T107" t="str" s="71">
        <v>add</v>
      </c>
      <c r="U107" s="71"/>
      <c r="V107" t="str" s="71">
        <v>blockedEffect</v>
      </c>
      <c r="W107" t="n" s="70">
        <f>IF(AND(ISNUMBER('Übersicht'!$B$4),'Übersicht'!$B$4=INT('Übersicht'!$B$4),'Übersicht'!$B$4&gt;=2026,'Übersicht'!$B$4&lt;=2028),IF(I107="fixedMonthDay",IF(AND(ISNUMBER(J107),ISNUMBER(K107),J107=INT(J107),K107=INT(K107),MONTH(DATE('Übersicht'!$B$4,J107,K107))=J107,DAY(DATE('Übersicht'!$B$4,J107,K107))=K107),DATE('Übersicht'!$B$4,J107,K107),NA()),IF(I107="easterOffsetDays",IF(AND(ISNUMBER(L107),L107=INT(L107),ABS(L107)&lt;=366),$AB$23+L107,NA()),IF(I107="nthWeekdayOfMonth",IF(AND(ISNUMBER(J107),ISNUMBER(M107),ISNUMBER(N107),J107=INT(J107),M107=INT(M107),N107=INT(N107),J107&gt;=1,J107&lt;=12,M107&gt;=1,M107&lt;=7,N107&gt;=1,N107&lt;=5,MONTH(DATE('Übersicht'!$B$4,J107,1)+MOD(M107-WEEKDAY(DATE('Übersicht'!$B$4,J107,1),2),7)+7*(N107-1))=J107),DATE('Übersicht'!$B$4,J107,1)+MOD(M107-WEEKDAY(DATE('Übersicht'!$B$4,J107,1),2),7)+7*(N107-1),NA()),NA()))),NA())</f>
        <v>46614</v>
      </c>
      <c r="X107" t="n" s="70">
        <f>IF(AND(W107&gt;=O107,OR(P107="",W107&lt;=P107)),W107,"Ausserhalb Geltung")</f>
        <v>46614</v>
      </c>
      <c r="Y107" t="str" s="71">
        <v>SRC-TI-FEIERTAGE-843200</v>
      </c>
      <c r="Z107" t="str" s="71">
        <v>Art. 1</v>
      </c>
    </row>
    <row r="108" ht="42" customHeight="1">
      <c r="A108" t="str" s="74">
        <v>TI-CAL-DAY-ALL-SAINTS</v>
      </c>
      <c r="B108" t="str" s="74">
        <v>CH-TI</v>
      </c>
      <c r="C108" t="str" s="74">
        <v>TI-OFFICIAL-ALL</v>
      </c>
      <c r="D108" t="str" s="78">
        <v>Allerheiligen</v>
      </c>
      <c r="E108" t="str" s="78">
        <v>Toussaint</v>
      </c>
      <c r="F108" t="str" s="79">
        <v>Ognissanti</v>
      </c>
      <c r="G108" t="inlineStr" s="79">
        <is>
          <t>Numnasontga</t>
        </is>
      </c>
      <c r="H108" t="str" s="74">
        <v>publicHoliday</v>
      </c>
      <c r="I108" t="str" s="74">
        <v>fixedMonthDay</v>
      </c>
      <c r="J108" t="n" s="86">
        <v>11</v>
      </c>
      <c r="K108" t="n" s="86">
        <v>1</v>
      </c>
      <c r="L108" s="78"/>
      <c r="M108" s="78"/>
      <c r="N108" s="78"/>
      <c r="O108" t="n" s="87">
        <v>46023</v>
      </c>
      <c r="P108" s="87"/>
      <c r="Q108" t="n" s="78">
        <v>100</v>
      </c>
      <c r="R108" t="str" s="78">
        <v>open</v>
      </c>
      <c r="S108" s="74"/>
      <c r="T108" t="str" s="74">
        <v>add</v>
      </c>
      <c r="U108" s="74"/>
      <c r="V108" t="str" s="74">
        <v>blockedEffect</v>
      </c>
      <c r="W108" t="n" s="73">
        <f>IF(AND(ISNUMBER('Übersicht'!$B$4),'Übersicht'!$B$4=INT('Übersicht'!$B$4),'Übersicht'!$B$4&gt;=2026,'Übersicht'!$B$4&lt;=2028),IF(I108="fixedMonthDay",IF(AND(ISNUMBER(J108),ISNUMBER(K108),J108=INT(J108),K108=INT(K108),MONTH(DATE('Übersicht'!$B$4,J108,K108))=J108,DAY(DATE('Übersicht'!$B$4,J108,K108))=K108),DATE('Übersicht'!$B$4,J108,K108),NA()),IF(I108="easterOffsetDays",IF(AND(ISNUMBER(L108),L108=INT(L108),ABS(L108)&lt;=366),$AB$23+L108,NA()),IF(I108="nthWeekdayOfMonth",IF(AND(ISNUMBER(J108),ISNUMBER(M108),ISNUMBER(N108),J108=INT(J108),M108=INT(M108),N108=INT(N108),J108&gt;=1,J108&lt;=12,M108&gt;=1,M108&lt;=7,N108&gt;=1,N108&lt;=5,MONTH(DATE('Übersicht'!$B$4,J108,1)+MOD(M108-WEEKDAY(DATE('Übersicht'!$B$4,J108,1),2),7)+7*(N108-1))=J108),DATE('Übersicht'!$B$4,J108,1)+MOD(M108-WEEKDAY(DATE('Übersicht'!$B$4,J108,1),2),7)+7*(N108-1),NA()),NA()))),NA())</f>
        <v>46692</v>
      </c>
      <c r="X108" t="n" s="73">
        <f>IF(AND(W108&gt;=O108,OR(P108="",W108&lt;=P108)),W108,"Ausserhalb Geltung")</f>
        <v>46692</v>
      </c>
      <c r="Y108" t="str" s="74">
        <v>SRC-TI-FEIERTAGE-843200</v>
      </c>
      <c r="Z108" t="str" s="74">
        <v>Art. 1</v>
      </c>
    </row>
    <row r="109" ht="42" customHeight="1">
      <c r="A109" t="str" s="71">
        <v>TI-CAL-DAY-IMMACULATE-CONCEPTION</v>
      </c>
      <c r="B109" t="str" s="71">
        <v>CH-TI</v>
      </c>
      <c r="C109" t="str" s="71">
        <v>TI-OFFICIAL-ALL</v>
      </c>
      <c r="D109" t="str" s="76">
        <v>Mariä Empfängnis</v>
      </c>
      <c r="E109" t="str" s="76">
        <v>Immaculée Conception</v>
      </c>
      <c r="F109" t="str" s="77">
        <v>Immacolata</v>
      </c>
      <c r="G109" t="inlineStr" s="77">
        <is>
          <t>Immaculada concepziun da Maria</t>
        </is>
      </c>
      <c r="H109" t="str" s="71">
        <v>publicHoliday</v>
      </c>
      <c r="I109" t="str" s="71">
        <v>fixedMonthDay</v>
      </c>
      <c r="J109" t="n" s="84">
        <v>12</v>
      </c>
      <c r="K109" t="n" s="84">
        <v>8</v>
      </c>
      <c r="L109" s="76"/>
      <c r="M109" s="76"/>
      <c r="N109" s="76"/>
      <c r="O109" t="n" s="85">
        <v>46023</v>
      </c>
      <c r="P109" s="85"/>
      <c r="Q109" t="n" s="76">
        <v>100</v>
      </c>
      <c r="R109" t="str" s="76">
        <v>open</v>
      </c>
      <c r="S109" s="71"/>
      <c r="T109" t="str" s="71">
        <v>add</v>
      </c>
      <c r="U109" s="71"/>
      <c r="V109" t="str" s="71">
        <v>blockedEffect</v>
      </c>
      <c r="W109" t="n" s="70">
        <f>IF(AND(ISNUMBER('Übersicht'!$B$4),'Übersicht'!$B$4=INT('Übersicht'!$B$4),'Übersicht'!$B$4&gt;=2026,'Übersicht'!$B$4&lt;=2028),IF(I109="fixedMonthDay",IF(AND(ISNUMBER(J109),ISNUMBER(K109),J109=INT(J109),K109=INT(K109),MONTH(DATE('Übersicht'!$B$4,J109,K109))=J109,DAY(DATE('Übersicht'!$B$4,J109,K109))=K109),DATE('Übersicht'!$B$4,J109,K109),NA()),IF(I109="easterOffsetDays",IF(AND(ISNUMBER(L109),L109=INT(L109),ABS(L109)&lt;=366),$AB$23+L109,NA()),IF(I109="nthWeekdayOfMonth",IF(AND(ISNUMBER(J109),ISNUMBER(M109),ISNUMBER(N109),J109=INT(J109),M109=INT(M109),N109=INT(N109),J109&gt;=1,J109&lt;=12,M109&gt;=1,M109&lt;=7,N109&gt;=1,N109&lt;=5,MONTH(DATE('Übersicht'!$B$4,J109,1)+MOD(M109-WEEKDAY(DATE('Übersicht'!$B$4,J109,1),2),7)+7*(N109-1))=J109),DATE('Übersicht'!$B$4,J109,1)+MOD(M109-WEEKDAY(DATE('Übersicht'!$B$4,J109,1),2),7)+7*(N109-1),NA()),NA()))),NA())</f>
        <v>46729</v>
      </c>
      <c r="X109" t="n" s="70">
        <f>IF(AND(W109&gt;=O109,OR(P109="",W109&lt;=P109)),W109,"Ausserhalb Geltung")</f>
        <v>46729</v>
      </c>
      <c r="Y109" t="str" s="71">
        <v>SRC-TI-FEIERTAGE-843200</v>
      </c>
      <c r="Z109" t="str" s="71">
        <v>Art. 1</v>
      </c>
    </row>
    <row r="110" ht="42" customHeight="1">
      <c r="A110" t="str" s="74">
        <v>TI-CAL-DAY-CHRISTMAS</v>
      </c>
      <c r="B110" t="str" s="74">
        <v>CH-TI</v>
      </c>
      <c r="C110" t="str" s="74">
        <v>TI-OFFICIAL-ALL</v>
      </c>
      <c r="D110" t="str" s="78">
        <v>Weihnachten</v>
      </c>
      <c r="E110" t="str" s="78">
        <v>Noël</v>
      </c>
      <c r="F110" t="str" s="79">
        <v>Natale</v>
      </c>
      <c r="G110" t="str" s="79">
        <v>Di da Nadal</v>
      </c>
      <c r="H110" t="str" s="74">
        <v>publicHoliday</v>
      </c>
      <c r="I110" t="str" s="74">
        <v>fixedMonthDay</v>
      </c>
      <c r="J110" t="n" s="86">
        <v>12</v>
      </c>
      <c r="K110" t="n" s="86">
        <v>25</v>
      </c>
      <c r="L110" s="78"/>
      <c r="M110" s="78"/>
      <c r="N110" s="78"/>
      <c r="O110" t="n" s="87">
        <v>46023</v>
      </c>
      <c r="P110" s="87"/>
      <c r="Q110" t="n" s="78">
        <v>100</v>
      </c>
      <c r="R110" t="str" s="78">
        <v>open</v>
      </c>
      <c r="S110" s="74"/>
      <c r="T110" t="str" s="74">
        <v>add</v>
      </c>
      <c r="U110" s="74"/>
      <c r="V110" t="str" s="74">
        <v>blockedEffect</v>
      </c>
      <c r="W110" t="n" s="73">
        <f>IF(AND(ISNUMBER('Übersicht'!$B$4),'Übersicht'!$B$4=INT('Übersicht'!$B$4),'Übersicht'!$B$4&gt;=2026,'Übersicht'!$B$4&lt;=2028),IF(I110="fixedMonthDay",IF(AND(ISNUMBER(J110),ISNUMBER(K110),J110=INT(J110),K110=INT(K110),MONTH(DATE('Übersicht'!$B$4,J110,K110))=J110,DAY(DATE('Übersicht'!$B$4,J110,K110))=K110),DATE('Übersicht'!$B$4,J110,K110),NA()),IF(I110="easterOffsetDays",IF(AND(ISNUMBER(L110),L110=INT(L110),ABS(L110)&lt;=366),$AB$23+L110,NA()),IF(I110="nthWeekdayOfMonth",IF(AND(ISNUMBER(J110),ISNUMBER(M110),ISNUMBER(N110),J110=INT(J110),M110=INT(M110),N110=INT(N110),J110&gt;=1,J110&lt;=12,M110&gt;=1,M110&lt;=7,N110&gt;=1,N110&lt;=5,MONTH(DATE('Übersicht'!$B$4,J110,1)+MOD(M110-WEEKDAY(DATE('Übersicht'!$B$4,J110,1),2),7)+7*(N110-1))=J110),DATE('Übersicht'!$B$4,J110,1)+MOD(M110-WEEKDAY(DATE('Übersicht'!$B$4,J110,1),2),7)+7*(N110-1),NA()),NA()))),NA())</f>
        <v>46746</v>
      </c>
      <c r="X110" t="n" s="73">
        <f>IF(AND(W110&gt;=O110,OR(P110="",W110&lt;=P110)),W110,"Ausserhalb Geltung")</f>
        <v>46746</v>
      </c>
      <c r="Y110" t="str" s="74">
        <v>SRC-TI-FEIERTAGE-843200</v>
      </c>
      <c r="Z110" t="str" s="74">
        <v>Art. 1</v>
      </c>
    </row>
    <row r="111" ht="42" customHeight="1">
      <c r="A111" t="str" s="71">
        <v>TI-CAL-DAY-ST-STEPHEN</v>
      </c>
      <c r="B111" t="str" s="71">
        <v>CH-TI</v>
      </c>
      <c r="C111" t="str" s="71">
        <v>TI-OFFICIAL-ALL</v>
      </c>
      <c r="D111" t="str" s="76">
        <v>Stephanstag</v>
      </c>
      <c r="E111" t="str" s="76">
        <v>Saint-Étienne</v>
      </c>
      <c r="F111" t="str" s="77">
        <v>Santo Stefano</v>
      </c>
      <c r="G111" t="str" s="77">
        <v>Son Steffan</v>
      </c>
      <c r="H111" t="str" s="71">
        <v>publicHoliday</v>
      </c>
      <c r="I111" t="str" s="71">
        <v>fixedMonthDay</v>
      </c>
      <c r="J111" t="n" s="84">
        <v>12</v>
      </c>
      <c r="K111" t="n" s="84">
        <v>26</v>
      </c>
      <c r="L111" s="76"/>
      <c r="M111" s="76"/>
      <c r="N111" s="76"/>
      <c r="O111" t="n" s="85">
        <v>46023</v>
      </c>
      <c r="P111" s="85"/>
      <c r="Q111" t="n" s="76">
        <v>100</v>
      </c>
      <c r="R111" t="str" s="76">
        <v>open</v>
      </c>
      <c r="S111" s="71"/>
      <c r="T111" t="str" s="71">
        <v>add</v>
      </c>
      <c r="U111" s="71"/>
      <c r="V111" t="str" s="71">
        <v>blockedEffect</v>
      </c>
      <c r="W111" t="n" s="70">
        <f>IF(AND(ISNUMBER('Übersicht'!$B$4),'Übersicht'!$B$4=INT('Übersicht'!$B$4),'Übersicht'!$B$4&gt;=2026,'Übersicht'!$B$4&lt;=2028),IF(I111="fixedMonthDay",IF(AND(ISNUMBER(J111),ISNUMBER(K111),J111=INT(J111),K111=INT(K111),MONTH(DATE('Übersicht'!$B$4,J111,K111))=J111,DAY(DATE('Übersicht'!$B$4,J111,K111))=K111),DATE('Übersicht'!$B$4,J111,K111),NA()),IF(I111="easterOffsetDays",IF(AND(ISNUMBER(L111),L111=INT(L111),ABS(L111)&lt;=366),$AB$23+L111,NA()),IF(I111="nthWeekdayOfMonth",IF(AND(ISNUMBER(J111),ISNUMBER(M111),ISNUMBER(N111),J111=INT(J111),M111=INT(M111),N111=INT(N111),J111&gt;=1,J111&lt;=12,M111&gt;=1,M111&lt;=7,N111&gt;=1,N111&lt;=5,MONTH(DATE('Übersicht'!$B$4,J111,1)+MOD(M111-WEEKDAY(DATE('Übersicht'!$B$4,J111,1),2),7)+7*(N111-1))=J111),DATE('Übersicht'!$B$4,J111,1)+MOD(M111-WEEKDAY(DATE('Übersicht'!$B$4,J111,1),2),7)+7*(N111-1),NA()),NA()))),NA())</f>
        <v>46747</v>
      </c>
      <c r="X111" t="n" s="70">
        <f>IF(AND(W111&gt;=O111,OR(P111="",W111&lt;=P111)),W111,"Ausserhalb Geltung")</f>
        <v>46747</v>
      </c>
      <c r="Y111" t="str" s="71">
        <v>SRC-TI-FEIERTAGE-843200</v>
      </c>
      <c r="Z111" t="str" s="71">
        <v>Art. 1</v>
      </c>
    </row>
    <row r="112" ht="42" customHeight="1">
      <c r="A112" t="str" s="74">
        <v>GR-CAL-DAY-NEW-YEAR</v>
      </c>
      <c r="B112" t="str" s="74">
        <v>CH-GR</v>
      </c>
      <c r="C112" t="str" s="74">
        <v>GR-PUBLIC-ALL</v>
      </c>
      <c r="D112" t="str" s="78">
        <v>Neujahr</v>
      </c>
      <c r="E112" t="str" s="78">
        <v>Nouvel An</v>
      </c>
      <c r="F112" t="str" s="79">
        <v>Capodanno</v>
      </c>
      <c r="G112" t="str" s="79">
        <v>Bumaun</v>
      </c>
      <c r="H112" t="str" s="74">
        <v>publicHoliday</v>
      </c>
      <c r="I112" t="str" s="74">
        <v>fixedMonthDay</v>
      </c>
      <c r="J112" t="n" s="86">
        <v>1</v>
      </c>
      <c r="K112" t="n" s="86">
        <v>1</v>
      </c>
      <c r="L112" s="78"/>
      <c r="M112" s="78"/>
      <c r="N112" s="78"/>
      <c r="O112" t="n" s="87">
        <v>46023</v>
      </c>
      <c r="P112" s="87"/>
      <c r="Q112" t="n" s="78">
        <v>100</v>
      </c>
      <c r="R112" t="str" s="78">
        <v>open</v>
      </c>
      <c r="S112" s="74"/>
      <c r="T112" t="str" s="74">
        <v>add</v>
      </c>
      <c r="U112" s="74"/>
      <c r="V112" t="str" s="74">
        <v>blockedEffect</v>
      </c>
      <c r="W112" t="n" s="73">
        <f>IF(AND(ISNUMBER('Übersicht'!$B$4),'Übersicht'!$B$4=INT('Übersicht'!$B$4),'Übersicht'!$B$4&gt;=2026,'Übersicht'!$B$4&lt;=2028),IF(I112="fixedMonthDay",IF(AND(ISNUMBER(J112),ISNUMBER(K112),J112=INT(J112),K112=INT(K112),MONTH(DATE('Übersicht'!$B$4,J112,K112))=J112,DAY(DATE('Übersicht'!$B$4,J112,K112))=K112),DATE('Übersicht'!$B$4,J112,K112),NA()),IF(I112="easterOffsetDays",IF(AND(ISNUMBER(L112),L112=INT(L112),ABS(L112)&lt;=366),$AB$23+L112,NA()),IF(I112="nthWeekdayOfMonth",IF(AND(ISNUMBER(J112),ISNUMBER(M112),ISNUMBER(N112),J112=INT(J112),M112=INT(M112),N112=INT(N112),J112&gt;=1,J112&lt;=12,M112&gt;=1,M112&lt;=7,N112&gt;=1,N112&lt;=5,MONTH(DATE('Übersicht'!$B$4,J112,1)+MOD(M112-WEEKDAY(DATE('Übersicht'!$B$4,J112,1),2),7)+7*(N112-1))=J112),DATE('Übersicht'!$B$4,J112,1)+MOD(M112-WEEKDAY(DATE('Übersicht'!$B$4,J112,1),2),7)+7*(N112-1),NA()),NA()))),NA())</f>
        <v>46388</v>
      </c>
      <c r="X112" t="n" s="73">
        <f>IF(AND(W112&gt;=O112,OR(P112="",W112&lt;=P112)),W112,"Ausserhalb Geltung")</f>
        <v>46388</v>
      </c>
      <c r="Y112" t="str" s="74">
        <v>SRC-GR-RUHETAGE-520100-20160101</v>
      </c>
      <c r="Z112" t="str" s="74">
        <v>Art. 2 Abs. 1 Bst. b</v>
      </c>
    </row>
    <row r="113" ht="42" customHeight="1">
      <c r="A113" t="str" s="71">
        <v>GR-CAL-DAY-GOOD-FRIDAY</v>
      </c>
      <c r="B113" t="str" s="71">
        <v>CH-GR</v>
      </c>
      <c r="C113" t="str" s="71">
        <v>GR-PUBLIC-ALL</v>
      </c>
      <c r="D113" t="str" s="76">
        <v>Karfreitag</v>
      </c>
      <c r="E113" t="str" s="76">
        <v>Vendredi saint</v>
      </c>
      <c r="F113" t="str" s="77">
        <v>Venerdì Santo</v>
      </c>
      <c r="G113" t="str" s="77">
        <v>Venderdi sontg</v>
      </c>
      <c r="H113" t="str" s="71">
        <v>publicHoliday</v>
      </c>
      <c r="I113" t="str" s="71">
        <v>easterOffsetDays</v>
      </c>
      <c r="J113" s="84"/>
      <c r="K113" s="84"/>
      <c r="L113" t="n" s="76">
        <v>-2</v>
      </c>
      <c r="M113" s="76"/>
      <c r="N113" s="76"/>
      <c r="O113" t="n" s="85">
        <v>46023</v>
      </c>
      <c r="P113" s="85"/>
      <c r="Q113" t="n" s="76">
        <v>100</v>
      </c>
      <c r="R113" t="str" s="76">
        <v>open</v>
      </c>
      <c r="S113" s="71"/>
      <c r="T113" t="str" s="71">
        <v>add</v>
      </c>
      <c r="U113" s="71"/>
      <c r="V113" t="str" s="71">
        <v>blockedEffect</v>
      </c>
      <c r="W113" t="n" s="70">
        <f>IF(AND(ISNUMBER('Übersicht'!$B$4),'Übersicht'!$B$4=INT('Übersicht'!$B$4),'Übersicht'!$B$4&gt;=2026,'Übersicht'!$B$4&lt;=2028),IF(I113="fixedMonthDay",IF(AND(ISNUMBER(J113),ISNUMBER(K113),J113=INT(J113),K113=INT(K113),MONTH(DATE('Übersicht'!$B$4,J113,K113))=J113,DAY(DATE('Übersicht'!$B$4,J113,K113))=K113),DATE('Übersicht'!$B$4,J113,K113),NA()),IF(I113="easterOffsetDays",IF(AND(ISNUMBER(L113),L113=INT(L113),ABS(L113)&lt;=366),$AB$23+L113,NA()),IF(I113="nthWeekdayOfMonth",IF(AND(ISNUMBER(J113),ISNUMBER(M113),ISNUMBER(N113),J113=INT(J113),M113=INT(M113),N113=INT(N113),J113&gt;=1,J113&lt;=12,M113&gt;=1,M113&lt;=7,N113&gt;=1,N113&lt;=5,MONTH(DATE('Übersicht'!$B$4,J113,1)+MOD(M113-WEEKDAY(DATE('Übersicht'!$B$4,J113,1),2),7)+7*(N113-1))=J113),DATE('Übersicht'!$B$4,J113,1)+MOD(M113-WEEKDAY(DATE('Übersicht'!$B$4,J113,1),2),7)+7*(N113-1),NA()),NA()))),NA())</f>
        <v>46472</v>
      </c>
      <c r="X113" t="n" s="70">
        <f>IF(AND(W113&gt;=O113,OR(P113="",W113&lt;=P113)),W113,"Ausserhalb Geltung")</f>
        <v>46472</v>
      </c>
      <c r="Y113" t="str" s="71">
        <v>SRC-GR-RUHETAGE-520100-20160101</v>
      </c>
      <c r="Z113" t="str" s="71">
        <v>Art. 2 Abs. 1 Bst. b und Abs. 2</v>
      </c>
    </row>
    <row r="114" ht="42" customHeight="1">
      <c r="A114" t="str" s="74">
        <v>GR-CAL-DAY-EASTER</v>
      </c>
      <c r="B114" t="str" s="74">
        <v>CH-GR</v>
      </c>
      <c r="C114" t="str" s="74">
        <v>GR-PUBLIC-ALL</v>
      </c>
      <c r="D114" t="str" s="78">
        <v>Ostersonntag</v>
      </c>
      <c r="E114" t="str" s="78">
        <v>Pâques</v>
      </c>
      <c r="F114" t="str" s="79">
        <v>Domenica di Pasqua</v>
      </c>
      <c r="G114" t="str" s="79">
        <v>Dumengia da Pasca</v>
      </c>
      <c r="H114" t="str" s="74">
        <v>publicHoliday</v>
      </c>
      <c r="I114" t="str" s="74">
        <v>easterOffsetDays</v>
      </c>
      <c r="J114" s="86"/>
      <c r="K114" s="86"/>
      <c r="L114" t="n" s="78">
        <v>0</v>
      </c>
      <c r="M114" s="78"/>
      <c r="N114" s="78"/>
      <c r="O114" t="n" s="87">
        <v>46023</v>
      </c>
      <c r="P114" s="87"/>
      <c r="Q114" t="n" s="78">
        <v>100</v>
      </c>
      <c r="R114" t="str" s="78">
        <v>open</v>
      </c>
      <c r="S114" s="74"/>
      <c r="T114" t="str" s="74">
        <v>add</v>
      </c>
      <c r="U114" s="74"/>
      <c r="V114" t="str" s="74">
        <v>blockedEffect</v>
      </c>
      <c r="W114" t="n" s="73">
        <f>IF(AND(ISNUMBER('Übersicht'!$B$4),'Übersicht'!$B$4=INT('Übersicht'!$B$4),'Übersicht'!$B$4&gt;=2026,'Übersicht'!$B$4&lt;=2028),IF(I114="fixedMonthDay",IF(AND(ISNUMBER(J114),ISNUMBER(K114),J114=INT(J114),K114=INT(K114),MONTH(DATE('Übersicht'!$B$4,J114,K114))=J114,DAY(DATE('Übersicht'!$B$4,J114,K114))=K114),DATE('Übersicht'!$B$4,J114,K114),NA()),IF(I114="easterOffsetDays",IF(AND(ISNUMBER(L114),L114=INT(L114),ABS(L114)&lt;=366),$AB$23+L114,NA()),IF(I114="nthWeekdayOfMonth",IF(AND(ISNUMBER(J114),ISNUMBER(M114),ISNUMBER(N114),J114=INT(J114),M114=INT(M114),N114=INT(N114),J114&gt;=1,J114&lt;=12,M114&gt;=1,M114&lt;=7,N114&gt;=1,N114&lt;=5,MONTH(DATE('Übersicht'!$B$4,J114,1)+MOD(M114-WEEKDAY(DATE('Übersicht'!$B$4,J114,1),2),7)+7*(N114-1))=J114),DATE('Übersicht'!$B$4,J114,1)+MOD(M114-WEEKDAY(DATE('Übersicht'!$B$4,J114,1),2),7)+7*(N114-1),NA()),NA()))),NA())</f>
        <v>46474</v>
      </c>
      <c r="X114" t="n" s="73">
        <f>IF(AND(W114&gt;=O114,OR(P114="",W114&lt;=P114)),W114,"Ausserhalb Geltung")</f>
        <v>46474</v>
      </c>
      <c r="Y114" t="str" s="74">
        <v>SRC-GR-RUHETAGE-520100-20160101</v>
      </c>
      <c r="Z114" t="str" s="74">
        <v>Art. 2 Abs. 2</v>
      </c>
    </row>
    <row r="115" ht="42" customHeight="1">
      <c r="A115" t="str" s="71">
        <v>GR-CAL-DAY-EASTER-MONDAY</v>
      </c>
      <c r="B115" t="str" s="71">
        <v>CH-GR</v>
      </c>
      <c r="C115" t="str" s="71">
        <v>GR-PUBLIC-ALL</v>
      </c>
      <c r="D115" t="str" s="76">
        <v>Ostermontag</v>
      </c>
      <c r="E115" t="str" s="76">
        <v>Lundi de Pâques</v>
      </c>
      <c r="F115" t="str" s="77">
        <v>Lunedì di Pasqua</v>
      </c>
      <c r="G115" t="str" s="77">
        <v>Glindesdi da Pasca</v>
      </c>
      <c r="H115" t="str" s="71">
        <v>publicHoliday</v>
      </c>
      <c r="I115" t="str" s="71">
        <v>easterOffsetDays</v>
      </c>
      <c r="J115" s="84"/>
      <c r="K115" s="84"/>
      <c r="L115" t="n" s="76">
        <v>1</v>
      </c>
      <c r="M115" s="76"/>
      <c r="N115" s="76"/>
      <c r="O115" t="n" s="85">
        <v>46023</v>
      </c>
      <c r="P115" s="85"/>
      <c r="Q115" t="n" s="76">
        <v>100</v>
      </c>
      <c r="R115" t="str" s="76">
        <v>open</v>
      </c>
      <c r="S115" s="71"/>
      <c r="T115" t="str" s="71">
        <v>add</v>
      </c>
      <c r="U115" s="71"/>
      <c r="V115" t="str" s="71">
        <v>blockedEffect</v>
      </c>
      <c r="W115" t="n" s="70">
        <f>IF(AND(ISNUMBER('Übersicht'!$B$4),'Übersicht'!$B$4=INT('Übersicht'!$B$4),'Übersicht'!$B$4&gt;=2026,'Übersicht'!$B$4&lt;=2028),IF(I115="fixedMonthDay",IF(AND(ISNUMBER(J115),ISNUMBER(K115),J115=INT(J115),K115=INT(K115),MONTH(DATE('Übersicht'!$B$4,J115,K115))=J115,DAY(DATE('Übersicht'!$B$4,J115,K115))=K115),DATE('Übersicht'!$B$4,J115,K115),NA()),IF(I115="easterOffsetDays",IF(AND(ISNUMBER(L115),L115=INT(L115),ABS(L115)&lt;=366),$AB$23+L115,NA()),IF(I115="nthWeekdayOfMonth",IF(AND(ISNUMBER(J115),ISNUMBER(M115),ISNUMBER(N115),J115=INT(J115),M115=INT(M115),N115=INT(N115),J115&gt;=1,J115&lt;=12,M115&gt;=1,M115&lt;=7,N115&gt;=1,N115&lt;=5,MONTH(DATE('Übersicht'!$B$4,J115,1)+MOD(M115-WEEKDAY(DATE('Übersicht'!$B$4,J115,1),2),7)+7*(N115-1))=J115),DATE('Übersicht'!$B$4,J115,1)+MOD(M115-WEEKDAY(DATE('Übersicht'!$B$4,J115,1),2),7)+7*(N115-1),NA()),NA()))),NA())</f>
        <v>46475</v>
      </c>
      <c r="X115" t="n" s="70">
        <f>IF(AND(W115&gt;=O115,OR(P115="",W115&lt;=P115)),W115,"Ausserhalb Geltung")</f>
        <v>46475</v>
      </c>
      <c r="Y115" t="str" s="71">
        <v>SRC-GR-RUHETAGE-520100-20160101</v>
      </c>
      <c r="Z115" t="str" s="71">
        <v>Art. 2 Abs. 1 Bst. b</v>
      </c>
    </row>
    <row r="116" ht="42" customHeight="1">
      <c r="A116" t="str" s="74">
        <v>GR-CAL-DAY-ASCENSION</v>
      </c>
      <c r="B116" t="str" s="74">
        <v>CH-GR</v>
      </c>
      <c r="C116" t="str" s="74">
        <v>GR-PUBLIC-ALL</v>
      </c>
      <c r="D116" t="str" s="78">
        <v>Auffahrt</v>
      </c>
      <c r="E116" t="str" s="78">
        <v>Ascension</v>
      </c>
      <c r="F116" t="str" s="79">
        <v>Ascensione</v>
      </c>
      <c r="G116" t="str" s="79">
        <v>Ascensiun</v>
      </c>
      <c r="H116" t="str" s="74">
        <v>publicHoliday</v>
      </c>
      <c r="I116" t="str" s="74">
        <v>easterOffsetDays</v>
      </c>
      <c r="J116" s="86"/>
      <c r="K116" s="86"/>
      <c r="L116" t="n" s="78">
        <v>39</v>
      </c>
      <c r="M116" s="78"/>
      <c r="N116" s="78"/>
      <c r="O116" t="n" s="87">
        <v>46023</v>
      </c>
      <c r="P116" s="87"/>
      <c r="Q116" t="n" s="78">
        <v>100</v>
      </c>
      <c r="R116" t="str" s="78">
        <v>open</v>
      </c>
      <c r="S116" s="74"/>
      <c r="T116" t="str" s="74">
        <v>add</v>
      </c>
      <c r="U116" s="74"/>
      <c r="V116" t="str" s="74">
        <v>blockedEffect</v>
      </c>
      <c r="W116" t="n" s="73">
        <f>IF(AND(ISNUMBER('Übersicht'!$B$4),'Übersicht'!$B$4=INT('Übersicht'!$B$4),'Übersicht'!$B$4&gt;=2026,'Übersicht'!$B$4&lt;=2028),IF(I116="fixedMonthDay",IF(AND(ISNUMBER(J116),ISNUMBER(K116),J116=INT(J116),K116=INT(K116),MONTH(DATE('Übersicht'!$B$4,J116,K116))=J116,DAY(DATE('Übersicht'!$B$4,J116,K116))=K116),DATE('Übersicht'!$B$4,J116,K116),NA()),IF(I116="easterOffsetDays",IF(AND(ISNUMBER(L116),L116=INT(L116),ABS(L116)&lt;=366),$AB$23+L116,NA()),IF(I116="nthWeekdayOfMonth",IF(AND(ISNUMBER(J116),ISNUMBER(M116),ISNUMBER(N116),J116=INT(J116),M116=INT(M116),N116=INT(N116),J116&gt;=1,J116&lt;=12,M116&gt;=1,M116&lt;=7,N116&gt;=1,N116&lt;=5,MONTH(DATE('Übersicht'!$B$4,J116,1)+MOD(M116-WEEKDAY(DATE('Übersicht'!$B$4,J116,1),2),7)+7*(N116-1))=J116),DATE('Übersicht'!$B$4,J116,1)+MOD(M116-WEEKDAY(DATE('Übersicht'!$B$4,J116,1),2),7)+7*(N116-1),NA()),NA()))),NA())</f>
        <v>46513</v>
      </c>
      <c r="X116" t="n" s="73">
        <f>IF(AND(W116&gt;=O116,OR(P116="",W116&lt;=P116)),W116,"Ausserhalb Geltung")</f>
        <v>46513</v>
      </c>
      <c r="Y116" t="str" s="74">
        <v>SRC-GR-RUHETAGE-520100-20160101</v>
      </c>
      <c r="Z116" t="str" s="74">
        <v>Art. 2 Abs. 1 Bst. b</v>
      </c>
    </row>
    <row r="117" ht="42" customHeight="1">
      <c r="A117" t="str" s="71">
        <v>GR-CAL-DAY-PENTECOST</v>
      </c>
      <c r="B117" t="str" s="71">
        <v>CH-GR</v>
      </c>
      <c r="C117" t="str" s="71">
        <v>GR-PUBLIC-ALL</v>
      </c>
      <c r="D117" t="str" s="76">
        <v>Pfingstsonntag</v>
      </c>
      <c r="E117" t="str" s="76">
        <v>Pentecôte</v>
      </c>
      <c r="F117" t="str" s="77">
        <v>Domenica di Pentecoste</v>
      </c>
      <c r="G117" t="str" s="77">
        <v>Dumengia da Tschuncaisma</v>
      </c>
      <c r="H117" t="str" s="71">
        <v>publicHoliday</v>
      </c>
      <c r="I117" t="str" s="71">
        <v>easterOffsetDays</v>
      </c>
      <c r="J117" s="84"/>
      <c r="K117" s="84"/>
      <c r="L117" t="n" s="76">
        <v>49</v>
      </c>
      <c r="M117" s="76"/>
      <c r="N117" s="76"/>
      <c r="O117" t="n" s="85">
        <v>46023</v>
      </c>
      <c r="P117" s="85"/>
      <c r="Q117" t="n" s="76">
        <v>100</v>
      </c>
      <c r="R117" t="str" s="76">
        <v>open</v>
      </c>
      <c r="S117" s="71"/>
      <c r="T117" t="str" s="71">
        <v>add</v>
      </c>
      <c r="U117" s="71"/>
      <c r="V117" t="str" s="71">
        <v>blockedEffect</v>
      </c>
      <c r="W117" t="n" s="70">
        <f>IF(AND(ISNUMBER('Übersicht'!$B$4),'Übersicht'!$B$4=INT('Übersicht'!$B$4),'Übersicht'!$B$4&gt;=2026,'Übersicht'!$B$4&lt;=2028),IF(I117="fixedMonthDay",IF(AND(ISNUMBER(J117),ISNUMBER(K117),J117=INT(J117),K117=INT(K117),MONTH(DATE('Übersicht'!$B$4,J117,K117))=J117,DAY(DATE('Übersicht'!$B$4,J117,K117))=K117),DATE('Übersicht'!$B$4,J117,K117),NA()),IF(I117="easterOffsetDays",IF(AND(ISNUMBER(L117),L117=INT(L117),ABS(L117)&lt;=366),$AB$23+L117,NA()),IF(I117="nthWeekdayOfMonth",IF(AND(ISNUMBER(J117),ISNUMBER(M117),ISNUMBER(N117),J117=INT(J117),M117=INT(M117),N117=INT(N117),J117&gt;=1,J117&lt;=12,M117&gt;=1,M117&lt;=7,N117&gt;=1,N117&lt;=5,MONTH(DATE('Übersicht'!$B$4,J117,1)+MOD(M117-WEEKDAY(DATE('Übersicht'!$B$4,J117,1),2),7)+7*(N117-1))=J117),DATE('Übersicht'!$B$4,J117,1)+MOD(M117-WEEKDAY(DATE('Übersicht'!$B$4,J117,1),2),7)+7*(N117-1),NA()),NA()))),NA())</f>
        <v>46523</v>
      </c>
      <c r="X117" t="n" s="70">
        <f>IF(AND(W117&gt;=O117,OR(P117="",W117&lt;=P117)),W117,"Ausserhalb Geltung")</f>
        <v>46523</v>
      </c>
      <c r="Y117" t="str" s="71">
        <v>SRC-GR-RUHETAGE-520100-20160101</v>
      </c>
      <c r="Z117" t="str" s="71">
        <v>Art. 2 Abs. 2</v>
      </c>
    </row>
    <row r="118" ht="42" customHeight="1">
      <c r="A118" t="str" s="74">
        <v>GR-CAL-DAY-WHIT-MONDAY</v>
      </c>
      <c r="B118" t="str" s="74">
        <v>CH-GR</v>
      </c>
      <c r="C118" t="str" s="74">
        <v>GR-PUBLIC-ALL</v>
      </c>
      <c r="D118" t="str" s="78">
        <v>Pfingstmontag</v>
      </c>
      <c r="E118" t="str" s="78">
        <v>Lundi de Pentecôte</v>
      </c>
      <c r="F118" t="str" s="79">
        <v>Lunedì di Pentecoste</v>
      </c>
      <c r="G118" t="str" s="79">
        <v>Glindesdi da Tschuncaisma</v>
      </c>
      <c r="H118" t="str" s="74">
        <v>publicHoliday</v>
      </c>
      <c r="I118" t="str" s="74">
        <v>easterOffsetDays</v>
      </c>
      <c r="J118" s="86"/>
      <c r="K118" s="86"/>
      <c r="L118" t="n" s="78">
        <v>50</v>
      </c>
      <c r="M118" s="78"/>
      <c r="N118" s="78"/>
      <c r="O118" t="n" s="87">
        <v>46023</v>
      </c>
      <c r="P118" s="87"/>
      <c r="Q118" t="n" s="78">
        <v>100</v>
      </c>
      <c r="R118" t="str" s="78">
        <v>open</v>
      </c>
      <c r="S118" s="74"/>
      <c r="T118" t="str" s="74">
        <v>add</v>
      </c>
      <c r="U118" s="74"/>
      <c r="V118" t="str" s="74">
        <v>blockedEffect</v>
      </c>
      <c r="W118" t="n" s="73">
        <f>IF(AND(ISNUMBER('Übersicht'!$B$4),'Übersicht'!$B$4=INT('Übersicht'!$B$4),'Übersicht'!$B$4&gt;=2026,'Übersicht'!$B$4&lt;=2028),IF(I118="fixedMonthDay",IF(AND(ISNUMBER(J118),ISNUMBER(K118),J118=INT(J118),K118=INT(K118),MONTH(DATE('Übersicht'!$B$4,J118,K118))=J118,DAY(DATE('Übersicht'!$B$4,J118,K118))=K118),DATE('Übersicht'!$B$4,J118,K118),NA()),IF(I118="easterOffsetDays",IF(AND(ISNUMBER(L118),L118=INT(L118),ABS(L118)&lt;=366),$AB$23+L118,NA()),IF(I118="nthWeekdayOfMonth",IF(AND(ISNUMBER(J118),ISNUMBER(M118),ISNUMBER(N118),J118=INT(J118),M118=INT(M118),N118=INT(N118),J118&gt;=1,J118&lt;=12,M118&gt;=1,M118&lt;=7,N118&gt;=1,N118&lt;=5,MONTH(DATE('Übersicht'!$B$4,J118,1)+MOD(M118-WEEKDAY(DATE('Übersicht'!$B$4,J118,1),2),7)+7*(N118-1))=J118),DATE('Übersicht'!$B$4,J118,1)+MOD(M118-WEEKDAY(DATE('Übersicht'!$B$4,J118,1),2),7)+7*(N118-1),NA()),NA()))),NA())</f>
        <v>46524</v>
      </c>
      <c r="X118" t="n" s="73">
        <f>IF(AND(W118&gt;=O118,OR(P118="",W118&lt;=P118)),W118,"Ausserhalb Geltung")</f>
        <v>46524</v>
      </c>
      <c r="Y118" t="str" s="74">
        <v>SRC-GR-RUHETAGE-520100-20160101</v>
      </c>
      <c r="Z118" t="str" s="74">
        <v>Art. 2 Abs. 1 Bst. b</v>
      </c>
    </row>
    <row r="119" ht="42" customHeight="1">
      <c r="A119" t="str" s="71">
        <v>GR-CAL-DAY-NATIONAL-DAY</v>
      </c>
      <c r="B119" t="str" s="71">
        <v>CH-GR</v>
      </c>
      <c r="C119" t="str" s="71">
        <v>GR-PUBLIC-ALL</v>
      </c>
      <c r="D119" t="str" s="76">
        <v>Bundesfeiertag</v>
      </c>
      <c r="E119" t="str" s="76">
        <v>Fête nationale</v>
      </c>
      <c r="F119" t="str" s="77">
        <v>Primo agosto</v>
      </c>
      <c r="G119" t="str" s="77">
        <v>Festa naziunala svizra</v>
      </c>
      <c r="H119" t="str" s="71">
        <v>publicHoliday</v>
      </c>
      <c r="I119" t="str" s="71">
        <v>fixedMonthDay</v>
      </c>
      <c r="J119" t="n" s="84">
        <v>8</v>
      </c>
      <c r="K119" t="n" s="84">
        <v>1</v>
      </c>
      <c r="L119" s="76"/>
      <c r="M119" s="76"/>
      <c r="N119" s="76"/>
      <c r="O119" t="n" s="85">
        <v>46023</v>
      </c>
      <c r="P119" s="85"/>
      <c r="Q119" t="n" s="76">
        <v>100</v>
      </c>
      <c r="R119" t="str" s="76">
        <v>open</v>
      </c>
      <c r="S119" s="71"/>
      <c r="T119" t="str" s="71">
        <v>add</v>
      </c>
      <c r="U119" s="71"/>
      <c r="V119" t="str" s="71">
        <v>blockedEffect</v>
      </c>
      <c r="W119" t="n" s="70">
        <f>IF(AND(ISNUMBER('Übersicht'!$B$4),'Übersicht'!$B$4=INT('Übersicht'!$B$4),'Übersicht'!$B$4&gt;=2026,'Übersicht'!$B$4&lt;=2028),IF(I119="fixedMonthDay",IF(AND(ISNUMBER(J119),ISNUMBER(K119),J119=INT(J119),K119=INT(K119),MONTH(DATE('Übersicht'!$B$4,J119,K119))=J119,DAY(DATE('Übersicht'!$B$4,J119,K119))=K119),DATE('Übersicht'!$B$4,J119,K119),NA()),IF(I119="easterOffsetDays",IF(AND(ISNUMBER(L119),L119=INT(L119),ABS(L119)&lt;=366),$AB$23+L119,NA()),IF(I119="nthWeekdayOfMonth",IF(AND(ISNUMBER(J119),ISNUMBER(M119),ISNUMBER(N119),J119=INT(J119),M119=INT(M119),N119=INT(N119),J119&gt;=1,J119&lt;=12,M119&gt;=1,M119&lt;=7,N119&gt;=1,N119&lt;=5,MONTH(DATE('Übersicht'!$B$4,J119,1)+MOD(M119-WEEKDAY(DATE('Übersicht'!$B$4,J119,1),2),7)+7*(N119-1))=J119),DATE('Übersicht'!$B$4,J119,1)+MOD(M119-WEEKDAY(DATE('Übersicht'!$B$4,J119,1),2),7)+7*(N119-1),NA()),NA()))),NA())</f>
        <v>46600</v>
      </c>
      <c r="X119" t="n" s="70">
        <f>IF(AND(W119&gt;=O119,OR(P119="",W119&lt;=P119)),W119,"Ausserhalb Geltung")</f>
        <v>46600</v>
      </c>
      <c r="Y119" t="str" s="71">
        <v>SRC-BUNDESFEIERTAG-19940701</v>
      </c>
      <c r="Z119" t="str" s="71">
        <v>Art. 1</v>
      </c>
    </row>
    <row r="120" ht="42" customHeight="1">
      <c r="A120" t="str" s="74">
        <v>GR-CAL-DAY-FEDERAL-FAST</v>
      </c>
      <c r="B120" t="str" s="74">
        <v>CH-GR</v>
      </c>
      <c r="C120" t="str" s="74">
        <v>GR-PUBLIC-ALL</v>
      </c>
      <c r="D120" t="str" s="78">
        <v>Eidgenössischer Bettag</v>
      </c>
      <c r="E120" t="str" s="78">
        <v>Jeûne fédéral</v>
      </c>
      <c r="F120" t="str" s="79">
        <v>Festa federale di preghiera</v>
      </c>
      <c r="G120" t="str" s="79">
        <v>Di da la rogaziun federala</v>
      </c>
      <c r="H120" t="str" s="74">
        <v>publicHoliday</v>
      </c>
      <c r="I120" t="str" s="74">
        <v>nthWeekdayOfMonth</v>
      </c>
      <c r="J120" t="n" s="86">
        <v>9</v>
      </c>
      <c r="K120" s="86"/>
      <c r="L120" s="78"/>
      <c r="M120" t="n" s="78">
        <v>7</v>
      </c>
      <c r="N120" t="n" s="78">
        <v>3</v>
      </c>
      <c r="O120" t="n" s="87">
        <v>46023</v>
      </c>
      <c r="P120" s="87"/>
      <c r="Q120" t="n" s="78">
        <v>100</v>
      </c>
      <c r="R120" t="str" s="78">
        <v>open</v>
      </c>
      <c r="S120" s="74"/>
      <c r="T120" t="str" s="74">
        <v>add</v>
      </c>
      <c r="U120" s="74"/>
      <c r="V120" t="str" s="74">
        <v>blockedEffect</v>
      </c>
      <c r="W120" t="n" s="73">
        <f>IF(AND(ISNUMBER('Übersicht'!$B$4),'Übersicht'!$B$4=INT('Übersicht'!$B$4),'Übersicht'!$B$4&gt;=2026,'Übersicht'!$B$4&lt;=2028),IF(I120="fixedMonthDay",IF(AND(ISNUMBER(J120),ISNUMBER(K120),J120=INT(J120),K120=INT(K120),MONTH(DATE('Übersicht'!$B$4,J120,K120))=J120,DAY(DATE('Übersicht'!$B$4,J120,K120))=K120),DATE('Übersicht'!$B$4,J120,K120),NA()),IF(I120="easterOffsetDays",IF(AND(ISNUMBER(L120),L120=INT(L120),ABS(L120)&lt;=366),$AB$23+L120,NA()),IF(I120="nthWeekdayOfMonth",IF(AND(ISNUMBER(J120),ISNUMBER(M120),ISNUMBER(N120),J120=INT(J120),M120=INT(M120),N120=INT(N120),J120&gt;=1,J120&lt;=12,M120&gt;=1,M120&lt;=7,N120&gt;=1,N120&lt;=5,MONTH(DATE('Übersicht'!$B$4,J120,1)+MOD(M120-WEEKDAY(DATE('Übersicht'!$B$4,J120,1),2),7)+7*(N120-1))=J120),DATE('Übersicht'!$B$4,J120,1)+MOD(M120-WEEKDAY(DATE('Übersicht'!$B$4,J120,1),2),7)+7*(N120-1),NA()),NA()))),NA())</f>
        <v>46649</v>
      </c>
      <c r="X120" t="n" s="73">
        <f>IF(AND(W120&gt;=O120,OR(P120="",W120&lt;=P120)),W120,"Ausserhalb Geltung")</f>
        <v>46649</v>
      </c>
      <c r="Y120" t="str" s="74">
        <v>SRC-GR-RUHETAGE-520100-20160101</v>
      </c>
      <c r="Z120" t="str" s="74">
        <v>Art. 2 Abs. 2</v>
      </c>
    </row>
    <row r="121" ht="42" customHeight="1">
      <c r="A121" t="str" s="71">
        <v>GR-CAL-DAY-CHRISTMAS</v>
      </c>
      <c r="B121" t="str" s="71">
        <v>CH-GR</v>
      </c>
      <c r="C121" t="str" s="71">
        <v>GR-PUBLIC-ALL</v>
      </c>
      <c r="D121" t="str" s="76">
        <v>Weihnachtstag</v>
      </c>
      <c r="E121" t="str" s="76">
        <v>Noël</v>
      </c>
      <c r="F121" t="str" s="77">
        <v>Natale</v>
      </c>
      <c r="G121" t="str" s="77">
        <v>Di da Nadal</v>
      </c>
      <c r="H121" t="str" s="71">
        <v>publicHoliday</v>
      </c>
      <c r="I121" t="str" s="71">
        <v>fixedMonthDay</v>
      </c>
      <c r="J121" t="n" s="84">
        <v>12</v>
      </c>
      <c r="K121" t="n" s="84">
        <v>25</v>
      </c>
      <c r="L121" s="76"/>
      <c r="M121" s="76"/>
      <c r="N121" s="76"/>
      <c r="O121" t="n" s="85">
        <v>46023</v>
      </c>
      <c r="P121" s="85"/>
      <c r="Q121" t="n" s="76">
        <v>100</v>
      </c>
      <c r="R121" t="str" s="76">
        <v>open</v>
      </c>
      <c r="S121" s="71"/>
      <c r="T121" t="str" s="71">
        <v>add</v>
      </c>
      <c r="U121" s="71"/>
      <c r="V121" t="str" s="71">
        <v>blockedEffect</v>
      </c>
      <c r="W121" t="n" s="70">
        <f>IF(AND(ISNUMBER('Übersicht'!$B$4),'Übersicht'!$B$4=INT('Übersicht'!$B$4),'Übersicht'!$B$4&gt;=2026,'Übersicht'!$B$4&lt;=2028),IF(I121="fixedMonthDay",IF(AND(ISNUMBER(J121),ISNUMBER(K121),J121=INT(J121),K121=INT(K121),MONTH(DATE('Übersicht'!$B$4,J121,K121))=J121,DAY(DATE('Übersicht'!$B$4,J121,K121))=K121),DATE('Übersicht'!$B$4,J121,K121),NA()),IF(I121="easterOffsetDays",IF(AND(ISNUMBER(L121),L121=INT(L121),ABS(L121)&lt;=366),$AB$23+L121,NA()),IF(I121="nthWeekdayOfMonth",IF(AND(ISNUMBER(J121),ISNUMBER(M121),ISNUMBER(N121),J121=INT(J121),M121=INT(M121),N121=INT(N121),J121&gt;=1,J121&lt;=12,M121&gt;=1,M121&lt;=7,N121&gt;=1,N121&lt;=5,MONTH(DATE('Übersicht'!$B$4,J121,1)+MOD(M121-WEEKDAY(DATE('Übersicht'!$B$4,J121,1),2),7)+7*(N121-1))=J121),DATE('Übersicht'!$B$4,J121,1)+MOD(M121-WEEKDAY(DATE('Übersicht'!$B$4,J121,1),2),7)+7*(N121-1),NA()),NA()))),NA())</f>
        <v>46746</v>
      </c>
      <c r="X121" t="n" s="70">
        <f>IF(AND(W121&gt;=O121,OR(P121="",W121&lt;=P121)),W121,"Ausserhalb Geltung")</f>
        <v>46746</v>
      </c>
      <c r="Y121" t="str" s="71">
        <v>SRC-GR-RUHETAGE-520100-20160101</v>
      </c>
      <c r="Z121" t="str" s="71">
        <v>Art. 2 Abs. 1 Bst. b und Abs. 2</v>
      </c>
    </row>
    <row r="122" ht="42" customHeight="1">
      <c r="A122" t="str" s="74">
        <v>GR-CAL-DAY-ST-STEPHEN</v>
      </c>
      <c r="B122" t="str" s="74">
        <v>CH-GR</v>
      </c>
      <c r="C122" t="str" s="74">
        <v>GR-PUBLIC-ALL</v>
      </c>
      <c r="D122" t="str" s="78">
        <v>Stefanstag</v>
      </c>
      <c r="E122" t="str" s="78">
        <v>Saint-Étienne</v>
      </c>
      <c r="F122" t="str" s="79">
        <v>Santo Stefano</v>
      </c>
      <c r="G122" t="str" s="79">
        <v>Son Steffan</v>
      </c>
      <c r="H122" t="str" s="74">
        <v>publicHoliday</v>
      </c>
      <c r="I122" t="str" s="74">
        <v>fixedMonthDay</v>
      </c>
      <c r="J122" t="n" s="86">
        <v>12</v>
      </c>
      <c r="K122" t="n" s="86">
        <v>26</v>
      </c>
      <c r="L122" s="78"/>
      <c r="M122" s="78"/>
      <c r="N122" s="78"/>
      <c r="O122" t="n" s="87">
        <v>46023</v>
      </c>
      <c r="P122" s="87"/>
      <c r="Q122" t="n" s="78">
        <v>100</v>
      </c>
      <c r="R122" t="str" s="78">
        <v>open</v>
      </c>
      <c r="S122" s="74"/>
      <c r="T122" t="str" s="74">
        <v>add</v>
      </c>
      <c r="U122" s="74"/>
      <c r="V122" t="str" s="74">
        <v>blockedEffect</v>
      </c>
      <c r="W122" t="n" s="73">
        <f>IF(AND(ISNUMBER('Übersicht'!$B$4),'Übersicht'!$B$4=INT('Übersicht'!$B$4),'Übersicht'!$B$4&gt;=2026,'Übersicht'!$B$4&lt;=2028),IF(I122="fixedMonthDay",IF(AND(ISNUMBER(J122),ISNUMBER(K122),J122=INT(J122),K122=INT(K122),MONTH(DATE('Übersicht'!$B$4,J122,K122))=J122,DAY(DATE('Übersicht'!$B$4,J122,K122))=K122),DATE('Übersicht'!$B$4,J122,K122),NA()),IF(I122="easterOffsetDays",IF(AND(ISNUMBER(L122),L122=INT(L122),ABS(L122)&lt;=366),$AB$23+L122,NA()),IF(I122="nthWeekdayOfMonth",IF(AND(ISNUMBER(J122),ISNUMBER(M122),ISNUMBER(N122),J122=INT(J122),M122=INT(M122),N122=INT(N122),J122&gt;=1,J122&lt;=12,M122&gt;=1,M122&lt;=7,N122&gt;=1,N122&lt;=5,MONTH(DATE('Übersicht'!$B$4,J122,1)+MOD(M122-WEEKDAY(DATE('Übersicht'!$B$4,J122,1),2),7)+7*(N122-1))=J122),DATE('Übersicht'!$B$4,J122,1)+MOD(M122-WEEKDAY(DATE('Übersicht'!$B$4,J122,1),2),7)+7*(N122-1),NA()),NA()))),NA())</f>
        <v>46747</v>
      </c>
      <c r="X122" t="n" s="73">
        <f>IF(AND(W122&gt;=O122,OR(P122="",W122&lt;=P122)),W122,"Ausserhalb Geltung")</f>
        <v>46747</v>
      </c>
      <c r="Y122" t="str" s="74">
        <v>SRC-GR-RUHETAGE-520100-20160101</v>
      </c>
      <c r="Z122" t="str" s="74">
        <v>Art. 2 Abs. 1 Bst. b</v>
      </c>
    </row>
  </sheetData>
  <sheetProtection sheet="1" objects="1" scenarios="1" autoFilter="0" sort="0" selectLockedCells="0" selectUnlockedCells="0"/>
  <conditionalFormatting sqref="R7:R122">
    <cfRule type="containsText" dxfId="2" priority="1" operator="containsText" text="open"/>
    <cfRule type="containsText" dxfId="3" priority="2" operator="containsText" text="blocked"/>
  </conditionalFormatting>
  <conditionalFormatting sqref="F7:F122">
    <cfRule type="containsBlanks" dxfId="14" priority="3"/>
  </conditionalFormatting>
  <conditionalFormatting sqref="G7:G122">
    <cfRule type="containsBlanks" dxfId="15" priority="4"/>
  </conditionalFormatting>
  <dataValidations count="3">
    <dataValidation type="list" sqref="R7:R122">
      <formula1>"approved,open,blocked"</formula1>
    </dataValidation>
    <dataValidation type="list" sqref="I7:I122">
      <formula1>"fixedMonthDay,easterOffsetDays,nthWeekdayOfMonth"</formula1>
    </dataValidation>
    <dataValidation type="list" sqref="H7:H122">
      <formula1>"publicHoliday,labourLawHoliday,proceduralEquivalentDay"</formula1>
    </dataValidation>
  </dataValidations>
  <pageMargins left="0.7" right="0.7" top="0.75" bottom="0.75" header="0.3" footer="0.3"/>
  <tableParts count="1">
    <tablePart ns1:id="R0bab3cd1dad14de2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31" hidden="0" customWidth="1"/>
    <col min="2" max="2" width="16" hidden="0" customWidth="1"/>
    <col min="3" max="3" width="38" hidden="0" customWidth="1"/>
    <col min="4" max="4" width="32" hidden="0" customWidth="1"/>
    <col min="5" max="5" width="32" hidden="0" customWidth="1"/>
    <col min="6" max="6" width="32" hidden="0" customWidth="1"/>
    <col min="7" max="7" width="22" hidden="0" customWidth="1"/>
    <col min="8" max="8" width="62" hidden="0" customWidth="1"/>
    <col min="9" max="9" width="40" hidden="0" customWidth="1"/>
    <col min="10" max="10" width="35" hidden="0" customWidth="1"/>
    <col min="11" max="11" width="16" hidden="0" customWidth="1"/>
    <col min="12" max="12" width="16" hidden="0" customWidth="1"/>
    <col min="13" max="13" width="16" hidden="0" customWidth="1"/>
  </cols>
  <sheetData>
    <row r="1" ht="24" customHeight="1">
      <c r="A1" s="60"/>
      <c r="B1" s="60"/>
      <c r="C1" s="60"/>
      <c r="G1" s="60"/>
      <c r="H1" s="60"/>
      <c r="I1" s="60"/>
      <c r="J1" s="60"/>
      <c r="K1" s="60"/>
      <c r="L1" s="60"/>
      <c r="M1" s="60"/>
    </row>
    <row r="2" ht="24" customHeight="1">
      <c r="A2" s="61" t="str">
        <v>Räumliche Geltungsbereiche</v>
      </c>
      <c r="B2" s="60"/>
      <c r="C2" s="60"/>
      <c r="G2" s="60"/>
      <c r="H2" s="60"/>
      <c r="I2" s="60"/>
      <c r="J2" s="60"/>
      <c r="K2" s="60"/>
      <c r="L2" s="60"/>
      <c r="M2" s="60"/>
    </row>
    <row r="3" ht="24" customHeight="1">
      <c r="A3" s="62"/>
      <c r="B3" s="62"/>
      <c r="C3" s="62"/>
      <c r="G3" s="62"/>
      <c r="H3" s="62"/>
      <c r="I3" s="62"/>
      <c r="J3" s="62"/>
      <c r="K3" s="62"/>
      <c r="L3" s="62"/>
      <c r="M3" s="62"/>
    </row>
    <row r="4" ht="24" customHeight="1">
      <c r="A4" s="67" t="str">
        <v>Gemeinden und Bezirke konkretisieren kantonales Recht. Keine Geodaten und kein eigenständiges kommunales Feiertagsrecht.</v>
      </c>
      <c r="B4" s="60"/>
      <c r="C4" s="60"/>
      <c r="G4" s="60"/>
      <c r="H4" s="60"/>
      <c r="I4" s="60"/>
      <c r="J4" s="60"/>
      <c r="K4" s="60"/>
      <c r="L4" s="60"/>
      <c r="M4" s="60"/>
    </row>
    <row r="5" ht="24" customHeight="1">
      <c r="A5" s="60"/>
      <c r="B5" s="60"/>
      <c r="C5" s="60"/>
      <c r="G5" s="60"/>
      <c r="H5" s="60"/>
      <c r="I5" s="60"/>
      <c r="J5" s="60"/>
      <c r="K5" s="60"/>
      <c r="L5" s="60"/>
      <c r="M5" s="60"/>
    </row>
    <row r="6" ht="42" customHeight="1">
      <c r="A6" s="68" t="str">
        <v>Geltungs-ID</v>
      </c>
      <c r="B6" s="68" t="str">
        <v>Gemeinwesen</v>
      </c>
      <c r="C6" s="68" t="str">
        <v>Gebiet</v>
      </c>
      <c r="D6" s="69" t="str">
        <v>Französisch</v>
      </c>
      <c r="E6" s="69" t="str">
        <v>Italienisch</v>
      </c>
      <c r="F6" s="69" t="str">
        <v>Rumantsch Grischun</v>
      </c>
      <c r="G6" s="68" t="str">
        <v>Gebietstyp</v>
      </c>
      <c r="H6" s="68" t="str">
        <v>Umfang / Grenze</v>
      </c>
      <c r="I6" s="68" t="str">
        <v>Quellen-ID</v>
      </c>
      <c r="J6" s="68" t="str">
        <v>Fundstelle</v>
      </c>
      <c r="K6" s="68" t="str">
        <v>Fachstatus</v>
      </c>
      <c r="L6" s="68" t="str">
        <v>Daten ab</v>
      </c>
      <c r="M6" s="68" t="str">
        <v>Daten bis</v>
      </c>
    </row>
    <row r="7" ht="38" customHeight="1">
      <c r="A7" s="71" t="str">
        <v>CH-ALL</v>
      </c>
      <c r="B7" s="71" t="str">
        <v>CH</v>
      </c>
      <c r="C7" s="71" t="str">
        <v>Bundesgebiet</v>
      </c>
      <c r="D7" s="77" t="str"/>
      <c r="E7" s="77" t="str"/>
      <c r="F7" s="77" t="str"/>
      <c r="G7" s="71" t="str">
        <v>National</v>
      </c>
      <c r="H7" s="71" t="str">
        <v>Bundesgebiet</v>
      </c>
      <c r="I7" s="71" t="str">
        <v>SRC-BUNDESFEIERTAG-19940701</v>
      </c>
      <c r="J7" s="71" t="str">
        <v>Art. 1</v>
      </c>
      <c r="K7" s="71" t="str">
        <v>approved</v>
      </c>
      <c r="L7" s="70" t="n">
        <v>34516</v>
      </c>
      <c r="M7" s="70"/>
    </row>
    <row r="8" ht="38" customHeight="1">
      <c r="A8" s="74" t="str">
        <v>BE-ALL</v>
      </c>
      <c r="B8" s="74" t="str">
        <v>CH-BE</v>
      </c>
      <c r="C8" s="74" t="str">
        <v>Kanton Bern</v>
      </c>
      <c r="D8" s="79" t="str"/>
      <c r="E8" s="79" t="str"/>
      <c r="F8" s="79" t="str"/>
      <c r="G8" s="74" t="str">
        <v>Kanton</v>
      </c>
      <c r="H8" s="74" t="str">
        <v>Gesamtes Kantonsgebiet</v>
      </c>
      <c r="I8" s="74" t="str">
        <v>SRC-FRG-BE-20210401</v>
      </c>
      <c r="J8" s="74" t="str">
        <v>Art. 2 Abs. 1</v>
      </c>
      <c r="K8" s="74" t="str">
        <v>approved</v>
      </c>
      <c r="L8" s="73" t="n">
        <v>46023</v>
      </c>
      <c r="M8" s="73"/>
    </row>
    <row r="9" ht="38" customHeight="1">
      <c r="A9" s="71" t="str">
        <v>AG-ARG-BADEN</v>
      </c>
      <c r="B9" s="71" t="str">
        <v>CH-AG</v>
      </c>
      <c r="C9" s="71" t="str">
        <v>Bezirk Baden ohne Bergdietikon</v>
      </c>
      <c r="D9" s="77" t="str"/>
      <c r="E9" s="77" t="str"/>
      <c r="F9" s="77" t="str"/>
      <c r="G9" s="71" t="str">
        <v>Bezirksausnahme</v>
      </c>
      <c r="H9" s="71" t="str">
        <v>Nur § 6 Abs. 1 Bst. b Ziff. 2 EG ArR. Kein allgemeiner Fristenkalender.</v>
      </c>
      <c r="I9" s="71" t="str">
        <v>SRC-AG-EGARR-20250901</v>
      </c>
      <c r="J9" s="71" t="str">
        <v>§ 6 Abs. 1 Bst. b Ziff. 2</v>
      </c>
      <c r="K9" s="71" t="str">
        <v>open</v>
      </c>
      <c r="L9" s="70" t="n">
        <v>46023</v>
      </c>
      <c r="M9" s="70"/>
    </row>
    <row r="10" ht="38" customHeight="1">
      <c r="A10" s="74" t="str">
        <v>AG-ARG-BERGDIETIKON</v>
      </c>
      <c r="B10" s="74" t="str">
        <v>CH-AG</v>
      </c>
      <c r="C10" s="74" t="str">
        <v>Gemeinde Bergdietikon</v>
      </c>
      <c r="D10" s="79" t="str"/>
      <c r="E10" s="79" t="str"/>
      <c r="F10" s="79" t="str"/>
      <c r="G10" s="74" t="str">
        <v>Gemeinde</v>
      </c>
      <c r="H10" s="74" t="str">
        <v>Nur § 6 Abs. 1 Bst. b Ziff. 1 EG ArR. Kantonale Rechtsgrundlage.</v>
      </c>
      <c r="I10" s="74" t="str">
        <v>SRC-AG-EGARR-20250901</v>
      </c>
      <c r="J10" s="74" t="str">
        <v>§ 6 Abs. 1 Bst. b Ziff. 1</v>
      </c>
      <c r="K10" s="74" t="str">
        <v>open</v>
      </c>
      <c r="L10" s="73" t="n">
        <v>46023</v>
      </c>
      <c r="M10" s="73"/>
    </row>
    <row r="11" ht="38" customHeight="1">
      <c r="A11" s="71" t="str">
        <v>AG-ZPO-ALL</v>
      </c>
      <c r="B11" s="71" t="str">
        <v>CH-AG</v>
      </c>
      <c r="C11" s="71" t="str">
        <v>Aargau, prozessuale Zuordnung</v>
      </c>
      <c r="D11" s="77" t="str"/>
      <c r="E11" s="77" t="str"/>
      <c r="F11" s="77" t="str"/>
      <c r="G11" s="71" t="str">
        <v>Kanton</v>
      </c>
      <c r="H11" s="71" t="str">
        <v>§ 21 EG ZPO getrennt vom Arbeitsrecht. Anwendungszuordnung offen.</v>
      </c>
      <c r="I11" s="71" t="str">
        <v>SRC-AG-EGZPO</v>
      </c>
      <c r="J11" s="71" t="str">
        <v>§ 21</v>
      </c>
      <c r="K11" s="71" t="str">
        <v>open</v>
      </c>
      <c r="L11" s="70" t="n">
        <v>46023</v>
      </c>
      <c r="M11" s="70"/>
    </row>
    <row r="12" ht="68" customHeight="1">
      <c r="A12" s="74" t="str">
        <v>AG-ARG-AARAU-BRUGG-KULM-LENZBURG-ZOFINGEN</v>
      </c>
      <c r="B12" s="74" t="str">
        <v>CH-AG</v>
      </c>
      <c r="C12" s="74" t="str">
        <v>Bezirke Aarau, Brugg, Kulm, Lenzburg und Zofingen</v>
      </c>
      <c r="D12" s="79" t="str"/>
      <c r="E12" s="79" t="str"/>
      <c r="F12" s="79" t="str"/>
      <c r="G12" s="74" t="str">
        <v>Gebietsgruppe</v>
      </c>
      <c r="H12" s="74" t="str">
        <v>§ 6 Abs. 1 Bst. a EG ArR. Nur arbeitsrechtlicher Feiertagsgeltungsbereich, kein allgemeiner Fristenkalender.</v>
      </c>
      <c r="I12" s="74" t="str">
        <v>SRC-AG-EGARR-20250901</v>
      </c>
      <c r="J12" s="74" t="str">
        <v>§ 6 Abs. 1 Bst. a</v>
      </c>
      <c r="K12" s="74" t="str">
        <v>open</v>
      </c>
      <c r="L12" s="73" t="n">
        <v>46023</v>
      </c>
      <c r="M12" s="73"/>
    </row>
    <row r="13" ht="68" customHeight="1">
      <c r="A13" s="71" t="str">
        <v>AG-ARG-BREMGARTEN</v>
      </c>
      <c r="B13" s="71" t="str">
        <v>CH-AG</v>
      </c>
      <c r="C13" s="71" t="str">
        <v>Bezirk Bremgarten</v>
      </c>
      <c r="D13" s="77" t="str"/>
      <c r="E13" s="77" t="str"/>
      <c r="F13" s="77" t="str"/>
      <c r="G13" s="71" t="str">
        <v>Bezirk</v>
      </c>
      <c r="H13" s="71" t="str">
        <v>§ 6 Abs. 1 Bst. c EG ArR. Nur arbeitsrechtlicher Feiertagsgeltungsbereich, kein allgemeiner Fristenkalender.</v>
      </c>
      <c r="I13" s="71" t="str">
        <v>SRC-AG-EGARR-20250901</v>
      </c>
      <c r="J13" s="71" t="str">
        <v>§ 6 Abs. 1 Bst. c</v>
      </c>
      <c r="K13" s="71" t="str">
        <v>open</v>
      </c>
      <c r="L13" s="70" t="n">
        <v>46023</v>
      </c>
      <c r="M13" s="70"/>
    </row>
    <row r="14" ht="68" customHeight="1">
      <c r="A14" s="74" t="str">
        <v>AG-ARG-LAUFENBURG-MURI</v>
      </c>
      <c r="B14" s="74" t="str">
        <v>CH-AG</v>
      </c>
      <c r="C14" s="74" t="str">
        <v>Bezirke Laufenburg und Muri</v>
      </c>
      <c r="D14" s="79" t="str"/>
      <c r="E14" s="79" t="str"/>
      <c r="F14" s="79" t="str"/>
      <c r="G14" s="74" t="str">
        <v>Gebietsgruppe</v>
      </c>
      <c r="H14" s="74" t="str">
        <v>§ 6 Abs. 1 Bst. d EG ArR. Nur arbeitsrechtlicher Feiertagsgeltungsbereich, kein allgemeiner Fristenkalender.</v>
      </c>
      <c r="I14" s="74" t="str">
        <v>SRC-AG-EGARR-20250901</v>
      </c>
      <c r="J14" s="74" t="str">
        <v>§ 6 Abs. 1 Bst. d</v>
      </c>
      <c r="K14" s="74" t="str">
        <v>open</v>
      </c>
      <c r="L14" s="73" t="n">
        <v>46023</v>
      </c>
      <c r="M14" s="73"/>
    </row>
    <row r="15" ht="68" customHeight="1">
      <c r="A15" s="71" t="str">
        <v>AG-ARG-RHEINFELDEN-E1</v>
      </c>
      <c r="B15" s="71" t="str">
        <v>CH-AG</v>
      </c>
      <c r="C15" s="71" t="inlineStr">
        <is>
          <t>Gemeinden Hellikon, Mumpf, Obermumpf, Schupfart, Stein und Wegenstetten</t>
        </is>
      </c>
      <c r="D15" s="77" t="str"/>
      <c r="E15" s="77" t="str"/>
      <c r="F15" s="77" t="str"/>
      <c r="G15" s="71" t="str">
        <v>Gebietsgruppe</v>
      </c>
      <c r="H15" s="71" t="str">
        <v>§ 6 Abs. 1 Bst. e Ziff. 1 EG ArR. Nur arbeitsrechtlicher Feiertagsgeltungsbereich, kein allgemeiner Fristenkalender.</v>
      </c>
      <c r="I15" s="71" t="str">
        <v>SRC-AG-EGARR-20250901</v>
      </c>
      <c r="J15" s="71" t="str">
        <v>§ 6 Abs. 1 Bst. e Ziff. 1</v>
      </c>
      <c r="K15" s="71" t="str">
        <v>open</v>
      </c>
      <c r="L15" s="70" t="n">
        <v>46023</v>
      </c>
      <c r="M15" s="70"/>
    </row>
    <row r="16" ht="68" customHeight="1">
      <c r="A16" s="74" t="str">
        <v>AG-ARG-RHEINFELDEN-E2</v>
      </c>
      <c r="B16" s="74" t="str">
        <v>CH-AG</v>
      </c>
      <c r="C16" s="74" t="inlineStr">
        <is>
          <t>Gemeinden Kaiseraugst, Magden, Möhlin, Olsberg, Rheinfelden, Wallbach, Zeiningen und Zuzgen</t>
        </is>
      </c>
      <c r="D16" s="79" t="str"/>
      <c r="E16" s="79" t="str"/>
      <c r="F16" s="79" t="str"/>
      <c r="G16" s="74" t="str">
        <v>Gebietsgruppe</v>
      </c>
      <c r="H16" s="74" t="str">
        <v>§ 6 Abs. 1 Bst. e Ziff. 2 EG ArR. Nur arbeitsrechtlicher Feiertagsgeltungsbereich, kein allgemeiner Fristenkalender.</v>
      </c>
      <c r="I16" s="74" t="str">
        <v>SRC-AG-EGARR-20250901</v>
      </c>
      <c r="J16" s="74" t="str">
        <v>§ 6 Abs. 1 Bst. e Ziff. 2</v>
      </c>
      <c r="K16" s="74" t="str">
        <v>open</v>
      </c>
      <c r="L16" s="73" t="n">
        <v>46023</v>
      </c>
      <c r="M16" s="73"/>
    </row>
    <row r="17" ht="68" customHeight="1">
      <c r="A17" s="71" t="str">
        <v>AG-ARG-ZURZACH</v>
      </c>
      <c r="B17" s="71" t="str">
        <v>CH-AG</v>
      </c>
      <c r="C17" s="71" t="str">
        <v>Bezirk Zurzach</v>
      </c>
      <c r="D17" s="77" t="str"/>
      <c r="E17" s="77" t="str"/>
      <c r="F17" s="77" t="str"/>
      <c r="G17" s="71" t="str">
        <v>Bezirk</v>
      </c>
      <c r="H17" s="71" t="str">
        <v>§ 6 Abs. 1 Bst. f EG ArR. Nur arbeitsrechtlicher Feiertagsgeltungsbereich, kein allgemeiner Fristenkalender.</v>
      </c>
      <c r="I17" s="71" t="str">
        <v>SRC-AG-EGARR-20250901</v>
      </c>
      <c r="J17" s="71" t="str">
        <v>§ 6 Abs. 1 Bst. f</v>
      </c>
      <c r="K17" s="71" t="str">
        <v>open</v>
      </c>
      <c r="L17" s="70" t="n">
        <v>46023</v>
      </c>
      <c r="M17" s="70"/>
    </row>
    <row r="18" ht="82" customHeight="1">
      <c r="A18" s="74" t="str">
        <v>TI-OFFICIAL-ALL</v>
      </c>
      <c r="B18" s="74" t="str">
        <v>CH-TI</v>
      </c>
      <c r="C18" s="74" t="str">
        <v>Tessin, offizielle Feiertage</v>
      </c>
      <c r="D18" t="str" s="79">
        <v>Canton du Tessin</v>
      </c>
      <c r="E18" t="str" s="79">
        <v>Cantone Ticino</v>
      </c>
      <c r="F18" t="str" s="79">
        <v>Chantun Tessin</v>
      </c>
      <c r="G18" s="74" t="str">
        <v>Kanton</v>
      </c>
      <c r="H18" s="74" t="str">
        <v>Alle 15 Tage nach Art. 1 RL 843.200. Keine Einschränkung auf neun arbeitsrechtlich sonntagsgleiche Feiertage.</v>
      </c>
      <c r="I18" s="74" t="str">
        <v>SRC-TI-FEIERTAGE-843200</v>
      </c>
      <c r="J18" s="74" t="str">
        <v>Art. 1</v>
      </c>
      <c r="K18" s="74" t="str">
        <v>open</v>
      </c>
      <c r="L18" s="73" t="n">
        <v>46023</v>
      </c>
      <c r="M18" s="73"/>
    </row>
    <row r="19" ht="82" customHeight="1">
      <c r="A19" s="71" t="str">
        <v>GR-PUBLIC-ALL</v>
      </c>
      <c r="B19" s="71" t="str">
        <v>CH-GR</v>
      </c>
      <c r="C19" s="71" t="str">
        <v>Graubünden, kantonale Grundliste</v>
      </c>
      <c r="D19" t="str" s="77">
        <v>Canton des Grisons</v>
      </c>
      <c r="E19" t="str" s="77">
        <v>Cantone dei Grigioni</v>
      </c>
      <c r="F19" t="str" s="77">
        <v>Chantun Grischun</v>
      </c>
      <c r="G19" s="71" t="str">
        <v>Kanton</v>
      </c>
      <c r="H19" s="71" t="str">
        <v>Art. 2 Ruhetagsgesetz plus separat angewendete Bundesregel. Keine kommunalen Beschlüsse. VRG-Annahme und örtliche Wirkung ausschliesslich im Verfahrensbezug.</v>
      </c>
      <c r="I19" s="71" t="str">
        <v>SRC-GR-RUHETAGE-520100-20160101</v>
      </c>
      <c r="J19" s="71" t="str">
        <v>Art. 2</v>
      </c>
      <c r="K19" s="71" t="str">
        <v>open</v>
      </c>
      <c r="L19" s="70" t="n">
        <v>46023</v>
      </c>
      <c r="M19" s="70"/>
    </row>
    <row r="20" ht="24" customHeight="1">
      <c r="A20" s="60"/>
      <c r="B20" s="60"/>
      <c r="C20" s="60"/>
      <c r="G20" s="60"/>
      <c r="H20" s="60"/>
      <c r="I20" s="60"/>
      <c r="J20" s="60"/>
      <c r="K20" s="60"/>
      <c r="L20" s="60"/>
      <c r="M20" s="60"/>
    </row>
    <row r="21" ht="24" customHeight="1">
      <c r="A21" s="60"/>
      <c r="B21" s="60"/>
      <c r="C21" s="60"/>
      <c r="G21" s="60"/>
      <c r="H21" s="60"/>
      <c r="I21" s="60"/>
      <c r="J21" s="60"/>
      <c r="K21" s="60"/>
      <c r="L21" s="60"/>
      <c r="M21" s="60"/>
    </row>
    <row r="22" ht="24" customHeight="1">
      <c r="A22" s="60"/>
      <c r="B22" s="60"/>
      <c r="C22" s="60"/>
      <c r="G22" s="60"/>
      <c r="H22" s="60"/>
      <c r="I22" s="60"/>
      <c r="J22" s="60"/>
      <c r="K22" s="60"/>
      <c r="L22" s="60"/>
      <c r="M22" s="60"/>
    </row>
    <row r="23" ht="24" customHeight="1">
      <c r="A23" s="60"/>
      <c r="B23" s="60"/>
      <c r="C23" s="60"/>
      <c r="G23" s="60"/>
      <c r="H23" s="60"/>
      <c r="I23" s="60"/>
      <c r="J23" s="60"/>
      <c r="K23" s="60"/>
      <c r="L23" s="60"/>
      <c r="M23" s="60"/>
    </row>
    <row r="24" ht="24" customHeight="1">
      <c r="A24" s="60"/>
      <c r="B24" s="60"/>
      <c r="C24" s="60"/>
      <c r="G24" s="60"/>
      <c r="H24" s="60"/>
      <c r="I24" s="60"/>
      <c r="J24" s="60"/>
      <c r="K24" s="60"/>
      <c r="L24" s="60"/>
      <c r="M24" s="60"/>
    </row>
    <row r="25" ht="24" customHeight="1">
      <c r="A25" s="60"/>
      <c r="B25" s="60"/>
      <c r="C25" s="60"/>
      <c r="G25" s="60"/>
      <c r="H25" s="60"/>
      <c r="I25" s="60"/>
      <c r="J25" s="60"/>
      <c r="K25" s="60"/>
      <c r="L25" s="60"/>
      <c r="M25" s="60"/>
    </row>
    <row r="26" ht="24" customHeight="1">
      <c r="A26" s="60"/>
      <c r="B26" s="60"/>
      <c r="C26" s="60"/>
      <c r="G26" s="60"/>
      <c r="H26" s="60"/>
      <c r="I26" s="60"/>
      <c r="J26" s="60"/>
      <c r="K26" s="60"/>
      <c r="L26" s="60"/>
      <c r="M26" s="60"/>
    </row>
    <row r="27" ht="24" customHeight="1">
      <c r="A27" s="60"/>
      <c r="B27" s="60"/>
      <c r="C27" s="60"/>
      <c r="G27" s="60"/>
      <c r="H27" s="60"/>
      <c r="I27" s="60"/>
      <c r="J27" s="60"/>
      <c r="K27" s="60"/>
      <c r="L27" s="60"/>
      <c r="M27" s="60"/>
    </row>
    <row r="28" ht="24" customHeight="1">
      <c r="A28" s="60"/>
      <c r="B28" s="60"/>
      <c r="C28" s="60"/>
      <c r="G28" s="60"/>
      <c r="H28" s="60"/>
      <c r="I28" s="60"/>
      <c r="J28" s="60"/>
      <c r="K28" s="60"/>
      <c r="L28" s="60"/>
      <c r="M28" s="60"/>
    </row>
    <row r="29" ht="24" customHeight="1">
      <c r="A29" s="60"/>
      <c r="B29" s="60"/>
      <c r="C29" s="60"/>
      <c r="G29" s="60"/>
      <c r="H29" s="60"/>
      <c r="I29" s="60"/>
      <c r="J29" s="60"/>
      <c r="K29" s="60"/>
      <c r="L29" s="60"/>
      <c r="M29" s="60"/>
    </row>
    <row r="30" ht="24" customHeight="1">
      <c r="A30" s="60"/>
      <c r="B30" s="60"/>
      <c r="C30" s="60"/>
      <c r="G30" s="60"/>
      <c r="H30" s="60"/>
      <c r="I30" s="60"/>
      <c r="J30" s="60"/>
      <c r="K30" s="60"/>
      <c r="L30" s="60"/>
      <c r="M30" s="60"/>
    </row>
    <row r="31" ht="24" customHeight="1">
      <c r="A31" s="60"/>
      <c r="B31" s="60"/>
      <c r="C31" s="60"/>
      <c r="G31" s="60"/>
      <c r="H31" s="60"/>
      <c r="I31" s="60"/>
      <c r="J31" s="60"/>
      <c r="K31" s="60"/>
      <c r="L31" s="60"/>
      <c r="M31" s="60"/>
    </row>
    <row r="32" ht="24" customHeight="1">
      <c r="A32" s="60"/>
      <c r="B32" s="60"/>
      <c r="C32" s="60"/>
      <c r="G32" s="60"/>
      <c r="H32" s="60"/>
      <c r="I32" s="60"/>
      <c r="J32" s="60"/>
      <c r="K32" s="60"/>
      <c r="L32" s="60"/>
      <c r="M32" s="60"/>
    </row>
  </sheetData>
  <sheetProtection sheet="1" objects="1" scenarios="1" autoFilter="0" sort="0" selectLockedCells="0" selectUnlockedCells="0"/>
  <conditionalFormatting sqref="K7:K19">
    <cfRule type="containsText" dxfId="4" priority="1" operator="containsText" text="open"/>
    <cfRule type="containsText" dxfId="5" priority="2" operator="containsText" text="blocked"/>
  </conditionalFormatting>
  <conditionalFormatting sqref="D7:D19">
    <cfRule type="containsBlanks" dxfId="16" priority="3"/>
  </conditionalFormatting>
  <conditionalFormatting sqref="E7:E19">
    <cfRule type="containsBlanks" dxfId="16" priority="3"/>
  </conditionalFormatting>
  <conditionalFormatting sqref="F7:F19">
    <cfRule type="containsBlanks" dxfId="17" priority="4"/>
  </conditionalFormatting>
  <dataValidations count="1">
    <dataValidation type="list" sqref="K7:K19">
      <formula1>"approved,open,blocked"</formula1>
    </dataValidation>
  </dataValidations>
  <pageMargins left="0.7" right="0.7" top="0.75" bottom="0.75" header="0.3" footer="0.3"/>
  <tableParts count="1">
    <tablePart ns1:id="R99563abf19104c21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42" hidden="0" customWidth="1"/>
    <col min="2" max="2" width="16" hidden="0" customWidth="1"/>
    <col min="3" max="3" width="66" hidden="0" customWidth="1"/>
    <col min="4" max="4" width="39" hidden="0" customWidth="1"/>
    <col min="5" max="5" width="28" hidden="0" customWidth="1"/>
    <col min="6" max="6" width="17" hidden="0" customWidth="1"/>
    <col min="7" max="7" width="17" hidden="0" customWidth="1"/>
    <col min="8" max="8" width="59" hidden="0" customWidth="1"/>
    <col min="9" max="9" width="16" hidden="0" customWidth="1"/>
    <col min="10" max="10" width="41" hidden="0" customWidth="1"/>
    <col min="11" max="11" width="90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ht="24" customHeight="1">
      <c r="A2" s="61" t="str">
        <v>Rechtsgrundlagen und amtliche Quellen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ht="24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ht="24" customHeight="1">
      <c r="A4" s="67" t="str">
        <v>Quellen-IDs sind stabil. Originalstand, Abruf und Fachfreigabe sind verschiedene Angaben.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ht="24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ht="42" customHeight="1">
      <c r="A6" s="68" t="str">
        <v>Quellen-ID</v>
      </c>
      <c r="B6" s="68" t="str">
        <v>Gemeinwesen</v>
      </c>
      <c r="C6" s="68" t="str">
        <v>Erlass / Quelle</v>
      </c>
      <c r="D6" s="68" t="str">
        <v>Fundstelle</v>
      </c>
      <c r="E6" s="68" t="str">
        <v>Amtlicher Link</v>
      </c>
      <c r="F6" s="68" t="str">
        <v>Fassungsstand</v>
      </c>
      <c r="G6" s="68" t="str">
        <v>Abgerufen</v>
      </c>
      <c r="H6" s="68" t="str">
        <v>Prüfhinweis</v>
      </c>
      <c r="I6" s="68" t="str">
        <v>Fachstatus</v>
      </c>
      <c r="J6" s="68" t="str">
        <v>Frühere Freigabebasis</v>
      </c>
      <c r="K6" s="68" t="str">
        <v>URL (Original)</v>
      </c>
    </row>
    <row r="7" ht="38" customHeight="1">
      <c r="A7" s="71" t="str">
        <v>SRC-BUNDESFEIERTAG-19940701</v>
      </c>
      <c r="B7" s="71" t="str">
        <v>CH</v>
      </c>
      <c r="C7" s="71" t="str">
        <v>Verordnung über den Bundesfeiertag, SR 116</v>
      </c>
      <c r="D7" s="71" t="str">
        <v>SR 116, Art. 1</v>
      </c>
      <c r="E7" s="89" t="str">
        <v>Amtliche Quelle öffnen</v>
      </c>
      <c r="F7" s="70" t="n">
        <v>34516</v>
      </c>
      <c r="G7" s="70" t="n">
        <v>46278</v>
      </c>
      <c r="H7" s="71" t="str">
        <v>Originaltext geöffnet</v>
      </c>
      <c r="I7" s="71" t="str">
        <v>approved</v>
      </c>
      <c r="J7" s="71" t="str">
        <v>2026-08-31-mvp-03-approved.1</v>
      </c>
      <c r="K7" s="71" t="str">
        <v>https://www.fedlex.admin.ch/eli/cc/1994/1340_1340_1340/de</v>
      </c>
    </row>
    <row r="8" ht="38" customHeight="1">
      <c r="A8" s="74" t="str">
        <v>SRC-FRG-BE-20210401</v>
      </c>
      <c r="B8" s="74" t="str">
        <v>CH-BE</v>
      </c>
      <c r="C8" s="74" t="str">
        <v>Gesetz über die Ruhe an öffentlichen Feiertagen, BSG 555.1</v>
      </c>
      <c r="D8" s="74" t="str">
        <v>BSG 555.1, Art. 2</v>
      </c>
      <c r="E8" s="90" t="str">
        <v>Amtliche Quelle öffnen</v>
      </c>
      <c r="F8" s="73" t="n">
        <v>44287</v>
      </c>
      <c r="G8" s="73" t="n">
        <v>46278</v>
      </c>
      <c r="H8" s="74" t="str">
        <v>Originaltext geöffnet</v>
      </c>
      <c r="I8" s="74" t="str">
        <v>approved</v>
      </c>
      <c r="J8" s="74" t="str">
        <v>2026-08-31-mvp-03-approved.1</v>
      </c>
      <c r="K8" s="74" t="str">
        <v>https://www.belex.sites.be.ch/app/de/texts_of_law/555.1</v>
      </c>
    </row>
    <row r="9" ht="38" customHeight="1">
      <c r="A9" s="71" t="str">
        <v>SRC-AG-EGARR-20250901</v>
      </c>
      <c r="B9" s="76" t="str">
        <v>CH-AG</v>
      </c>
      <c r="C9" s="76" t="str">
        <v>Einführungsgesetz zum Arbeitsrecht</v>
      </c>
      <c r="D9" s="76" t="str">
        <v>SAR 961.200, § 6</v>
      </c>
      <c r="E9" s="89" t="str">
        <v>Amtliche Quelle öffnen</v>
      </c>
      <c r="F9" s="85" t="n">
        <v>45901</v>
      </c>
      <c r="G9" s="85" t="n">
        <v>46278</v>
      </c>
      <c r="H9" s="76" t="str">
        <v>Alle acht Normzweige von § 6 Abs. 1 am 13.09.2026 vollständig abgeglichen, Fachabnahme offen</v>
      </c>
      <c r="I9" s="76" t="str">
        <v>open</v>
      </c>
      <c r="J9" s="76"/>
      <c r="K9" s="71" t="str">
        <v>https://gesetzessammlungen.ag.ch/app/de/texts_of_law/961.200</v>
      </c>
    </row>
    <row r="10" ht="38" customHeight="1">
      <c r="A10" s="74" t="str">
        <v>SRC-AG-EGZPO</v>
      </c>
      <c r="B10" s="78" t="str">
        <v>CH-AG</v>
      </c>
      <c r="C10" s="78" t="str">
        <v>Einführungsgesetz zur Schweizerischen Zivilprozessordnung</v>
      </c>
      <c r="D10" s="78" t="str">
        <v>SAR 221.200, § 21 Abs. 1</v>
      </c>
      <c r="E10" s="90" t="str">
        <v>Amtliche Quelle öffnen</v>
      </c>
      <c r="F10" s="87" t="n">
        <v>44562</v>
      </c>
      <c r="G10" s="87" t="n">
        <v>46278</v>
      </c>
      <c r="H10" s="78" t="str">
        <v>Alle 14 Tage von § 21 Abs. 1 am 13.09.2026 vollständig abgeglichen, Orts-/Profilanknüpfung und Freigabe offen</v>
      </c>
      <c r="I10" s="78" t="str">
        <v>open</v>
      </c>
      <c r="J10" s="78"/>
      <c r="K10" s="74" t="str">
        <v>https://gesetzessammlungen.ag.ch/app/de/texts_of_law/221.200</v>
      </c>
    </row>
    <row r="11" ht="38" customHeight="1">
      <c r="A11" s="71" t="str">
        <v>SRC-BJ-FRISTENHINWEISE-20121217</v>
      </c>
      <c r="B11" s="76" t="str">
        <v>CH</v>
      </c>
      <c r="C11" s="76" t="str">
        <v>Hinweise zum Verzeichnis gesetzlicher Feiertage und gleichgestellter Tage</v>
      </c>
      <c r="D11" s="76" t="str">
        <v>Ziff. 1–3, Stand 17.12.2012</v>
      </c>
      <c r="E11" s="89" t="str">
        <v>Amtliche Quelle öffnen</v>
      </c>
      <c r="F11" s="85" t="n">
        <v>41260</v>
      </c>
      <c r="G11" s="85" t="n">
        <v>46278</v>
      </c>
      <c r="H11" s="76" t="str">
        <v>Methodische Abgrenzung, keine aktuelle Feiertagsvollerhebung</v>
      </c>
      <c r="I11" s="76" t="str">
        <v>open</v>
      </c>
      <c r="J11" s="76"/>
      <c r="K11" s="71" t="str">
        <v>https://www.bj.admin.ch/dam/de/sd-web/4Ad6GMn8rA0i/hinweise-kant-feiertage.pdf</v>
      </c>
    </row>
    <row r="12" ht="68" customHeight="1">
      <c r="A12" s="74" t="str">
        <v>SRC-AG-AWA-FEIERTAGE</v>
      </c>
      <c r="B12" s="78" t="str">
        <v>CH-AG</v>
      </c>
      <c r="C12" s="78" t="str">
        <v>Gesetzliche Feiertage im Kanton Aargau, AWA-Übersicht</v>
      </c>
      <c r="D12" s="78" t="str">
        <v>Amtliche Übersicht zu Art. 20a ArG und § 6 EG ArR</v>
      </c>
      <c r="E12" s="90" t="str">
        <v>Amtliche Quelle öffnen</v>
      </c>
      <c r="F12" s="87"/>
      <c r="G12" s="87" t="n">
        <v>46278</v>
      </c>
      <c r="H12" s="78" t="str">
        <v>Undatiertes amtliches Merkblatt, am 13.09.2026 mit § 6 EG ArR abgeglichen</v>
      </c>
      <c r="I12" s="78" t="str">
        <v>open</v>
      </c>
      <c r="J12" s="78"/>
      <c r="K12" s="74" t="str">
        <v>https://www.ag.ch/media/kanton-aargau/dvi/dokumente/awa/awa/arbeitnehmerschutz-im-betrieb/feiertage.pdf</v>
      </c>
    </row>
    <row r="13" ht="82" customHeight="1">
      <c r="A13" s="71" t="str">
        <v>SRC-TI-FEIERTAGE-843200</v>
      </c>
      <c r="B13" s="76" t="str">
        <v>CH-TI</v>
      </c>
      <c r="C13" s="76" t="str">
        <v>Legge concernente i giorni festivi ufficiali nel Cantone Ticino</v>
      </c>
      <c r="D13" s="76" t="str">
        <v>RL 843.200, Art. 1</v>
      </c>
      <c r="E13" s="89" t="str">
        <v>Amtliche Quelle öffnen</v>
      </c>
      <c r="F13" s="85"/>
      <c r="G13" s="85" t="n">
        <v>46278</v>
      </c>
      <c r="H13" s="76" t="inlineStr">
        <is>
          <t>15 offizielle Tage. IT amtlich, DE/FR Produktübersetzungen. Acht RG-Namen provisorisch ergänzt, keine amtliche TI-Sprachfassung. Kein gesonderter Fassungsstand, Inkrafttreten 09.02.2010.</t>
        </is>
      </c>
      <c r="I13" s="76" t="str">
        <v>open</v>
      </c>
      <c r="J13" s="76"/>
      <c r="K13" s="71" t="str">
        <v>https://www3.ti.ch/CAN/RLeggi/public/index.php/raccolta-leggi/legge/num/568</v>
      </c>
    </row>
    <row r="14" ht="82" customHeight="1">
      <c r="A14" s="74" t="str">
        <v>SRC-TI-LALL-843100</v>
      </c>
      <c r="B14" s="78" t="str">
        <v>CH-TI</v>
      </c>
      <c r="C14" s="78" t="str">
        <v>Legge di applicazione della legge federale sul lavoro, LALL</v>
      </c>
      <c r="D14" s="78" t="str">
        <v>RL 843.100, Art. 6 lit. a und b</v>
      </c>
      <c r="E14" s="90" t="str">
        <v>Amtliche Quelle öffnen</v>
      </c>
      <c r="F14" s="87"/>
      <c r="G14" s="87" t="n">
        <v>46278</v>
      </c>
      <c r="H14" s="78" t="str">
        <v>Arbeitsrechtliche Gruppen 9/6 separat. Alle 15 bleiben offiziell. Kein Ausschluss der sechs Tage aus LPAmm. Kein gesonderter Fassungsstand ausgewiesen, Inkrafttreten 01.06.2011.</v>
      </c>
      <c r="I14" s="78" t="str">
        <v>open</v>
      </c>
      <c r="J14" s="78"/>
      <c r="K14" s="74" t="str">
        <v>https://m3.ti.ch/CAN/RLeggi/public/index.php/raccolta-leggi/legge/num/569</v>
      </c>
    </row>
    <row r="15" ht="82" customHeight="1">
      <c r="A15" s="71" t="str">
        <v>SRC-TI-LPAMM-165100-20250601</v>
      </c>
      <c r="B15" s="76" t="str">
        <v>CH-TI</v>
      </c>
      <c r="C15" s="76" t="str">
        <v>Legge sulla procedura amministrativa, LPAmm</v>
      </c>
      <c r="D15" s="76" t="str">
        <v>RL 165.100, Art. 1 und Art. 13 Abs. 3</v>
      </c>
      <c r="E15" s="89" t="str">
        <v>Amtliche Quelle öffnen</v>
      </c>
      <c r="F15" s="85" t="n">
        <v>45809</v>
      </c>
      <c r="G15" s="85" t="n">
        <v>46278</v>
      </c>
      <c r="H15" s="76" t="str">
        <v>Art. 13 Abs. 3 erfasst offiziell anerkannte Feiertage. Sonderrecht Art. 1 Abs. 2 und Ausschluss von Titel II nach Art. 1 Abs. 3 bleiben vorbehalten.</v>
      </c>
      <c r="I15" s="76" t="str">
        <v>open</v>
      </c>
      <c r="J15" s="76"/>
      <c r="K15" s="71" t="str">
        <v>https://www3.ti.ch/CAN/RLeggi/public/index.php/raccolta-leggi/legge/num/151</v>
      </c>
    </row>
    <row r="16" ht="82" customHeight="1">
      <c r="A16" s="74" t="str">
        <v>SRC-GR-RUHETAGE-520100-20160101</v>
      </c>
      <c r="B16" s="78" t="str">
        <v>CH-GR</v>
      </c>
      <c r="C16" s="78" t="str">
        <v>Gesetz über die öffentlichen Ruhetage, Ruhetagsgesetz</v>
      </c>
      <c r="D16" s="78" t="str">
        <v>BR 520.100, Art. 2–4</v>
      </c>
      <c r="E16" s="90" t="str">
        <v>Amtliche Quelle öffnen</v>
      </c>
      <c r="F16" s="87" t="n">
        <v>42370</v>
      </c>
      <c r="G16" s="87" t="n">
        <v>46278</v>
      </c>
      <c r="H16" s="78" t="str">
        <v>DE amtlich. IT/RM separat belegt, FR Produktübersetzung. Art. 2 Abs. 2: hohe Tage samt drei benannten Sonntagen. Bundesfeier aus Bundesregel, lokale Ruhetage nicht erfasst.</v>
      </c>
      <c r="I16" s="78" t="str">
        <v>open</v>
      </c>
      <c r="J16" s="78"/>
      <c r="K16" s="74" t="str">
        <v>https://www.gr-lex.gr.ch/api/de/versions/2604/pdf_file</v>
      </c>
    </row>
    <row r="17" ht="82" customHeight="1">
      <c r="A17" s="71" t="str">
        <v>SRC-GR-VRG-370100-V3521</v>
      </c>
      <c r="B17" s="76" t="str">
        <v>CH-GR</v>
      </c>
      <c r="C17" s="76" t="str">
        <v>Gesetz über die Verwaltungsrechtspflege, VRG</v>
      </c>
      <c r="D17" s="76" t="str">
        <v>BR 370.100, Art. 1, 2 und 7 Abs. 2, Version 3521</v>
      </c>
      <c r="E17" s="89" t="str">
        <v>Amtliche Quelle öffnen</v>
      </c>
      <c r="F17" s="85" t="n">
        <v>45658</v>
      </c>
      <c r="G17" s="85" t="n">
        <v>46278</v>
      </c>
      <c r="H17" s="76" t="str">
        <v>Bestätigte Projektannahme nur für Art.-1-VRG-Kontext vor kantonalen Behörden: zusätzliche lokale Ruhetage werden nicht erhoben. Art. 7 Abs. 2 schliesst sie nicht ausdrücklich aus. Örtliche Fristenwirkung bleibt OF-008, keine automatische Berechenbarkeit.</v>
      </c>
      <c r="I17" s="76" t="str">
        <v>open</v>
      </c>
      <c r="J17" s="76"/>
      <c r="K17" s="71" t="str">
        <v>https://www.gr-lex.gr.ch/api/de/versions/3521/pdf_file</v>
      </c>
    </row>
    <row r="18" ht="82" customHeight="1">
      <c r="A18" s="74" t="str">
        <v>SRC-GR-RUHETAGE-520100-IT-V2604</v>
      </c>
      <c r="B18" s="78" t="str">
        <v>CH-GR</v>
      </c>
      <c r="C18" s="78" t="str">
        <v>Legge sui giorni di riposo pubblici, amtliche italienische Sprachfassung</v>
      </c>
      <c r="D18" s="78" t="str">
        <v>BR 520.100, Art. 2, Version 2604, IT</v>
      </c>
      <c r="E18" s="90" t="str">
        <v>Amtliche Quelle öffnen</v>
      </c>
      <c r="F18" s="87" t="n">
        <v>42370</v>
      </c>
      <c r="G18" s="87" t="n">
        <v>46278</v>
      </c>
      <c r="H18" s="78" t="str">
        <v>Sprachbeleg IT: unter anderem Domenica di Pasqua, Domenica di Pentecoste und Festa federale di preghiera. Keine zusätzliche Rechtswirkung durch Sprachübernahme.</v>
      </c>
      <c r="I18" s="78" t="str">
        <v>open</v>
      </c>
      <c r="J18" s="78"/>
      <c r="K18" s="74" t="str">
        <v>https://www.gr-lex.gr.ch/app/it/texts_of_law/520.100/versions/2604</v>
      </c>
    </row>
    <row r="19" ht="82" customHeight="1">
      <c r="A19" s="71" t="str">
        <v>SRC-GR-RUHETAGE-520100-RM-V2604</v>
      </c>
      <c r="B19" s="76" t="str">
        <v>CH-GR</v>
      </c>
      <c r="C19" s="76" t="str">
        <v>Lescha davart ils dis da paus publics, amtliche rätoromanische Sprachfassung</v>
      </c>
      <c r="D19" s="76" t="str">
        <v>BR 520.100, Art. 2, Version 2604, RM</v>
      </c>
      <c r="E19" s="89" t="str">
        <v>Amtliche Quelle öffnen</v>
      </c>
      <c r="F19" s="85" t="n">
        <v>42370</v>
      </c>
      <c r="G19" s="85" t="n">
        <v>46278</v>
      </c>
      <c r="H19" s="76" t="str">
        <v>Amtliche RG-Namen. Anzeige teilweise ohne Satzartikel und mit grossem Anfangsbuchstaben. Gemeinsame TI-Namen übernehmen nur diesen Sprachbeleg, nicht GR-Recht.</v>
      </c>
      <c r="I19" s="76" t="str">
        <v>open</v>
      </c>
      <c r="J19" s="76"/>
      <c r="K19" s="71" t="str">
        <v>https://www.gr-lex.gr.ch/api/rm/versions/2604/pdf_file</v>
      </c>
    </row>
    <row r="20" ht="82" customHeight="1">
      <c r="A20" s="74" t="str">
        <v>SRC-GR-VRG-370100-RM-V3521</v>
      </c>
      <c r="B20" s="78" t="str">
        <v>CH-GR</v>
      </c>
      <c r="C20" s="78" t="str">
        <v>Lescha davart la giurisdicziun administrativa, rätoromanischer Namensbeleg</v>
      </c>
      <c r="D20" s="78" t="str">
        <v>BR 370.100, Präambel, Version 3521, RM</v>
      </c>
      <c r="E20" s="90" t="str">
        <v>Amtliche Quelle öffnen</v>
      </c>
      <c r="F20" s="87" t="n">
        <v>45658</v>
      </c>
      <c r="G20" s="87" t="n">
        <v>46278</v>
      </c>
      <c r="H20" s="78" t="str">
        <v>Amtlicher Beleg des Kantonsnamens Grischun. Eigenständiger Sprachbeleg, keine zusätzliche Freigabe der Verfahrenszuordnung.</v>
      </c>
      <c r="I20" s="78" t="str">
        <v>open</v>
      </c>
      <c r="J20" s="78"/>
      <c r="K20" s="74" t="str">
        <v>https://www.gr-lex.gr.ch/api/rm/versions/3521/pdf_file</v>
      </c>
    </row>
    <row r="21" ht="82" customHeight="1">
      <c r="A21" s="71" t="str">
        <v>SRC-TI-UIL-FEIERTAGE-2026-2027</v>
      </c>
      <c r="B21" s="76" t="str">
        <v>CH-TI</v>
      </c>
      <c r="C21" s="76" t="str">
        <v>Giorni festivi in Ticino, amtlicher UIL-Kalender 2026/2027</v>
      </c>
      <c r="D21" s="76" t="str">
        <v>Amtliche Informationsseite und Jahreslisten 2026/2027</v>
      </c>
      <c r="E21" s="89" t="str">
        <v>Amtliche Quelle öffnen</v>
      </c>
      <c r="F21" s="85"/>
      <c r="G21" s="85" t="n">
        <v>46278</v>
      </c>
      <c r="H21" s="76" t="str">
        <v>Datumskontrolle 2026/2027. Die Ausprägung 2028 ist regelbasiert abgeleitet, keine behauptete amtliche Jahresliste 2028.</v>
      </c>
      <c r="I21" s="76" t="str">
        <v>open</v>
      </c>
      <c r="J21" s="76"/>
      <c r="K21" s="71" t="str">
        <v>https://www4.ti.ch/dfe/de/uil/legge-lavoro/giorni-festivi-in-ticino-1</v>
      </c>
    </row>
    <row r="22" ht="82" customHeight="1">
      <c r="A22" s="74" t="str">
        <v>SRC-CH-PARL-BUNDESFEIER-RM-2026</v>
      </c>
      <c r="B22" s="78" t="str">
        <v>CH</v>
      </c>
      <c r="C22" s="78" t="str">
        <v>Parlamentsagenda, Bundesfeier 2026, rätoromanischer Sprachbeleg</v>
      </c>
      <c r="D22" s="78" t="str">
        <v>Agendaeintrag: festa naziunala svizra</v>
      </c>
      <c r="E22" s="90" t="str">
        <v>Amtliche Quelle öffnen</v>
      </c>
      <c r="F22" s="87"/>
      <c r="G22" s="87" t="n">
        <v>46278</v>
      </c>
      <c r="H22" s="78" t="str">
        <v>Nur Sprachbeleg für Festa naziunala svizra. Der Veranstaltungsbezug 2026 ist kein Normstand. Rechtsgrundlage bleibt die bestehende Bundesquelle.</v>
      </c>
      <c r="I22" s="78" t="str">
        <v>open</v>
      </c>
      <c r="J22" s="78"/>
      <c r="K22" s="74" t="str">
        <v>https://www.parlament.ch/agenda/Pages/agenda-1-august-2026.aspx?lang=1047</v>
      </c>
    </row>
    <row r="23" ht="82" customHeight="1">
      <c r="A23" s="71" t="str">
        <v>SRC-TI-KANTONSNAME-RM</v>
      </c>
      <c r="B23" s="76" t="str">
        <v>CH-TI</v>
      </c>
      <c r="C23" s="76" t="str">
        <v>Kanton Tessin, Föderalismusdarstellung in Rumantsch Grischun</v>
      </c>
      <c r="D23" s="76" t="str">
        <v>Infurmaziuns generalas: chantun Tessin</v>
      </c>
      <c r="E23" s="89" t="str">
        <v>Amtliche Quelle öffnen</v>
      </c>
      <c r="F23" s="85"/>
      <c r="G23" s="85" t="n">
        <v>46278</v>
      </c>
      <c r="H23" s="76" t="str">
        <v>Amtlicher Beleg des Kantonsnamens Tessin. Undatierte Webseite, nur Namensbeleg, keine Feiertagsnorm.</v>
      </c>
      <c r="I23" s="76" t="str">
        <v>open</v>
      </c>
      <c r="J23" s="76"/>
      <c r="K23" s="71" t="str">
        <v>https://www4.ti.ch/generale/foederalismus11/rumantsch/foederalismus/preschentaziun</v>
      </c>
    </row>
    <row r="24" ht="24" customHeight="1">
      <c r="A24" s="60"/>
      <c r="B24" s="91"/>
      <c r="C24" s="91"/>
      <c r="D24" s="91"/>
      <c r="E24" s="60"/>
      <c r="F24" s="91"/>
      <c r="G24" s="91"/>
      <c r="H24" s="91"/>
      <c r="I24" s="91"/>
      <c r="J24" s="91"/>
      <c r="K24" s="60"/>
    </row>
    <row r="25" ht="24" customHeight="1">
      <c r="A25" s="60"/>
      <c r="B25" s="91"/>
      <c r="C25" s="91"/>
      <c r="D25" s="91"/>
      <c r="E25" s="60"/>
      <c r="F25" s="91"/>
      <c r="G25" s="91"/>
      <c r="H25" s="91"/>
      <c r="I25" s="91"/>
      <c r="J25" s="91"/>
      <c r="K25" s="60"/>
    </row>
    <row r="26" ht="24" customHeight="1">
      <c r="A26" s="60"/>
      <c r="B26" s="91"/>
      <c r="C26" s="91"/>
      <c r="D26" s="91"/>
      <c r="E26" s="60"/>
      <c r="F26" s="91"/>
      <c r="G26" s="91"/>
      <c r="H26" s="91"/>
      <c r="I26" s="91"/>
      <c r="J26" s="91"/>
      <c r="K26" s="60"/>
    </row>
    <row r="27" ht="24" customHeight="1">
      <c r="A27" s="60"/>
      <c r="B27" s="91"/>
      <c r="C27" s="91"/>
      <c r="D27" s="91"/>
      <c r="E27" s="60"/>
      <c r="F27" s="91"/>
      <c r="G27" s="91"/>
      <c r="H27" s="91"/>
      <c r="I27" s="91"/>
      <c r="J27" s="91"/>
      <c r="K27" s="60"/>
    </row>
    <row r="28" ht="24" customHeight="1">
      <c r="A28" s="60"/>
      <c r="B28" s="91"/>
      <c r="C28" s="91"/>
      <c r="D28" s="91"/>
      <c r="E28" s="60"/>
      <c r="F28" s="91"/>
      <c r="G28" s="91"/>
      <c r="H28" s="91"/>
      <c r="I28" s="91"/>
      <c r="J28" s="91"/>
      <c r="K28" s="60"/>
    </row>
    <row r="29" ht="24" customHeight="1">
      <c r="A29" s="60"/>
      <c r="B29" s="91"/>
      <c r="C29" s="91"/>
      <c r="D29" s="91"/>
      <c r="E29" s="60"/>
      <c r="F29" s="91"/>
      <c r="G29" s="91"/>
      <c r="H29" s="91"/>
      <c r="I29" s="91"/>
      <c r="J29" s="91"/>
      <c r="K29" s="60"/>
    </row>
    <row r="30" ht="24" customHeight="1">
      <c r="A30" s="60"/>
      <c r="B30" s="91"/>
      <c r="C30" s="91"/>
      <c r="D30" s="91"/>
      <c r="E30" s="60"/>
      <c r="F30" s="91"/>
      <c r="G30" s="91"/>
      <c r="H30" s="91"/>
      <c r="I30" s="91"/>
      <c r="J30" s="91"/>
      <c r="K30" s="60"/>
    </row>
    <row r="31" ht="24" customHeight="1">
      <c r="A31" s="60"/>
      <c r="B31" s="91"/>
      <c r="C31" s="91"/>
      <c r="D31" s="91"/>
      <c r="E31" s="60"/>
      <c r="F31" s="91"/>
      <c r="G31" s="91"/>
      <c r="H31" s="91"/>
      <c r="I31" s="91"/>
      <c r="J31" s="91"/>
      <c r="K31" s="60"/>
    </row>
    <row r="32" ht="24" customHeight="1">
      <c r="A32" s="60"/>
      <c r="B32" s="91"/>
      <c r="C32" s="91"/>
      <c r="D32" s="91"/>
      <c r="E32" s="60"/>
      <c r="F32" s="91"/>
      <c r="G32" s="91"/>
      <c r="H32" s="91"/>
      <c r="I32" s="91"/>
      <c r="J32" s="91"/>
      <c r="K32" s="60"/>
    </row>
  </sheetData>
  <sheetProtection sheet="1" objects="1" scenarios="1" autoFilter="0" sort="0" selectLockedCells="0" selectUnlockedCells="0"/>
  <conditionalFormatting sqref="I7:I23">
    <cfRule type="containsText" dxfId="6" priority="1" operator="containsText" text="open"/>
    <cfRule type="containsText" dxfId="7" priority="2" operator="containsText" text="blocked"/>
  </conditionalFormatting>
  <dataValidations count="1">
    <dataValidation type="list" sqref="I7:I23">
      <formula1>"approved,open,blocked"</formula1>
    </dataValidation>
  </dataValidations>
  <hyperlinks>
    <hyperlink ref="E7" ns1:id="ap18Hyperlink1"/>
    <hyperlink ref="E8" ns1:id="ap18Hyperlink2"/>
    <hyperlink ref="E9" ns1:id="ap18Hyperlink3"/>
    <hyperlink ref="E10" ns1:id="ap18Hyperlink4"/>
    <hyperlink ref="E11" ns1:id="ap18Hyperlink5"/>
    <hyperlink ref="E12" ns1:id="ap18bSource12"/>
    <hyperlink ref="E13" ns1:id="ap18bSource13"/>
    <hyperlink ref="E14" ns1:id="ap18bSource14"/>
    <hyperlink ref="E15" ns1:id="ap18bSource15"/>
    <hyperlink ref="E16" ns1:id="ap18bSource16"/>
    <hyperlink ref="E17" ns1:id="ap18bSource17"/>
    <hyperlink ref="E18" ns1:id="ap18bSource18"/>
    <hyperlink ref="E19" ns1:id="ap18bSource19"/>
    <hyperlink ref="E20" ns1:id="ap18bSource20"/>
    <hyperlink ref="E21" ns1:id="ap18bSource21"/>
    <hyperlink ref="E22" ns1:id="ap18bSource22"/>
    <hyperlink ref="E23" ns1:id="ap18bSource23"/>
  </hyperlinks>
  <pageMargins left="0.7" right="0.7" top="0.75" bottom="0.75" header="0.3" footer="0.3"/>
  <tableParts count="1">
    <tablePart ns1:id="Rd26ebe63f2594f1b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28" hidden="0" customWidth="1"/>
    <col min="2" max="2" width="31" hidden="0" customWidth="1"/>
    <col min="3" max="3" width="29" hidden="0" customWidth="1"/>
    <col min="4" max="4" width="42" hidden="0" customWidth="1"/>
    <col min="5" max="5" width="65" hidden="0" customWidth="1"/>
    <col min="6" max="6" width="49" hidden="0" customWidth="1"/>
    <col min="7" max="7" width="16" hidden="0" customWidth="1"/>
    <col min="8" max="8" width="41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</row>
    <row r="2" ht="24" customHeight="1">
      <c r="A2" s="61" t="str">
        <v>Sachliche und verfahrensrechtliche Zuordnung</v>
      </c>
      <c r="B2" s="60"/>
      <c r="C2" s="60"/>
      <c r="D2" s="60"/>
      <c r="E2" s="60"/>
      <c r="F2" s="60"/>
      <c r="G2" s="60"/>
      <c r="H2" s="60"/>
    </row>
    <row r="3" ht="24" customHeight="1">
      <c r="A3" s="62"/>
      <c r="B3" s="62"/>
      <c r="C3" s="62"/>
      <c r="D3" s="62"/>
      <c r="E3" s="62"/>
      <c r="F3" s="62"/>
      <c r="G3" s="62"/>
      <c r="H3" s="62"/>
    </row>
    <row r="4" ht="24" customHeight="1">
      <c r="A4" s="67" t="str">
        <v>Ein arbeitsrechtlicher Feiertag ist nicht automatisch ein prozessualer Fristenverlängerungstag.</v>
      </c>
      <c r="B4" s="60"/>
      <c r="C4" s="60"/>
      <c r="D4" s="60"/>
      <c r="E4" s="60"/>
      <c r="F4" s="60"/>
      <c r="G4" s="60"/>
      <c r="H4" s="60"/>
    </row>
    <row r="5" ht="24" customHeight="1">
      <c r="A5" s="60"/>
      <c r="B5" s="60"/>
      <c r="C5" s="60"/>
      <c r="D5" s="60"/>
      <c r="E5" s="60"/>
      <c r="F5" s="60"/>
      <c r="G5" s="60"/>
      <c r="H5" s="60"/>
    </row>
    <row r="6" ht="42" customHeight="1">
      <c r="A6" s="68" t="str">
        <v>Zuordnungs-ID</v>
      </c>
      <c r="B6" s="68" t="str">
        <v>Geltungs-ID</v>
      </c>
      <c r="C6" s="68" t="str">
        <v>Rechtskategorie</v>
      </c>
      <c r="D6" s="68" t="str">
        <v>Anwendungsbereich</v>
      </c>
      <c r="E6" s="68" t="str">
        <v>Wirkung / Grenze</v>
      </c>
      <c r="F6" s="68" t="str">
        <v>Norm / Referenz</v>
      </c>
      <c r="G6" s="68" t="str">
        <v>Fachstatus</v>
      </c>
      <c r="H6" s="68" t="str">
        <v>Freigabebasis</v>
      </c>
    </row>
    <row r="7" ht="38" customHeight="1">
      <c r="A7" s="71" t="str">
        <v>MAP-BE-PARITY</v>
      </c>
      <c r="B7" s="71" t="str">
        <v>BE-ALL</v>
      </c>
      <c r="C7" s="71" t="str">
        <v>publicHoliday</v>
      </c>
      <c r="D7" s="71" t="str">
        <v>MVP-0.3-Referenzprofile</v>
      </c>
      <c r="E7" s="71" t="str">
        <v>Bestehende Anknüpfung unverändert, keine neue Profilfreigabe</v>
      </c>
      <c r="F7" s="71" t="str">
        <v>Referenzrelease / jeweiliges Rechtsprofil</v>
      </c>
      <c r="G7" s="71" t="str">
        <v>approved</v>
      </c>
      <c r="H7" s="71" t="str">
        <v>2026-08-31-mvp-03-approved.1</v>
      </c>
    </row>
    <row r="8" ht="38" customHeight="1">
      <c r="A8" s="74" t="str">
        <v>MAP-CH-PARITY</v>
      </c>
      <c r="B8" s="74" t="str">
        <v>CH-ALL</v>
      </c>
      <c r="C8" s="74" t="str">
        <v>publicHoliday</v>
      </c>
      <c r="D8" s="74" t="str">
        <v>MVP-0.3-Referenzprofile</v>
      </c>
      <c r="E8" s="74" t="str">
        <v>Nur Bundesfeiertag vererben, keine kantonale Vollständigkeit ableiten</v>
      </c>
      <c r="F8" s="74" t="str">
        <v>SR 116 Art. 1 / Referenzrelease</v>
      </c>
      <c r="G8" s="74" t="str">
        <v>approved</v>
      </c>
      <c r="H8" s="74" t="str">
        <v>2026-08-31-mvp-03-approved.1</v>
      </c>
    </row>
    <row r="9" ht="38" customHeight="1">
      <c r="A9" s="71" t="str">
        <v>MAP-AG-LABOUR</v>
      </c>
      <c r="B9" s="71" t="str">
        <v>AG-ARG-BADEN</v>
      </c>
      <c r="C9" s="71" t="str">
        <v>labourLawHoliday</v>
      </c>
      <c r="D9" s="71" t="str">
        <v>Arbeitsrecht, nicht pauschal Fristenrecht</v>
      </c>
      <c r="E9" s="71" t="str">
        <v>Keine automatische Übernahme in Fristenrechner</v>
      </c>
      <c r="F9" s="71" t="str">
        <v>SAR 961.200 § 6 Abs. 1 Bst. b</v>
      </c>
      <c r="G9" s="71" t="str">
        <v>blocked</v>
      </c>
      <c r="H9" s="71"/>
    </row>
    <row r="10" ht="38" customHeight="1">
      <c r="A10" s="74" t="str">
        <v>MAP-AG-ZPO</v>
      </c>
      <c r="B10" s="74" t="str">
        <v>AG-ZPO-ALL</v>
      </c>
      <c r="C10" s="74" t="str">
        <v>proceduralEquivalentDay</v>
      </c>
      <c r="D10" s="74" t="str">
        <v>Art. 142 Abs. 3 ZPO / § 21 Abs. 1 EG ZPO</v>
      </c>
      <c r="E10" s="74" t="str">
        <v>Orts-/Profilanknüpfung und Freigabe offen</v>
      </c>
      <c r="F10" s="74" t="str">
        <v>SAR 221.200 § 21 Abs. 1 / Art. 142 Abs. 3 ZPO</v>
      </c>
      <c r="G10" s="74" t="str">
        <v>open</v>
      </c>
      <c r="H10" s="74"/>
    </row>
    <row r="11" ht="68" customHeight="1">
      <c r="A11" s="71" t="str">
        <v>MAP-AP18B-AG-A</v>
      </c>
      <c r="B11" s="71" t="str">
        <v>AG-ARG-AARAU-BRUGG-KULM-LENZBURG-ZOFINGEN</v>
      </c>
      <c r="C11" s="71" t="str">
        <v>labourLawHoliday</v>
      </c>
      <c r="D11" s="71" t="str">
        <v>Arbeitsrecht, nicht pauschal Fristenrecht</v>
      </c>
      <c r="E11" s="71" t="str">
        <v>Keine automatische Übernahme in Fristenrechner</v>
      </c>
      <c r="F11" s="71" t="str">
        <v>SAR 961.200 § 6 Abs. 1 Bst. a</v>
      </c>
      <c r="G11" s="71" t="str">
        <v>blocked</v>
      </c>
      <c r="H11" s="71"/>
    </row>
    <row r="12" ht="68" customHeight="1">
      <c r="A12" s="74" t="str">
        <v>MAP-AP18B-AG-B1</v>
      </c>
      <c r="B12" s="74" t="str">
        <v>AG-ARG-BERGDIETIKON</v>
      </c>
      <c r="C12" s="74" t="str">
        <v>labourLawHoliday</v>
      </c>
      <c r="D12" s="74" t="str">
        <v>Arbeitsrecht, nicht pauschal Fristenrecht</v>
      </c>
      <c r="E12" s="74" t="str">
        <v>Keine automatische Übernahme in Fristenrechner</v>
      </c>
      <c r="F12" s="74" t="str">
        <v>SAR 961.200 § 6 Abs. 1 Bst. b Ziff. 1</v>
      </c>
      <c r="G12" s="74" t="str">
        <v>blocked</v>
      </c>
      <c r="H12" s="74"/>
    </row>
    <row r="13" ht="68" customHeight="1">
      <c r="A13" s="71" t="str">
        <v>MAP-AP18B-AG-C</v>
      </c>
      <c r="B13" s="71" t="str">
        <v>AG-ARG-BREMGARTEN</v>
      </c>
      <c r="C13" s="71" t="str">
        <v>labourLawHoliday</v>
      </c>
      <c r="D13" s="71" t="str">
        <v>Arbeitsrecht, nicht pauschal Fristenrecht</v>
      </c>
      <c r="E13" s="71" t="str">
        <v>Keine automatische Übernahme in Fristenrechner</v>
      </c>
      <c r="F13" s="71" t="str">
        <v>SAR 961.200 § 6 Abs. 1 Bst. c</v>
      </c>
      <c r="G13" s="71" t="str">
        <v>blocked</v>
      </c>
      <c r="H13" s="71"/>
    </row>
    <row r="14" ht="68" customHeight="1">
      <c r="A14" s="74" t="str">
        <v>MAP-AP18B-AG-D</v>
      </c>
      <c r="B14" s="74" t="str">
        <v>AG-ARG-LAUFENBURG-MURI</v>
      </c>
      <c r="C14" s="74" t="str">
        <v>labourLawHoliday</v>
      </c>
      <c r="D14" s="74" t="str">
        <v>Arbeitsrecht, nicht pauschal Fristenrecht</v>
      </c>
      <c r="E14" s="74" t="str">
        <v>Keine automatische Übernahme in Fristenrechner</v>
      </c>
      <c r="F14" s="74" t="str">
        <v>SAR 961.200 § 6 Abs. 1 Bst. d</v>
      </c>
      <c r="G14" s="74" t="str">
        <v>blocked</v>
      </c>
      <c r="H14" s="74"/>
    </row>
    <row r="15" ht="68" customHeight="1">
      <c r="A15" s="71" t="str">
        <v>MAP-AP18B-AG-E1</v>
      </c>
      <c r="B15" s="71" t="str">
        <v>AG-ARG-RHEINFELDEN-E1</v>
      </c>
      <c r="C15" s="71" t="str">
        <v>labourLawHoliday</v>
      </c>
      <c r="D15" s="71" t="str">
        <v>Arbeitsrecht, nicht pauschal Fristenrecht</v>
      </c>
      <c r="E15" s="71" t="str">
        <v>Keine automatische Übernahme in Fristenrechner</v>
      </c>
      <c r="F15" s="71" t="str">
        <v>SAR 961.200 § 6 Abs. 1 Bst. e Ziff. 1</v>
      </c>
      <c r="G15" s="71" t="str">
        <v>blocked</v>
      </c>
      <c r="H15" s="71"/>
    </row>
    <row r="16" ht="68" customHeight="1">
      <c r="A16" s="74" t="str">
        <v>MAP-AP18B-AG-E2</v>
      </c>
      <c r="B16" s="74" t="str">
        <v>AG-ARG-RHEINFELDEN-E2</v>
      </c>
      <c r="C16" s="74" t="str">
        <v>labourLawHoliday</v>
      </c>
      <c r="D16" s="74" t="str">
        <v>Arbeitsrecht, nicht pauschal Fristenrecht</v>
      </c>
      <c r="E16" s="74" t="str">
        <v>Keine automatische Übernahme in Fristenrechner</v>
      </c>
      <c r="F16" s="74" t="str">
        <v>SAR 961.200 § 6 Abs. 1 Bst. e Ziff. 2</v>
      </c>
      <c r="G16" s="74" t="str">
        <v>blocked</v>
      </c>
      <c r="H16" s="74"/>
    </row>
    <row r="17" ht="68" customHeight="1">
      <c r="A17" s="71" t="str">
        <v>MAP-AP18B-AG-F</v>
      </c>
      <c r="B17" s="71" t="str">
        <v>AG-ARG-ZURZACH</v>
      </c>
      <c r="C17" s="71" t="str">
        <v>labourLawHoliday</v>
      </c>
      <c r="D17" s="71" t="str">
        <v>Arbeitsrecht, nicht pauschal Fristenrecht</v>
      </c>
      <c r="E17" s="71" t="str">
        <v>Keine automatische Übernahme in Fristenrechner</v>
      </c>
      <c r="F17" s="71" t="str">
        <v>SAR 961.200 § 6 Abs. 1 Bst. f</v>
      </c>
      <c r="G17" s="71" t="str">
        <v>blocked</v>
      </c>
      <c r="H17" s="71"/>
    </row>
    <row r="18" ht="110" customHeight="1">
      <c r="A18" s="74" t="str">
        <v>MAP-TI-LPAMM-ART13</v>
      </c>
      <c r="B18" s="74" t="str">
        <v>TI-OFFICIAL-ALL</v>
      </c>
      <c r="C18" s="74" t="str">
        <v>publicHoliday</v>
      </c>
      <c r="D18" s="74" t="str">
        <v>LPAmm Art. 13 Abs. 3 im Anwendungsbereich von Art. 1</v>
      </c>
      <c r="E18" s="74" t="str">
        <v>Alle 15 offiziellen Tage. Sonderrecht nach Art. 1 Abs. 2 und Ausschluss von Titel II nach Art. 1 Abs. 3 vorbehalten. Orts-/Profilanknüpfung und Freigabe offen.</v>
      </c>
      <c r="F18" s="74" t="str">
        <v>RL 165.100 Art. 1 und 13 Abs. 3 / RL 843.200 Art. 1</v>
      </c>
      <c r="G18" s="74" t="str">
        <v>open</v>
      </c>
      <c r="H18" s="74"/>
    </row>
    <row r="19" ht="110" customHeight="1">
      <c r="A19" s="71" t="str">
        <v>MAP-TI-LALL-A</v>
      </c>
      <c r="B19" s="71" t="str">
        <v>TI-OFFICIAL-ALL</v>
      </c>
      <c r="C19" s="71" t="str">
        <v>labourLawHoliday</v>
      </c>
      <c r="D19" s="71" t="str">
        <v>LALL Art. 6 lit. a, neun sonntagsgleiche Tage</v>
      </c>
      <c r="E19" s="71" t="str">
        <v>Neujahr, Dreikönige, Ostermontag, Auffahrt, Bundesfeier, Mariä Himmelfahrt, Allerheiligen, Weihnachten, Stephanstag. Arbeitsrechtliche Einteilung, kein Filter für LPAmm.</v>
      </c>
      <c r="F19" s="71" t="str">
        <v>RL 843.100 Art. 6 lit. a</v>
      </c>
      <c r="G19" s="71" t="str">
        <v>blocked</v>
      </c>
      <c r="H19" s="71"/>
    </row>
    <row r="20" ht="110" customHeight="1">
      <c r="A20" s="74" t="str">
        <v>MAP-TI-LALL-B</v>
      </c>
      <c r="B20" s="74" t="str">
        <v>TI-OFFICIAL-ALL</v>
      </c>
      <c r="C20" s="74" t="str">
        <v>publicHoliday</v>
      </c>
      <c r="D20" s="74" t="str">
        <v>LALL Art. 6 lit. b, sechs weitere offizielle Tage</v>
      </c>
      <c r="E20" s="74" t="str">
        <v>Josefstag, 1. Mai, Pfingstmontag, Fronleichnam, Peter und Paul, Mariä Empfängnis. Weiterhin offiziell und im LPAmm-Anwendungsbereich zu berücksichtigen.</v>
      </c>
      <c r="F20" s="74" t="str">
        <v>RL 843.100 Art. 6 lit. b / RL 165.100 Art. 13 Abs. 3</v>
      </c>
      <c r="G20" s="74" t="str">
        <v>blocked</v>
      </c>
      <c r="H20" s="74"/>
    </row>
    <row r="21" ht="110" customHeight="1">
      <c r="A21" s="71" t="str">
        <v>MAP-TI-OTHER-PROCESS</v>
      </c>
      <c r="B21" s="71" t="str">
        <v>TI-OFFICIAL-ALL</v>
      </c>
      <c r="C21" s="71" t="str">
        <v>publicHoliday</v>
      </c>
      <c r="D21" s="71" t="str">
        <v>Andere Verfahren, Sonderrecht und ausgenommene Erstinstanzverfahren</v>
      </c>
      <c r="E21" s="71" t="str">
        <v>Keine pauschale Übertragung. Art. 1 Abs. 3 LPAmm nimmt bestimmte formlos durch sofort vollstreckbare Entscheide erledigte Erstinstanzverfahren von Titel II aus.</v>
      </c>
      <c r="F21" s="71" t="str">
        <v>RL 165.100 Art. 1 Abs. 2 und 3</v>
      </c>
      <c r="G21" s="71" t="str">
        <v>blocked</v>
      </c>
      <c r="H21" s="71"/>
    </row>
    <row r="22" ht="110" customHeight="1">
      <c r="A22" s="74" t="str">
        <v>MAP-GR-VRG-ART1</v>
      </c>
      <c r="B22" s="74" t="str">
        <v>GR-PUBLIC-ALL</v>
      </c>
      <c r="C22" s="74" t="str">
        <v>publicHoliday</v>
      </c>
      <c r="D22" s="74" t="str">
        <v>VRG Art. 1, kantonale Behörden einschliesslich gleichgestellter Privater nach Abs. 3</v>
      </c>
      <c r="E22" s="74" t="str">
        <v>Bestätigte Projektannahme nur für Art.-1-VRG-Kontext vor kantonalen Behörden: zusätzliche lokale Ruhetage werden nicht erhoben. Art. 7 Abs. 2 schliesst sie nicht ausdrücklich aus. Örtliche Fristenwirkung bleibt OF-008, keine automatische Berechenbarkeit.</v>
      </c>
      <c r="F22" s="74" t="str">
        <v>BR 370.100 Art. 1 Abs. 1–3 und Art. 7 Abs. 2 / BR 520.100 Art. 2 und 3</v>
      </c>
      <c r="G22" s="74" t="str">
        <v>open</v>
      </c>
      <c r="H22" s="74"/>
    </row>
    <row r="23" ht="110" customHeight="1">
      <c r="A23" s="71" t="str">
        <v>MAP-GR-VRG-ART2</v>
      </c>
      <c r="B23" s="71" t="str">
        <v>GR-PUBLIC-ALL</v>
      </c>
      <c r="C23" s="71" t="str">
        <v>publicHoliday</v>
      </c>
      <c r="D23" s="71" t="str">
        <v>VRG Art. 2, Regional- und Gemeindebehörden</v>
      </c>
      <c r="E23" s="71" t="str">
        <v>Aus dem bestätigten Modellkontext ausgeschlossen. Keine Ableitung einer Fristberechenbarkeit aus der kantonalen Grundliste.</v>
      </c>
      <c r="F23" s="71" t="str">
        <v>BR 370.100 Art. 2</v>
      </c>
      <c r="G23" s="71" t="str">
        <v>blocked</v>
      </c>
      <c r="H23" s="71"/>
    </row>
    <row r="24" ht="110" customHeight="1">
      <c r="A24" s="74" t="str">
        <v>MAP-GR-OTHER-PROCESS</v>
      </c>
      <c r="B24" s="74" t="str">
        <v>GR-PUBLIC-ALL</v>
      </c>
      <c r="C24" s="74" t="str">
        <v>publicHoliday</v>
      </c>
      <c r="D24" s="74" t="str">
        <v>StPO, ZPO, BGG, SchKG, ATSG und andere Spezialverfahren</v>
      </c>
      <c r="E24" s="74" t="str">
        <v>Keine Übertragung der VRG-Projektannahme. Gesetzlicher Ortsbezug, allfällige lokale Ruhetage und Sonderrecht gesondert prüfen. OF-008 bleibt offen.</v>
      </c>
      <c r="F24" s="74" t="str">
        <v>BR 370.100 Art. 1 Abs. 2 / BR 520.100 Art. 3</v>
      </c>
      <c r="G24" s="74" t="str">
        <v>blocked</v>
      </c>
      <c r="H24" s="74"/>
    </row>
    <row r="25" ht="24" customHeight="1">
      <c r="A25" s="60"/>
      <c r="B25" s="60"/>
      <c r="C25" s="60"/>
      <c r="D25" s="60"/>
      <c r="E25" s="60"/>
      <c r="F25" s="60"/>
      <c r="G25" s="60"/>
      <c r="H25" s="60"/>
    </row>
    <row r="26" ht="24" customHeight="1">
      <c r="A26" s="60"/>
      <c r="B26" s="60"/>
      <c r="C26" s="60"/>
      <c r="D26" s="60"/>
      <c r="E26" s="60"/>
      <c r="F26" s="60"/>
      <c r="G26" s="60"/>
      <c r="H26" s="60"/>
    </row>
    <row r="27" ht="24" customHeight="1">
      <c r="A27" s="60"/>
      <c r="B27" s="60"/>
      <c r="C27" s="60"/>
      <c r="D27" s="60"/>
      <c r="E27" s="60"/>
      <c r="F27" s="60"/>
      <c r="G27" s="60"/>
      <c r="H27" s="60"/>
    </row>
    <row r="28" ht="24" customHeight="1">
      <c r="A28" s="60"/>
      <c r="B28" s="60"/>
      <c r="C28" s="60"/>
      <c r="D28" s="60"/>
      <c r="E28" s="60"/>
      <c r="F28" s="60"/>
      <c r="G28" s="60"/>
      <c r="H28" s="60"/>
    </row>
    <row r="29" ht="24" customHeight="1">
      <c r="A29" s="60"/>
      <c r="B29" s="60"/>
      <c r="C29" s="60"/>
      <c r="D29" s="60"/>
      <c r="E29" s="60"/>
      <c r="F29" s="60"/>
      <c r="G29" s="60"/>
      <c r="H29" s="60"/>
    </row>
    <row r="30" ht="24" customHeight="1">
      <c r="A30" s="60"/>
      <c r="B30" s="60"/>
      <c r="C30" s="60"/>
      <c r="D30" s="60"/>
      <c r="E30" s="60"/>
      <c r="F30" s="60"/>
      <c r="G30" s="60"/>
      <c r="H30" s="60"/>
    </row>
    <row r="31" ht="24" customHeight="1">
      <c r="A31" s="60"/>
      <c r="B31" s="60"/>
      <c r="C31" s="60"/>
      <c r="D31" s="60"/>
      <c r="E31" s="60"/>
      <c r="F31" s="60"/>
      <c r="G31" s="60"/>
      <c r="H31" s="60"/>
    </row>
    <row r="32" ht="24" customHeight="1">
      <c r="A32" s="60"/>
      <c r="B32" s="60"/>
      <c r="C32" s="60"/>
      <c r="D32" s="60"/>
      <c r="E32" s="60"/>
      <c r="F32" s="60"/>
      <c r="G32" s="60"/>
      <c r="H32" s="60"/>
    </row>
  </sheetData>
  <sheetProtection sheet="1" objects="1" scenarios="1" autoFilter="0" sort="0" selectLockedCells="0" selectUnlockedCells="0"/>
  <conditionalFormatting sqref="G7:G24">
    <cfRule type="containsText" dxfId="8" priority="1" operator="containsText" text="open"/>
    <cfRule type="containsText" dxfId="9" priority="2" operator="containsText" text="blocked"/>
  </conditionalFormatting>
  <dataValidations count="1">
    <dataValidation type="list" sqref="G7:G24">
      <formula1>"approved,open,blocked"</formula1>
    </dataValidation>
  </dataValidations>
  <pageMargins left="0.7" right="0.7" top="0.75" bottom="0.75" header="0.3" footer="0.3"/>
  <tableParts count="1">
    <tablePart ns1:id="R530b41eeba0841d4"/>
  </tableParts>
</worksheet>
</file>

<file path=xl/worksheets/sheet8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30" hidden="0" customWidth="1"/>
    <col min="2" max="2" width="42" hidden="0" customWidth="1"/>
    <col min="3" max="3" width="17" hidden="0" customWidth="1"/>
    <col min="4" max="4" width="17" hidden="0" customWidth="1"/>
    <col min="5" max="5" width="18" hidden="0" customWidth="1"/>
    <col min="6" max="6" width="41" hidden="0" customWidth="1"/>
    <col min="7" max="7" width="65" hidden="0" customWidth="1"/>
    <col min="8" max="8" width="18" hidden="0" customWidth="1"/>
    <col min="9" max="9" width="25" hidden="0" customWidth="1"/>
    <col min="10" max="10" width="20" hidden="0" customWidth="1"/>
    <col min="11" max="11" width="47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ht="24" customHeight="1">
      <c r="A2" s="61" t="str">
        <v>Quellenprüfung nach AP13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ht="24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ht="24" customHeight="1">
      <c r="A4" s="67" t="str">
        <v>Vorbereitete Prüfnotizen, keine Erweiterung des freigegebenen append-only-Protokolls.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ht="24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ht="42" customHeight="1">
      <c r="A6" s="68" t="str">
        <v>Prüf-ID</v>
      </c>
      <c r="B6" s="68" t="str">
        <v>Quellen-ID</v>
      </c>
      <c r="C6" s="68" t="str">
        <v>Auslöser</v>
      </c>
      <c r="D6" s="68" t="str">
        <v>Datum</v>
      </c>
      <c r="E6" s="68" t="str">
        <v>Ergebnis</v>
      </c>
      <c r="F6" s="68" t="str">
        <v>Vergleichsbasis</v>
      </c>
      <c r="G6" s="68" t="str">
        <v>Befund</v>
      </c>
      <c r="H6" s="68" t="str">
        <v>Ereignisstatus</v>
      </c>
      <c r="I6" s="68" t="str">
        <v>Fachverantwortung</v>
      </c>
      <c r="J6" s="68" t="str">
        <v>Arbeitsinstrument</v>
      </c>
      <c r="K6" s="68" t="str">
        <v>Nächster Schritt</v>
      </c>
    </row>
    <row r="7" ht="38" customHeight="1">
      <c r="A7" s="71" t="str">
        <v>AP18A-20260913-CH</v>
      </c>
      <c r="B7" s="76" t="str">
        <v>SRC-BUNDESFEIERTAG-19940701</v>
      </c>
      <c r="C7" s="76" t="str">
        <v>newScope</v>
      </c>
      <c r="D7" s="85" t="n">
        <v>46278</v>
      </c>
      <c r="E7" s="76" t="str">
        <v>unchanged</v>
      </c>
      <c r="F7" s="76" t="str">
        <v>2026-08-31-mvp-03-approved.1</v>
      </c>
      <c r="G7" s="76" t="str">
        <v>Art. 1 und aktuelle Fassung im Original verglichen</v>
      </c>
      <c r="H7" s="76" t="str">
        <v>candidate</v>
      </c>
      <c r="I7" s="76" t="str">
        <v>David Steimer</v>
      </c>
      <c r="J7" s="76" t="str">
        <v>Codex</v>
      </c>
      <c r="K7" s="76" t="str">
        <v>Prüfereignis fachlich abnehmen</v>
      </c>
    </row>
    <row r="8" ht="38" customHeight="1">
      <c r="A8" s="74" t="str">
        <v>AP18A-20260913-BE</v>
      </c>
      <c r="B8" s="78" t="str">
        <v>SRC-FRG-BE-20210401</v>
      </c>
      <c r="C8" s="78" t="str">
        <v>newScope</v>
      </c>
      <c r="D8" s="87" t="n">
        <v>46278</v>
      </c>
      <c r="E8" s="78" t="str">
        <v>unchanged</v>
      </c>
      <c r="F8" s="78" t="str">
        <v>2026-08-31-mvp-03-approved.1</v>
      </c>
      <c r="G8" s="78" t="str">
        <v>Art. 2 und aktuelle Fassung im Original verglichen</v>
      </c>
      <c r="H8" s="78" t="str">
        <v>candidate</v>
      </c>
      <c r="I8" s="78" t="str">
        <v>David Steimer</v>
      </c>
      <c r="J8" s="78" t="str">
        <v>Codex</v>
      </c>
      <c r="K8" s="78" t="str">
        <v>Prüfereignis fachlich abnehmen</v>
      </c>
    </row>
    <row r="9" ht="38" customHeight="1">
      <c r="A9" s="71" t="str">
        <v>AP18A-20260913-AG</v>
      </c>
      <c r="B9" s="76" t="str">
        <v>SRC-AG-EGARR-20250901</v>
      </c>
      <c r="C9" s="76" t="str">
        <v>newScope</v>
      </c>
      <c r="D9" s="85" t="n">
        <v>46278</v>
      </c>
      <c r="E9" s="76" t="str">
        <v>unclear</v>
      </c>
      <c r="F9" s="76"/>
      <c r="G9" s="76" t="str">
        <v>Regionale Arbeitsfeiertage sind kein generischer Fristenkalender</v>
      </c>
      <c r="H9" s="76" t="str">
        <v>candidate</v>
      </c>
      <c r="I9" s="76" t="str">
        <v>David Steimer</v>
      </c>
      <c r="J9" s="76" t="str">
        <v>Codex</v>
      </c>
      <c r="K9" s="76" t="str">
        <v>AG-Fristenanknüpfung separat prüfen</v>
      </c>
    </row>
    <row r="10" ht="38" customHeight="1">
      <c r="A10" s="74" t="str">
        <v>AP18A-20260913-AG-ZPO</v>
      </c>
      <c r="B10" s="78" t="str">
        <v>SRC-AG-EGZPO</v>
      </c>
      <c r="C10" s="78" t="str">
        <v>newScope</v>
      </c>
      <c r="D10" s="87" t="n">
        <v>46278</v>
      </c>
      <c r="E10" s="78" t="str">
        <v>unclear</v>
      </c>
      <c r="F10" s="78"/>
      <c r="G10" s="78" t="str">
        <v>Prozessuale Liste getrennt von regionalem Arbeitsrecht führen</v>
      </c>
      <c r="H10" s="78" t="str">
        <v>candidate</v>
      </c>
      <c r="I10" s="78" t="str">
        <v>David Steimer</v>
      </c>
      <c r="J10" s="78" t="str">
        <v>Codex</v>
      </c>
      <c r="K10" s="78" t="str">
        <v>Anwendungsbereich und Quellenstand abnehmen</v>
      </c>
    </row>
    <row r="11" ht="68" customHeight="1">
      <c r="A11" s="71" t="str">
        <v>AP18B-AG-EGARR-20260913</v>
      </c>
      <c r="B11" s="76" t="str">
        <v>SRC-AG-EGARR-20250901</v>
      </c>
      <c r="C11" s="76" t="str">
        <v>newScope</v>
      </c>
      <c r="D11" s="85" t="n">
        <v>46278</v>
      </c>
      <c r="E11" s="76" t="str">
        <v>unchanged</v>
      </c>
      <c r="F11" s="76"/>
      <c r="G11" s="76" t="str">
        <v>Normtext gegenüber AP18A unverändert. Acht Normzweige von § 6 Abs. 1 jetzt vollständig erfasst</v>
      </c>
      <c r="H11" s="76" t="str">
        <v>candidate</v>
      </c>
      <c r="I11" s="76" t="str">
        <v>David Steimer</v>
      </c>
      <c r="J11" s="76" t="str">
        <v>Codex</v>
      </c>
      <c r="K11" s="76" t="str">
        <v>Vollständigen Erfassungsumfang und räumliche Zuordnungen fachlich abnehmen</v>
      </c>
    </row>
    <row r="12" ht="68" customHeight="1">
      <c r="A12" s="74" t="str">
        <v>AP18B-AG-EGZPO-20260913</v>
      </c>
      <c r="B12" s="78" t="str">
        <v>SRC-AG-EGZPO</v>
      </c>
      <c r="C12" s="78" t="str">
        <v>newScope</v>
      </c>
      <c r="D12" s="87" t="n">
        <v>46278</v>
      </c>
      <c r="E12" s="78" t="str">
        <v>unchanged</v>
      </c>
      <c r="F12" s="78"/>
      <c r="G12" s="78" t="str">
        <v>Normtext gegenüber AP18A unverändert. Liste der 14 Tage von § 21 Abs. 1 jetzt vollständig erfasst</v>
      </c>
      <c r="H12" s="78" t="str">
        <v>candidate</v>
      </c>
      <c r="I12" s="78" t="str">
        <v>David Steimer</v>
      </c>
      <c r="J12" s="78" t="str">
        <v>Codex</v>
      </c>
      <c r="K12" s="78" t="str">
        <v>Vollständigen Erfassungsumfang sowie Orts-/Profilanknüpfung fachlich abnehmen</v>
      </c>
    </row>
    <row r="13" ht="68" customHeight="1">
      <c r="A13" s="71" t="str">
        <v>AP18B-AG-AWA-20260913</v>
      </c>
      <c r="B13" s="76" t="str">
        <v>SRC-AG-AWA-FEIERTAGE</v>
      </c>
      <c r="C13" s="76" t="str">
        <v>newScope</v>
      </c>
      <c r="D13" s="85" t="n">
        <v>46278</v>
      </c>
      <c r="E13" s="76" t="str">
        <v>unclear</v>
      </c>
      <c r="F13" s="76"/>
      <c r="G13" s="76" t="str">
        <v>Acht Normzweige gegen undatierte AWA-Übersicht abgeglichen, Quellenprüfung als Kandidat</v>
      </c>
      <c r="H13" s="76" t="str">
        <v>candidate</v>
      </c>
      <c r="I13" s="76" t="str">
        <v>David Steimer</v>
      </c>
      <c r="J13" s="76" t="str">
        <v>Codex</v>
      </c>
      <c r="K13" s="76" t="str">
        <v>Fachabnahme des vollständigen AG-Erfassungsstands und Verfahrensanknüpfung offen</v>
      </c>
    </row>
    <row r="14" ht="82" customHeight="1">
      <c r="A14" s="74" t="str">
        <v>AP18B-TI-GR-01-20260913</v>
      </c>
      <c r="B14" s="78" t="str">
        <v>SRC-TI-FEIERTAGE-843200</v>
      </c>
      <c r="C14" s="78" t="str">
        <v>newScope</v>
      </c>
      <c r="D14" s="87" t="n">
        <v>46278</v>
      </c>
      <c r="E14" s="78" t="str">
        <v>unclear</v>
      </c>
      <c r="F14" s="78"/>
      <c r="G14" s="78" t="inlineStr">
        <is>
          <t>15 offizielle Tage. IT amtlich, DE/FR Produktübersetzungen. Acht RG-Namen auf Nutzerwunsch provisorisch ergänzt. Sprachbelege separat dokumentiert, keine amtliche TI-Sprachfassung. Rechtsprüfung und Fachstatus unverändert.</t>
        </is>
      </c>
      <c r="H14" s="78" t="str">
        <v>candidate</v>
      </c>
      <c r="I14" s="78" t="str">
        <v>David Steimer</v>
      </c>
      <c r="J14" s="78" t="str">
        <v>Codex</v>
      </c>
      <c r="K14" s="78" t="str">
        <v>Fachabnahme der Erhebung offen. Sprachbeleg ersetzt keine Verfahrensfreigabe.</v>
      </c>
    </row>
    <row r="15" ht="82" customHeight="1">
      <c r="A15" s="71" t="str">
        <v>AP18B-TI-GR-02-20260913</v>
      </c>
      <c r="B15" s="76" t="str">
        <v>SRC-TI-LALL-843100</v>
      </c>
      <c r="C15" s="76" t="str">
        <v>newScope</v>
      </c>
      <c r="D15" s="85" t="n">
        <v>46278</v>
      </c>
      <c r="E15" s="76" t="str">
        <v>unclear</v>
      </c>
      <c r="F15" s="76"/>
      <c r="G15" s="76" t="str">
        <v>Arbeitsrechtliche Gruppen 9/6 separat. Alle 15 bleiben offiziell. Kein Ausschluss der sechs Tage aus LPAmm. Kein gesonderter Fassungsstand ausgewiesen, Inkrafttreten 01.06.2011. Erstaufnahme als Prüfgrundlage, kein behaupteter Vergleich mit früherem freigegebenem TI-/GR-Stand.</v>
      </c>
      <c r="H15" s="76" t="str">
        <v>candidate</v>
      </c>
      <c r="I15" s="76" t="str">
        <v>David Steimer</v>
      </c>
      <c r="J15" s="76" t="str">
        <v>Codex</v>
      </c>
      <c r="K15" s="76" t="str">
        <v>Fachabnahme der Erhebung offen. Sprachbeleg ersetzt keine Verfahrensfreigabe.</v>
      </c>
    </row>
    <row r="16" ht="82" customHeight="1">
      <c r="A16" s="74" t="str">
        <v>AP18B-TI-GR-03-20260913</v>
      </c>
      <c r="B16" s="78" t="str">
        <v>SRC-TI-LPAMM-165100-20250601</v>
      </c>
      <c r="C16" s="78" t="str">
        <v>newScope</v>
      </c>
      <c r="D16" s="87" t="n">
        <v>46278</v>
      </c>
      <c r="E16" s="78" t="str">
        <v>unclear</v>
      </c>
      <c r="F16" s="78"/>
      <c r="G16" s="78" t="str">
        <v>Art. 13 Abs. 3 erfasst offiziell anerkannte Feiertage. Sonderrecht Art. 1 Abs. 2 und Ausschluss von Titel II nach Art. 1 Abs. 3 bleiben vorbehalten. Erstaufnahme als Prüfgrundlage, kein behaupteter Vergleich mit früherem freigegebenem TI-/GR-Stand.</v>
      </c>
      <c r="H16" s="78" t="str">
        <v>candidate</v>
      </c>
      <c r="I16" s="78" t="str">
        <v>David Steimer</v>
      </c>
      <c r="J16" s="78" t="str">
        <v>Codex</v>
      </c>
      <c r="K16" s="78" t="str">
        <v>Fachabnahme der Erhebung offen. Sprachbeleg ersetzt keine Verfahrensfreigabe.</v>
      </c>
    </row>
    <row r="17" ht="82" customHeight="1">
      <c r="A17" s="71" t="str">
        <v>AP18B-TI-GR-04-20260913</v>
      </c>
      <c r="B17" s="76" t="str">
        <v>SRC-GR-RUHETAGE-520100-20160101</v>
      </c>
      <c r="C17" s="76" t="str">
        <v>newScope</v>
      </c>
      <c r="D17" s="85" t="n">
        <v>46278</v>
      </c>
      <c r="E17" s="76" t="str">
        <v>unclear</v>
      </c>
      <c r="F17" s="76"/>
      <c r="G17" s="76" t="str">
        <v>DE amtlich. IT/RM separat belegt, FR Produktübersetzung. Art. 2 Abs. 2: hohe Tage samt drei benannten Sonntagen. Bundesfeier aus Bundesregel, lokale Ruhetage nicht erfasst. Erstaufnahme als Prüfgrundlage, kein behaupteter Vergleich mit früherem freigegebenem TI-/GR-Stand.</v>
      </c>
      <c r="H17" s="76" t="str">
        <v>candidate</v>
      </c>
      <c r="I17" s="76" t="str">
        <v>David Steimer</v>
      </c>
      <c r="J17" s="76" t="str">
        <v>Codex</v>
      </c>
      <c r="K17" s="76" t="str">
        <v>Fachabnahme der Erhebung offen. Sprachbeleg ersetzt keine Verfahrensfreigabe.</v>
      </c>
    </row>
    <row r="18" ht="82" customHeight="1">
      <c r="A18" s="74" t="str">
        <v>AP18B-TI-GR-05-20260913</v>
      </c>
      <c r="B18" s="78" t="str">
        <v>SRC-GR-VRG-370100-V3521</v>
      </c>
      <c r="C18" s="78" t="str">
        <v>newScope</v>
      </c>
      <c r="D18" s="87" t="n">
        <v>46278</v>
      </c>
      <c r="E18" s="78" t="str">
        <v>unclear</v>
      </c>
      <c r="F18" s="78"/>
      <c r="G18" s="78" t="str">
        <v>Bestätigte Projektannahme nur für Art.-1-VRG-Kontext vor kantonalen Behörden: zusätzliche lokale Ruhetage werden nicht erhoben. Art. 7 Abs. 2 schliesst sie nicht ausdrücklich aus. Örtliche Fristenwirkung bleibt OF-008, keine automatische Berechenbarkeit. Erstaufnahme als Prüfgrundlage, kein behaupteter Vergleich mit früherem freigegebenem TI-/GR-Stand.</v>
      </c>
      <c r="H18" s="78" t="str">
        <v>candidate</v>
      </c>
      <c r="I18" s="78" t="str">
        <v>David Steimer</v>
      </c>
      <c r="J18" s="78" t="str">
        <v>Codex</v>
      </c>
      <c r="K18" s="78" t="str">
        <v>Fachabnahme der Erhebung offen. Sprachbeleg ersetzt keine Verfahrensfreigabe.</v>
      </c>
    </row>
    <row r="19" ht="82" customHeight="1">
      <c r="A19" s="71" t="str">
        <v>AP18B-TI-GR-06-20260913</v>
      </c>
      <c r="B19" s="76" t="str">
        <v>SRC-GR-RUHETAGE-520100-IT-V2604</v>
      </c>
      <c r="C19" s="76" t="str">
        <v>newScope</v>
      </c>
      <c r="D19" s="85" t="n">
        <v>46278</v>
      </c>
      <c r="E19" s="76" t="str">
        <v>unclear</v>
      </c>
      <c r="F19" s="76"/>
      <c r="G19" s="76" t="str">
        <v>Sprachbeleg IT: unter anderem Domenica di Pasqua, Domenica di Pentecoste und Festa federale di preghiera. Keine zusätzliche Rechtswirkung durch Sprachübernahme. Erstaufnahme als Prüfgrundlage, kein behaupteter Vergleich mit früherem freigegebenem TI-/GR-Stand.</v>
      </c>
      <c r="H19" s="76" t="str">
        <v>candidate</v>
      </c>
      <c r="I19" s="76" t="str">
        <v>David Steimer</v>
      </c>
      <c r="J19" s="76" t="str">
        <v>Codex</v>
      </c>
      <c r="K19" s="76" t="str">
        <v>Fachabnahme der Erhebung offen. Sprachbeleg ersetzt keine Verfahrensfreigabe.</v>
      </c>
    </row>
    <row r="20" ht="82" customHeight="1">
      <c r="A20" s="74" t="str">
        <v>AP18B-TI-GR-07-20260913</v>
      </c>
      <c r="B20" s="78" t="str">
        <v>SRC-GR-RUHETAGE-520100-RM-V2604</v>
      </c>
      <c r="C20" s="78" t="str">
        <v>newScope</v>
      </c>
      <c r="D20" s="87" t="n">
        <v>46278</v>
      </c>
      <c r="E20" s="78" t="str">
        <v>unclear</v>
      </c>
      <c r="F20" s="78"/>
      <c r="G20" s="78" t="str">
        <v>Amtliche RG-Namen. Anzeige teilweise ohne Satzartikel und mit grossem Anfangsbuchstaben. Gemeinsame TI-Namen übernehmen nur diesen Sprachbeleg, nicht GR-Recht. Erstaufnahme als Prüfgrundlage, kein behaupteter Vergleich mit früherem freigegebenem TI-/GR-Stand.</v>
      </c>
      <c r="H20" s="78" t="str">
        <v>candidate</v>
      </c>
      <c r="I20" s="78" t="str">
        <v>David Steimer</v>
      </c>
      <c r="J20" s="78" t="str">
        <v>Codex</v>
      </c>
      <c r="K20" s="78" t="str">
        <v>Fachabnahme der Erhebung offen. Sprachbeleg ersetzt keine Verfahrensfreigabe.</v>
      </c>
    </row>
    <row r="21" ht="82" customHeight="1">
      <c r="A21" s="71" t="str">
        <v>AP18B-TI-GR-08-20260913</v>
      </c>
      <c r="B21" s="76" t="str">
        <v>SRC-GR-VRG-370100-RM-V3521</v>
      </c>
      <c r="C21" s="76" t="str">
        <v>newScope</v>
      </c>
      <c r="D21" s="85" t="n">
        <v>46278</v>
      </c>
      <c r="E21" s="76" t="str">
        <v>unclear</v>
      </c>
      <c r="F21" s="76"/>
      <c r="G21" s="76" t="str">
        <v>Amtlicher Beleg des Kantonsnamens Grischun. Eigenständiger Sprachbeleg, keine zusätzliche Freigabe der Verfahrenszuordnung. Erstaufnahme als Prüfgrundlage, kein behaupteter Vergleich mit früherem freigegebenem TI-/GR-Stand.</v>
      </c>
      <c r="H21" s="76" t="str">
        <v>candidate</v>
      </c>
      <c r="I21" s="76" t="str">
        <v>David Steimer</v>
      </c>
      <c r="J21" s="76" t="str">
        <v>Codex</v>
      </c>
      <c r="K21" s="76" t="str">
        <v>Fachabnahme der Erhebung offen. Sprachbeleg ersetzt keine Verfahrensfreigabe.</v>
      </c>
    </row>
    <row r="22" ht="82" customHeight="1">
      <c r="A22" s="74" t="str">
        <v>AP18B-TI-GR-09-20260913</v>
      </c>
      <c r="B22" s="78" t="str">
        <v>SRC-TI-UIL-FEIERTAGE-2026-2027</v>
      </c>
      <c r="C22" s="78" t="str">
        <v>newScope</v>
      </c>
      <c r="D22" s="87" t="n">
        <v>46278</v>
      </c>
      <c r="E22" s="78" t="str">
        <v>unclear</v>
      </c>
      <c r="F22" s="78"/>
      <c r="G22" s="78" t="str">
        <v>Datumskontrolle 2026/2027. Die Ausprägung 2028 ist regelbasiert abgeleitet, keine behauptete amtliche Jahresliste 2028. Erstaufnahme als Prüfgrundlage, kein behaupteter Vergleich mit früherem freigegebenem TI-/GR-Stand.</v>
      </c>
      <c r="H22" s="78" t="str">
        <v>candidate</v>
      </c>
      <c r="I22" s="78" t="str">
        <v>David Steimer</v>
      </c>
      <c r="J22" s="78" t="str">
        <v>Codex</v>
      </c>
      <c r="K22" s="78" t="str">
        <v>Fachabnahme der Erhebung offen. Sprachbeleg ersetzt keine Verfahrensfreigabe.</v>
      </c>
    </row>
    <row r="23" ht="82" customHeight="1">
      <c r="A23" s="71" t="str">
        <v>AP18B-TI-GR-10-20260913</v>
      </c>
      <c r="B23" s="76" t="str">
        <v>SRC-CH-PARL-BUNDESFEIER-RM-2026</v>
      </c>
      <c r="C23" s="76" t="str">
        <v>newScope</v>
      </c>
      <c r="D23" s="85" t="n">
        <v>46278</v>
      </c>
      <c r="E23" s="76" t="str">
        <v>unclear</v>
      </c>
      <c r="F23" s="76"/>
      <c r="G23" s="76" t="str">
        <v>Nur Sprachbeleg für Festa naziunala svizra. Der Veranstaltungsbezug 2026 ist kein Normstand. Rechtsgrundlage bleibt die bestehende Bundesquelle. Erstaufnahme als Prüfgrundlage, kein behaupteter Vergleich mit früherem freigegebenem TI-/GR-Stand.</v>
      </c>
      <c r="H23" s="76" t="str">
        <v>candidate</v>
      </c>
      <c r="I23" s="76" t="str">
        <v>David Steimer</v>
      </c>
      <c r="J23" s="76" t="str">
        <v>Codex</v>
      </c>
      <c r="K23" s="76" t="str">
        <v>Fachabnahme der Erhebung offen. Sprachbeleg ersetzt keine Verfahrensfreigabe.</v>
      </c>
    </row>
    <row r="24" ht="82" customHeight="1">
      <c r="A24" s="74" t="str">
        <v>AP18B-TI-GR-11-20260913</v>
      </c>
      <c r="B24" s="78" t="str">
        <v>SRC-TI-KANTONSNAME-RM</v>
      </c>
      <c r="C24" s="78" t="str">
        <v>newScope</v>
      </c>
      <c r="D24" s="87" t="n">
        <v>46278</v>
      </c>
      <c r="E24" s="78" t="str">
        <v>unclear</v>
      </c>
      <c r="F24" s="78"/>
      <c r="G24" s="78" t="str">
        <v>Amtlicher Beleg des Kantonsnamens Tessin. Undatierte Webseite, nur Namensbeleg, keine Feiertagsnorm. Erstaufnahme als Prüfgrundlage, kein behaupteter Vergleich mit früherem freigegebenem TI-/GR-Stand.</v>
      </c>
      <c r="H24" s="78" t="str">
        <v>candidate</v>
      </c>
      <c r="I24" s="78" t="str">
        <v>David Steimer</v>
      </c>
      <c r="J24" s="78" t="str">
        <v>Codex</v>
      </c>
      <c r="K24" s="78" t="str">
        <v>Fachabnahme der Erhebung offen. Sprachbeleg ersetzt keine Verfahrensfreigabe.</v>
      </c>
    </row>
    <row r="25" ht="24" customHeight="1">
      <c r="A25" s="60"/>
      <c r="B25" s="91"/>
      <c r="C25" s="91"/>
      <c r="D25" s="91"/>
      <c r="E25" s="91"/>
      <c r="F25" s="91"/>
      <c r="G25" s="91"/>
      <c r="H25" s="91"/>
      <c r="I25" s="91"/>
      <c r="J25" s="91"/>
      <c r="K25" s="91"/>
    </row>
    <row r="26" ht="24" customHeight="1">
      <c r="A26" s="60"/>
      <c r="B26" s="91"/>
      <c r="C26" s="91"/>
      <c r="D26" s="91"/>
      <c r="E26" s="91"/>
      <c r="F26" s="91"/>
      <c r="G26" s="91"/>
      <c r="H26" s="91"/>
      <c r="I26" s="91"/>
      <c r="J26" s="91"/>
      <c r="K26" s="91"/>
    </row>
    <row r="27" ht="24" customHeight="1">
      <c r="A27" s="60"/>
      <c r="B27" s="91"/>
      <c r="C27" s="91"/>
      <c r="D27" s="91"/>
      <c r="E27" s="91"/>
      <c r="F27" s="91"/>
      <c r="G27" s="91"/>
      <c r="H27" s="91"/>
      <c r="I27" s="91"/>
      <c r="J27" s="91"/>
      <c r="K27" s="91"/>
    </row>
    <row r="28" ht="24" customHeight="1">
      <c r="A28" s="60"/>
      <c r="B28" s="91"/>
      <c r="C28" s="91"/>
      <c r="D28" s="91"/>
      <c r="E28" s="91"/>
      <c r="F28" s="91"/>
      <c r="G28" s="91"/>
      <c r="H28" s="91"/>
      <c r="I28" s="91"/>
      <c r="J28" s="91"/>
      <c r="K28" s="91"/>
    </row>
    <row r="29" ht="24" customHeight="1">
      <c r="A29" s="60"/>
      <c r="B29" s="91"/>
      <c r="C29" s="91"/>
      <c r="D29" s="91"/>
      <c r="E29" s="91"/>
      <c r="F29" s="91"/>
      <c r="G29" s="91"/>
      <c r="H29" s="91"/>
      <c r="I29" s="91"/>
      <c r="J29" s="91"/>
      <c r="K29" s="91"/>
    </row>
    <row r="30" ht="24" customHeight="1">
      <c r="A30" s="60"/>
      <c r="B30" s="91"/>
      <c r="C30" s="91"/>
      <c r="D30" s="91"/>
      <c r="E30" s="91"/>
      <c r="F30" s="91"/>
      <c r="G30" s="91"/>
      <c r="H30" s="91"/>
      <c r="I30" s="91"/>
      <c r="J30" s="91"/>
      <c r="K30" s="91"/>
    </row>
    <row r="31" ht="24" customHeight="1">
      <c r="A31" s="60"/>
      <c r="B31" s="91"/>
      <c r="C31" s="91"/>
      <c r="D31" s="91"/>
      <c r="E31" s="91"/>
      <c r="F31" s="91"/>
      <c r="G31" s="91"/>
      <c r="H31" s="91"/>
      <c r="I31" s="91"/>
      <c r="J31" s="91"/>
      <c r="K31" s="91"/>
    </row>
    <row r="32" ht="24" customHeight="1">
      <c r="A32" s="60"/>
      <c r="B32" s="91"/>
      <c r="C32" s="91"/>
      <c r="D32" s="91"/>
      <c r="E32" s="91"/>
      <c r="F32" s="91"/>
      <c r="G32" s="91"/>
      <c r="H32" s="91"/>
      <c r="I32" s="91"/>
      <c r="J32" s="91"/>
      <c r="K32" s="91"/>
    </row>
  </sheetData>
  <sheetProtection sheet="1" objects="1" scenarios="1" autoFilter="0" sort="0" selectLockedCells="0" selectUnlockedCells="0"/>
  <dataValidations count="2">
    <dataValidation type="list" sqref="E7:E24">
      <formula1>"unchanged,changed,unclear,unavailable"</formula1>
    </dataValidation>
    <dataValidation type="list" sqref="H7:H24">
      <formula1>"candidate,approved,withdrawn"</formula1>
    </dataValidation>
  </dataValidations>
  <pageMargins left="0.7" right="0.7" top="0.75" bottom="0.75" header="0.3" footer="0.3"/>
  <tableParts count="1">
    <tablePart ns1:id="R8780e029f2f441fb"/>
  </tableParts>
</worksheet>
</file>

<file path=xl/worksheets/sheet9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6" topLeftCell="B7" activePane="bottomRight" state="frozen" xSplit="1"/>
    </sheetView>
  </sheetViews>
  <sheetFormatPr defaultRowHeight="15"/>
  <cols>
    <col min="1" max="1" width="31" hidden="0" customWidth="1"/>
    <col min="2" max="2" width="31" hidden="0" customWidth="1"/>
    <col min="3" max="3" width="33" hidden="0" customWidth="1"/>
    <col min="4" max="4" width="33" hidden="0" customWidth="1"/>
    <col min="5" max="5" width="32" hidden="0" customWidth="1"/>
    <col min="6" max="6" width="32" hidden="0" customWidth="1"/>
    <col min="7" max="7" width="32" hidden="0" customWidth="1"/>
    <col min="8" max="8" width="18" hidden="0" customWidth="1"/>
    <col min="9" max="9" width="33" hidden="0" customWidth="1"/>
    <col min="10" max="10" width="15" hidden="0" customWidth="1"/>
    <col min="11" max="11" width="22" hidden="0" customWidth="1"/>
    <col min="12" max="12" width="23" hidden="0" customWidth="1"/>
    <col min="13" max="13" width="16" hidden="0" customWidth="1"/>
    <col min="14" max="14" width="16" hidden="0" customWidth="1"/>
    <col min="15" max="15" width="42" hidden="0" customWidth="1"/>
    <col min="16" max="16" width="32" hidden="0" customWidth="1"/>
    <col min="17" max="17" width="16" hidden="0" customWidth="1"/>
    <col min="18" max="18" width="59" hidden="0" customWidth="1"/>
  </cols>
  <sheetData>
    <row r="1" ht="24" customHeight="1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</row>
    <row r="2" ht="24" customHeight="1">
      <c r="A2" s="193" t="str">
        <v>Gebietszuordnungen und räumliche Ausnahmen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</row>
    <row r="3" ht="24" customHeight="1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</row>
    <row r="4" ht="24" customHeight="1">
      <c r="A4" s="195" t="str">
        <v>Ein Geltungsbereich umfasst die eingeschlossenen Gebiete abzüglich der ausgeschlossenen Gebiete. Keine automatische Fristwirkung.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</row>
    <row r="5" ht="24" customHeight="1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</row>
    <row r="6" ht="42" customHeight="1">
      <c r="A6" s="196" t="str">
        <v>Zuordnungs-ID</v>
      </c>
      <c r="B6" s="196" t="str">
        <v>Geltungs-ID</v>
      </c>
      <c r="C6" s="196" t="str">
        <v>Gebiet-ID</v>
      </c>
      <c r="D6" s="196" t="str">
        <v>Deutsch</v>
      </c>
      <c r="E6" s="196" t="str">
        <v>Französisch</v>
      </c>
      <c r="F6" s="196" t="str">
        <v>Italienisch</v>
      </c>
      <c r="G6" s="196" t="str">
        <v>Rumantsch Grischun</v>
      </c>
      <c r="H6" s="196" t="str">
        <v>Gebietstyp</v>
      </c>
      <c r="I6" s="196" t="str">
        <v>Übergeordnetes Gebiet</v>
      </c>
      <c r="J6" s="196" t="str">
        <v>Einbezug</v>
      </c>
      <c r="K6" s="196" t="str">
        <v>Kennungssystem</v>
      </c>
      <c r="L6" s="196" t="str">
        <v>Amtliche Kennung</v>
      </c>
      <c r="M6" s="196" t="str">
        <v>Gültig ab</v>
      </c>
      <c r="N6" s="196" t="str">
        <v>Gültig bis</v>
      </c>
      <c r="O6" s="196" t="str">
        <v>Quellen-ID</v>
      </c>
      <c r="P6" s="196" t="str">
        <v>Fundstelle</v>
      </c>
      <c r="Q6" s="196" t="str">
        <v>Fachstatus</v>
      </c>
      <c r="R6" s="196" t="str">
        <v>Prüfhinweis</v>
      </c>
    </row>
    <row r="7" ht="58" customHeight="1">
      <c r="A7" s="197" t="str">
        <v>AREA-AP18A-01</v>
      </c>
      <c r="B7" s="197" t="str">
        <v>CH-ALL</v>
      </c>
      <c r="C7" s="197" t="str">
        <v>GEO-CH</v>
      </c>
      <c r="D7" s="197" t="str">
        <v>Bund</v>
      </c>
      <c r="E7" s="197" t="str">
        <v>Confédération</v>
      </c>
      <c r="F7" s="197" t="str"/>
      <c r="G7" s="197" t="str"/>
      <c r="H7" s="197" t="str">
        <v>Bund</v>
      </c>
      <c r="I7" s="197"/>
      <c r="J7" s="197" t="str">
        <v>include</v>
      </c>
      <c r="K7" s="197" t="str"/>
      <c r="L7" s="197" t="str"/>
      <c r="M7" s="198" t="n">
        <v>34516</v>
      </c>
      <c r="N7" s="198"/>
      <c r="O7" s="197" t="str">
        <v>SRC-BUNDESFEIERTAG-19940701</v>
      </c>
      <c r="P7" s="197" t="str">
        <v>Art. 1</v>
      </c>
      <c r="Q7" s="197" t="str">
        <v>open</v>
      </c>
      <c r="R7" s="197" t="str">
        <v>Neue räumliche Zuordnung, fachlich zu prüfen. Interne Gebiet-ID, keine amtliche Kennung. Keine automatische Feiertagsvererbung oder Fristwirkung.</v>
      </c>
    </row>
    <row r="8" ht="58" customHeight="1">
      <c r="A8" s="199" t="str">
        <v>AREA-AP18A-02</v>
      </c>
      <c r="B8" s="199" t="str">
        <v>BE-ALL</v>
      </c>
      <c r="C8" s="199" t="str">
        <v>GEO-BE</v>
      </c>
      <c r="D8" s="199" t="str">
        <v>Bern</v>
      </c>
      <c r="E8" s="199" t="str">
        <v>Berne</v>
      </c>
      <c r="F8" s="199" t="str"/>
      <c r="G8" s="199" t="str"/>
      <c r="H8" s="199" t="str">
        <v>Kanton</v>
      </c>
      <c r="I8" s="199" t="str">
        <v>GEO-CH</v>
      </c>
      <c r="J8" s="199" t="str">
        <v>include</v>
      </c>
      <c r="K8" s="199" t="str"/>
      <c r="L8" s="199" t="str"/>
      <c r="M8" s="200" t="n">
        <v>46023</v>
      </c>
      <c r="N8" s="200"/>
      <c r="O8" s="199" t="str">
        <v>SRC-FRG-BE-20210401</v>
      </c>
      <c r="P8" s="199" t="str">
        <v>Art. 2 Abs. 1</v>
      </c>
      <c r="Q8" s="199" t="str">
        <v>open</v>
      </c>
      <c r="R8" s="199" t="str">
        <v>Neue räumliche Zuordnung, fachlich zu prüfen. Interne Gebiet-ID, keine amtliche Kennung. Keine automatische Feiertagsvererbung oder Fristwirkung.</v>
      </c>
    </row>
    <row r="9" ht="58" customHeight="1">
      <c r="A9" s="197" t="str">
        <v>AREA-AP18A-03</v>
      </c>
      <c r="B9" s="197" t="str">
        <v>AG-ARG-BADEN</v>
      </c>
      <c r="C9" s="197" t="str">
        <v>GEO-AG-BADEN</v>
      </c>
      <c r="D9" s="197" t="str">
        <v>Bezirk Baden</v>
      </c>
      <c r="E9" s="197" t="str"/>
      <c r="F9" s="197" t="str"/>
      <c r="G9" s="197" t="str"/>
      <c r="H9" s="197" t="str">
        <v>Bezirk</v>
      </c>
      <c r="I9" s="197" t="str">
        <v>GEO-AG</v>
      </c>
      <c r="J9" s="197" t="str">
        <v>include</v>
      </c>
      <c r="K9" s="197" t="str"/>
      <c r="L9" s="197" t="str"/>
      <c r="M9" s="198" t="n">
        <v>46023</v>
      </c>
      <c r="N9" s="198"/>
      <c r="O9" s="197" t="str">
        <v>SRC-AG-EGARR-20250901</v>
      </c>
      <c r="P9" s="197" t="str">
        <v>§ 6 Abs. 1 Bst. b Ziff. 2</v>
      </c>
      <c r="Q9" s="197" t="str">
        <v>open</v>
      </c>
      <c r="R9" s="197" t="str">
        <v>Neue räumliche Zuordnung, fachlich zu prüfen. Interne Gebiet-ID, keine amtliche Kennung. Keine automatische Feiertagsvererbung oder Fristwirkung.</v>
      </c>
    </row>
    <row r="10" ht="58" customHeight="1">
      <c r="A10" s="199" t="str">
        <v>AREA-AP18A-04</v>
      </c>
      <c r="B10" s="199" t="str">
        <v>AG-ARG-BADEN</v>
      </c>
      <c r="C10" s="199" t="str">
        <v>GEO-AG-BERGDIETIKON</v>
      </c>
      <c r="D10" s="199" t="str">
        <v>Gemeinde Bergdietikon</v>
      </c>
      <c r="E10" s="199" t="str"/>
      <c r="F10" s="199" t="str"/>
      <c r="G10" s="199" t="str"/>
      <c r="H10" s="199" t="str">
        <v>Gemeinde</v>
      </c>
      <c r="I10" s="199" t="str">
        <v>GEO-AG-BADEN</v>
      </c>
      <c r="J10" s="199" t="str">
        <v>exclude</v>
      </c>
      <c r="K10" s="199" t="str"/>
      <c r="L10" s="199" t="str"/>
      <c r="M10" s="200" t="n">
        <v>46023</v>
      </c>
      <c r="N10" s="200"/>
      <c r="O10" s="199" t="str">
        <v>SRC-AG-EGARR-20250901</v>
      </c>
      <c r="P10" s="199" t="str">
        <v>§ 6 Abs. 1 Bst. b Ziff. 2</v>
      </c>
      <c r="Q10" s="199" t="str">
        <v>open</v>
      </c>
      <c r="R10" s="199" t="str">
        <v>Neue räumliche Zuordnung, fachlich zu prüfen. Interne Gebiet-ID, keine amtliche Kennung. Keine automatische Feiertagsvererbung oder Fristwirkung.</v>
      </c>
    </row>
    <row r="11" ht="58" customHeight="1">
      <c r="A11" s="197" t="str">
        <v>AREA-AP18A-05</v>
      </c>
      <c r="B11" s="197" t="str">
        <v>AG-ARG-BERGDIETIKON</v>
      </c>
      <c r="C11" s="197" t="str">
        <v>GEO-AG-BERGDIETIKON</v>
      </c>
      <c r="D11" s="197" t="str">
        <v>Gemeinde Bergdietikon</v>
      </c>
      <c r="E11" s="197" t="str"/>
      <c r="F11" s="197" t="str"/>
      <c r="G11" s="197" t="str"/>
      <c r="H11" s="197" t="str">
        <v>Gemeinde</v>
      </c>
      <c r="I11" s="197" t="str">
        <v>GEO-AG-BADEN</v>
      </c>
      <c r="J11" s="197" t="str">
        <v>include</v>
      </c>
      <c r="K11" s="197" t="str"/>
      <c r="L11" s="197" t="str"/>
      <c r="M11" s="198" t="n">
        <v>46023</v>
      </c>
      <c r="N11" s="198"/>
      <c r="O11" s="197" t="str">
        <v>SRC-AG-EGARR-20250901</v>
      </c>
      <c r="P11" s="197" t="str">
        <v>§ 6 Abs. 1 Bst. b Ziff. 1</v>
      </c>
      <c r="Q11" s="197" t="str">
        <v>open</v>
      </c>
      <c r="R11" s="197" t="str">
        <v>Neue räumliche Zuordnung, fachlich zu prüfen. Interne Gebiet-ID, keine amtliche Kennung. Keine automatische Feiertagsvererbung oder Fristwirkung.</v>
      </c>
    </row>
    <row r="12" ht="58" customHeight="1">
      <c r="A12" s="199" t="str">
        <v>AREA-AP18A-06</v>
      </c>
      <c r="B12" s="199" t="str">
        <v>AG-ZPO-ALL</v>
      </c>
      <c r="C12" s="199" t="str">
        <v>GEO-AG</v>
      </c>
      <c r="D12" s="199" t="str">
        <v>Aargau</v>
      </c>
      <c r="E12" s="199" t="str">
        <v>Argovie</v>
      </c>
      <c r="F12" s="199" t="str"/>
      <c r="G12" s="199" t="str"/>
      <c r="H12" s="199" t="str">
        <v>Kanton</v>
      </c>
      <c r="I12" s="199" t="str">
        <v>GEO-CH</v>
      </c>
      <c r="J12" s="199" t="str">
        <v>include</v>
      </c>
      <c r="K12" s="199" t="str"/>
      <c r="L12" s="199" t="str"/>
      <c r="M12" s="200" t="n">
        <v>46023</v>
      </c>
      <c r="N12" s="200"/>
      <c r="O12" s="199" t="str">
        <v>SRC-AG-EGZPO</v>
      </c>
      <c r="P12" s="199" t="str">
        <v>§ 21</v>
      </c>
      <c r="Q12" s="199" t="str">
        <v>open</v>
      </c>
      <c r="R12" s="199" t="str">
        <v>Neue räumliche Zuordnung, fachlich zu prüfen. Interne Gebiet-ID, keine amtliche Kennung. Keine automatische Feiertagsvererbung oder Fristwirkung.</v>
      </c>
    </row>
    <row r="13" ht="58" customHeight="1">
      <c r="A13" s="197" t="str">
        <v>AREA-AP18B-AG-01</v>
      </c>
      <c r="B13" s="197" t="str">
        <v>AG-ARG-AARAU-BRUGG-KULM-LENZBURG-ZOFINGEN</v>
      </c>
      <c r="C13" s="197" t="str">
        <v>GEO-AG-BEZIRK-AARAU</v>
      </c>
      <c r="D13" s="197" t="str">
        <v>Bezirk Aarau</v>
      </c>
      <c r="E13" s="197" t="str"/>
      <c r="F13" s="197" t="str"/>
      <c r="G13" s="197" t="str"/>
      <c r="H13" s="197" t="str">
        <v>Bezirk</v>
      </c>
      <c r="I13" s="197" t="str">
        <v>GEO-AG</v>
      </c>
      <c r="J13" s="197" t="str">
        <v>include</v>
      </c>
      <c r="K13" s="197" t="str"/>
      <c r="L13" s="197" t="str"/>
      <c r="M13" s="198" t="n">
        <v>46023</v>
      </c>
      <c r="N13" s="198"/>
      <c r="O13" s="197" t="str">
        <v>SRC-AG-EGARR-20250901</v>
      </c>
      <c r="P13" s="197" t="str">
        <v>§ 6 Abs. 1 Bst. a</v>
      </c>
      <c r="Q13" s="197" t="str">
        <v>open</v>
      </c>
      <c r="R13" s="197" t="str">
        <v>Normzweig aus § 6 EG ArR, fachliche Abnahme offen. Parent ist das nächste erfasste übergeordnete Gebiet, keine Feiertagsvererbung. Amtliche Kennung noch zu prüfen.</v>
      </c>
    </row>
    <row r="14" ht="58" customHeight="1">
      <c r="A14" s="199" t="str">
        <v>AREA-AP18B-AG-02</v>
      </c>
      <c r="B14" s="199" t="str">
        <v>AG-ARG-AARAU-BRUGG-KULM-LENZBURG-ZOFINGEN</v>
      </c>
      <c r="C14" s="199" t="str">
        <v>GEO-AG-BEZIRK-BRUGG</v>
      </c>
      <c r="D14" s="199" t="str">
        <v>Bezirk Brugg</v>
      </c>
      <c r="E14" s="199" t="str"/>
      <c r="F14" s="199" t="str"/>
      <c r="G14" s="199" t="str"/>
      <c r="H14" s="199" t="str">
        <v>Bezirk</v>
      </c>
      <c r="I14" s="199" t="str">
        <v>GEO-AG</v>
      </c>
      <c r="J14" s="199" t="str">
        <v>include</v>
      </c>
      <c r="K14" s="199" t="str"/>
      <c r="L14" s="199" t="str"/>
      <c r="M14" s="200" t="n">
        <v>46023</v>
      </c>
      <c r="N14" s="200"/>
      <c r="O14" s="199" t="str">
        <v>SRC-AG-EGARR-20250901</v>
      </c>
      <c r="P14" s="199" t="str">
        <v>§ 6 Abs. 1 Bst. a</v>
      </c>
      <c r="Q14" s="199" t="str">
        <v>open</v>
      </c>
      <c r="R14" s="199" t="str">
        <v>Normzweig aus § 6 EG ArR, fachliche Abnahme offen. Parent ist das nächste erfasste übergeordnete Gebiet, keine Feiertagsvererbung. Amtliche Kennung noch zu prüfen.</v>
      </c>
    </row>
    <row r="15" ht="58" customHeight="1">
      <c r="A15" s="197" t="str">
        <v>AREA-AP18B-AG-03</v>
      </c>
      <c r="B15" s="197" t="str">
        <v>AG-ARG-AARAU-BRUGG-KULM-LENZBURG-ZOFINGEN</v>
      </c>
      <c r="C15" s="197" t="str">
        <v>GEO-AG-BEZIRK-KULM</v>
      </c>
      <c r="D15" s="197" t="str">
        <v>Bezirk Kulm</v>
      </c>
      <c r="E15" s="197" t="str"/>
      <c r="F15" s="197" t="str"/>
      <c r="G15" s="197" t="str"/>
      <c r="H15" s="197" t="str">
        <v>Bezirk</v>
      </c>
      <c r="I15" s="197" t="str">
        <v>GEO-AG</v>
      </c>
      <c r="J15" s="197" t="str">
        <v>include</v>
      </c>
      <c r="K15" s="197" t="str"/>
      <c r="L15" s="197" t="str"/>
      <c r="M15" s="198" t="n">
        <v>46023</v>
      </c>
      <c r="N15" s="198"/>
      <c r="O15" s="197" t="str">
        <v>SRC-AG-EGARR-20250901</v>
      </c>
      <c r="P15" s="197" t="str">
        <v>§ 6 Abs. 1 Bst. a</v>
      </c>
      <c r="Q15" s="197" t="str">
        <v>open</v>
      </c>
      <c r="R15" s="197" t="str">
        <v>Normzweig aus § 6 EG ArR, fachliche Abnahme offen. Parent ist das nächste erfasste übergeordnete Gebiet, keine Feiertagsvererbung. Amtliche Kennung noch zu prüfen.</v>
      </c>
    </row>
    <row r="16" ht="58" customHeight="1">
      <c r="A16" s="199" t="str">
        <v>AREA-AP18B-AG-04</v>
      </c>
      <c r="B16" s="199" t="str">
        <v>AG-ARG-AARAU-BRUGG-KULM-LENZBURG-ZOFINGEN</v>
      </c>
      <c r="C16" s="199" t="str">
        <v>GEO-AG-BEZIRK-LENZBURG</v>
      </c>
      <c r="D16" s="199" t="str">
        <v>Bezirk Lenzburg</v>
      </c>
      <c r="E16" s="199" t="str"/>
      <c r="F16" s="199" t="str"/>
      <c r="G16" s="199" t="str"/>
      <c r="H16" s="199" t="str">
        <v>Bezirk</v>
      </c>
      <c r="I16" s="199" t="str">
        <v>GEO-AG</v>
      </c>
      <c r="J16" s="199" t="str">
        <v>include</v>
      </c>
      <c r="K16" s="199" t="str"/>
      <c r="L16" s="199" t="str"/>
      <c r="M16" s="200" t="n">
        <v>46023</v>
      </c>
      <c r="N16" s="200"/>
      <c r="O16" s="199" t="str">
        <v>SRC-AG-EGARR-20250901</v>
      </c>
      <c r="P16" s="199" t="str">
        <v>§ 6 Abs. 1 Bst. a</v>
      </c>
      <c r="Q16" s="199" t="str">
        <v>open</v>
      </c>
      <c r="R16" s="199" t="str">
        <v>Normzweig aus § 6 EG ArR, fachliche Abnahme offen. Parent ist das nächste erfasste übergeordnete Gebiet, keine Feiertagsvererbung. Amtliche Kennung noch zu prüfen.</v>
      </c>
    </row>
    <row r="17" ht="58" customHeight="1">
      <c r="A17" s="197" t="str">
        <v>AREA-AP18B-AG-05</v>
      </c>
      <c r="B17" s="197" t="str">
        <v>AG-ARG-AARAU-BRUGG-KULM-LENZBURG-ZOFINGEN</v>
      </c>
      <c r="C17" s="197" t="str">
        <v>GEO-AG-BEZIRK-ZOFINGEN</v>
      </c>
      <c r="D17" s="197" t="str">
        <v>Bezirk Zofingen</v>
      </c>
      <c r="E17" s="197" t="str"/>
      <c r="F17" s="197" t="str"/>
      <c r="G17" s="197" t="str"/>
      <c r="H17" s="197" t="str">
        <v>Bezirk</v>
      </c>
      <c r="I17" s="197" t="str">
        <v>GEO-AG</v>
      </c>
      <c r="J17" s="197" t="str">
        <v>include</v>
      </c>
      <c r="K17" s="197" t="str"/>
      <c r="L17" s="197" t="str"/>
      <c r="M17" s="198" t="n">
        <v>46023</v>
      </c>
      <c r="N17" s="198"/>
      <c r="O17" s="197" t="str">
        <v>SRC-AG-EGARR-20250901</v>
      </c>
      <c r="P17" s="197" t="str">
        <v>§ 6 Abs. 1 Bst. a</v>
      </c>
      <c r="Q17" s="197" t="str">
        <v>open</v>
      </c>
      <c r="R17" s="197" t="str">
        <v>Normzweig aus § 6 EG ArR, fachliche Abnahme offen. Parent ist das nächste erfasste übergeordnete Gebiet, keine Feiertagsvererbung. Amtliche Kennung noch zu prüfen.</v>
      </c>
    </row>
    <row r="18" ht="58" customHeight="1">
      <c r="A18" s="199" t="str">
        <v>AREA-AP18B-AG-06</v>
      </c>
      <c r="B18" s="199" t="str">
        <v>AG-ARG-BREMGARTEN</v>
      </c>
      <c r="C18" s="199" t="str">
        <v>GEO-AG-BEZIRK-BREMGARTEN</v>
      </c>
      <c r="D18" s="199" t="str">
        <v>Bezirk Bremgarten</v>
      </c>
      <c r="E18" s="199" t="str"/>
      <c r="F18" s="199" t="str"/>
      <c r="G18" s="199" t="str"/>
      <c r="H18" s="199" t="str">
        <v>Bezirk</v>
      </c>
      <c r="I18" s="199" t="str">
        <v>GEO-AG</v>
      </c>
      <c r="J18" s="199" t="str">
        <v>include</v>
      </c>
      <c r="K18" s="199" t="str"/>
      <c r="L18" s="199" t="str"/>
      <c r="M18" s="200" t="n">
        <v>46023</v>
      </c>
      <c r="N18" s="200"/>
      <c r="O18" s="199" t="str">
        <v>SRC-AG-EGARR-20250901</v>
      </c>
      <c r="P18" s="199" t="str">
        <v>§ 6 Abs. 1 Bst. c</v>
      </c>
      <c r="Q18" s="199" t="str">
        <v>open</v>
      </c>
      <c r="R18" s="199" t="str">
        <v>Normzweig aus § 6 EG ArR, fachliche Abnahme offen. Parent ist das nächste erfasste übergeordnete Gebiet, keine Feiertagsvererbung. Amtliche Kennung noch zu prüfen.</v>
      </c>
    </row>
    <row r="19" ht="58" customHeight="1">
      <c r="A19" s="197" t="str">
        <v>AREA-AP18B-AG-07</v>
      </c>
      <c r="B19" s="197" t="str">
        <v>AG-ARG-LAUFENBURG-MURI</v>
      </c>
      <c r="C19" s="197" t="str">
        <v>GEO-AG-BEZIRK-LAUFENBURG</v>
      </c>
      <c r="D19" s="197" t="str">
        <v>Bezirk Laufenburg</v>
      </c>
      <c r="E19" s="197" t="str"/>
      <c r="F19" s="197" t="str"/>
      <c r="G19" s="197" t="str"/>
      <c r="H19" s="197" t="str">
        <v>Bezirk</v>
      </c>
      <c r="I19" s="197" t="str">
        <v>GEO-AG</v>
      </c>
      <c r="J19" s="197" t="str">
        <v>include</v>
      </c>
      <c r="K19" s="197" t="str"/>
      <c r="L19" s="197" t="str"/>
      <c r="M19" s="198" t="n">
        <v>46023</v>
      </c>
      <c r="N19" s="198"/>
      <c r="O19" s="197" t="str">
        <v>SRC-AG-EGARR-20250901</v>
      </c>
      <c r="P19" s="197" t="str">
        <v>§ 6 Abs. 1 Bst. d</v>
      </c>
      <c r="Q19" s="197" t="str">
        <v>open</v>
      </c>
      <c r="R19" s="197" t="str">
        <v>Normzweig aus § 6 EG ArR, fachliche Abnahme offen. Parent ist das nächste erfasste übergeordnete Gebiet, keine Feiertagsvererbung. Amtliche Kennung noch zu prüfen.</v>
      </c>
    </row>
    <row r="20" ht="58" customHeight="1">
      <c r="A20" s="199" t="str">
        <v>AREA-AP18B-AG-08</v>
      </c>
      <c r="B20" s="199" t="str">
        <v>AG-ARG-LAUFENBURG-MURI</v>
      </c>
      <c r="C20" s="199" t="str">
        <v>GEO-AG-BEZIRK-MURI</v>
      </c>
      <c r="D20" s="199" t="str">
        <v>Bezirk Muri</v>
      </c>
      <c r="E20" s="199" t="str"/>
      <c r="F20" s="199" t="str"/>
      <c r="G20" s="199" t="str"/>
      <c r="H20" s="199" t="str">
        <v>Bezirk</v>
      </c>
      <c r="I20" s="199" t="str">
        <v>GEO-AG</v>
      </c>
      <c r="J20" s="199" t="str">
        <v>include</v>
      </c>
      <c r="K20" s="199" t="str"/>
      <c r="L20" s="199" t="str"/>
      <c r="M20" s="200" t="n">
        <v>46023</v>
      </c>
      <c r="N20" s="200"/>
      <c r="O20" s="199" t="str">
        <v>SRC-AG-EGARR-20250901</v>
      </c>
      <c r="P20" s="199" t="str">
        <v>§ 6 Abs. 1 Bst. d</v>
      </c>
      <c r="Q20" s="199" t="str">
        <v>open</v>
      </c>
      <c r="R20" s="199" t="str">
        <v>Normzweig aus § 6 EG ArR, fachliche Abnahme offen. Parent ist das nächste erfasste übergeordnete Gebiet, keine Feiertagsvererbung. Amtliche Kennung noch zu prüfen.</v>
      </c>
    </row>
    <row r="21" ht="58" customHeight="1">
      <c r="A21" s="197" t="str">
        <v>AREA-AP18B-AG-09</v>
      </c>
      <c r="B21" s="197" t="str">
        <v>AG-ARG-RHEINFELDEN-E1</v>
      </c>
      <c r="C21" s="197" t="str">
        <v>GEO-AG-GEMEINDE-HELLIKON</v>
      </c>
      <c r="D21" s="197" t="str">
        <v>Gemeinde Hellikon</v>
      </c>
      <c r="E21" s="197" t="str"/>
      <c r="F21" s="197" t="str"/>
      <c r="G21" s="197" t="str"/>
      <c r="H21" s="197" t="str">
        <v>Gemeinde</v>
      </c>
      <c r="I21" s="197" t="str">
        <v>GEO-AG</v>
      </c>
      <c r="J21" s="197" t="str">
        <v>include</v>
      </c>
      <c r="K21" s="197" t="str"/>
      <c r="L21" s="197" t="str"/>
      <c r="M21" s="198" t="n">
        <v>46023</v>
      </c>
      <c r="N21" s="198"/>
      <c r="O21" s="197" t="str">
        <v>SRC-AG-EGARR-20250901</v>
      </c>
      <c r="P21" s="197" t="str">
        <v>§ 6 Abs. 1 Bst. e Ziff. 1</v>
      </c>
      <c r="Q21" s="197" t="str">
        <v>open</v>
      </c>
      <c r="R21" s="197" t="str">
        <v>Normzweig aus § 6 EG ArR, fachliche Abnahme offen. Parent ist das nächste erfasste übergeordnete Gebiet, keine Feiertagsvererbung. Amtliche Kennung noch zu prüfen.</v>
      </c>
    </row>
    <row r="22" ht="58" customHeight="1">
      <c r="A22" s="199" t="str">
        <v>AREA-AP18B-AG-10</v>
      </c>
      <c r="B22" s="199" t="str">
        <v>AG-ARG-RHEINFELDEN-E1</v>
      </c>
      <c r="C22" s="199" t="str">
        <v>GEO-AG-GEMEINDE-MUMPF</v>
      </c>
      <c r="D22" s="199" t="str">
        <v>Gemeinde Mumpf</v>
      </c>
      <c r="E22" s="199" t="str"/>
      <c r="F22" s="199" t="str"/>
      <c r="G22" s="199" t="str"/>
      <c r="H22" s="199" t="str">
        <v>Gemeinde</v>
      </c>
      <c r="I22" s="199" t="str">
        <v>GEO-AG</v>
      </c>
      <c r="J22" s="199" t="str">
        <v>include</v>
      </c>
      <c r="K22" s="199" t="str"/>
      <c r="L22" s="199" t="str"/>
      <c r="M22" s="200" t="n">
        <v>46023</v>
      </c>
      <c r="N22" s="200"/>
      <c r="O22" s="199" t="str">
        <v>SRC-AG-EGARR-20250901</v>
      </c>
      <c r="P22" s="199" t="str">
        <v>§ 6 Abs. 1 Bst. e Ziff. 1</v>
      </c>
      <c r="Q22" s="199" t="str">
        <v>open</v>
      </c>
      <c r="R22" s="199" t="str">
        <v>Normzweig aus § 6 EG ArR, fachliche Abnahme offen. Parent ist das nächste erfasste übergeordnete Gebiet, keine Feiertagsvererbung. Amtliche Kennung noch zu prüfen.</v>
      </c>
    </row>
    <row r="23" ht="58" customHeight="1">
      <c r="A23" s="197" t="str">
        <v>AREA-AP18B-AG-11</v>
      </c>
      <c r="B23" s="197" t="str">
        <v>AG-ARG-RHEINFELDEN-E1</v>
      </c>
      <c r="C23" s="197" t="str">
        <v>GEO-AG-GEMEINDE-OBERMUMPF</v>
      </c>
      <c r="D23" s="197" t="str">
        <v>Gemeinde Obermumpf</v>
      </c>
      <c r="E23" s="197" t="str"/>
      <c r="F23" s="197" t="str"/>
      <c r="G23" s="197" t="str"/>
      <c r="H23" s="197" t="str">
        <v>Gemeinde</v>
      </c>
      <c r="I23" s="197" t="str">
        <v>GEO-AG</v>
      </c>
      <c r="J23" s="197" t="str">
        <v>include</v>
      </c>
      <c r="K23" s="197" t="str"/>
      <c r="L23" s="197" t="str"/>
      <c r="M23" s="198" t="n">
        <v>46023</v>
      </c>
      <c r="N23" s="198"/>
      <c r="O23" s="197" t="str">
        <v>SRC-AG-EGARR-20250901</v>
      </c>
      <c r="P23" s="197" t="str">
        <v>§ 6 Abs. 1 Bst. e Ziff. 1</v>
      </c>
      <c r="Q23" s="197" t="str">
        <v>open</v>
      </c>
      <c r="R23" s="197" t="str">
        <v>Normzweig aus § 6 EG ArR, fachliche Abnahme offen. Parent ist das nächste erfasste übergeordnete Gebiet, keine Feiertagsvererbung. Amtliche Kennung noch zu prüfen.</v>
      </c>
    </row>
    <row r="24" ht="58" customHeight="1">
      <c r="A24" s="199" t="str">
        <v>AREA-AP18B-AG-12</v>
      </c>
      <c r="B24" s="199" t="str">
        <v>AG-ARG-RHEINFELDEN-E1</v>
      </c>
      <c r="C24" s="199" t="str">
        <v>GEO-AG-GEMEINDE-SCHUPFART</v>
      </c>
      <c r="D24" s="199" t="str">
        <v>Gemeinde Schupfart</v>
      </c>
      <c r="E24" s="199" t="str"/>
      <c r="F24" s="199" t="str"/>
      <c r="G24" s="199" t="str"/>
      <c r="H24" s="199" t="str">
        <v>Gemeinde</v>
      </c>
      <c r="I24" s="199" t="str">
        <v>GEO-AG</v>
      </c>
      <c r="J24" s="199" t="str">
        <v>include</v>
      </c>
      <c r="K24" s="199" t="str"/>
      <c r="L24" s="199" t="str"/>
      <c r="M24" s="200" t="n">
        <v>46023</v>
      </c>
      <c r="N24" s="200"/>
      <c r="O24" s="199" t="str">
        <v>SRC-AG-EGARR-20250901</v>
      </c>
      <c r="P24" s="199" t="str">
        <v>§ 6 Abs. 1 Bst. e Ziff. 1</v>
      </c>
      <c r="Q24" s="199" t="str">
        <v>open</v>
      </c>
      <c r="R24" s="199" t="str">
        <v>Normzweig aus § 6 EG ArR, fachliche Abnahme offen. Parent ist das nächste erfasste übergeordnete Gebiet, keine Feiertagsvererbung. Amtliche Kennung noch zu prüfen.</v>
      </c>
    </row>
    <row r="25" ht="58" customHeight="1">
      <c r="A25" s="197" t="str">
        <v>AREA-AP18B-AG-13</v>
      </c>
      <c r="B25" s="197" t="str">
        <v>AG-ARG-RHEINFELDEN-E1</v>
      </c>
      <c r="C25" s="197" t="str">
        <v>GEO-AG-GEMEINDE-STEIN</v>
      </c>
      <c r="D25" s="197" t="str">
        <v>Gemeinde Stein</v>
      </c>
      <c r="E25" s="197" t="str"/>
      <c r="F25" s="197" t="str"/>
      <c r="G25" s="197" t="str"/>
      <c r="H25" s="197" t="str">
        <v>Gemeinde</v>
      </c>
      <c r="I25" s="197" t="str">
        <v>GEO-AG</v>
      </c>
      <c r="J25" s="197" t="str">
        <v>include</v>
      </c>
      <c r="K25" s="197" t="str"/>
      <c r="L25" s="197" t="str"/>
      <c r="M25" s="198" t="n">
        <v>46023</v>
      </c>
      <c r="N25" s="198"/>
      <c r="O25" s="197" t="str">
        <v>SRC-AG-EGARR-20250901</v>
      </c>
      <c r="P25" s="197" t="str">
        <v>§ 6 Abs. 1 Bst. e Ziff. 1</v>
      </c>
      <c r="Q25" s="197" t="str">
        <v>open</v>
      </c>
      <c r="R25" s="197" t="str">
        <v>Normzweig aus § 6 EG ArR, fachliche Abnahme offen. Parent ist das nächste erfasste übergeordnete Gebiet, keine Feiertagsvererbung. Amtliche Kennung noch zu prüfen.</v>
      </c>
    </row>
    <row r="26" ht="58" customHeight="1">
      <c r="A26" s="199" t="str">
        <v>AREA-AP18B-AG-14</v>
      </c>
      <c r="B26" s="199" t="str">
        <v>AG-ARG-RHEINFELDEN-E1</v>
      </c>
      <c r="C26" s="199" t="str">
        <v>GEO-AG-GEMEINDE-WEGENSTETTEN</v>
      </c>
      <c r="D26" s="199" t="str">
        <v>Gemeinde Wegenstetten</v>
      </c>
      <c r="E26" s="199" t="str"/>
      <c r="F26" s="199" t="str"/>
      <c r="G26" s="199" t="str"/>
      <c r="H26" s="199" t="str">
        <v>Gemeinde</v>
      </c>
      <c r="I26" s="199" t="str">
        <v>GEO-AG</v>
      </c>
      <c r="J26" s="199" t="str">
        <v>include</v>
      </c>
      <c r="K26" s="199" t="str"/>
      <c r="L26" s="199" t="str"/>
      <c r="M26" s="200" t="n">
        <v>46023</v>
      </c>
      <c r="N26" s="200"/>
      <c r="O26" s="199" t="str">
        <v>SRC-AG-EGARR-20250901</v>
      </c>
      <c r="P26" s="199" t="str">
        <v>§ 6 Abs. 1 Bst. e Ziff. 1</v>
      </c>
      <c r="Q26" s="199" t="str">
        <v>open</v>
      </c>
      <c r="R26" s="199" t="str">
        <v>Normzweig aus § 6 EG ArR, fachliche Abnahme offen. Parent ist das nächste erfasste übergeordnete Gebiet, keine Feiertagsvererbung. Amtliche Kennung noch zu prüfen.</v>
      </c>
    </row>
    <row r="27" ht="58" customHeight="1">
      <c r="A27" s="197" t="str">
        <v>AREA-AP18B-AG-15</v>
      </c>
      <c r="B27" s="197" t="str">
        <v>AG-ARG-RHEINFELDEN-E2</v>
      </c>
      <c r="C27" s="197" t="str">
        <v>GEO-AG-GEMEINDE-KAISERAUGST</v>
      </c>
      <c r="D27" s="197" t="str">
        <v>Gemeinde Kaiseraugst</v>
      </c>
      <c r="E27" s="197" t="str"/>
      <c r="F27" s="197" t="str"/>
      <c r="G27" s="197" t="str"/>
      <c r="H27" s="197" t="str">
        <v>Gemeinde</v>
      </c>
      <c r="I27" s="197" t="str">
        <v>GEO-AG</v>
      </c>
      <c r="J27" s="197" t="str">
        <v>include</v>
      </c>
      <c r="K27" s="197" t="str"/>
      <c r="L27" s="197" t="str"/>
      <c r="M27" s="198" t="n">
        <v>46023</v>
      </c>
      <c r="N27" s="198"/>
      <c r="O27" s="197" t="str">
        <v>SRC-AG-EGARR-20250901</v>
      </c>
      <c r="P27" s="197" t="str">
        <v>§ 6 Abs. 1 Bst. e Ziff. 2</v>
      </c>
      <c r="Q27" s="197" t="str">
        <v>open</v>
      </c>
      <c r="R27" s="197" t="str">
        <v>Normzweig aus § 6 EG ArR, fachliche Abnahme offen. Parent ist das nächste erfasste übergeordnete Gebiet, keine Feiertagsvererbung. Amtliche Kennung noch zu prüfen.</v>
      </c>
    </row>
    <row r="28" ht="58" customHeight="1">
      <c r="A28" s="199" t="str">
        <v>AREA-AP18B-AG-16</v>
      </c>
      <c r="B28" s="199" t="str">
        <v>AG-ARG-RHEINFELDEN-E2</v>
      </c>
      <c r="C28" s="199" t="str">
        <v>GEO-AG-GEMEINDE-MAGDEN</v>
      </c>
      <c r="D28" s="199" t="str">
        <v>Gemeinde Magden</v>
      </c>
      <c r="E28" s="199" t="str"/>
      <c r="F28" s="199" t="str"/>
      <c r="G28" s="199" t="str"/>
      <c r="H28" s="199" t="str">
        <v>Gemeinde</v>
      </c>
      <c r="I28" s="199" t="str">
        <v>GEO-AG</v>
      </c>
      <c r="J28" s="199" t="str">
        <v>include</v>
      </c>
      <c r="K28" s="199" t="str"/>
      <c r="L28" s="199" t="str"/>
      <c r="M28" s="200" t="n">
        <v>46023</v>
      </c>
      <c r="N28" s="200"/>
      <c r="O28" s="199" t="str">
        <v>SRC-AG-EGARR-20250901</v>
      </c>
      <c r="P28" s="199" t="str">
        <v>§ 6 Abs. 1 Bst. e Ziff. 2</v>
      </c>
      <c r="Q28" s="199" t="str">
        <v>open</v>
      </c>
      <c r="R28" s="199" t="str">
        <v>Normzweig aus § 6 EG ArR, fachliche Abnahme offen. Parent ist das nächste erfasste übergeordnete Gebiet, keine Feiertagsvererbung. Amtliche Kennung noch zu prüfen.</v>
      </c>
    </row>
    <row r="29" ht="58" customHeight="1">
      <c r="A29" s="197" t="str">
        <v>AREA-AP18B-AG-17</v>
      </c>
      <c r="B29" s="197" t="str">
        <v>AG-ARG-RHEINFELDEN-E2</v>
      </c>
      <c r="C29" s="197" t="str">
        <v>GEO-AG-GEMEINDE-MOEHLIN</v>
      </c>
      <c r="D29" s="197" t="str">
        <v>Gemeinde Möhlin</v>
      </c>
      <c r="E29" s="197" t="str"/>
      <c r="F29" s="197" t="str"/>
      <c r="G29" s="197" t="str"/>
      <c r="H29" s="197" t="str">
        <v>Gemeinde</v>
      </c>
      <c r="I29" s="197" t="str">
        <v>GEO-AG</v>
      </c>
      <c r="J29" s="197" t="str">
        <v>include</v>
      </c>
      <c r="K29" s="197" t="str"/>
      <c r="L29" s="197" t="str"/>
      <c r="M29" s="198" t="n">
        <v>46023</v>
      </c>
      <c r="N29" s="198"/>
      <c r="O29" s="197" t="str">
        <v>SRC-AG-EGARR-20250901</v>
      </c>
      <c r="P29" s="197" t="str">
        <v>§ 6 Abs. 1 Bst. e Ziff. 2</v>
      </c>
      <c r="Q29" s="197" t="str">
        <v>open</v>
      </c>
      <c r="R29" s="197" t="str">
        <v>Normzweig aus § 6 EG ArR, fachliche Abnahme offen. Parent ist das nächste erfasste übergeordnete Gebiet, keine Feiertagsvererbung. Amtliche Kennung noch zu prüfen.</v>
      </c>
    </row>
    <row r="30" ht="58" customHeight="1">
      <c r="A30" s="199" t="str">
        <v>AREA-AP18B-AG-18</v>
      </c>
      <c r="B30" s="199" t="str">
        <v>AG-ARG-RHEINFELDEN-E2</v>
      </c>
      <c r="C30" s="199" t="str">
        <v>GEO-AG-GEMEINDE-OLSBERG</v>
      </c>
      <c r="D30" s="199" t="str">
        <v>Gemeinde Olsberg</v>
      </c>
      <c r="E30" s="199" t="str"/>
      <c r="F30" s="199" t="str"/>
      <c r="G30" s="199" t="str"/>
      <c r="H30" s="199" t="str">
        <v>Gemeinde</v>
      </c>
      <c r="I30" s="199" t="str">
        <v>GEO-AG</v>
      </c>
      <c r="J30" s="199" t="str">
        <v>include</v>
      </c>
      <c r="K30" s="199" t="str"/>
      <c r="L30" s="199" t="str"/>
      <c r="M30" s="200" t="n">
        <v>46023</v>
      </c>
      <c r="N30" s="200"/>
      <c r="O30" s="199" t="str">
        <v>SRC-AG-EGARR-20250901</v>
      </c>
      <c r="P30" s="199" t="str">
        <v>§ 6 Abs. 1 Bst. e Ziff. 2</v>
      </c>
      <c r="Q30" s="199" t="str">
        <v>open</v>
      </c>
      <c r="R30" s="199" t="str">
        <v>Normzweig aus § 6 EG ArR, fachliche Abnahme offen. Parent ist das nächste erfasste übergeordnete Gebiet, keine Feiertagsvererbung. Amtliche Kennung noch zu prüfen.</v>
      </c>
    </row>
    <row r="31" ht="58" customHeight="1">
      <c r="A31" s="197" t="str">
        <v>AREA-AP18B-AG-19</v>
      </c>
      <c r="B31" s="197" t="str">
        <v>AG-ARG-RHEINFELDEN-E2</v>
      </c>
      <c r="C31" s="197" t="str">
        <v>GEO-AG-GEMEINDE-RHEINFELDEN</v>
      </c>
      <c r="D31" s="197" t="str">
        <v>Gemeinde Rheinfelden</v>
      </c>
      <c r="E31" s="197" t="str"/>
      <c r="F31" s="197" t="str"/>
      <c r="G31" s="197" t="str"/>
      <c r="H31" s="197" t="str">
        <v>Gemeinde</v>
      </c>
      <c r="I31" s="197" t="str">
        <v>GEO-AG</v>
      </c>
      <c r="J31" s="197" t="str">
        <v>include</v>
      </c>
      <c r="K31" s="197" t="str"/>
      <c r="L31" s="197" t="str"/>
      <c r="M31" s="198" t="n">
        <v>46023</v>
      </c>
      <c r="N31" s="198"/>
      <c r="O31" s="197" t="str">
        <v>SRC-AG-EGARR-20250901</v>
      </c>
      <c r="P31" s="197" t="str">
        <v>§ 6 Abs. 1 Bst. e Ziff. 2</v>
      </c>
      <c r="Q31" s="197" t="str">
        <v>open</v>
      </c>
      <c r="R31" s="197" t="str">
        <v>Normzweig aus § 6 EG ArR, fachliche Abnahme offen. Parent ist das nächste erfasste übergeordnete Gebiet, keine Feiertagsvererbung. Amtliche Kennung noch zu prüfen.</v>
      </c>
    </row>
    <row r="32" ht="58" customHeight="1">
      <c r="A32" s="199" t="str">
        <v>AREA-AP18B-AG-20</v>
      </c>
      <c r="B32" s="199" t="str">
        <v>AG-ARG-RHEINFELDEN-E2</v>
      </c>
      <c r="C32" s="199" t="str">
        <v>GEO-AG-GEMEINDE-WALLBACH</v>
      </c>
      <c r="D32" s="199" t="str">
        <v>Gemeinde Wallbach</v>
      </c>
      <c r="E32" s="199" t="str"/>
      <c r="F32" s="199" t="str"/>
      <c r="G32" s="199" t="str"/>
      <c r="H32" s="199" t="str">
        <v>Gemeinde</v>
      </c>
      <c r="I32" s="199" t="str">
        <v>GEO-AG</v>
      </c>
      <c r="J32" s="199" t="str">
        <v>include</v>
      </c>
      <c r="K32" s="199" t="str"/>
      <c r="L32" s="199" t="str"/>
      <c r="M32" s="200" t="n">
        <v>46023</v>
      </c>
      <c r="N32" s="200"/>
      <c r="O32" s="199" t="str">
        <v>SRC-AG-EGARR-20250901</v>
      </c>
      <c r="P32" s="199" t="str">
        <v>§ 6 Abs. 1 Bst. e Ziff. 2</v>
      </c>
      <c r="Q32" s="199" t="str">
        <v>open</v>
      </c>
      <c r="R32" s="199" t="str">
        <v>Normzweig aus § 6 EG ArR, fachliche Abnahme offen. Parent ist das nächste erfasste übergeordnete Gebiet, keine Feiertagsvererbung. Amtliche Kennung noch zu prüfen.</v>
      </c>
    </row>
    <row r="33" ht="58" customHeight="1">
      <c r="A33" s="197" t="str">
        <v>AREA-AP18B-AG-21</v>
      </c>
      <c r="B33" s="197" t="str">
        <v>AG-ARG-RHEINFELDEN-E2</v>
      </c>
      <c r="C33" s="197" t="str">
        <v>GEO-AG-GEMEINDE-ZEININGEN</v>
      </c>
      <c r="D33" s="197" t="str">
        <v>Gemeinde Zeiningen</v>
      </c>
      <c r="E33" s="197" t="str"/>
      <c r="F33" s="197" t="str"/>
      <c r="G33" s="197" t="str"/>
      <c r="H33" s="197" t="str">
        <v>Gemeinde</v>
      </c>
      <c r="I33" s="197" t="str">
        <v>GEO-AG</v>
      </c>
      <c r="J33" s="197" t="str">
        <v>include</v>
      </c>
      <c r="K33" s="197" t="str"/>
      <c r="L33" s="197" t="str"/>
      <c r="M33" s="198" t="n">
        <v>46023</v>
      </c>
      <c r="N33" s="198"/>
      <c r="O33" s="197" t="str">
        <v>SRC-AG-EGARR-20250901</v>
      </c>
      <c r="P33" s="197" t="str">
        <v>§ 6 Abs. 1 Bst. e Ziff. 2</v>
      </c>
      <c r="Q33" s="197" t="str">
        <v>open</v>
      </c>
      <c r="R33" s="197" t="str">
        <v>Normzweig aus § 6 EG ArR, fachliche Abnahme offen. Parent ist das nächste erfasste übergeordnete Gebiet, keine Feiertagsvererbung. Amtliche Kennung noch zu prüfen.</v>
      </c>
    </row>
    <row r="34" ht="58" customHeight="1">
      <c r="A34" s="199" t="str">
        <v>AREA-AP18B-AG-22</v>
      </c>
      <c r="B34" s="199" t="str">
        <v>AG-ARG-RHEINFELDEN-E2</v>
      </c>
      <c r="C34" s="199" t="str">
        <v>GEO-AG-GEMEINDE-ZUZGEN</v>
      </c>
      <c r="D34" s="199" t="str">
        <v>Gemeinde Zuzgen</v>
      </c>
      <c r="E34" s="199" t="str"/>
      <c r="F34" s="199" t="str"/>
      <c r="G34" s="199" t="str"/>
      <c r="H34" s="199" t="str">
        <v>Gemeinde</v>
      </c>
      <c r="I34" s="199" t="str">
        <v>GEO-AG</v>
      </c>
      <c r="J34" s="199" t="str">
        <v>include</v>
      </c>
      <c r="K34" s="199" t="str"/>
      <c r="L34" s="199" t="str"/>
      <c r="M34" s="200" t="n">
        <v>46023</v>
      </c>
      <c r="N34" s="200"/>
      <c r="O34" s="199" t="str">
        <v>SRC-AG-EGARR-20250901</v>
      </c>
      <c r="P34" s="199" t="str">
        <v>§ 6 Abs. 1 Bst. e Ziff. 2</v>
      </c>
      <c r="Q34" s="199" t="str">
        <v>open</v>
      </c>
      <c r="R34" s="199" t="str">
        <v>Normzweig aus § 6 EG ArR, fachliche Abnahme offen. Parent ist das nächste erfasste übergeordnete Gebiet, keine Feiertagsvererbung. Amtliche Kennung noch zu prüfen.</v>
      </c>
    </row>
    <row r="35" ht="58" customHeight="1">
      <c r="A35" s="197" t="str">
        <v>AREA-AP18B-AG-23</v>
      </c>
      <c r="B35" s="197" t="str">
        <v>AG-ARG-ZURZACH</v>
      </c>
      <c r="C35" s="197" t="str">
        <v>GEO-AG-BEZIRK-ZURZACH</v>
      </c>
      <c r="D35" s="197" t="str">
        <v>Bezirk Zurzach</v>
      </c>
      <c r="E35" s="197" t="str"/>
      <c r="F35" s="197" t="str"/>
      <c r="G35" s="197" t="str"/>
      <c r="H35" s="197" t="str">
        <v>Bezirk</v>
      </c>
      <c r="I35" s="197" t="str">
        <v>GEO-AG</v>
      </c>
      <c r="J35" s="197" t="str">
        <v>include</v>
      </c>
      <c r="K35" s="197" t="str"/>
      <c r="L35" s="197" t="str"/>
      <c r="M35" s="198" t="n">
        <v>46023</v>
      </c>
      <c r="N35" s="198"/>
      <c r="O35" s="197" t="str">
        <v>SRC-AG-EGARR-20250901</v>
      </c>
      <c r="P35" s="197" t="str">
        <v>§ 6 Abs. 1 Bst. f</v>
      </c>
      <c r="Q35" s="197" t="str">
        <v>open</v>
      </c>
      <c r="R35" s="197" t="str">
        <v>Normzweig aus § 6 EG ArR, fachliche Abnahme offen. Parent ist das nächste erfasste übergeordnete Gebiet, keine Feiertagsvererbung. Amtliche Kennung noch zu prüfen.</v>
      </c>
    </row>
    <row r="36" ht="82" customHeight="1">
      <c r="A36" t="str" s="199">
        <v>AREA-AP18B-TI-GR-01</v>
      </c>
      <c r="B36" t="str" s="199">
        <v>TI-OFFICIAL-ALL</v>
      </c>
      <c r="C36" t="str" s="199">
        <v>GEO-TI</v>
      </c>
      <c r="D36" t="str" s="199">
        <v>Tessin</v>
      </c>
      <c r="E36" t="str" s="199">
        <v>Tessin</v>
      </c>
      <c r="F36" t="str" s="199">
        <v>Ticino</v>
      </c>
      <c r="G36" t="str" s="199">
        <v>Tessin</v>
      </c>
      <c r="H36" t="str" s="199">
        <v>Kanton</v>
      </c>
      <c r="I36" t="str" s="199">
        <v>GEO-CH</v>
      </c>
      <c r="J36" t="str" s="199">
        <v>include</v>
      </c>
      <c r="K36" t="str" s="199"/>
      <c r="L36" t="str" s="199"/>
      <c r="M36" t="n" s="200">
        <v>46023</v>
      </c>
      <c r="N36" s="200"/>
      <c r="O36" t="str" s="199">
        <v>SRC-TI-FEIERTAGE-843200</v>
      </c>
      <c r="P36" t="str" s="199">
        <v>Art. 1</v>
      </c>
      <c r="Q36" t="str" s="199">
        <v>open</v>
      </c>
      <c r="R36" t="str" s="199">
        <v>Kantonsgebiet für die offizielle Liste. IT/RM-Kantonsnamen amtlich belegt, keine automatische Verfahrensfreigabe.</v>
      </c>
    </row>
    <row r="37" ht="82" customHeight="1">
      <c r="A37" t="str" s="197">
        <v>AREA-AP18B-TI-GR-02</v>
      </c>
      <c r="B37" t="str" s="197">
        <v>GR-PUBLIC-ALL</v>
      </c>
      <c r="C37" t="str" s="197">
        <v>GEO-GR</v>
      </c>
      <c r="D37" t="str" s="197">
        <v>Graubünden</v>
      </c>
      <c r="E37" t="str" s="197">
        <v>Grisons</v>
      </c>
      <c r="F37" t="str" s="197">
        <v>Grigioni</v>
      </c>
      <c r="G37" t="str" s="197">
        <v>Grischun</v>
      </c>
      <c r="H37" t="str" s="197">
        <v>Kanton</v>
      </c>
      <c r="I37" t="str" s="197">
        <v>GEO-CH</v>
      </c>
      <c r="J37" t="str" s="197">
        <v>include</v>
      </c>
      <c r="K37" t="str" s="197"/>
      <c r="L37" t="str" s="197"/>
      <c r="M37" t="n" s="198">
        <v>46023</v>
      </c>
      <c r="N37" s="198"/>
      <c r="O37" t="str" s="197">
        <v>SRC-GR-RUHETAGE-520100-20160101</v>
      </c>
      <c r="P37" t="str" s="197">
        <v>Art. 2</v>
      </c>
      <c r="Q37" t="str" s="197">
        <v>open</v>
      </c>
      <c r="R37" t="str" s="197">
        <v>Kantonsgebiet nur für die Grundliste. Lokale Ruhetage nicht vollständig erhoben. Begrenzte VRG-Annahme separat, OF-008 offen.</v>
      </c>
    </row>
    <row r="38">
      <c r="A38" s="192"/>
    </row>
    <row r="39">
      <c r="A39" s="192"/>
    </row>
    <row r="40">
      <c r="A40" s="192" t="str">
        <v>include = einschliessen, exclude = ausschliessen. Neue Zuordnungen sind open, keine zusätzliche Fachfreigabe.</v>
      </c>
    </row>
    <row r="41">
      <c r="A41" s="192" t="str">
        <v>GEO-IDs sind interne Kennungen. Amtliche Gebietskennungen sind noch zu erfassen und zu prüfen.</v>
      </c>
    </row>
    <row r="42">
      <c r="A42" s="192" t="str">
        <v>Übergeordnetes Gebiet beschreibt nur Geografie. Daraus werden keine Feiertagsregeln vererbt.</v>
      </c>
    </row>
    <row r="43">
      <c r="A43" t="str" s="192">
        <v>Erfasst sind nur die für das Quellenpaket benötigten Gebiete. Amtliche Kennungen bleiben noch offen.</v>
      </c>
    </row>
    <row r="44">
      <c r="A44" t="str" s="192">
        <v>Änderungen an Gebietszuordnungen benötigen eine kontrollierte Neugenerierung des Kalenders. Keine automatische Ortsauflösung.</v>
      </c>
    </row>
  </sheetData>
  <sheetProtection sheet="1" objects="1" scenarios="1" autoFilter="0" sort="0" selectLockedCells="0" selectUnlockedCells="0"/>
  <conditionalFormatting sqref="E7:E37">
    <cfRule type="containsBlanks" dxfId="36" priority="1"/>
  </conditionalFormatting>
  <conditionalFormatting sqref="F7:F37">
    <cfRule type="containsBlanks" dxfId="37" priority="2"/>
  </conditionalFormatting>
  <conditionalFormatting sqref="G7:G37">
    <cfRule type="containsBlanks" dxfId="38" priority="3"/>
  </conditionalFormatting>
  <conditionalFormatting sqref="K7:K37">
    <cfRule type="containsBlanks" dxfId="39" priority="4"/>
  </conditionalFormatting>
  <conditionalFormatting sqref="L7:L37">
    <cfRule type="containsBlanks" dxfId="40" priority="5"/>
  </conditionalFormatting>
  <conditionalFormatting sqref="Q7:Q37">
    <cfRule type="containsText" dxfId="41" priority="6" operator="containsText" text="open"/>
    <cfRule type="containsText" dxfId="42" priority="7" operator="containsText" text="blocked"/>
  </conditionalFormatting>
  <dataValidations count="3">
    <dataValidation type="list" sqref="H7:H37">
      <formula1>"Bund,Kanton,Bezirk,Gemeinde,Ortsteil,Gebietsgruppe"</formula1>
    </dataValidation>
    <dataValidation type="list" sqref="J7:J37">
      <formula1>"include,exclude"</formula1>
    </dataValidation>
    <dataValidation type="list" sqref="Q7:Q37">
      <formula1>"open,blocked"</formula1>
    </dataValidation>
  </dataValidations>
  <pageMargins left="0.7" right="0.7" top="0.75" bottom="0.75" header="0.3" footer="0.3"/>
  <tableParts count="1">
    <tablePart ns1:id="ap18AreaTable"/>
  </tableParts>
</worksheet>
</file>